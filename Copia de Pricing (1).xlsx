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ja 1" sheetId="1" r:id="rId5"/>
    <sheet state="visible" name="ML" sheetId="2" r:id="rId6"/>
    <sheet state="visible" name="AMZ" sheetId="3" r:id="rId7"/>
    <sheet state="visible" name="Hoja 18" sheetId="4" r:id="rId8"/>
    <sheet state="hidden" name="Remates AMZ " sheetId="5" r:id="rId9"/>
    <sheet state="hidden" name="Analisis Reembolso Parcial " sheetId="6" r:id="rId10"/>
    <sheet state="hidden" name="Fórmula" sheetId="7" r:id="rId11"/>
    <sheet state="hidden" name="Fórmula 2" sheetId="8" r:id="rId12"/>
    <sheet state="visible" name="Productos IQ TECH" sheetId="9" r:id="rId13"/>
    <sheet state="visible" name="Copia de EKT" sheetId="10" r:id="rId14"/>
  </sheets>
  <definedNames>
    <definedName name="Óxido_de_cobalto_de_manganeso_y_litio">'Fórmula 2'!$A$21:$A$23</definedName>
    <definedName name="Litio_ferrofosfato">'Fórmula 2'!$A$17:$A$19</definedName>
    <definedName name="Óxido_cobalto_Litio">'Fórmula 2'!$A$9:$A$11</definedName>
    <definedName name="Titanato_de_litio">'Fórmula 2'!$C$9:$C$11</definedName>
    <definedName name="Una_sola_celda">'Fórmula 2'!$K$5:$K$7</definedName>
    <definedName name="Sí">'Fórmula 2'!$A$26:$A$47</definedName>
    <definedName name="Battery_Packaging">'Fórmula 2'!$E$26:$E$37</definedName>
    <definedName name="Polímero_de_litio">'Fórmula 2'!$C$5:$C$7</definedName>
    <definedName name="_18650_">'Fórmula 2'!$A$5:$A$7</definedName>
    <definedName name="Ion_litio">'Fórmula 2'!$A$13:$A$15</definedName>
    <definedName name="Varias_celdas">'Fórmula 2'!$K$9:$K$12</definedName>
    <definedName hidden="1" localSheetId="1" name="_xlnm._FilterDatabase">ML!$A$4:$N$2114</definedName>
    <definedName hidden="1" localSheetId="4" name="_xlnm._FilterDatabase">'Remates AMZ '!$A$4:$K$551</definedName>
    <definedName hidden="1" localSheetId="9" name="_xlnm._FilterDatabase">'Copia de EKT'!$A$1:$AB$143</definedName>
  </definedNames>
  <calcPr/>
</workbook>
</file>

<file path=xl/sharedStrings.xml><?xml version="1.0" encoding="utf-8"?>
<sst xmlns="http://schemas.openxmlformats.org/spreadsheetml/2006/main" count="16705" uniqueCount="5270">
  <si>
    <t>Precio Mínimo</t>
  </si>
  <si>
    <t>MLM1411560745</t>
  </si>
  <si>
    <t>MLM2096725416</t>
  </si>
  <si>
    <t>MLM1945666421</t>
  </si>
  <si>
    <t>MLM1976324961</t>
  </si>
  <si>
    <t>Mercado Libre</t>
  </si>
  <si>
    <t>Retenciónes</t>
  </si>
  <si>
    <t>ID Secuendario</t>
  </si>
  <si>
    <t>ID Principal</t>
  </si>
  <si>
    <t>Producto</t>
  </si>
  <si>
    <t>Precio OFERTA</t>
  </si>
  <si>
    <t>Retención IVA</t>
  </si>
  <si>
    <t>Retención ISR</t>
  </si>
  <si>
    <t>Costo</t>
  </si>
  <si>
    <t>Comision</t>
  </si>
  <si>
    <t>Envio</t>
  </si>
  <si>
    <t xml:space="preserve">Utilidad </t>
  </si>
  <si>
    <t>ROI</t>
  </si>
  <si>
    <t>Ingreso x venta</t>
  </si>
  <si>
    <t>608098925</t>
  </si>
  <si>
    <t>Elevation Training Mask 2.0 Mascara Elevacion Mma Crossfit</t>
  </si>
  <si>
    <t>682638186</t>
  </si>
  <si>
    <t>Faja Chaleco Reductora Para Hombres Gym Sauna Neopreno</t>
  </si>
  <si>
    <t>3679281894</t>
  </si>
  <si>
    <t>2910333802</t>
  </si>
  <si>
    <t>648656572</t>
  </si>
  <si>
    <t>Brazalete Antebrazo Para Celular Giratorio 360 Grados</t>
  </si>
  <si>
    <t>741040525</t>
  </si>
  <si>
    <t>Playera Camiseta Pesas Gym Fisicoculturista Gimnasio</t>
  </si>
  <si>
    <t>612395579</t>
  </si>
  <si>
    <t>Máscara De Entrenamiento Training Mask 3.0 Para Correr Mask</t>
  </si>
  <si>
    <t>832811198</t>
  </si>
  <si>
    <t>Bandas Para Ejercicio De Resistencia De Cadera Yoga Bandas</t>
  </si>
  <si>
    <t>1347125652</t>
  </si>
  <si>
    <t xml:space="preserve">Bocina Xiaomi Mi Compact Bluetooth Speaker 2 Portátil White
</t>
  </si>
  <si>
    <t>663293921</t>
  </si>
  <si>
    <t>Gorro Bufanda Cuello Unisex Invierno Frío Envío Gratis</t>
  </si>
  <si>
    <t>1309775400</t>
  </si>
  <si>
    <t xml:space="preserve">2 Clavija Convertidor Europeo A Americano Adaptador Cargador
</t>
  </si>
  <si>
    <t>659287446</t>
  </si>
  <si>
    <t>Chamarra Táctica Militar Contra Lluvia Campamentos Esdy</t>
  </si>
  <si>
    <t>1661515275</t>
  </si>
  <si>
    <t>Bocina Inteligente Xiaomi Mi Smart Speaker L09g Con Asistente Virtual Google Assistant Blanca 100v/240v</t>
  </si>
  <si>
    <t>921639303</t>
  </si>
  <si>
    <t>Chamarra De Borrega Para Hombre Chaqueta Casual Moda</t>
  </si>
  <si>
    <t>598780987</t>
  </si>
  <si>
    <t>Arnés Para Cuello Lastrado Head Harness Iq Sports</t>
  </si>
  <si>
    <t>960650439</t>
  </si>
  <si>
    <t>Audífonos In-ear Inalámbricos Xiaomi Redmi Airdots 2 Negro</t>
  </si>
  <si>
    <t>937333053</t>
  </si>
  <si>
    <t>Sweater Cuello Alto Moda Hombre Invierno Tortuga Wimbledon</t>
  </si>
  <si>
    <t>1304177930</t>
  </si>
  <si>
    <t>Chamarra Vini Piel De Hombre Slim Fit Estilo Biker Cazadora</t>
  </si>
  <si>
    <t>773727066</t>
  </si>
  <si>
    <t>Trx Training Ligas Bandas De Suspensión Multifuncional Casa</t>
  </si>
  <si>
    <t>673924123</t>
  </si>
  <si>
    <t>Training Mask Mascara Elevación Mma Crossfit 4 Niveles</t>
  </si>
  <si>
    <t>614600530</t>
  </si>
  <si>
    <t>Chaleco Peso Crossfit Lastrado 27 Libras Correr</t>
  </si>
  <si>
    <t>814514678</t>
  </si>
  <si>
    <t>Corrector De Postura De Espalda Con Imanes</t>
  </si>
  <si>
    <t>862256648</t>
  </si>
  <si>
    <t>Falda Deportiva Short Licra Correr Gym Sexy Mujer Fitness</t>
  </si>
  <si>
    <t>832509572</t>
  </si>
  <si>
    <t>Licra Short Para Ciclismo Con Pad Anatómico Y Gel En Piernas</t>
  </si>
  <si>
    <t>619668470</t>
  </si>
  <si>
    <t>4 Polainas 2 Kg Cada Una 8 Kg Lastradas Envío Gratis</t>
  </si>
  <si>
    <t>963461182</t>
  </si>
  <si>
    <t>Control Joystick Razer Wolverine Ultimate Negro</t>
  </si>
  <si>
    <t>1410430551</t>
  </si>
  <si>
    <t>Xiaomi Mi Watch 1.39 Caja De Polímero Reforzado Con Fibra De Vidrio Black, Malla Black De Tpu Xmwtcl02</t>
  </si>
  <si>
    <t>956690848</t>
  </si>
  <si>
    <t>Xiaomi Mi Watch Lite 1.4 Caja Navy Blue, Malla Navy Blue De Tpu Redmiwt02</t>
  </si>
  <si>
    <t>1372361536</t>
  </si>
  <si>
    <t>Audífonos In-ear Inalámbricos Xiaomi Mi Earphones 2 Basic Blanco</t>
  </si>
  <si>
    <t>1330421284</t>
  </si>
  <si>
    <t>Audífonos In-ear Mi True Wireless Earbud Basic S</t>
  </si>
  <si>
    <t>1330452732</t>
  </si>
  <si>
    <t>Apple AirPods Pro - Blanco</t>
  </si>
  <si>
    <t>927019108</t>
  </si>
  <si>
    <t>Aspiradora Trapeadora Robot Xiaomi Mi Robot Vacuum-mop Essential Blanca 100v/240v</t>
  </si>
  <si>
    <t>1375071912</t>
  </si>
  <si>
    <t>Cámara Vigilancia Xiaomi Mi 360° Camera 1080p Vision Nocturn</t>
  </si>
  <si>
    <t>1314430762</t>
  </si>
  <si>
    <t>Audífonos In-ear Inalámbricos Jbl Under Armour Ua Project Rock Black</t>
  </si>
  <si>
    <t>1353124983</t>
  </si>
  <si>
    <t>Funda Silicona Compatible Con iPhone 7/8 X/s Max iPhone 11</t>
  </si>
  <si>
    <t>1372355175</t>
  </si>
  <si>
    <t>1372871257</t>
  </si>
  <si>
    <t>Router Xiaomi Mi 4a Blanco 110v/240v</t>
  </si>
  <si>
    <t>960684889</t>
  </si>
  <si>
    <t>Guantes Venum Boxeo Contender White, Black, Silver, Boxing</t>
  </si>
  <si>
    <t>1383712901</t>
  </si>
  <si>
    <t>Xiaomi Redmi Watch 2 Lite 1.55 Caja Black, Malla Black De Tpu</t>
  </si>
  <si>
    <t>907154652</t>
  </si>
  <si>
    <t>Amazon Echo Studio Con Asistente Virtual Alexa Charcoal 110v/240v</t>
  </si>
  <si>
    <t>938199143</t>
  </si>
  <si>
    <t>Mini Wifi Cámara Full Hd Casa Videocámara De Visión Nocturna</t>
  </si>
  <si>
    <t>666150440</t>
  </si>
  <si>
    <t>Chalecos Con Peso Lastrado 20 Libras Crossfit Correr 2 Pzs</t>
  </si>
  <si>
    <t>582138037</t>
  </si>
  <si>
    <t>Fidget Cube Spinner Antiestres Ansiedad Enfoque Estres</t>
  </si>
  <si>
    <t>1385997177</t>
  </si>
  <si>
    <t>Audífonos In-ear Inalámbricos Bose Soundsport Free Oem-</t>
  </si>
  <si>
    <t>823886475</t>
  </si>
  <si>
    <t>Polainas Tobilleras 2kg Y Chaleco Con Peso Lastrado 20 Lb</t>
  </si>
  <si>
    <t>887037959</t>
  </si>
  <si>
    <t>Laptop Samsung Chromebook 4 11.6' Intel Celeron N4000</t>
  </si>
  <si>
    <t>887097971</t>
  </si>
  <si>
    <t>Laptop Lenovo Chromebook S330 Lenovo 14 Mt 4g 32crm</t>
  </si>
  <si>
    <t>960673272</t>
  </si>
  <si>
    <t>Guantes Venum Boxeo Contender 2.0 8oz / 10oz Boxing Original</t>
  </si>
  <si>
    <t>1358559558</t>
  </si>
  <si>
    <t>iPad Mini Apple Generation 2012 A1432 7.9 16gb Sin Caja</t>
  </si>
  <si>
    <t>1326707103</t>
  </si>
  <si>
    <t>Laptop Hp 14 - Intel Celeron N4020 4gb - 64gb Emmc Wind 10</t>
  </si>
  <si>
    <t>1325920238</t>
  </si>
  <si>
    <t>Roku Streambar 9102eu De Voz 4k Negro Con 1gb De Memoria</t>
  </si>
  <si>
    <t>1364825803</t>
  </si>
  <si>
    <t>Apple AirPods (3ª Generación) Con Caja De Carga Magsafe</t>
  </si>
  <si>
    <t>1325867747</t>
  </si>
  <si>
    <t>Apple Magic Trackpad 2 Panel Óptico Táctil</t>
  </si>
  <si>
    <t>1372374697</t>
  </si>
  <si>
    <t>Audífonos In-ear Gamer Inalámbricos Xiaomi Redmi Airdots 3 Pro Negro Grafito</t>
  </si>
  <si>
    <t>1944780561</t>
  </si>
  <si>
    <t>Audifonos Bluetooth Xiaomi Redmi Buds 3 Ip54 Blancos</t>
  </si>
  <si>
    <t>877495219</t>
  </si>
  <si>
    <t>Laptop Chomebook Hp 11 Procesador Amd A4 4gb Ram 32gb</t>
  </si>
  <si>
    <t>908570482</t>
  </si>
  <si>
    <t>Laptop Lenovo Chromebook Intel Dual Core 4gb 32gb Wifi</t>
  </si>
  <si>
    <t>1367956900</t>
  </si>
  <si>
    <t>Apple Watch Series 6 (gps) - Caja De Aluminio (product)red De 40 Mm - Correa Deportiva (product)red</t>
  </si>
  <si>
    <t>960286366</t>
  </si>
  <si>
    <t>Playera Para Hombre Cuello V Pronunciado Muscle Fit</t>
  </si>
  <si>
    <t>1362959852</t>
  </si>
  <si>
    <t>Apple Watch Series 6 (gps) - Caja De Aluminio (product)red De 44 Mm - Correa Deportiva (product)red</t>
  </si>
  <si>
    <t>1370641518</t>
  </si>
  <si>
    <t>Magsafe Cargador Inalámbrico iPhone 12 12 Pro Max Magnetico</t>
  </si>
  <si>
    <t>1379890846</t>
  </si>
  <si>
    <t>Xiaomi Smartwatch Watch Reloj S1 Active Ocean Blue Llamada</t>
  </si>
  <si>
    <t>1381059438</t>
  </si>
  <si>
    <t>Audífonos Oem AirPods Pro Generación Compatible iPhone Andro</t>
  </si>
  <si>
    <t>1319142008</t>
  </si>
  <si>
    <t>Laptop Samsung Chromebook 4 Os 15.6 Intel N4000 4gb Ram 32</t>
  </si>
  <si>
    <t>1320625599</t>
  </si>
  <si>
    <t>Laptop Samsung Chromebook 4 + 15.6´ Intel N4000 4gb Ram 64g</t>
  </si>
  <si>
    <t>1325868037</t>
  </si>
  <si>
    <t>Apple Watch Series 6 (gps+cellular) - Caja De Aluminio (product)red De 44 Mm - Correa Deportiva (product)red</t>
  </si>
  <si>
    <t>1385992873</t>
  </si>
  <si>
    <t>Laptop Hp Stream 14-cb174wm Brilliant Black 14 , Intel Celeron N4000 4gb De Ram 64gb Ssd, Intel Uhd Graphics 600</t>
  </si>
  <si>
    <t>Clavija</t>
  </si>
  <si>
    <t>1399695510</t>
  </si>
  <si>
    <t>Lampara Amazon Echo Glow Wifi Rgb Compatible Alexa /u</t>
  </si>
  <si>
    <t>1399082547</t>
  </si>
  <si>
    <t>Lentes De Realidad Virtual Oculus Quest 2 64gb 2022 New</t>
  </si>
  <si>
    <t>1325998574</t>
  </si>
  <si>
    <t>Lentes De Realidad Virtual Oculus Quest 2 128gb Nuevo Sellad</t>
  </si>
  <si>
    <t>2792817840</t>
  </si>
  <si>
    <t>Oculus Quest 2 256gb Lentes Realidad Virtual All In One Vr *</t>
  </si>
  <si>
    <t>1379511873</t>
  </si>
  <si>
    <t>Cargador Xiaomi Mi 20w Usb Tipo C Adaptador Carga Rapida Us</t>
  </si>
  <si>
    <t>1314416289</t>
  </si>
  <si>
    <t xml:space="preserve">Cargador APPLE CREAR </t>
  </si>
  <si>
    <t>1400806060</t>
  </si>
  <si>
    <t>Audífonos In-ear Inalámbricos Lenovo Livepods Lp40 Negro</t>
  </si>
  <si>
    <t>1400848064</t>
  </si>
  <si>
    <t>Audífonos in-ear gamer inalámbricos Lenovo XG01 gris con luz LED</t>
  </si>
  <si>
    <t>1401274995</t>
  </si>
  <si>
    <t xml:space="preserve">tablet Amazon Fire HD 10 32GB </t>
  </si>
  <si>
    <t>1401318947</t>
  </si>
  <si>
    <t>tablet Amazon Fire HD 10 2021 KFTRWI 10.1" 32GB olive</t>
  </si>
  <si>
    <t>1401343631</t>
  </si>
  <si>
    <t>tablet Amazon Fire HD 10 2021 KFTRWI 10.1" 32GB pink</t>
  </si>
  <si>
    <t>1401343734</t>
  </si>
  <si>
    <t>tablet Amazon Fire HD 10 2021 KFTRWI 10.1" 32GB</t>
  </si>
  <si>
    <t>1404241750</t>
  </si>
  <si>
    <t>Smartwatch Fitbit Sense 1.59 Caja De Aluminio Anodizado Graphite Stainless Steel, Malla Carbon De Elastómero Y Aluminio Anodizado Fb512</t>
  </si>
  <si>
    <t>1404254755</t>
  </si>
  <si>
    <t>Audífonos gamer inalámbricos HyperX Cloud Flight S shadow gray</t>
  </si>
  <si>
    <t>1404918760</t>
  </si>
  <si>
    <t>Adaptador De Corriente Clavija Universal Internacional Viaje</t>
  </si>
  <si>
    <t>1404952116</t>
  </si>
  <si>
    <t>Tv Stick Xiaomi Mi 4k Con Chromecast Integrado Para Android</t>
  </si>
  <si>
    <t>Audífonos in-ear gamer inalámbricos Xiaomi Redmi AirDots 3 Pro negro grafito</t>
  </si>
  <si>
    <t>Lenovo He05x Audífonos Blutetooth Deportivos Ipx5 Micrófono</t>
  </si>
  <si>
    <t>962408543</t>
  </si>
  <si>
    <t>Amazon Alexa Echo-auto Auto Inteligente Nuevo Asistente</t>
  </si>
  <si>
    <t>1416232026</t>
  </si>
  <si>
    <t>Haylou GT7</t>
  </si>
  <si>
    <t>2114085232</t>
  </si>
  <si>
    <t>Buds 3 lite</t>
  </si>
  <si>
    <t>HP-14-CB174WM NEGRO</t>
  </si>
  <si>
    <t>1416256466</t>
  </si>
  <si>
    <t xml:space="preserve">Alexa 4 hub </t>
  </si>
  <si>
    <t>5457683929</t>
  </si>
  <si>
    <t>Clavija x2</t>
  </si>
  <si>
    <t>905167527</t>
  </si>
  <si>
    <t>Laptop Acer 315 Chromebook 15.6 Celeron 4gb Ram 32gb</t>
  </si>
  <si>
    <t>963489127</t>
  </si>
  <si>
    <t>Laptop Hp 14´´hd Chromebook Celeron 4gb Ram 32gb N3350 Intel</t>
  </si>
  <si>
    <t>1419045776</t>
  </si>
  <si>
    <t>Mi band 6</t>
  </si>
  <si>
    <t>958290599</t>
  </si>
  <si>
    <t xml:space="preserve">Tv stick Xiaomi </t>
  </si>
  <si>
    <t>1422756437</t>
  </si>
  <si>
    <t>1422781291</t>
  </si>
  <si>
    <t>Router 4C</t>
  </si>
  <si>
    <t>935940277</t>
  </si>
  <si>
    <t>Mop 1c</t>
  </si>
  <si>
    <t>749231567</t>
  </si>
  <si>
    <t>Pijama</t>
  </si>
  <si>
    <t>1411560745</t>
  </si>
  <si>
    <t xml:space="preserve">Mi portable Speaker </t>
  </si>
  <si>
    <t>963531986</t>
  </si>
  <si>
    <t>Amazon Echo Show 2nd Gen Con Asistente Virtual Alexa,</t>
  </si>
  <si>
    <t>922044242</t>
  </si>
  <si>
    <t>Mi body scale composition 2</t>
  </si>
  <si>
    <t>1427690876</t>
  </si>
  <si>
    <t>Apple Tv Hd A1625 4.ª Generación 2015 De Voz Full Hd 32gb Negro Con 2gb De Memoria Ram</t>
  </si>
  <si>
    <t>963471462</t>
  </si>
  <si>
    <t>Kishi Apple Razer</t>
  </si>
  <si>
    <t>1414379112</t>
  </si>
  <si>
    <t>Magic Keyboard</t>
  </si>
  <si>
    <t>1431657207</t>
  </si>
  <si>
    <t>Teclado Cyrosa V2</t>
  </si>
  <si>
    <t>1431638729</t>
  </si>
  <si>
    <t>Audifono Blackshark V2</t>
  </si>
  <si>
    <t>1431594634</t>
  </si>
  <si>
    <t>Teclado Ornata V2</t>
  </si>
  <si>
    <t>1431638885</t>
  </si>
  <si>
    <t>Microfono Seiren</t>
  </si>
  <si>
    <t>1431626038</t>
  </si>
  <si>
    <t xml:space="preserve">Audifono Kraken Xlite </t>
  </si>
  <si>
    <t>1452913106</t>
  </si>
  <si>
    <t>Apple Earpods Con Conector De 3.5 Mm - Blanco</t>
  </si>
  <si>
    <t>598983030</t>
  </si>
  <si>
    <t>Cinturón Lastre Con Cadena Para Aumentar Peso Fondos</t>
  </si>
  <si>
    <t>Activa</t>
  </si>
  <si>
    <t>1448503049</t>
  </si>
  <si>
    <t>NINTENDO SWITCH MARIO KART</t>
  </si>
  <si>
    <t>1449013821</t>
  </si>
  <si>
    <t xml:space="preserve">XBOX RAZER ULTIMATE CONTROL RB </t>
  </si>
  <si>
    <t>1357797423</t>
  </si>
  <si>
    <t>XBOX RAZER WOLVERINE v2</t>
  </si>
  <si>
    <t>1434830609</t>
  </si>
  <si>
    <t>Buds 3 blancos</t>
  </si>
  <si>
    <t>1452375271</t>
  </si>
  <si>
    <t>Buds 3 pro gris</t>
  </si>
  <si>
    <t>Buds 3 pro negro</t>
  </si>
  <si>
    <t>1313736079</t>
  </si>
  <si>
    <t>Audifonos Gamer Rojos</t>
  </si>
  <si>
    <t>1341383819</t>
  </si>
  <si>
    <t>Mi Box S</t>
  </si>
  <si>
    <t>1462576809</t>
  </si>
  <si>
    <t>Camara 360 pro</t>
  </si>
  <si>
    <t>1333236972</t>
  </si>
  <si>
    <t>Kindle</t>
  </si>
  <si>
    <t>1449889675</t>
  </si>
  <si>
    <t>Reloj Inteligente Xiaomi Watch S1 Active Blanco</t>
  </si>
  <si>
    <t>1444819262</t>
  </si>
  <si>
    <t>Mi watch Lite 2</t>
  </si>
  <si>
    <t>1465050910</t>
  </si>
  <si>
    <t xml:space="preserve"> Xiaomi Mi Portable Bluetooth Speaker XMYX04WM portátil gris</t>
  </si>
  <si>
    <t>Bascula Body</t>
  </si>
  <si>
    <t>2008534874</t>
  </si>
  <si>
    <t>Basic airdots</t>
  </si>
  <si>
    <t>1389637254</t>
  </si>
  <si>
    <t>Mop 2 lite</t>
  </si>
  <si>
    <t>1746597947</t>
  </si>
  <si>
    <t>"Mi Dual Mode Wireless Mouse
Silent Edition (White) -"</t>
  </si>
  <si>
    <t>1469129117</t>
  </si>
  <si>
    <t>"Mi Smart LED Bulb Essential (White
and Color) -
"</t>
  </si>
  <si>
    <t>1381148412</t>
  </si>
  <si>
    <t xml:space="preserve">Mop 2 </t>
  </si>
  <si>
    <t>1457759813</t>
  </si>
  <si>
    <t>In ear Xiaomi</t>
  </si>
  <si>
    <t>1347103446</t>
  </si>
  <si>
    <t>Amazon Echo Dot 4th Gen Kids Con Asistente Virtual Alexa Tiger 110v/240v</t>
  </si>
  <si>
    <t>2415557802</t>
  </si>
  <si>
    <t>Audífonos In-ear Gamer Inalámbricos Razer Hammerhead True Wireless X Negro Con Luz Verde Led</t>
  </si>
  <si>
    <t>1469130454</t>
  </si>
  <si>
    <t>Bombilla Foco Inteligente Xiaomi Mi Smart Led Bulb Essential</t>
  </si>
  <si>
    <t>1491478157</t>
  </si>
  <si>
    <t xml:space="preserve"> Samsung Galaxy Tab A8</t>
  </si>
  <si>
    <t>853333214</t>
  </si>
  <si>
    <t>Pantalla Inteligente Hd Echo Show 8 Pulgadas Con Alexa</t>
  </si>
  <si>
    <t>1460313352</t>
  </si>
  <si>
    <t>Mercury Razer</t>
  </si>
  <si>
    <t>1507927234</t>
  </si>
  <si>
    <t>Bomba Xiaomi</t>
  </si>
  <si>
    <t>1507717190</t>
  </si>
  <si>
    <t>Xiaomi Redmi Smart Band Pro 1.47 Caja De Nailon Reforzado Con Fibra De Vidrio Negra, Malla Negra De Tpu</t>
  </si>
  <si>
    <t>1511533958</t>
  </si>
  <si>
    <t>Razer Blackshark V 2 X GREEN</t>
  </si>
  <si>
    <t>963470611</t>
  </si>
  <si>
    <t>Control Joystick Razer Kishi For Android Negro</t>
  </si>
  <si>
    <t>1517585145</t>
  </si>
  <si>
    <t>Audífonos gamer Razer Kraken razer green</t>
  </si>
  <si>
    <t>Razer BlackShark V2 X Wired Gaming Headset Green</t>
  </si>
  <si>
    <t>1520394842</t>
  </si>
  <si>
    <t>Tenis Hombre</t>
  </si>
  <si>
    <t>1527721380</t>
  </si>
  <si>
    <t>Apple EarPods con conector Lightning - Blanco</t>
  </si>
  <si>
    <t>1519079311</t>
  </si>
  <si>
    <t>1568055992</t>
  </si>
  <si>
    <t>Xiaomi Mi Watch Lite 1.4" caja ivory, malla ivory de tpu REDMIWT02</t>
  </si>
  <si>
    <t>1577441101</t>
  </si>
  <si>
    <t>Access Point, Range Extender Xiaomi Mi Ra75 Negro 100v/240v</t>
  </si>
  <si>
    <t>1591395451</t>
  </si>
  <si>
    <t>Cámara Instantánea Fujifilm Instax Mini 11 Blush Pink</t>
  </si>
  <si>
    <t>1605410781</t>
  </si>
  <si>
    <t>Freidora de Aire</t>
  </si>
  <si>
    <t>1425577785</t>
  </si>
  <si>
    <t>Xiaomi Mi Watch 1.39 Caja De Polímero Reforzado Con Fibra De Vidrio Beige, Malla Beige De Tpu Xmwtcl02</t>
  </si>
  <si>
    <t>962415268</t>
  </si>
  <si>
    <t>Roku Streaming Stick+ 3810 De Voz 4k 1gb Negro Con 1gb De Memoria Ram</t>
  </si>
  <si>
    <t>1436264880</t>
  </si>
  <si>
    <t>Buds 3 lite Blancos</t>
  </si>
  <si>
    <t>1499418618</t>
  </si>
  <si>
    <t>Bocina Xiaomi Mi Portable Bluetooth Speaker (16w) Mdz-36-db Portátil Negra</t>
  </si>
  <si>
    <t>1658718907</t>
  </si>
  <si>
    <t>Camara Canon</t>
  </si>
  <si>
    <t>1588455238</t>
  </si>
  <si>
    <t>Proyector Xiaomi</t>
  </si>
  <si>
    <t>1916963395</t>
  </si>
  <si>
    <t>1465089959</t>
  </si>
  <si>
    <t>Xiaomi Inflador De Neumáticos 1s Compresor Bomba Portátil</t>
  </si>
  <si>
    <t>1411578605</t>
  </si>
  <si>
    <t>Xiaomi Mi Computer Monitor Light Bar Negro</t>
  </si>
  <si>
    <t>1689035299</t>
  </si>
  <si>
    <t>Mouse de juego Razer DeathAdder V2 Mini negro
(133)</t>
  </si>
  <si>
    <t>LP40 Negros</t>
  </si>
  <si>
    <t>1704815323</t>
  </si>
  <si>
    <t>LP40 BLANCO</t>
  </si>
  <si>
    <t>1702246772</t>
  </si>
  <si>
    <t>1483039446</t>
  </si>
  <si>
    <t>Scale Bascula</t>
  </si>
  <si>
    <t>1761178016</t>
  </si>
  <si>
    <t>Audífonos In-ear Gamer Inalámbricos Nothing Ear (stick) Blanco</t>
  </si>
  <si>
    <t>1383373002</t>
  </si>
  <si>
    <t>Repetidor</t>
  </si>
  <si>
    <t>1761781592</t>
  </si>
  <si>
    <t>Xiaomi Smart Band 7 Pro 1.64 Caja Blanca, Malla Blanca De Silicona</t>
  </si>
  <si>
    <t>1996701733</t>
  </si>
  <si>
    <t>Band7 pro negro</t>
  </si>
  <si>
    <t>1781857829</t>
  </si>
  <si>
    <t>Mouse De Juego Razer Mamba Elite Negro</t>
  </si>
  <si>
    <t>1781832007</t>
  </si>
  <si>
    <t>Mouse for computer Naga X</t>
  </si>
  <si>
    <t>1776000793</t>
  </si>
  <si>
    <t xml:space="preserve">Jbl Quantum 400 Black </t>
  </si>
  <si>
    <t>1761204214</t>
  </si>
  <si>
    <t>Onyx 7</t>
  </si>
  <si>
    <t>1776039912</t>
  </si>
  <si>
    <t>Bocina Link JBL</t>
  </si>
  <si>
    <t>1778542904</t>
  </si>
  <si>
    <t>Mario Kart Luigi</t>
  </si>
  <si>
    <t>1812586486</t>
  </si>
  <si>
    <t>Auriculares Inalámbricos Tws/realme Buds Air 3 Neo Azul/blan</t>
  </si>
  <si>
    <t>1814883443</t>
  </si>
  <si>
    <t>Audífonos In-ear Gamer Inalámbricos Realme Buds Air 3 Azul Constelación</t>
  </si>
  <si>
    <t>1812364611</t>
  </si>
  <si>
    <t>Mouse De Juego Recargable Razer Viper Ultimate With Charging Dock Black</t>
  </si>
  <si>
    <t>1805916313</t>
  </si>
  <si>
    <t>Audífonos Gamer Razer Blackshark V2 X Classic Black</t>
  </si>
  <si>
    <t>1797006261</t>
  </si>
  <si>
    <t>1831708428</t>
  </si>
  <si>
    <t xml:space="preserve">Razer Hammerhead TWS </t>
  </si>
  <si>
    <t>1797029091</t>
  </si>
  <si>
    <t>Keurig K-mini Coffeefeer Brewer Single Sirve K-cup Pod Coffe</t>
  </si>
  <si>
    <t>1932708965</t>
  </si>
  <si>
    <t>Realme Watch 3 Reloj Inteligente Deportivo 1.8 Llamadas Ip68</t>
  </si>
  <si>
    <t>1791408737</t>
  </si>
  <si>
    <t>Audífonos Gamer Razer Barracuda X Multiplataforma Quartz</t>
  </si>
  <si>
    <t xml:space="preserve">Realme buds 3 air </t>
  </si>
  <si>
    <t>2245145374</t>
  </si>
  <si>
    <t>Xiaomi Scooter Electrico Electric Scooter 3 Lite (black)</t>
  </si>
  <si>
    <t>1913445020</t>
  </si>
  <si>
    <t>Audífonos Gamer Razer Blackshark V2 X Multiplataforma Blanco</t>
  </si>
  <si>
    <t>1767268206</t>
  </si>
  <si>
    <t>Mouse De Juego Razer Basilisk V2 Negro</t>
  </si>
  <si>
    <t>1771845944</t>
  </si>
  <si>
    <t xml:space="preserve">65W Cargador Xiomi </t>
  </si>
  <si>
    <t>1905959786</t>
  </si>
  <si>
    <t>Audífonos Jbl Live 460nc Bluetooth Cancelación De Ruido Negr Color Negro</t>
  </si>
  <si>
    <t>1906133642</t>
  </si>
  <si>
    <t>Audífonos In-ear Inalámbricos Skullcandy Indy Deep Red</t>
  </si>
  <si>
    <t>1910111546</t>
  </si>
  <si>
    <t>Audífonos In-ear Inalámbricos Skullcandy Indy Black</t>
  </si>
  <si>
    <t>1974789417</t>
  </si>
  <si>
    <t>2019878109</t>
  </si>
  <si>
    <t>1865034079</t>
  </si>
  <si>
    <t>JBL pULSE 4</t>
  </si>
  <si>
    <t>1893941556</t>
  </si>
  <si>
    <t>Audífonos Gamer Razer Blackshark V2 Courage Jd Gammer Edit</t>
  </si>
  <si>
    <t>1946502950</t>
  </si>
  <si>
    <t>Teclado Gamer Razer Blackwidow V3 Qwerty Razer Yellow Inglés Us Color Negro Con Luz Rgb</t>
  </si>
  <si>
    <t>1946515340</t>
  </si>
  <si>
    <t>Mouse Pad Gamer Razer Chroma Goliathus De Goma Y Tela Extended 294mm X 920mm X 3mm Quart</t>
  </si>
  <si>
    <t>1931568805</t>
  </si>
  <si>
    <t xml:space="preserve">JBL Tune 230 NC Negro
</t>
  </si>
  <si>
    <t>1867247995</t>
  </si>
  <si>
    <t>Audífonos in-ear inalámbricos JBL Tune 115TWS black</t>
  </si>
  <si>
    <t>1961802374</t>
  </si>
  <si>
    <t>Audífonos Inalámbricos Xiaomi Redmi Buds Essential</t>
  </si>
  <si>
    <t>2945858084</t>
  </si>
  <si>
    <t>1962000830</t>
  </si>
  <si>
    <t>Foco Inteligente Xiaomi Mi Smart Led Bulb Warm White 8w Color De La Luz Blanco Cálido</t>
  </si>
  <si>
    <t>1793519483</t>
  </si>
  <si>
    <t>Foco Inteligente Led Sengled Wifi Alexa Google Assistant</t>
  </si>
  <si>
    <t>1775969680</t>
  </si>
  <si>
    <t>Bocina Jbl Xtreme 3 Portátil Con Bluetooth Waterproof Bl</t>
  </si>
  <si>
    <t>1969137588</t>
  </si>
  <si>
    <t>Mouse De Juego Logitech G Series G502x G502 Negro</t>
  </si>
  <si>
    <t>1676183763</t>
  </si>
  <si>
    <t>Batería Externa Carga Rápida Xiaomi 10 000mah 18w Powerbank</t>
  </si>
  <si>
    <t>1730442257</t>
  </si>
  <si>
    <t>Xiaomi Banco De Energía Redmi De 20000 Mah, Carga Rápida</t>
  </si>
  <si>
    <t>1870032771</t>
  </si>
  <si>
    <t>Audífonos Motorola Motobuds 085 Sh024 Negro</t>
  </si>
  <si>
    <t>1503837758</t>
  </si>
  <si>
    <t xml:space="preserve">Mistery Box </t>
  </si>
  <si>
    <t>1492449987</t>
  </si>
  <si>
    <t>Xiaomi Redmi Watch 2 Lite 1.55 Caja Ivory, Malla Ivory De Tpu</t>
  </si>
  <si>
    <t>2536769782</t>
  </si>
  <si>
    <t xml:space="preserve">Scooter Essential </t>
  </si>
  <si>
    <t>1961998800</t>
  </si>
  <si>
    <t>Samsung Smartag</t>
  </si>
  <si>
    <t>1870809391</t>
  </si>
  <si>
    <t>Basic 2</t>
  </si>
  <si>
    <t>1866763225</t>
  </si>
  <si>
    <t>Buds t100</t>
  </si>
  <si>
    <t>1935443597</t>
  </si>
  <si>
    <t>Realme Buds Q2s Color Negro Audifonos Inalámbricos</t>
  </si>
  <si>
    <t>1858420839</t>
  </si>
  <si>
    <t>Mouse Logitech Lift Inalámbrico</t>
  </si>
  <si>
    <t>1866874490</t>
  </si>
  <si>
    <t>Audífonos Gamer Inalámbricos Razer Barracuda X Negro</t>
  </si>
  <si>
    <t>1870783627</t>
  </si>
  <si>
    <t>Purificador 3c</t>
  </si>
  <si>
    <t>1975176106</t>
  </si>
  <si>
    <t>Audífonos In-ear Inalámbricos Jbl Tune 130nc Tws Blanco</t>
  </si>
  <si>
    <t>1870039989</t>
  </si>
  <si>
    <t>Cargador Inalámbrico Xiaomi Mi 20w Wireless Charging Stand Color Negro</t>
  </si>
  <si>
    <t>1881940423</t>
  </si>
  <si>
    <t>Auriculares Bluetooth Xiaomi Redmi Buds4 Pro Negro 2023 New</t>
  </si>
  <si>
    <t>1883445445</t>
  </si>
  <si>
    <t>Razer DeathAdder Essential negro</t>
  </si>
  <si>
    <t>1883423883</t>
  </si>
  <si>
    <t>2096714592</t>
  </si>
  <si>
    <t>Mouse Pad gamer Razer Gigantus V2 de tela y goma m 275mm x 360mm x 3mm negro</t>
  </si>
  <si>
    <t>2096694512</t>
  </si>
  <si>
    <t>Razer Ornata V3 - Teclado Gamer Low Profile Us</t>
  </si>
  <si>
    <t>1881978121</t>
  </si>
  <si>
    <t>Jbl ® Vibe 200 True Audífonos Inalámbricos Estuche Carga Ev</t>
  </si>
  <si>
    <t>2124195414</t>
  </si>
  <si>
    <t>Audífonos In-ear Gamer Inalámbricos Xiaomi Redmi Buds 4 Pro M2132e1 Midnight Black</t>
  </si>
  <si>
    <t>2096705110</t>
  </si>
  <si>
    <t>RC21-01790100-R3M1</t>
  </si>
  <si>
    <t>1883422255</t>
  </si>
  <si>
    <t>Audifonos Gamer Razer Kaira X Chroma Rgb Pc Mac Xbox Moviles</t>
  </si>
  <si>
    <t>1884157005</t>
  </si>
  <si>
    <t>Altavoces Razer Nommo Chroma 2.0 30w Rms Usb Para Pc Negro</t>
  </si>
  <si>
    <t>1877978513</t>
  </si>
  <si>
    <t>Audifonos Jbl - Tune 230nc True Wireless Noise Blanco 2023</t>
  </si>
  <si>
    <t>2148772954</t>
  </si>
  <si>
    <t>Audífonos In-ear Inalámbricos Jbl Tune 115bt Gris</t>
  </si>
  <si>
    <t>1889208663</t>
  </si>
  <si>
    <t>Audífonos Inalámbricos Jbl Tune 500 Jblt500bt X 1 Unidades Blanc</t>
  </si>
  <si>
    <t>2178895908</t>
  </si>
  <si>
    <t>Audífonos In-ear Gamer Inalámbricos Xiaomi Redmi Buds 4 Pro M2132e1 Moon White</t>
  </si>
  <si>
    <t>1885197083</t>
  </si>
  <si>
    <t>Control Joystick Razer Kishi Android (xbox) Negro</t>
  </si>
  <si>
    <t>1876189807</t>
  </si>
  <si>
    <t>Razer Barracuda X Wireless White Multi-platform Audifonos</t>
  </si>
  <si>
    <t>2114374210</t>
  </si>
  <si>
    <t>Control Joystick Razer Kishi For iPhone Negro</t>
  </si>
  <si>
    <t>1892853577</t>
  </si>
  <si>
    <t>tEClado gamer Razer BlackWidow V3 QWERTY Green español España color negro con luz RGB</t>
  </si>
  <si>
    <t>2167103674</t>
  </si>
  <si>
    <t xml:space="preserve">Kishi V2 Apple </t>
  </si>
  <si>
    <t>1892874751</t>
  </si>
  <si>
    <t>Mi watch S1 Negro</t>
  </si>
  <si>
    <t>1892888481</t>
  </si>
  <si>
    <t>Cargador Samsung Fast 3.0 Tipo- C A C 45w Galaxy S22 1.8m Color Neg</t>
  </si>
  <si>
    <t>Cargador De Pared Xiaomi Mi 65w De Carga Rápida Con Gan Tech</t>
  </si>
  <si>
    <t>2184503356</t>
  </si>
  <si>
    <t>Audífonos Jbl Tune 500 Jblt500 Blanco</t>
  </si>
  <si>
    <t>2185106546</t>
  </si>
  <si>
    <t>RZ03-03610700-R311</t>
  </si>
  <si>
    <t>2185121484</t>
  </si>
  <si>
    <t>RZ03-03390300-R3M1</t>
  </si>
  <si>
    <t>2185146744</t>
  </si>
  <si>
    <t>RZ03-03390400-R3M1</t>
  </si>
  <si>
    <t>2194991506</t>
  </si>
  <si>
    <t>Galaxy Watch4 (Bluetooth) 1.2" caja 40mm de aluminio pink gold, malla pink gold de fluoroelastómero SM-R860</t>
  </si>
  <si>
    <t>2202598354</t>
  </si>
  <si>
    <t>HyperX Cloud Earbuds</t>
  </si>
  <si>
    <t>1975165610</t>
  </si>
  <si>
    <t>Audífonos In-ear Inalámbricos Jbl Tune 130nc Tws Negro</t>
  </si>
  <si>
    <t>1897292327</t>
  </si>
  <si>
    <t>Kraken Negros</t>
  </si>
  <si>
    <t>2096725416</t>
  </si>
  <si>
    <t>Razer DeathAdder Essential Blanco</t>
  </si>
  <si>
    <t>2680599796</t>
  </si>
  <si>
    <t>RZ04-03230200-R3M1</t>
  </si>
  <si>
    <t>1897271233</t>
  </si>
  <si>
    <t xml:space="preserve">Buds 4 Lite Blanco </t>
  </si>
  <si>
    <t>2220141102</t>
  </si>
  <si>
    <t>Buds 4 Lite Negro</t>
  </si>
  <si>
    <t>1898237461</t>
  </si>
  <si>
    <t>RC21-01490100-R3M1</t>
  </si>
  <si>
    <t>RC21-01490400-R3M1</t>
  </si>
  <si>
    <t>RZ06-04190100-R3U1</t>
  </si>
  <si>
    <t>RZ02-03330300-R3U1</t>
  </si>
  <si>
    <t>1898264849</t>
  </si>
  <si>
    <t>RZ02-02500100-R3U1</t>
  </si>
  <si>
    <t>RZ03-03390500-R3U1</t>
  </si>
  <si>
    <t>RZ03-04681900-R3U1</t>
  </si>
  <si>
    <t>RZ03-04680200-R3U1</t>
  </si>
  <si>
    <t>1898278675</t>
  </si>
  <si>
    <t>Lenovo</t>
  </si>
  <si>
    <t>1901485577</t>
  </si>
  <si>
    <t>Mi Smart Band 2</t>
  </si>
  <si>
    <t>2245087066</t>
  </si>
  <si>
    <t>Realme Q2S</t>
  </si>
  <si>
    <t>2245476378</t>
  </si>
  <si>
    <t>Control Joystick Razer Kishi V2 Negro</t>
  </si>
  <si>
    <t>1920679257</t>
  </si>
  <si>
    <t>Audifonos Inalámbricos Jbl Tune 230nc Tws Cancelacion Ruido Color Blanco</t>
  </si>
  <si>
    <t>2254334730</t>
  </si>
  <si>
    <t>Bocina Jbl Partybox Encore Essential Portátil Con Bluetooth Waterproof Negra 100v/240v</t>
  </si>
  <si>
    <t>1905277963</t>
  </si>
  <si>
    <t>JBL Go3</t>
  </si>
  <si>
    <t>1904823231</t>
  </si>
  <si>
    <t>Audífonos In-ear Inalámbricos Jbl Tune 120tws Jblt120tws Green</t>
  </si>
  <si>
    <t>2202863930</t>
  </si>
  <si>
    <t>Mi True Wireless Earphones 2S</t>
  </si>
  <si>
    <t>1920268681</t>
  </si>
  <si>
    <t>Mi Air Purifier 3C EU</t>
  </si>
  <si>
    <t>1367104636</t>
  </si>
  <si>
    <t>Mi Robot Vacuum-Mop P (Black)</t>
  </si>
  <si>
    <t>2194827462</t>
  </si>
  <si>
    <t xml:space="preserve">Mop 2 Lite </t>
  </si>
  <si>
    <t>1788445850</t>
  </si>
  <si>
    <t>Micrófono Razer Seiren Seiren Mini Condensador Supercardioide Blanco Mercurio</t>
  </si>
  <si>
    <t>1892950781</t>
  </si>
  <si>
    <t>Xiaomi Taladro Inalámbrico Sin Escobillas De 12 V Máximo</t>
  </si>
  <si>
    <t>2257226954</t>
  </si>
  <si>
    <t>Cargador De Auto Motorola Turbo Power De 45w Duo Usb/tipo C</t>
  </si>
  <si>
    <t>1904856459</t>
  </si>
  <si>
    <t>Cargador Samsung Ep-t4510 Usb-c De Pared Con Cable Carga Super Rápida Negro</t>
  </si>
  <si>
    <t>1917348503</t>
  </si>
  <si>
    <t>1917360677</t>
  </si>
  <si>
    <t xml:space="preserve">Xiaomi Redmi Watch 3 Sport 1.75" caja de abs negra, malla negra de tpu y bisel de dlc
</t>
  </si>
  <si>
    <t>2279524744</t>
  </si>
  <si>
    <t>Dron 3 pro</t>
  </si>
  <si>
    <t>3311444570</t>
  </si>
  <si>
    <t>3311431940</t>
  </si>
  <si>
    <t>1908475089</t>
  </si>
  <si>
    <t>Scooter Electrico Xiaomi Original Mi Electric Scooter 3</t>
  </si>
  <si>
    <t>2739357000</t>
  </si>
  <si>
    <t>Audífonos In-ear Gamer Jbl Endurance Run Black</t>
  </si>
  <si>
    <t>18446996</t>
  </si>
  <si>
    <t xml:space="preserve">Audífono in-ear gamer inalámbrico Xiaomi Redmi AirDots 3 Pro </t>
  </si>
  <si>
    <t>Audífono In-ear Gamer Inalámbrico Xiaomi Redmi Airdots 3 Pro Twsej01zm Negro Grafito Con Luz Led</t>
  </si>
  <si>
    <t>2243609048</t>
  </si>
  <si>
    <t>Cámara De Seguridad Xiaomi Mi 360° Home Security Camera 2k Con Resolución De 3mp Visión Nocturna Incluida Blan</t>
  </si>
  <si>
    <t>1910099287</t>
  </si>
  <si>
    <t>Audífonos Inalámbricos Jbl Tune 760nc Black</t>
  </si>
  <si>
    <t>1467243550</t>
  </si>
  <si>
    <t>Smartwatch Xiaomi S1 Active M2116w1 - Negro (space Black)</t>
  </si>
  <si>
    <t>1908410319</t>
  </si>
  <si>
    <t>Xiaomi Mi Air Purifier 3h Purificador De Aire Hepa 360*</t>
  </si>
  <si>
    <t>2225950910</t>
  </si>
  <si>
    <t>Mouse Pad Gamer Razer Gigantus V2 De Tela Y Goma L 400</t>
  </si>
  <si>
    <t>1909081789</t>
  </si>
  <si>
    <t>Cámara Web Logitech C505 Hd 30fps Color Negro</t>
  </si>
  <si>
    <t>1349348356</t>
  </si>
  <si>
    <t>Aspiradora Trapeadora Robot Xiaomi Mi Robot Vacuum-mop P Negra 100v/240v</t>
  </si>
  <si>
    <t>1909068641</t>
  </si>
  <si>
    <t>Audífonos Gamer Jbl Quantum 200 Negro</t>
  </si>
  <si>
    <t>2284922580</t>
  </si>
  <si>
    <t>Altavoz De Manubrio Jbl Wind 3 Bluetooth 5w Rms Radio Fm</t>
  </si>
  <si>
    <t>1909055425</t>
  </si>
  <si>
    <t>Audífonos Inalámbricos Jbl Vibe Beam Bluetooth, Verde.</t>
  </si>
  <si>
    <t>1909057339</t>
  </si>
  <si>
    <t>Home Theater Jbl 2.1 Barra De Sonido Y Subwoofer Cinema</t>
  </si>
  <si>
    <t>2275437380</t>
  </si>
  <si>
    <t>2185074426</t>
  </si>
  <si>
    <t>Jbl Vibe Beam Audífonos Inalámbricos 32 Hrs Resistente Agua</t>
  </si>
  <si>
    <t>1913053449</t>
  </si>
  <si>
    <t>1933515175</t>
  </si>
  <si>
    <t>Xiaomi Scooter Electric Scooter 4 Pro 2023 Patin Electrico</t>
  </si>
  <si>
    <t>3032369338</t>
  </si>
  <si>
    <t>Scooter Electrico Xiaomi Electric Scooter 4 Lite 2nd Gen</t>
  </si>
  <si>
    <t>2324174244</t>
  </si>
  <si>
    <t>Audífonos Inalámbricos Jbl Vibe Beam Bluetooth, Verde. Color Verde Color De La Luz Verde</t>
  </si>
  <si>
    <t>2324769046</t>
  </si>
  <si>
    <t>Reloj Inteligente Smartwatch Xiaomi Watch S1 (Silver)</t>
  </si>
  <si>
    <t>1910056979</t>
  </si>
  <si>
    <t>Xiaomi Watch S1 Active 1</t>
  </si>
  <si>
    <t>1912583603</t>
  </si>
  <si>
    <t>Audifonos Jbl Tune 125tws Bluetooth Fast Pair 32 Horas True Wireless Rosa</t>
  </si>
  <si>
    <t>1917402725</t>
  </si>
  <si>
    <t>Asus Rog Ally 7 Amd Ryzen Z1 Extreme 16gb 512gb Blanco Color Blanco</t>
  </si>
  <si>
    <t>20540657</t>
  </si>
  <si>
    <t xml:space="preserve"> Audifonos Inalambricos Quietcomfort 45</t>
  </si>
  <si>
    <t>2346553810</t>
  </si>
  <si>
    <t>Xiaomi Mi Air Purifier Pro Blanco Color Blanco</t>
  </si>
  <si>
    <t>2356499580</t>
  </si>
  <si>
    <t>Kit De Destornilladores De Precisión Eléctricos Xiaomi Mijia</t>
  </si>
  <si>
    <t>2342735596</t>
  </si>
  <si>
    <t>Mi Band 8</t>
  </si>
  <si>
    <t>2356540646</t>
  </si>
  <si>
    <t>Xiaomi Mi Smart Clock Reloj Despertador Con Google Assistant Color Blanco</t>
  </si>
  <si>
    <t>1779982399</t>
  </si>
  <si>
    <t>2334497882</t>
  </si>
  <si>
    <t>Audífonos In-ear Inalámbricos Jbl Tune 125tws Azul</t>
  </si>
  <si>
    <t>1892874029</t>
  </si>
  <si>
    <t>Buds 4 blncos</t>
  </si>
  <si>
    <t>1919724337</t>
  </si>
  <si>
    <t>Bose Audifonos Inalambricos Quietcomfort 45</t>
  </si>
  <si>
    <t>1919780865 1945055609</t>
  </si>
  <si>
    <t>Audifonos Bose Quietcomfort Noise Cancelling Earbuds Ii</t>
  </si>
  <si>
    <t>1976412825</t>
  </si>
  <si>
    <t>2341441698</t>
  </si>
  <si>
    <t>Bocina Bose Soundlink Mini Ii Portátil Con Bluetooth Carbón</t>
  </si>
  <si>
    <t>1902311725</t>
  </si>
  <si>
    <t>jbl 230 blanco</t>
  </si>
  <si>
    <t>2388633890</t>
  </si>
  <si>
    <t>1927540673</t>
  </si>
  <si>
    <t>Quantum 100</t>
  </si>
  <si>
    <t>2385804044</t>
  </si>
  <si>
    <t>Cámara De Seguridad Xiaomi Mi Wireless Outdoor 1080p</t>
  </si>
  <si>
    <t>2402769884</t>
  </si>
  <si>
    <t xml:space="preserve">Beam Blancos </t>
  </si>
  <si>
    <t>1929732273</t>
  </si>
  <si>
    <t>Audífonos In-ear Inalámbricos Jbl Tune 215tws Jblt215tws Negr</t>
  </si>
  <si>
    <t>MLM16253977</t>
  </si>
  <si>
    <t>JBL PartyBox 310 portátil con bluetooth waterproof black 100V/240V</t>
  </si>
  <si>
    <t>2434250728</t>
  </si>
  <si>
    <t>Wolvernine V2</t>
  </si>
  <si>
    <t>961083367</t>
  </si>
  <si>
    <t>Scootr Pro 2</t>
  </si>
  <si>
    <t>1946348951</t>
  </si>
  <si>
    <t>Audifonos Inalambricos Skullcandy Indy Evo Negro In Ear</t>
  </si>
  <si>
    <t>2408187290</t>
  </si>
  <si>
    <t>Band 2</t>
  </si>
  <si>
    <t>2562666064</t>
  </si>
  <si>
    <t>Xiaomi Mi Box S 4k 2nd Gen Original Versión Global Mdz-28-a</t>
  </si>
  <si>
    <t>2385683970</t>
  </si>
  <si>
    <t>Barra De Sonido Jbl Harman Bar 800 720w 7.1 2023 Pure Bass</t>
  </si>
  <si>
    <t>2434542942</t>
  </si>
  <si>
    <t>3h purificador</t>
  </si>
  <si>
    <t>22694043</t>
  </si>
  <si>
    <t>Audifonos Jbl Livefree Nc Con Cancelación De Ruido Originale</t>
  </si>
  <si>
    <t>18606284</t>
  </si>
  <si>
    <t xml:space="preserve">JBL Tune 215TWS </t>
  </si>
  <si>
    <t>2437622590</t>
  </si>
  <si>
    <t>Mouse V3</t>
  </si>
  <si>
    <t>2356740868</t>
  </si>
  <si>
    <t>Watch Active</t>
  </si>
  <si>
    <t>2448860098</t>
  </si>
  <si>
    <t>Realme Watch 2</t>
  </si>
  <si>
    <t>1941545893</t>
  </si>
  <si>
    <t>2460861090</t>
  </si>
  <si>
    <t>Vibe Buds</t>
  </si>
  <si>
    <t>1228103193</t>
  </si>
  <si>
    <t>1945666421</t>
  </si>
  <si>
    <t>Lenovo Lp40</t>
  </si>
  <si>
    <t>1945649121</t>
  </si>
  <si>
    <t>Lenovo Lp410</t>
  </si>
  <si>
    <t>1735840209</t>
  </si>
  <si>
    <t>Watch Lite 2</t>
  </si>
  <si>
    <t>1938509881</t>
  </si>
  <si>
    <t>Razer Cobra</t>
  </si>
  <si>
    <t>Gamer Inalámbricos Logitech G435 Negro</t>
  </si>
  <si>
    <t>Galaxy Tab</t>
  </si>
  <si>
    <t>1775989505</t>
  </si>
  <si>
    <t>Bocina Jbl Charge 5 Portátil Con Bluetooth Waterproof Red 110v/220v</t>
  </si>
  <si>
    <t>1372367255</t>
  </si>
  <si>
    <t>Xiaomi Mi Smart Band 5 1.1  Caja De  Plástico Pc  Black</t>
  </si>
  <si>
    <t>956694278</t>
  </si>
  <si>
    <t>Xiaomi Mi Watch Lite 1.4  Caja  Navy Blue Malla  Navy Blue</t>
  </si>
  <si>
    <t>1661515274</t>
  </si>
  <si>
    <t>Bocina Inteligente Xiaomi Mi Smart Speaker L09g</t>
  </si>
  <si>
    <t>768722586</t>
  </si>
  <si>
    <t>Kit 5 Ligas Resistencia Entrenamiento Bandas Crossfit Gym</t>
  </si>
  <si>
    <t>1349393728</t>
  </si>
  <si>
    <t>Aspiradora Trapeadora Robot Xiaomi Mi Robot Vacuum-mop P</t>
  </si>
  <si>
    <t>2040919752</t>
  </si>
  <si>
    <t>Xiaomi Redmi Buds 4 Lite Tws - Auriculares Inalámbricos</t>
  </si>
  <si>
    <t>783581437</t>
  </si>
  <si>
    <t>Tabla Para Lagartijas Pecho Hombro Espalda Tríceps 9 En</t>
  </si>
  <si>
    <t>No tengo costo</t>
  </si>
  <si>
    <t>1944742045</t>
  </si>
  <si>
    <t>2493040108</t>
  </si>
  <si>
    <t>Cámara De Seguridad Xiaomi Smart Camera C200</t>
  </si>
  <si>
    <t>2540128564</t>
  </si>
  <si>
    <t>Dron</t>
  </si>
  <si>
    <t>2478456900</t>
  </si>
  <si>
    <t>2477686938</t>
  </si>
  <si>
    <t>Jbl Vibe 200 True Wireless Earbuds Black</t>
  </si>
  <si>
    <t>2537015586</t>
  </si>
  <si>
    <t>Bocina Bose Soundlink Flex Flexw Portátil Con Bluetooth Waterproof Stone Blue</t>
  </si>
  <si>
    <t>2537027038</t>
  </si>
  <si>
    <t>Audífonos Gamer Inalámbricos Logitech G435 Negro</t>
  </si>
  <si>
    <t>2510924518</t>
  </si>
  <si>
    <t>Audífonos Deportivos Jbl Vibe 200 Con Estuche De Carga Color Blanco</t>
  </si>
  <si>
    <t>2539847886</t>
  </si>
  <si>
    <t>Audífonos In-ear Inalámbricos Jbl Tune 115tws Black</t>
  </si>
  <si>
    <t>2448585668</t>
  </si>
  <si>
    <t>Audifonos Jbl Livefree Nc Con Cancelación De Ruido Origina</t>
  </si>
  <si>
    <t>1949937245</t>
  </si>
  <si>
    <t xml:space="preserve">Mi smart Band Publicacion China </t>
  </si>
  <si>
    <t>Barracuda Rosa</t>
  </si>
  <si>
    <t>1952388641</t>
  </si>
  <si>
    <t xml:space="preserve">Beats Flex </t>
  </si>
  <si>
    <t>1952389025</t>
  </si>
  <si>
    <t>2550701294</t>
  </si>
  <si>
    <t>2550546616</t>
  </si>
  <si>
    <t>Tv stick 4K</t>
  </si>
  <si>
    <t>1941558777</t>
  </si>
  <si>
    <t>Audífonos Inalámbricos Jbl Vibe Buds Bluetooth, Blanco. Color Blanco Color De La Luz Blanco</t>
  </si>
  <si>
    <t>1951835077</t>
  </si>
  <si>
    <t>Audífonos Inalámbricos Skullcandy Indy Evo True Gris</t>
  </si>
  <si>
    <t>2557473462</t>
  </si>
  <si>
    <t>2413745992</t>
  </si>
  <si>
    <t>Xiaomi Electric Scooter 4 Lite (black</t>
  </si>
  <si>
    <t>2542163936</t>
  </si>
  <si>
    <t>Mouse Logitech Lift Inalámbrico Ergonómico Sensor Óptico Blanco</t>
  </si>
  <si>
    <t>2380094278</t>
  </si>
  <si>
    <t>Monitor 1c</t>
  </si>
  <si>
    <t>2434240676</t>
  </si>
  <si>
    <t>Lámpara Inteligente De Escritorio Xiaomi Mi Smart Led Desk Lamp Pro</t>
  </si>
  <si>
    <t>2576926552</t>
  </si>
  <si>
    <t>Band 7</t>
  </si>
  <si>
    <t>1927069391</t>
  </si>
  <si>
    <t>Mouse Gamer De Juego Razer Viper 8khz Negro</t>
  </si>
  <si>
    <t>1959134557</t>
  </si>
  <si>
    <t>Teclado bluetooth Logitech K380 QWERTY inglés US color off-white</t>
  </si>
  <si>
    <t>2550573754</t>
  </si>
  <si>
    <t>Mouse De Juego Razer Deathadder V3 Ultraligero Ergonómico Color Negr</t>
  </si>
  <si>
    <t>2584199508</t>
  </si>
  <si>
    <t>Micrófono Razer Seiren Seiren Mini Condensador Supercardioide Negro Clásico</t>
  </si>
  <si>
    <t>1959162899</t>
  </si>
  <si>
    <t>Buds Neo Azul</t>
  </si>
  <si>
    <t>2580091470</t>
  </si>
  <si>
    <t>Buds 3 Lite</t>
  </si>
  <si>
    <t>1965913917</t>
  </si>
  <si>
    <t>Endurance run yellow black</t>
  </si>
  <si>
    <t>1966087733</t>
  </si>
  <si>
    <t>Redmi note 12 verde</t>
  </si>
  <si>
    <t>1892847779</t>
  </si>
  <si>
    <t>1892838435</t>
  </si>
  <si>
    <t>Endurance race - black</t>
  </si>
  <si>
    <t>1949586761</t>
  </si>
  <si>
    <t>DJI Mini 3 pro RB</t>
  </si>
  <si>
    <t>1964542155</t>
  </si>
  <si>
    <t>Audífono In-ear Gamer Inalámbrico Sony Wi-c310 Blue</t>
  </si>
  <si>
    <t>2650024118</t>
  </si>
  <si>
    <t>Audífonos Gamer Sony Zx Series Mdr-zx110 Negro</t>
  </si>
  <si>
    <t>2610803608</t>
  </si>
  <si>
    <t>Audífono In-ear Gamer Inalámbrico Sony Wi-c310 White</t>
  </si>
  <si>
    <t>1972214781</t>
  </si>
  <si>
    <t>Monopatín Electrico Xiaomi Mi Electric Scooter Pro 2 600w</t>
  </si>
  <si>
    <t>1975955911</t>
  </si>
  <si>
    <t>Mini Drone Dji Mini 4 Pro Con Cámara 4k Gris 5.8ghz 1 Batería</t>
  </si>
  <si>
    <t>2549524558</t>
  </si>
  <si>
    <t>1976324961</t>
  </si>
  <si>
    <t xml:space="preserve">Audífonos Inalámbricos Jbl Vibe Beam True Wireless - </t>
  </si>
  <si>
    <t>1975228741</t>
  </si>
  <si>
    <t>Kraken</t>
  </si>
  <si>
    <t>2610803182</t>
  </si>
  <si>
    <t>Audífonos In-ear Inalámbricos Sony Wi-c310 Gold</t>
  </si>
  <si>
    <t>1959796581</t>
  </si>
  <si>
    <t>S Pen Samsung Galaxy Z Fold3 Edition</t>
  </si>
  <si>
    <t>2655048810</t>
  </si>
  <si>
    <t>Roku Cámara Inteligente Interior Hd Wifi Detecta Movimiento Color Blanco</t>
  </si>
  <si>
    <t>2650203830</t>
  </si>
  <si>
    <t>Audífonos in-ear Sony EX Series MDR-EX15LP negro</t>
  </si>
  <si>
    <t xml:space="preserve">Control joystick Razer Wolverine V2 blanco
</t>
  </si>
  <si>
    <t>2659244632</t>
  </si>
  <si>
    <t>Audífonos Gamer Razer Blackshark V2 X Multiplataforma Rosa</t>
  </si>
  <si>
    <t>2665102060</t>
  </si>
  <si>
    <t xml:space="preserve">Control Joystick Razer Wolverine V2 Blanco
</t>
  </si>
  <si>
    <t>2677279754</t>
  </si>
  <si>
    <t>Audífonos JBL Tune 500 JBLT500 negro</t>
  </si>
  <si>
    <t>1975289585</t>
  </si>
  <si>
    <t>Audífono In-ear Inalámbrico Lenovo Livepods Lp40 Pro Lenovo Lp40 Pro Negro Con Luz Blanco Led</t>
  </si>
  <si>
    <t>2660893456</t>
  </si>
  <si>
    <t>2677700452</t>
  </si>
  <si>
    <t>Audífonos Bose Quietcomfort Earbuds Ii Bluetooth - Azu</t>
  </si>
  <si>
    <t>2677572598</t>
  </si>
  <si>
    <t>Audífonos In-ear Inalámbricos Bose Quietcomfort Earbuds Triple Black</t>
  </si>
  <si>
    <t>1979398797</t>
  </si>
  <si>
    <t>Auricular Motorola Buds 105 Blanco In Ear Ipx5 Bluetooth</t>
  </si>
  <si>
    <t>Aspiradora Inalámbrica Xiaomi Mi Vacuum Cleaner Light 220 W Color Blanc</t>
  </si>
  <si>
    <t>1960187061</t>
  </si>
  <si>
    <t>Barra De Sonido Jbl Bar 800 Bluetooth Wifi 720w Color Negro</t>
  </si>
  <si>
    <t>2677303800</t>
  </si>
  <si>
    <t>Audífonos Inalámbricos Jbl Tune Flex Ghost Edition Bluetooth</t>
  </si>
  <si>
    <t>1910001351</t>
  </si>
  <si>
    <t>Teclado Gamer Razer Black Widow Blackwidow V3 Qwerty Razer Yellow Inglés Us Color Negro Con Luz Rgb</t>
  </si>
  <si>
    <t>1952979141</t>
  </si>
  <si>
    <t>Audífonos Gamer Razer Kraken Kitty V2 Pro Rgb Color Quartz Pink</t>
  </si>
  <si>
    <t>1980053215</t>
  </si>
  <si>
    <t>Control Joystick Razer Wolverine V2 Chroma Negro</t>
  </si>
  <si>
    <t>1980075653</t>
  </si>
  <si>
    <t>Teclado Gamer Razer Deathstalker V2 Rgb Óptico Red Lineal Es Color Del Teclado Negro Idioma Español España Es Qwerty</t>
  </si>
  <si>
    <t>2289136802</t>
  </si>
  <si>
    <t>Razer Huntsman V2 - Teclado Analógico Gamer Color Del Teclado Negro Idioma Español Latinoamérica</t>
  </si>
  <si>
    <t>2665166254</t>
  </si>
  <si>
    <t>Mouse Gamer Ambidiestro Razer Viper 8khz Esl Edition Color Amarillo</t>
  </si>
  <si>
    <t>2692998046</t>
  </si>
  <si>
    <t>Audífonos In-ear Gamer Jbl Endurance Run Red</t>
  </si>
  <si>
    <t>2662616654</t>
  </si>
  <si>
    <t>Skull gray</t>
  </si>
  <si>
    <t>1981981425</t>
  </si>
  <si>
    <t>Mi Wireless Power Bank Xiaomi De 10000mah Carga Inalambrica Color Negro</t>
  </si>
  <si>
    <t>2708669428</t>
  </si>
  <si>
    <t>Hyperx Cloud Stinger S Audífonos Gaming Color Black Color De La Luz Sin Luz</t>
  </si>
  <si>
    <t>902371246</t>
  </si>
  <si>
    <t>Dr pen</t>
  </si>
  <si>
    <t>956308819</t>
  </si>
  <si>
    <t>C200</t>
  </si>
  <si>
    <t>956674840</t>
  </si>
  <si>
    <t>Watch 2 lite negro</t>
  </si>
  <si>
    <t>958290598</t>
  </si>
  <si>
    <t>Tv stick FHD</t>
  </si>
  <si>
    <t>1341469998</t>
  </si>
  <si>
    <t>Mi box</t>
  </si>
  <si>
    <t>1367012567</t>
  </si>
  <si>
    <t>Mop 2 pro negra</t>
  </si>
  <si>
    <t>1452338216</t>
  </si>
  <si>
    <t>Buds 3 pro blanco</t>
  </si>
  <si>
    <t>1605346600</t>
  </si>
  <si>
    <t>Freidora de aire</t>
  </si>
  <si>
    <t>1661745225</t>
  </si>
  <si>
    <t>Mistery box</t>
  </si>
  <si>
    <t>1806030974</t>
  </si>
  <si>
    <t>Blackshark v2 x negro</t>
  </si>
  <si>
    <t>1885146853</t>
  </si>
  <si>
    <t>Buds 3 lite negro</t>
  </si>
  <si>
    <t>1892939021</t>
  </si>
  <si>
    <t>Cargador Samsung</t>
  </si>
  <si>
    <t>1897257145</t>
  </si>
  <si>
    <t>Kraken classic negro</t>
  </si>
  <si>
    <t>1905241553</t>
  </si>
  <si>
    <t>Blackshark v2 x usb negro</t>
  </si>
  <si>
    <t>1910148181</t>
  </si>
  <si>
    <t>JBL 760</t>
  </si>
  <si>
    <t>1917402723</t>
  </si>
  <si>
    <t>Rog ally 7</t>
  </si>
  <si>
    <t>1919780865</t>
  </si>
  <si>
    <t>Bose Quietcomfort Noise Cancelling Earbuds Ii</t>
  </si>
  <si>
    <t>1920690155</t>
  </si>
  <si>
    <t>JBL Tune 230 nc</t>
  </si>
  <si>
    <t>1920794441</t>
  </si>
  <si>
    <t>Kishi iphone negro 2023</t>
  </si>
  <si>
    <t>1930154059</t>
  </si>
  <si>
    <t>Band 2 ivory</t>
  </si>
  <si>
    <t>1940106661</t>
  </si>
  <si>
    <t>Live free NC</t>
  </si>
  <si>
    <t>1941537489</t>
  </si>
  <si>
    <t>Buds 4 lite negro</t>
  </si>
  <si>
    <t>1945703651</t>
  </si>
  <si>
    <t>LP40 Negro</t>
  </si>
  <si>
    <t>1952260849</t>
  </si>
  <si>
    <t>TV Stick 4k</t>
  </si>
  <si>
    <t>1952380823</t>
  </si>
  <si>
    <t>Beats Azul</t>
  </si>
  <si>
    <t>1962000828</t>
  </si>
  <si>
    <t>Foco led bulb warm white</t>
  </si>
  <si>
    <t>1965962561</t>
  </si>
  <si>
    <t>Endurance run amarillo y negro</t>
  </si>
  <si>
    <t>1971671221</t>
  </si>
  <si>
    <t>Strap watch 2 lite</t>
  </si>
  <si>
    <t>1974779657</t>
  </si>
  <si>
    <t>Indy evo negro</t>
  </si>
  <si>
    <t>1975165608</t>
  </si>
  <si>
    <t>Tune 130 nc negro</t>
  </si>
  <si>
    <t>1975311949</t>
  </si>
  <si>
    <t>LP 40 PRO Negro</t>
  </si>
  <si>
    <t>1975335389</t>
  </si>
  <si>
    <t>Tune 110 negro</t>
  </si>
  <si>
    <t>1980074893</t>
  </si>
  <si>
    <t>Wolverine V2 chroma negro</t>
  </si>
  <si>
    <t>2096725414</t>
  </si>
  <si>
    <t>Deathadder essential blanco</t>
  </si>
  <si>
    <t>2225926966</t>
  </si>
  <si>
    <t xml:space="preserve">Razer PBT kit </t>
  </si>
  <si>
    <t>2226001352</t>
  </si>
  <si>
    <t>Blackwidow v4 pro amarillo switchus</t>
  </si>
  <si>
    <t>2226075484</t>
  </si>
  <si>
    <t>Huntsman mini negro - purple</t>
  </si>
  <si>
    <t>2246537142</t>
  </si>
  <si>
    <t>tune 230 nc blanco</t>
  </si>
  <si>
    <t>2254366842</t>
  </si>
  <si>
    <t>Partybox essential</t>
  </si>
  <si>
    <t>2257226952</t>
  </si>
  <si>
    <t>Cargador auto mototola 45w</t>
  </si>
  <si>
    <t>2342591968</t>
  </si>
  <si>
    <t>Band 8</t>
  </si>
  <si>
    <t>2385410328</t>
  </si>
  <si>
    <t>Viper 8khz negro</t>
  </si>
  <si>
    <t>Quantum 100 negro</t>
  </si>
  <si>
    <t>2421307202</t>
  </si>
  <si>
    <t>Razer cobra negro</t>
  </si>
  <si>
    <t>2437769154</t>
  </si>
  <si>
    <t>Mi box s 4k</t>
  </si>
  <si>
    <t>2444602634</t>
  </si>
  <si>
    <t>2664679694</t>
  </si>
  <si>
    <t>Vibe beam negros</t>
  </si>
  <si>
    <t>1986212433</t>
  </si>
  <si>
    <t>Cargador Usb Xiaomi Mi Power Bank 3 Ultra Compact 10000mah</t>
  </si>
  <si>
    <t>1893352517</t>
  </si>
  <si>
    <t>Cargador 65w</t>
  </si>
  <si>
    <t>1989156911</t>
  </si>
  <si>
    <t>Teclado Bluetooth Logitech K380 QWERTY inglés US color off-white</t>
  </si>
  <si>
    <t>2739335332</t>
  </si>
  <si>
    <t>2739335612</t>
  </si>
  <si>
    <t>1989669987</t>
  </si>
  <si>
    <t>Autoestéreo Jbl Celebrity 100 Usb/bluetooth/aux 50w X 4 Máx</t>
  </si>
  <si>
    <t>2742304984</t>
  </si>
  <si>
    <t>Audífonos Gamer Jbl Quantum 100 Jblquantum100 Azul</t>
  </si>
  <si>
    <t>2167749636</t>
  </si>
  <si>
    <t>Audífonos Para Gaming Hyperx Cloud Alpha Altavoces De Cámara</t>
  </si>
  <si>
    <t>1990031791</t>
  </si>
  <si>
    <t>Cargador De Carga Rápida Xiaomi 65w Gan Charger (type A + C)</t>
  </si>
  <si>
    <t>2789773266</t>
  </si>
  <si>
    <t xml:space="preserve">Watch 3 Active </t>
  </si>
  <si>
    <t>2987539830</t>
  </si>
  <si>
    <t>2987463712</t>
  </si>
  <si>
    <t>2792575274</t>
  </si>
  <si>
    <t>Cancelación De Ruido Realme Buds T100 Enc Ipx5 Bluetooth 5.3 Color Negro</t>
  </si>
  <si>
    <t>2130487011</t>
  </si>
  <si>
    <t>2792505760</t>
  </si>
  <si>
    <t>Audífonos In-ear Inalámbricos Jbl Live Pro 2 Tws Jbllivepro2tws Black</t>
  </si>
  <si>
    <t>Dispositivo Streaming Xiaomi Mi Box S 4k Ultra Hdr Eu Color Negro</t>
  </si>
  <si>
    <t>1975324813</t>
  </si>
  <si>
    <t>Audífonos In-ear Alámbricos Jbl Tune 110 Jblt110 Black</t>
  </si>
  <si>
    <t>2761475682</t>
  </si>
  <si>
    <t>Oculus 128</t>
  </si>
  <si>
    <t>2683456296</t>
  </si>
  <si>
    <t>2804728930</t>
  </si>
  <si>
    <t>Xiaomi Redmi Note 11 Pro (4G) - 6+128GB - Star Blue -X</t>
  </si>
  <si>
    <t>2804867918</t>
  </si>
  <si>
    <t>Xiaomi Redmi Note 11S (5G) - 6+128gb - Midnight Black - X</t>
  </si>
  <si>
    <t>2804869800</t>
  </si>
  <si>
    <t>Xiaomi Redmi Note 11 Pro (4G) - 6+128GB - Graphite Grey -X</t>
  </si>
  <si>
    <t>2004982421</t>
  </si>
  <si>
    <t>Xiaomi Redmi Note 11S (5G) - 4+64GB - Midnight Black -X</t>
  </si>
  <si>
    <t>2804728496</t>
  </si>
  <si>
    <t>Xiaomi Redmi Note 11 Pro (4G) - 6+128GB - Polar White -X</t>
  </si>
  <si>
    <t>2005683935</t>
  </si>
  <si>
    <t>Jbl Sistema Inalámbrico 2 Micrófonos Receptor Doble Canal Color Negro</t>
  </si>
  <si>
    <t>2807967900</t>
  </si>
  <si>
    <t>JBL 520 BT negro</t>
  </si>
  <si>
    <t>2556437910</t>
  </si>
  <si>
    <t>2556463820</t>
  </si>
  <si>
    <t xml:space="preserve">Buds 4 lite </t>
  </si>
  <si>
    <t>2008387975</t>
  </si>
  <si>
    <t>Scooter Xiaomi Essential</t>
  </si>
  <si>
    <t>2787395270</t>
  </si>
  <si>
    <t>Note 12</t>
  </si>
  <si>
    <t>2807641142</t>
  </si>
  <si>
    <t>Xiaomi Redmi Note 11s 5g Dual Sim 64 Gb Midnight Black 4 Gb Ram</t>
  </si>
  <si>
    <t>2823807848</t>
  </si>
  <si>
    <t>Xiaomi Redmi Note 13 5g 256 Gb Negro 8 Gb Ram</t>
  </si>
  <si>
    <t>2011414867</t>
  </si>
  <si>
    <t>Xiaomi Redmi Note 13 Pro 5g 256 Gb 8 Gb Ram Negro 202</t>
  </si>
  <si>
    <t>2005133321</t>
  </si>
  <si>
    <t>2005120777</t>
  </si>
  <si>
    <t>Pulsera Inteligente Xiaomi Smart Band 8 Active Pink Color De La Correa Rosa</t>
  </si>
  <si>
    <t>2837256612</t>
  </si>
  <si>
    <t>2837256614</t>
  </si>
  <si>
    <t>2013077391</t>
  </si>
  <si>
    <t>Xiaomi Redmi note Redmi Note 13 Pro+ Dual SIM 512 GB negro 12 GB RAM</t>
  </si>
  <si>
    <t>2225929842</t>
  </si>
  <si>
    <t>3104958768</t>
  </si>
  <si>
    <t>Control Joystick Para iPhone Razer Kishi V2 Para iPhone</t>
  </si>
  <si>
    <t>2013039209</t>
  </si>
  <si>
    <t>Xiaomi Redmi note Redmi Note 13 Pro</t>
  </si>
  <si>
    <t>2013024423</t>
  </si>
  <si>
    <t>Skullcandy Dime 3 Negros</t>
  </si>
  <si>
    <t>2849289388</t>
  </si>
  <si>
    <t>Xiaomi Redmi Note 13 Pro 5g Dual Sim 512 Gb Negro 12 Gb Ram</t>
  </si>
  <si>
    <t>2849241644</t>
  </si>
  <si>
    <t>Xiaomi Redmi Note 13 5g Dual Sim 256 Gb Negro 8 Gb Ram</t>
  </si>
  <si>
    <t>2650049740</t>
  </si>
  <si>
    <t>2017163581</t>
  </si>
  <si>
    <t>Xiaomi Redmi Note 13 Pro+ 5g Dual Sim 512 Gb Violeta 12 Gb Ram</t>
  </si>
  <si>
    <t>2864969554</t>
  </si>
  <si>
    <t>2855339380</t>
  </si>
  <si>
    <t>Xiaomi Redmi Note 13 8gb 256gb Negro</t>
  </si>
  <si>
    <t>2017276149</t>
  </si>
  <si>
    <t>Buds 5 Blancos</t>
  </si>
  <si>
    <t>2016143937</t>
  </si>
  <si>
    <t>Xiaomi Pocophone Poco X6 Pro 5g Dual Sim 256 Gb Amarillo 8 Gb Ram</t>
  </si>
  <si>
    <t>2871679874</t>
  </si>
  <si>
    <t>Xiaomi Pocophone Poco M5s Dual Sim 64 Gb Gris 4 Gb Ram</t>
  </si>
  <si>
    <t>2871628340</t>
  </si>
  <si>
    <t>Jbl Partybox 710 Luces Integradas Y Graves Extraprofundos Color Negro</t>
  </si>
  <si>
    <t>2876071144</t>
  </si>
  <si>
    <t>Jbl Partybox 720</t>
  </si>
  <si>
    <t>2127872291</t>
  </si>
  <si>
    <t>2866050128</t>
  </si>
  <si>
    <t>Smartwatch Redmi Watch4 197 Caja Plateada, Malla Plateada De Silicona Y Bisel Plateado De Dlc</t>
  </si>
  <si>
    <t>2868503036</t>
  </si>
  <si>
    <t>2868541694</t>
  </si>
  <si>
    <t>Bocina Bose Soundlink Revolve Plus Ii 55w Ip55 Negro</t>
  </si>
  <si>
    <t>2868554264</t>
  </si>
  <si>
    <t>Bocina Bose Soundlink ® Flex Blanco</t>
  </si>
  <si>
    <t>2868451748</t>
  </si>
  <si>
    <t>Parlante Bluetooth Bose Soundlink Flex Edicion Limitada 12hr Color Verde 110v</t>
  </si>
  <si>
    <t>2868451842</t>
  </si>
  <si>
    <t>2868413238</t>
  </si>
  <si>
    <t xml:space="preserve">Bose Soundlink Flex Bt Speaker Black
</t>
  </si>
  <si>
    <t>Xiaomi Pocophone Poco X5 Pro 5G Dual SIM 256 GB negro 8 GB RAM</t>
  </si>
  <si>
    <t xml:space="preserve">Buds 4 active </t>
  </si>
  <si>
    <t>2868491538</t>
  </si>
  <si>
    <t>Audífono Jbl Tune 660nc Active Noise Cancelling - Negro</t>
  </si>
  <si>
    <t>2017405017</t>
  </si>
  <si>
    <t>Hyperx Cloud Buds Audífonos Gaming Inalámbricos Bluetooth Color Rojo Color De La Luz Rojo</t>
  </si>
  <si>
    <t>2874169728</t>
  </si>
  <si>
    <t>2874130860</t>
  </si>
  <si>
    <t>Consola Playstation Portal Remote Para Playstation 5 Color Blanco</t>
  </si>
  <si>
    <t>2057237537</t>
  </si>
  <si>
    <t>2884490770</t>
  </si>
  <si>
    <t xml:space="preserve">Xiaomi Watch S3 </t>
  </si>
  <si>
    <t>2022628141</t>
  </si>
  <si>
    <t>Xiaomi Watch S4</t>
  </si>
  <si>
    <t>2016144431</t>
  </si>
  <si>
    <t>Xiaomi Pocophone Poco M6 Pro Dual Sim 256 Gb Negro 8 Gb Ram</t>
  </si>
  <si>
    <t>2878450344</t>
  </si>
  <si>
    <t>Jbl Partybox 110 - Altavoz Portátil De Fiesta Con Luces Inte 110v</t>
  </si>
  <si>
    <t>2022419641</t>
  </si>
  <si>
    <t>Xiaomi Pocophone Poco M6 Pro Dual Sim 512 Gb Azul 12 Gb Ram</t>
  </si>
  <si>
    <t>2871729668</t>
  </si>
  <si>
    <t>Consola Asus Rog Ally 512gb Ssd 16gb Ddr5 Fhd Wifi Blanco</t>
  </si>
  <si>
    <t>2021998615</t>
  </si>
  <si>
    <t xml:space="preserve">Band 8 pro </t>
  </si>
  <si>
    <t>2876942900</t>
  </si>
  <si>
    <t>Xiaomi Redmi 10a Dual Sim 64 Gb Azul Celeste 3 Gb Ram</t>
  </si>
  <si>
    <t>Xiaomi Redmi 10 2022 Dual SIM 128 GB gris</t>
  </si>
  <si>
    <t>Xiaomi Redmi 12C Dual SIM 128 GB ocean blue 4 GB RAM</t>
  </si>
  <si>
    <t>2876917234</t>
  </si>
  <si>
    <t>Xiaomi Redmi A2 Dual Sim 32 Gb Black 2 Gb Ram</t>
  </si>
  <si>
    <t>2020010447</t>
  </si>
  <si>
    <t>Xiaomi Redmi A2 Dual Sim 32 Gb Light Blue 2 Gb Ram</t>
  </si>
  <si>
    <t>2024198183</t>
  </si>
  <si>
    <t>Celular Redmi 12c Graphite Gray 4gb Ram 128gb Rom Color Gris grafito</t>
  </si>
  <si>
    <t>2019971013</t>
  </si>
  <si>
    <t>Xiaomi Redmi Note 12 4g Dual Sim 128 Gb Gris Ónix 4 Gb Ram</t>
  </si>
  <si>
    <t>2888713360</t>
  </si>
  <si>
    <t>2888577108</t>
  </si>
  <si>
    <t>Bose Bocina Bluetooth S1 Pro + Plus Wireless Con Bateria</t>
  </si>
  <si>
    <t>2025505991</t>
  </si>
  <si>
    <t>Xiaomi Poco X6 Pro (5G) - 12+512GB - Black - X New</t>
  </si>
  <si>
    <t>2845586394</t>
  </si>
  <si>
    <t>Xiaomi Poco X6 Pro (5G) - 12+512GB - Yellow - X New</t>
  </si>
  <si>
    <t>2025543377</t>
  </si>
  <si>
    <t>Xiaomi Poco X6 Pro (5G) - 12+512GB - Grey - X New</t>
  </si>
  <si>
    <t>2868414396</t>
  </si>
  <si>
    <t>660 bLANCO</t>
  </si>
  <si>
    <t>2023858947</t>
  </si>
  <si>
    <t>Audífonos Inalámbricos Bose 700 Luxe Silve</t>
  </si>
  <si>
    <t>2023799163</t>
  </si>
  <si>
    <t>2023811923</t>
  </si>
  <si>
    <t>2019965179</t>
  </si>
  <si>
    <t>2876866752</t>
  </si>
  <si>
    <t>Audifono Xiaomi Redmi Buds 4 Active Bluetooth 5.3 Negro</t>
  </si>
  <si>
    <t>2901753746</t>
  </si>
  <si>
    <t>Oppo Reno10 Dual Sim 256 Gb Gris 8 Gb Ram</t>
  </si>
  <si>
    <t>2023846893</t>
  </si>
  <si>
    <t>Soundlink Micro Speaker White Smoke</t>
  </si>
  <si>
    <t>2023835415</t>
  </si>
  <si>
    <t>2894005820</t>
  </si>
  <si>
    <t>Bose Soundlink Micro Stone Blue</t>
  </si>
  <si>
    <t>2894006278</t>
  </si>
  <si>
    <t>2023825283</t>
  </si>
  <si>
    <t>Bose Soundlink Micro Stone Negro</t>
  </si>
  <si>
    <t>2876969730</t>
  </si>
  <si>
    <t>"Redmi Note 12 Ice Blue 4GB
RAM128GB ROM
T-0000003425 Redmi Note 12 Ice Blue
4GB RAM 128GB "</t>
  </si>
  <si>
    <t>Xiaomi Redmi Note Redmi Note 13 Pro+ Dual Sim 512 Gb Blanco 12 Gb Ram</t>
  </si>
  <si>
    <t>2017277051</t>
  </si>
  <si>
    <t>Redmi watch 4 gris</t>
  </si>
  <si>
    <t>2868490252</t>
  </si>
  <si>
    <t>2868490254</t>
  </si>
  <si>
    <t>Bocina Bose Soundlink Flex Portátil Bluetooth 4.2 Ip67 Azul</t>
  </si>
  <si>
    <t>2018182221</t>
  </si>
  <si>
    <t>Audífono Jbl Tune Flex Perfect Fit Anc Ipx4 - Negro</t>
  </si>
  <si>
    <t>2017453725</t>
  </si>
  <si>
    <t>Mi box 4k</t>
  </si>
  <si>
    <t>2002352703</t>
  </si>
  <si>
    <t>2018667323</t>
  </si>
  <si>
    <t>Xiaomi Watch S3 - Resistente Al Agua - Gps - Táctil Negro</t>
  </si>
  <si>
    <t>Xiaomi Watch S3 - Resistente Al Agua - Gps - Pantalla Táctil Caja Plateado Correa Plateado Bisel Plateado</t>
  </si>
  <si>
    <t>2557538328</t>
  </si>
  <si>
    <t>Audífonos In-ear Gamer Razer Hammerhead True Wireless X</t>
  </si>
  <si>
    <t>1916973469</t>
  </si>
  <si>
    <t>Proyector Mini Xiaomi Mi Smart Compact Projector</t>
  </si>
  <si>
    <t>1931642209</t>
  </si>
  <si>
    <t>Auriculares In-ear Inalámbricos Jbl Tune 230nc Tws Negro</t>
  </si>
  <si>
    <t>2789863676</t>
  </si>
  <si>
    <t>Redmi Watch 3 Active Color De La Caja Negro Color Del Negro</t>
  </si>
  <si>
    <t>2842559766</t>
  </si>
  <si>
    <t>Xiaomi Bomba De Aire Iportátil Portable Air Compressor 2</t>
  </si>
  <si>
    <t>2871731618</t>
  </si>
  <si>
    <t>Xiaomi Watch S3 - Resistente Al Agua - Gps - Pantalla Táctil - plata</t>
  </si>
  <si>
    <t>1980385871</t>
  </si>
  <si>
    <t>Audifonos Bose Quietcomfort Earbuds 2 In-ear Color Negro</t>
  </si>
  <si>
    <t>2017391815</t>
  </si>
  <si>
    <t>Compresor De Aire Eléctrico Inflador Portátil Xiaomi Mijia 1</t>
  </si>
  <si>
    <t>2018156347</t>
  </si>
  <si>
    <t>1975831577</t>
  </si>
  <si>
    <t>Audífonos Inalámbricos Skullcandy Indy Evo Wireless Gris</t>
  </si>
  <si>
    <t>Celular Redmi 12c Graphite Gray 4gb Ram 128gb Rom Color Gris Grafito</t>
  </si>
  <si>
    <t>2896012810</t>
  </si>
  <si>
    <t>Xiaomi Redmi 12c Dual Sim 128 Gb Ocean Blue 4 Gb Ram</t>
  </si>
  <si>
    <t>2895832826</t>
  </si>
  <si>
    <t>Xiaomi Redmi 10 2022 Dual Sim 128 Gb Gris Carbón 4 Gb Ram</t>
  </si>
  <si>
    <t>2665102056</t>
  </si>
  <si>
    <t>Control Joystick Razer Wolverine V2 Blanco Mando</t>
  </si>
  <si>
    <t>2792480170</t>
  </si>
  <si>
    <t>Audífonos In-ear Inalámbricos Jbl Live Pro 2 Tws</t>
  </si>
  <si>
    <t>2385804040</t>
  </si>
  <si>
    <t>2871665284</t>
  </si>
  <si>
    <t>Xiaomi Redmi A2 Dual Sim 32 Gb Black 2 Gb Ram negro</t>
  </si>
  <si>
    <t>2868554344</t>
  </si>
  <si>
    <t>Parlante Bluetooth Bose Soundlink Flex Edicion Limitada 12hr</t>
  </si>
  <si>
    <t>2865557182</t>
  </si>
  <si>
    <t>Audífonos In Ear Apple Beats Studio Buds Inalámbricos Negro</t>
  </si>
  <si>
    <t>1945703833</t>
  </si>
  <si>
    <t>Audífonos In-ear Inalámbricos Lenovo Livepods Lp40 X 1 Unida blancos</t>
  </si>
  <si>
    <t>2017340881</t>
  </si>
  <si>
    <t>Pulsera Inteligente Xiaomi Mi Smart Band 7 Pro (ivory) Color De La Caja Blanco Color De La Correa Blanco</t>
  </si>
  <si>
    <t>2893612792</t>
  </si>
  <si>
    <t>2023756341</t>
  </si>
  <si>
    <t>Parlante Jbl Wind 3 Bici Moto Bluetooth Micro Sd Y Radio Fm Voltaje 110v Color Negro</t>
  </si>
  <si>
    <t>2901956092</t>
  </si>
  <si>
    <t>Oppo Reno 7 5g Azul 256 Gb 8 Gb</t>
  </si>
  <si>
    <t>2913162516</t>
  </si>
  <si>
    <t>2913175374</t>
  </si>
  <si>
    <t>Bose Quietcomfort 45 Cancelacion De Ruido Diadema Bluetooth</t>
  </si>
  <si>
    <t xml:space="preserve">Boombox 3 </t>
  </si>
  <si>
    <t>2026706955</t>
  </si>
  <si>
    <t>Revolve 2</t>
  </si>
  <si>
    <t xml:space="preserve">Roku Premiere </t>
  </si>
  <si>
    <t>2232899607</t>
  </si>
  <si>
    <t>Bocina Inalámbrica Bose Soundlink® Revolve Ii Gris</t>
  </si>
  <si>
    <t>2906543072</t>
  </si>
  <si>
    <t>2241397045</t>
  </si>
  <si>
    <t>3552924272</t>
  </si>
  <si>
    <t>Bocina Bose Soundlink Flex Flex Open Box</t>
  </si>
  <si>
    <t>2232800269</t>
  </si>
  <si>
    <t>3574406340</t>
  </si>
  <si>
    <t xml:space="preserve">JBL Wind 3 </t>
  </si>
  <si>
    <t>2028433321</t>
  </si>
  <si>
    <t>Pulse</t>
  </si>
  <si>
    <t>2026681363</t>
  </si>
  <si>
    <t>Bocina Bose Smart Speaker 500 Con Wifi Y Bluetooth Negro</t>
  </si>
  <si>
    <t>2876891856</t>
  </si>
  <si>
    <t>Xiaomi Redmi A2 Dual Sim 64 Gb Light Green 2 Gb Ram</t>
  </si>
  <si>
    <t>2033873211</t>
  </si>
  <si>
    <t>2033873213</t>
  </si>
  <si>
    <t>Dime 3</t>
  </si>
  <si>
    <t>2763219584</t>
  </si>
  <si>
    <t xml:space="preserve">Cargador </t>
  </si>
  <si>
    <t>2017276321</t>
  </si>
  <si>
    <t xml:space="preserve">Band 8 Active </t>
  </si>
  <si>
    <t>2970646846</t>
  </si>
  <si>
    <t>2970634088</t>
  </si>
  <si>
    <t>Audífonos In-ear Inalámbricos Jbl Tune Buds Jbltbudsblkam Negro</t>
  </si>
  <si>
    <t>1991278053</t>
  </si>
  <si>
    <t>Audífonos Inalámbricos Jbl Tune 110bt Con Mic Color Azul Color De La Luz Azul</t>
  </si>
  <si>
    <t>2042458005</t>
  </si>
  <si>
    <t>Xiaomi Redmi Note Redmi Note 13 Pro+ Dual Sim 512 Gb Negro 12 Gb Ram</t>
  </si>
  <si>
    <t>2044545427</t>
  </si>
  <si>
    <t>2026694149</t>
  </si>
  <si>
    <t>Bocina Bose Soundbar Tv Speaker 838309-1100 Con Bluetooth Negra 100v/240v</t>
  </si>
  <si>
    <t>2030028759</t>
  </si>
  <si>
    <t>Stanley Termo</t>
  </si>
  <si>
    <t>1990064527</t>
  </si>
  <si>
    <t>1990064531</t>
  </si>
  <si>
    <t>Quantum Blancos</t>
  </si>
  <si>
    <t>2048170109</t>
  </si>
  <si>
    <t>2048183017</t>
  </si>
  <si>
    <t>Aspiradora Inteligente Xiaomi Mi Robot Vacuum E10 Color Blanco</t>
  </si>
  <si>
    <t>2970684658</t>
  </si>
  <si>
    <t>Bose Blancos</t>
  </si>
  <si>
    <t>2048313627</t>
  </si>
  <si>
    <t xml:space="preserve">Bateria portatil 15w 1000mAh con pantalla digital </t>
  </si>
  <si>
    <t>2048250063</t>
  </si>
  <si>
    <t>2125815135</t>
  </si>
  <si>
    <t>2048314383</t>
  </si>
  <si>
    <t>Audífonos Baseus Bowie P1 Sport Colgante Cuello 5.2 Blanco</t>
  </si>
  <si>
    <t>2048263269</t>
  </si>
  <si>
    <t>2048302167</t>
  </si>
  <si>
    <t>Cargador para auto 24w 4.8A</t>
  </si>
  <si>
    <t>3026179332</t>
  </si>
  <si>
    <t>Xiaomi Redmi Note 13 Pro+ 5g Dual Sim 256 Gb Violeta 8 Gb Ram</t>
  </si>
  <si>
    <t>3016988780</t>
  </si>
  <si>
    <t xml:space="preserve">3S WIND </t>
  </si>
  <si>
    <t>3016997916</t>
  </si>
  <si>
    <t>Band 8 gold</t>
  </si>
  <si>
    <t>2053137819</t>
  </si>
  <si>
    <t>2053125011</t>
  </si>
  <si>
    <t>Buds 5 pro</t>
  </si>
  <si>
    <t>1993586065</t>
  </si>
  <si>
    <t>Roku Streaming Stick 4k Modelo 3820 Color Negro</t>
  </si>
  <si>
    <t>1362896221</t>
  </si>
  <si>
    <t>3018696550</t>
  </si>
  <si>
    <t>Audífonos Bluetooth Motorola Moto Buds 250 2022 Negro</t>
  </si>
  <si>
    <t>3028633002</t>
  </si>
  <si>
    <t>Xiaomi Redmi Note 13 Pro+ 5g Dual Sim 256 Gb Negro 8 Gb Ram</t>
  </si>
  <si>
    <t>3020635566</t>
  </si>
  <si>
    <t>Aro de luz</t>
  </si>
  <si>
    <t>3064794604</t>
  </si>
  <si>
    <t>Google Pixel</t>
  </si>
  <si>
    <t>2063628193</t>
  </si>
  <si>
    <t>2063628021</t>
  </si>
  <si>
    <t>3068237524</t>
  </si>
  <si>
    <t>Audífonos In-ear Inalámbricos Qcy True Wireless Earbuds Qcy T13 Enc Negro</t>
  </si>
  <si>
    <t>3068293958</t>
  </si>
  <si>
    <t>QCY-H3</t>
  </si>
  <si>
    <t>2062571811</t>
  </si>
  <si>
    <t>Bocina Portátil Harman Kardon Luna Bluetooth Color Negro</t>
  </si>
  <si>
    <t>2062558857</t>
  </si>
  <si>
    <t>2062584163</t>
  </si>
  <si>
    <t>2062596713</t>
  </si>
  <si>
    <t>Harman Kardon Soundsticks 4 Bocina 4.2</t>
  </si>
  <si>
    <t>2065531311</t>
  </si>
  <si>
    <t>3073130832</t>
  </si>
  <si>
    <t>Watch 3 gris</t>
  </si>
  <si>
    <t>2064506209</t>
  </si>
  <si>
    <t>Audífonos In-ear Inalámbricos Jbl Vibe Buds Mint</t>
  </si>
  <si>
    <t>3068529628</t>
  </si>
  <si>
    <t xml:space="preserve">Bocina Portatil Skullcandy Ounce Xt Color Azul
</t>
  </si>
  <si>
    <t>3068542270</t>
  </si>
  <si>
    <t>2064562309</t>
  </si>
  <si>
    <t>Combo De Cargador Rapido Dual Baseus 20w Usb + Cable Tipo C Color Negro</t>
  </si>
  <si>
    <t>2070029783</t>
  </si>
  <si>
    <t>3095153658</t>
  </si>
  <si>
    <t>Bocina Inalambrica Jbl Partybox Stage 320 Bluetooth Luz Rgb Color Negro</t>
  </si>
  <si>
    <t>2064566499</t>
  </si>
  <si>
    <t>3068380620</t>
  </si>
  <si>
    <t>Audífonos Inalámbricos Jbl Vibe Flex Bluetooth In-ear Ip54 Color Menta</t>
  </si>
  <si>
    <t>2073602079</t>
  </si>
  <si>
    <t>2073614999</t>
  </si>
  <si>
    <t>Xiaomi Pad 6 Mist Blue 8gb Ram 256gb Rom Color Azul</t>
  </si>
  <si>
    <t>2070044715</t>
  </si>
  <si>
    <t>2070107763</t>
  </si>
  <si>
    <t>Altavoz Portátil Jbl Basspro Go Con Bluetooth Resistente Al Agua Negro</t>
  </si>
  <si>
    <t>2062491407</t>
  </si>
  <si>
    <t>2062453183</t>
  </si>
  <si>
    <t>Bocina Inalambrica Harman Kardon Go + Play 3 - Negro</t>
  </si>
  <si>
    <t>3133464032</t>
  </si>
  <si>
    <t>3133476630</t>
  </si>
  <si>
    <t>Ninja Nc501 Creami Deluxe 11 En 1 Para Helados, Sorbetes, B. Color Plateado</t>
  </si>
  <si>
    <t>2008395257</t>
  </si>
  <si>
    <t>2008357627</t>
  </si>
  <si>
    <t>Batería Xiaomi Redmi Power Bank 10000mah Negro</t>
  </si>
  <si>
    <t>2083491067</t>
  </si>
  <si>
    <t>Ventilador Humificador De Doble Cabezal Para Oficina</t>
  </si>
  <si>
    <t>2080432709</t>
  </si>
  <si>
    <t xml:space="preserve">
Espejo Con 9 Focos Led Para Maquillaje Tipo Hollywood</t>
  </si>
  <si>
    <t>2083509911</t>
  </si>
  <si>
    <t>Lámpara Mata Mosquitos Killer Eléctrico Interior Y Exterior</t>
  </si>
  <si>
    <t>2083533331</t>
  </si>
  <si>
    <t>Ventilador De Pedestal 16 Pulgadas 3 Velocidades Color Negro Diámetro 16</t>
  </si>
  <si>
    <t>2083559185</t>
  </si>
  <si>
    <t>Ventilador Pedestal 16 Pulgadas 3 Velocidades Color Blanco Diámetro 16</t>
  </si>
  <si>
    <t>2083560627</t>
  </si>
  <si>
    <t>Silla De Descanso Plegable Portátil Para Playa Y Camping</t>
  </si>
  <si>
    <t>3136270570</t>
  </si>
  <si>
    <t>Ventilador Bossco</t>
  </si>
  <si>
    <t>3149883136</t>
  </si>
  <si>
    <t>2083641845</t>
  </si>
  <si>
    <t xml:space="preserve">Monitor </t>
  </si>
  <si>
    <t>3119395766</t>
  </si>
  <si>
    <t>3164933096</t>
  </si>
  <si>
    <t xml:space="preserve">Parlante Jbl Authentics 500
</t>
  </si>
  <si>
    <t>3164920020</t>
  </si>
  <si>
    <t xml:space="preserve">JBL Authentics 300 </t>
  </si>
  <si>
    <t>2088746363</t>
  </si>
  <si>
    <t>Auriculares Intraurales Inalámbricos Jbl Wave Beam Black</t>
  </si>
  <si>
    <t>2088733491</t>
  </si>
  <si>
    <t>3171198376</t>
  </si>
  <si>
    <t xml:space="preserve">Auriculares Jbl Endurance Peak 3 Black
</t>
  </si>
  <si>
    <t>3171195018</t>
  </si>
  <si>
    <t>Auriculares In-ear Inalámbricos Jbl Wave Buds Tws Jblwbuds Negro</t>
  </si>
  <si>
    <t>3149197706</t>
  </si>
  <si>
    <t>Watch 2</t>
  </si>
  <si>
    <t>2081104179</t>
  </si>
  <si>
    <t>Audífonos Inalámbricos Jbl Tune 230nc Tws Azul</t>
  </si>
  <si>
    <t>3164056768</t>
  </si>
  <si>
    <t xml:space="preserve">Xiaomi Redmi Note 12 5g Dual Sim 128 Gb Mystique Blue 4 Gb Ram
</t>
  </si>
  <si>
    <t>2102530495</t>
  </si>
  <si>
    <t>Auriculares In-ear Inalámbricos Jbl Endurance Race Jblendurace Blanco</t>
  </si>
  <si>
    <t>3231559948</t>
  </si>
  <si>
    <t>3231509652</t>
  </si>
  <si>
    <t>Bocina Jbl Wind 3 Con Soporte Para Bicicleta Y Radio Fm Color Negro Con Naranja</t>
  </si>
  <si>
    <t>2097332771</t>
  </si>
  <si>
    <t>Audífonos Inalámbricos Jbl Vibe Flex Bluetooth Color Negro</t>
  </si>
  <si>
    <t>2097391805</t>
  </si>
  <si>
    <t>3231535588</t>
  </si>
  <si>
    <t>Audífonos Jbl Tune Flex Azul Bluetooth Micrófono</t>
  </si>
  <si>
    <t>3236148040</t>
  </si>
  <si>
    <t>Audifonos Inalambricos Skullcandy Dime True Wireless Bluetooth - Rojo</t>
  </si>
  <si>
    <t>2098788499</t>
  </si>
  <si>
    <t>Auriculares In-ear Inalámbricos Jbl Live Pro 2 Tws Jbllivepro2tws Black</t>
  </si>
  <si>
    <t>3251956838</t>
  </si>
  <si>
    <t>3285801840</t>
  </si>
  <si>
    <t>Auriculares In-ear Inalámbricos Sony Wf-c500 Naranja</t>
  </si>
  <si>
    <t>2103381095</t>
  </si>
  <si>
    <t>Caja De Sonido Bluetooth Bose Soundlink Mini Ii Edición Especial, C</t>
  </si>
  <si>
    <t>2106082553</t>
  </si>
  <si>
    <t>Altavoz Go 4 White Jbl - Jblgo4wht</t>
  </si>
  <si>
    <t>2106153807</t>
  </si>
  <si>
    <t>Altavoz Impermeable Go 4 Jbl Bluetooth 4.2 W Lanç2024, Color Negro 110 V/220</t>
  </si>
  <si>
    <t>3258494512</t>
  </si>
  <si>
    <t>Ninja Professional Plus Blender Duo - Con Auto-iq</t>
  </si>
  <si>
    <t>3258494732</t>
  </si>
  <si>
    <t>Asador Eléctrico Ninja Ig651</t>
  </si>
  <si>
    <t>2108556571</t>
  </si>
  <si>
    <t xml:space="preserve">Bocina Bluetooth Portatil Barrel Party Xt Skullcandy 12 Hora Color Negro
</t>
  </si>
  <si>
    <t>2109524457</t>
  </si>
  <si>
    <t>3285828164</t>
  </si>
  <si>
    <t>Funda Para Google Pixel Watch 2 Smartwatch Wifi, Color Po</t>
  </si>
  <si>
    <t>2109486567</t>
  </si>
  <si>
    <t>2109537839</t>
  </si>
  <si>
    <t>3293629174</t>
  </si>
  <si>
    <t>3295665838</t>
  </si>
  <si>
    <t>3295639914</t>
  </si>
  <si>
    <t xml:space="preserve">
Audífonos Inalámbricos Skullcandy Smokin Buds Match</t>
  </si>
  <si>
    <t>3295640002</t>
  </si>
  <si>
    <t>3295640004</t>
  </si>
  <si>
    <t>2109501819</t>
  </si>
  <si>
    <t>Hori</t>
  </si>
  <si>
    <t>2109539635</t>
  </si>
  <si>
    <t>Jbl Tune 720bt - Negro</t>
  </si>
  <si>
    <t>2109563757</t>
  </si>
  <si>
    <t>Audífonos Jbl Tune 760nc Black 1 Par</t>
  </si>
  <si>
    <t>2110334757</t>
  </si>
  <si>
    <t>Audífonos Bluetooth 5.4 Tws Con Smart Pantalla Táctil Juego</t>
  </si>
  <si>
    <t>2111869717</t>
  </si>
  <si>
    <t>Xiaomi Pulsera Inteligente Smart Band 9 Rosa Version Globa</t>
  </si>
  <si>
    <t>2184476343</t>
  </si>
  <si>
    <t>2112311285</t>
  </si>
  <si>
    <t>Licuadora Ninja Bl642 72 Fl Oz Negra 120v</t>
  </si>
  <si>
    <t>2083584743</t>
  </si>
  <si>
    <t>Lampara Repelente Eléctrica Mata Mosquitos Mosca 20w 4200v</t>
  </si>
  <si>
    <t>2083718095</t>
  </si>
  <si>
    <t>2083718097</t>
  </si>
  <si>
    <t>Audífonos Skullcandy Inalámbricos Dime 3 Auriculares In-ear</t>
  </si>
  <si>
    <t>1904834031</t>
  </si>
  <si>
    <t>2094073721</t>
  </si>
  <si>
    <t>Audífonos Gamer Razer Kraken Kitty V2 Pro Rgb Color Classic Black</t>
  </si>
  <si>
    <t>2096429553</t>
  </si>
  <si>
    <t>2096404739</t>
  </si>
  <si>
    <t>Auriculares Inalámbricos Jbl Wave Fle</t>
  </si>
  <si>
    <t>2106063387</t>
  </si>
  <si>
    <t>Reloj Inteligente Smartwatch Xiaomi Redmi Watch 2 Lite Col</t>
  </si>
  <si>
    <t>3164167430</t>
  </si>
  <si>
    <t>Xiaomi Bomba De Aire Mi Portable Electric Air Compressor 1s</t>
  </si>
  <si>
    <t>3166342014</t>
  </si>
  <si>
    <t>Audífonos In-ear Inalámbricos Xiaomi Redmi Airdots Twsej04ls</t>
  </si>
  <si>
    <t>3166369836</t>
  </si>
  <si>
    <t>Audífonos In-ear Gamer Inalámbricos Xiaomi Redmi Buds 3 Lit</t>
  </si>
  <si>
    <t>3166422040</t>
  </si>
  <si>
    <t>Audifonos Inalambricos Skullcandy Indy Evo 30hrs Ip55</t>
  </si>
  <si>
    <t>3211459252</t>
  </si>
  <si>
    <t>Audífonos Inalámbricos Bluetooth Jbl Tune 230nc Cancela Ruid</t>
  </si>
  <si>
    <t>3174722084</t>
  </si>
  <si>
    <t>3174722086</t>
  </si>
  <si>
    <t>Samsung Cargador 25watts Para Galaxy A73 A23 A03s 25w Color</t>
  </si>
  <si>
    <t>3171195014</t>
  </si>
  <si>
    <t>3284048252</t>
  </si>
  <si>
    <t>3284087032</t>
  </si>
  <si>
    <t xml:space="preserve">Pulsera Inteligente Xiaomi Smart Band 8 Champagne Gold Color </t>
  </si>
  <si>
    <t>2109498521</t>
  </si>
  <si>
    <t>2109524117</t>
  </si>
  <si>
    <t>Google Pixel Watch 2 Smartwatch Wifi, Color Negro</t>
  </si>
  <si>
    <t>2106252453</t>
  </si>
  <si>
    <t>Cepillo</t>
  </si>
  <si>
    <t>2111795609</t>
  </si>
  <si>
    <t>Xiaomi Redmi Buds 6 Active Black Tws Earphone Bluetooth</t>
  </si>
  <si>
    <t>2119852643</t>
  </si>
  <si>
    <t>3309237014</t>
  </si>
  <si>
    <t>Robot Aspirador Xiaomi E10c Con E10 110 220, Color Negro</t>
  </si>
  <si>
    <t>2120497213</t>
  </si>
  <si>
    <t>2120473751</t>
  </si>
  <si>
    <t xml:space="preserve">Race Azul </t>
  </si>
  <si>
    <t>2120497723</t>
  </si>
  <si>
    <t>Honor X6a Plus Dual Sim 256 Gb Plateado 6 Gb Ram</t>
  </si>
  <si>
    <t>2120506299</t>
  </si>
  <si>
    <t>Honor X6a Plus Dual Sim 128 Gb Púrpura 6 Gb Ram
#2120506299</t>
  </si>
  <si>
    <t>2120519147</t>
  </si>
  <si>
    <t>2120504949</t>
  </si>
  <si>
    <t>2120517787</t>
  </si>
  <si>
    <t>Audífonos Xiaomi Redmi Buds 5 Sky Blue Color Azul</t>
  </si>
  <si>
    <t>2120524499</t>
  </si>
  <si>
    <t>Xiaomi Poco Poco X6 5g Dual Sim 256 Gb Negro 12 Gb Ram</t>
  </si>
  <si>
    <t>2120552587</t>
  </si>
  <si>
    <t>Auriculares In-ear Inalámbricos Skullcandy Sesh True Wireless Earbuds Índigo Con</t>
  </si>
  <si>
    <t>3310974910</t>
  </si>
  <si>
    <t>3311035396</t>
  </si>
  <si>
    <t>Auriculares Jbl Tune Flex White</t>
  </si>
  <si>
    <t>2120540567</t>
  </si>
  <si>
    <t>3311118004</t>
  </si>
  <si>
    <t>udífonos In-ear Gamer Inalámbricos Jbl Quantum 50 Jbl</t>
  </si>
  <si>
    <t>3311120438</t>
  </si>
  <si>
    <t>Xiaomi Pocophone Poco M6 Pro Dual Sim 512 Gb Negro 12 Gb Ram</t>
  </si>
  <si>
    <t>3312872456</t>
  </si>
  <si>
    <t>2121286933</t>
  </si>
  <si>
    <t>Bocina Jbl Partybox Encore Essential Negro</t>
  </si>
  <si>
    <t>2118910831</t>
  </si>
  <si>
    <t>2118910833</t>
  </si>
  <si>
    <t>Parlante Bluetooth Bose Soundlink Revolve Plus Gris Color Luxe Silver</t>
  </si>
  <si>
    <t>2115463303</t>
  </si>
  <si>
    <t>2115437663</t>
  </si>
  <si>
    <t xml:space="preserve">Harman Luna </t>
  </si>
  <si>
    <t>2119825071</t>
  </si>
  <si>
    <t>Horizon 2 Altavoz De Radio Reloj Bluetooth Con Radio Fm</t>
  </si>
  <si>
    <t>2123038837</t>
  </si>
  <si>
    <t>2123038839</t>
  </si>
  <si>
    <t>Xiaomi Compresor Eléctrico De Aire Portátil 2 Color Negro Fa</t>
  </si>
  <si>
    <t>3319464258</t>
  </si>
  <si>
    <t>3319477036</t>
  </si>
  <si>
    <t>Xiaomi Mi Portable Photo Printer / Impresora Portátil</t>
  </si>
  <si>
    <t>2123016249</t>
  </si>
  <si>
    <t>2123016251</t>
  </si>
  <si>
    <t>Bose Quietcomfort Se Audífonos Inalámbricos Con Cancelación Color Negro</t>
  </si>
  <si>
    <t>2124002687</t>
  </si>
  <si>
    <t>2123964131</t>
  </si>
  <si>
    <t>Audífonos In-ear Gamer Inalámbricos Skullcandy Indy Fresh Mint</t>
  </si>
  <si>
    <t>2111809089</t>
  </si>
  <si>
    <t>Auriculares Inalámbricos Bt Xiaomi Redmi Buds 6 Active Color Blanco Luz Blanco</t>
  </si>
  <si>
    <t>2124053397</t>
  </si>
  <si>
    <t>2124001809</t>
  </si>
  <si>
    <t>Audífonos In-ear Gamer Inalámbricos Skullcandy Indy Black Con Luz Led</t>
  </si>
  <si>
    <t>3329583296</t>
  </si>
  <si>
    <t>Ounce</t>
  </si>
  <si>
    <t>3329621586</t>
  </si>
  <si>
    <t>3329648584</t>
  </si>
  <si>
    <t>2131141901</t>
  </si>
  <si>
    <t>3335799022</t>
  </si>
  <si>
    <t>Tableta Xiaomi Redmi Pad Se 11 8gb/256gb (gris) Color Gris</t>
  </si>
  <si>
    <t>2132531999</t>
  </si>
  <si>
    <t>Razer</t>
  </si>
  <si>
    <t>2133203453</t>
  </si>
  <si>
    <t>Audífonos Bose Quietcomfort Ultra Blanco Humo Color White Smoke</t>
  </si>
  <si>
    <t>3356940650</t>
  </si>
  <si>
    <t>Xiaomi Mi Electric Scooter Essential Negro</t>
  </si>
  <si>
    <t>2130424045</t>
  </si>
  <si>
    <t>Barra De Sonido Jbl Bar 1000 7.1.4 Bluetooth 880w Surround Color Negro</t>
  </si>
  <si>
    <t>2140347187</t>
  </si>
  <si>
    <t>20000mah Redmi 18w Fast Charge Power Bank Black</t>
  </si>
  <si>
    <t>2140448367</t>
  </si>
  <si>
    <t>2130388239</t>
  </si>
  <si>
    <t>Parlante Jbl Partybox 1000 Portátil Con Bluetooth Black 100v/240v</t>
  </si>
  <si>
    <t>2140363025</t>
  </si>
  <si>
    <t>Marshall Bocina Uxbridge Voice Alexa - Negro</t>
  </si>
  <si>
    <t>3361726544</t>
  </si>
  <si>
    <t>Xiaomi Smart Air Purifier 4 Compact Filter Color Blanco</t>
  </si>
  <si>
    <t>3360708680</t>
  </si>
  <si>
    <t>Ps5 Bundle De Horizon Call Of The Mountain Pls Vr2 Color Blan</t>
  </si>
  <si>
    <t>2129040333</t>
  </si>
  <si>
    <t>Walkman® Resistente Al Agua Y Al Polvo Color Negro</t>
  </si>
  <si>
    <t>2133153511</t>
  </si>
  <si>
    <t>Auriculares Inalámbricos Jbl Wave Flex Bluetooth Tws Color Negro</t>
  </si>
  <si>
    <t>2136869715</t>
  </si>
  <si>
    <t>Xiaomi Smart Air Purifier 4 Compact Color Blanco</t>
  </si>
  <si>
    <t>Camara De Seguridad Exterior Xiaomi Outdoor Camera Aw200 Color Blanco</t>
  </si>
  <si>
    <t>3371993422</t>
  </si>
  <si>
    <t>3383104024</t>
  </si>
  <si>
    <t>Altavoz Marshall Acton III Negro</t>
  </si>
  <si>
    <t>3360671656</t>
  </si>
  <si>
    <t>Auriculares In-ear Inalámbricos Jbl Tune Tune Flex Blanco</t>
  </si>
  <si>
    <t>3400696304</t>
  </si>
  <si>
    <t>Audifonos Skullcandy Smokin Buds Xt Supreme Sound Power Bass Color True Black Color De La Luz Blue/red</t>
  </si>
  <si>
    <t>3407176610</t>
  </si>
  <si>
    <t>Auriculares Inalámbricos Bluetooth Xiaomi Redmi Buds 6 Play Color Bl</t>
  </si>
  <si>
    <t>2134126491</t>
  </si>
  <si>
    <t>Auriculares In-ear Inalámbricos Jbl Wave 200tws Jblw200tws Black</t>
  </si>
  <si>
    <t>3383070506</t>
  </si>
  <si>
    <t>Olla Presión Freidora Vapor Ninja Foodi Ol500 6.2l 13 En 1 Color Negro</t>
  </si>
  <si>
    <t>3400696114</t>
  </si>
  <si>
    <t>Audifonos Skullcandy Smokin Buds Xt Supreme Sound All Colors Color Pink Glow Luz Luz</t>
  </si>
  <si>
    <t>2164007075</t>
  </si>
  <si>
    <t>Amazon E-reader Kindle 6 Pulgadas 300 Ppi (versión 2022) Color Negro</t>
  </si>
  <si>
    <t>2164053109</t>
  </si>
  <si>
    <t>3400593350</t>
  </si>
  <si>
    <t xml:space="preserve">Audifonos Skullcandy Smokin Buds Xt Supreme Sound </t>
  </si>
  <si>
    <t>3407027278</t>
  </si>
  <si>
    <t>Auriculares Inalámbricos Xiaomi Redmi Buds 6 Play</t>
  </si>
  <si>
    <t>5336507896</t>
  </si>
  <si>
    <t>Kit audifonos y bateria</t>
  </si>
  <si>
    <t>Kit</t>
  </si>
  <si>
    <t>3411211172</t>
  </si>
  <si>
    <t>Bocina Portátil Jbl Partybox On The Go Essential Bt Negro</t>
  </si>
  <si>
    <t>2162511757</t>
  </si>
  <si>
    <t>Barra De Sonido Bose Solo Soundbar Series Ii Color Negro</t>
  </si>
  <si>
    <t>2162459179</t>
  </si>
  <si>
    <t>Skullcandy Kilo - Altavoz Bluetooth Inalámbrico, Ipx7, Imp. Color Negro</t>
  </si>
  <si>
    <t>2162461021</t>
  </si>
  <si>
    <t>2164050015</t>
  </si>
  <si>
    <t>Logitech Mouse Mx Master 3s Grafito</t>
  </si>
  <si>
    <t>2164050399</t>
  </si>
  <si>
    <t>Mouse Logitech Lift Vertical Wireless Bluetooth Color Negro</t>
  </si>
  <si>
    <t>2162512329</t>
  </si>
  <si>
    <t>Skullcandy Terrain - Altavoz Bluetooth Inalámbrico, Ipx7 I. Color Negro</t>
  </si>
  <si>
    <t>3435500256</t>
  </si>
  <si>
    <t xml:space="preserve">Laptop Hp 14 Intel Celeron N4020 4gb Ram 64gb Windows Color Rosa
</t>
  </si>
  <si>
    <t>3400708592</t>
  </si>
  <si>
    <t>Audifonos Skullcandy Smokin Buds Xt Supreme Sound All Colors Color Flame Red Luz Luz</t>
  </si>
  <si>
    <t>2153971031</t>
  </si>
  <si>
    <t>Bose Nuevos Audífonos Inalámbricos Con Cancelación De Color Negro</t>
  </si>
  <si>
    <t>2153947303</t>
  </si>
  <si>
    <t>Audífonos Sony Inalámbricos Wh-ch720n, Color Negro</t>
  </si>
  <si>
    <t>2163992873</t>
  </si>
  <si>
    <t>Audifonos Skullcandy Smokin Buds Xt Supreme Sound All Colors Color Bone Orange Glow Luz Azul</t>
  </si>
  <si>
    <t>3427826438</t>
  </si>
  <si>
    <t>Bocina Inalámbrica Portátil Extra Bass Srs-xb13 Color Azul Claro</t>
  </si>
  <si>
    <t>2153996675</t>
  </si>
  <si>
    <t>Bose Nuevos Audífonos Inalámbricos Con Cancelación De Color Blanco</t>
  </si>
  <si>
    <t>2168953315</t>
  </si>
  <si>
    <t>Altavoz Portátil Sony Xb13, Caja De Altavoz Bluetooth, Color Negro</t>
  </si>
  <si>
    <t>3427891064</t>
  </si>
  <si>
    <t>3435443234</t>
  </si>
  <si>
    <t>Parlante Portátil Harman Kardon Neo Bluetooth Macrotec Color Azul</t>
  </si>
  <si>
    <t>2177973419</t>
  </si>
  <si>
    <t>3448527990</t>
  </si>
  <si>
    <t>Xiaomi Powerbank Bateria Externa 10000mah Carga Rapida 22.5w Salida</t>
  </si>
  <si>
    <t>3448571640</t>
  </si>
  <si>
    <t>Freidora De Aire Xiaomi Smart Air Fryer 6.5lts Black Color Negro</t>
  </si>
  <si>
    <t>3284063454</t>
  </si>
  <si>
    <t>Band 9</t>
  </si>
  <si>
    <t>2168835943</t>
  </si>
  <si>
    <t>Auriculares Inalámbricos Xiaomi Redmi Buds 6 Lite Bt - White</t>
  </si>
  <si>
    <t>2172268905</t>
  </si>
  <si>
    <t>Auriculares Bluetooth Blancos Jbl Tune 720bt</t>
  </si>
  <si>
    <t>2177889399</t>
  </si>
  <si>
    <t>Xiaomi Mi 50w Power Bank 20000 Color Negro</t>
  </si>
  <si>
    <t>3427659888</t>
  </si>
  <si>
    <t>Auriculares Xiaomi Redmi Buds 6 Lite - Cover Company Color Negro</t>
  </si>
  <si>
    <t>3450024510</t>
  </si>
  <si>
    <t>Cámara De Seguridad Xiaomi Mi 360° 1080p Con Wifi Y Zoom Color Blanco</t>
  </si>
  <si>
    <t>2184443813</t>
  </si>
  <si>
    <t>Tablet Xiaomi Redmi Pad Se 8.7 / 4gb/ 64gb/ Octacore/ Azul C</t>
  </si>
  <si>
    <t>2510938116</t>
  </si>
  <si>
    <t>2134100423</t>
  </si>
  <si>
    <t xml:space="preserve">Wave 200 </t>
  </si>
  <si>
    <t>3439600970</t>
  </si>
  <si>
    <t>3340812196</t>
  </si>
  <si>
    <t>2167077343</t>
  </si>
  <si>
    <t>3413380150</t>
  </si>
  <si>
    <t>3439342826</t>
  </si>
  <si>
    <t>Go + Play | Bocina Bluetooth Portatil - Harman Kardon. Gris</t>
  </si>
  <si>
    <t>3446454992</t>
  </si>
  <si>
    <t>Parlante Jbl Wind 3s Port</t>
  </si>
  <si>
    <t>Audífonos True Wireless Con Noise Cancelling Wf-1000xm5</t>
  </si>
  <si>
    <t>3446378394</t>
  </si>
  <si>
    <t>Barra De Sonido Bose Smart Ultra Color Negro</t>
  </si>
  <si>
    <t>2188453589</t>
  </si>
  <si>
    <t>Consola Sony Playstation 5 Pro Digital 2 Tb Blanco</t>
  </si>
  <si>
    <t>2195283185</t>
  </si>
  <si>
    <t>Robot Aspirador Xiaomi Vacuum S20 Bivolt White</t>
  </si>
  <si>
    <t>3471272032</t>
  </si>
  <si>
    <t>Aspirador Inteligente Xiaomi Mi Vacuum-mop S10 Bhr6389us Color Color Blanco</t>
  </si>
  <si>
    <t>2144772297</t>
  </si>
  <si>
    <t>Camara De Seguridad Exterior Xiaomi Outdoor C...</t>
  </si>
  <si>
    <t>3490338016</t>
  </si>
  <si>
    <t xml:space="preserve">Band 9 Pro </t>
  </si>
  <si>
    <t>3490415848</t>
  </si>
  <si>
    <t>3490402824</t>
  </si>
  <si>
    <t>3480156496</t>
  </si>
  <si>
    <t>Tablet Xiaomi Redmi Pad Se 11 256gb Verde 8gb De Memoria Ram Y 8gb De Memoria Ram</t>
  </si>
  <si>
    <t>3497684420</t>
  </si>
  <si>
    <t>S400</t>
  </si>
  <si>
    <t>2254029287</t>
  </si>
  <si>
    <t>2195260831</t>
  </si>
  <si>
    <t>Watch 5 active</t>
  </si>
  <si>
    <t>3448481636</t>
  </si>
  <si>
    <t>Freidora</t>
  </si>
  <si>
    <t>3485164104</t>
  </si>
  <si>
    <t>3485131080</t>
  </si>
  <si>
    <t>3500393320</t>
  </si>
  <si>
    <t>Revolve +</t>
  </si>
  <si>
    <t>3511058782</t>
  </si>
  <si>
    <t xml:space="preserve">Mi smart Speaker Lite </t>
  </si>
  <si>
    <t>2199110707</t>
  </si>
  <si>
    <t>2199134201</t>
  </si>
  <si>
    <t>2199146897</t>
  </si>
  <si>
    <t>Audífonos Skullcandy Riff, Alambricos Color Black Con Luz Led</t>
  </si>
  <si>
    <t>3513662508</t>
  </si>
  <si>
    <t>Jbl Sb580 127v</t>
  </si>
  <si>
    <t xml:space="preserve">
Jbl Jbl. Bar 1000 7.1.4 Surround 127v</t>
  </si>
  <si>
    <t>3513331280</t>
  </si>
  <si>
    <t>Home Theater Jbl Soundbar Bar 500 Pro Negro 127v</t>
  </si>
  <si>
    <t>2213000277</t>
  </si>
  <si>
    <t>Barra De Sonido Jbl Jblsb510 Cinema Sb510 Negra Negro 127v</t>
  </si>
  <si>
    <t>3523418644</t>
  </si>
  <si>
    <t>Bocina JBL PartyBox 1000 portátil con bluetooth black 127V</t>
  </si>
  <si>
    <t>2215679809</t>
  </si>
  <si>
    <t>Lentes De Realidad Virtual Meta Quest 3s De 128 Gb Blanco</t>
  </si>
  <si>
    <t>3519753754</t>
  </si>
  <si>
    <t>Audifonos Skullcandy Smokin Buds Color Negro</t>
  </si>
  <si>
    <t>3519840898</t>
  </si>
  <si>
    <t>3520174598</t>
  </si>
  <si>
    <t>Smartwatch Xiaomi Redmi Watch 5 Lite Amoled 1.96' Light Gold</t>
  </si>
  <si>
    <t>3520161952</t>
  </si>
  <si>
    <t>2217939587</t>
  </si>
  <si>
    <t>Xiaomi Smart Band 9 Active Beige White</t>
  </si>
  <si>
    <t>2217952347</t>
  </si>
  <si>
    <t>3533087070</t>
  </si>
  <si>
    <t>Bocina Xiaomi Sound Pocket Mdz-37-db Portátil Con Bluetooth Waterproof Black 127v</t>
  </si>
  <si>
    <t>3533087068</t>
  </si>
  <si>
    <t>2219476527</t>
  </si>
  <si>
    <t>Bocina Jbl Partybox Partybox Club 120 Jblpbclub120am Portátil Con Bluetooth Waterproof Negra 127</t>
  </si>
  <si>
    <t>3520024152</t>
  </si>
  <si>
    <t xml:space="preserve">Audífonos Profesionales Sony Mdr-7506
</t>
  </si>
  <si>
    <t>2215812615</t>
  </si>
  <si>
    <t>Reloj Smartwatch Xiaomi Redmi Watch 5 Lite 1,96 Amoled Bt Gps - Black</t>
  </si>
  <si>
    <t>2215816881</t>
  </si>
  <si>
    <t>2221365071</t>
  </si>
  <si>
    <t>Audífonos Inalámbricos Jbl Vibe Beam Bluetooth, Beige. Color Beige Color De La Luz Beige</t>
  </si>
  <si>
    <t>3535614622</t>
  </si>
  <si>
    <t>Tour Pro 2</t>
  </si>
  <si>
    <t>3535683434</t>
  </si>
  <si>
    <t>2224604437</t>
  </si>
  <si>
    <t>3538564876</t>
  </si>
  <si>
    <t>2153933761</t>
  </si>
  <si>
    <t>2224578637</t>
  </si>
  <si>
    <t>3538526940</t>
  </si>
  <si>
    <t>2228067387</t>
  </si>
  <si>
    <t>Bose Micro</t>
  </si>
  <si>
    <t>3538494826</t>
  </si>
  <si>
    <t>Stage 320</t>
  </si>
  <si>
    <t>2222960861</t>
  </si>
  <si>
    <t>Bocina Harman Kardon 1100 Multibeam Negro Barra De Sonido</t>
  </si>
  <si>
    <t>2228923383</t>
  </si>
  <si>
    <t>Audifonos Inalambricos Jbl Vibe Beam Perfect Fit - Blue Azul Color Azul Claro</t>
  </si>
  <si>
    <t>2228947959</t>
  </si>
  <si>
    <t>Bocina Jbl Go 4 Jblgo4 Portátil Con Bluetooth Waterproof Roja 127v</t>
  </si>
  <si>
    <t>2232121233</t>
  </si>
  <si>
    <t>Extractor De Jugos Nutribullet Nbj50100 Negro Con Accesorios</t>
  </si>
  <si>
    <t>2234953159</t>
  </si>
  <si>
    <t>Licuadora Nutribullet 1200 Watts Con Vasos Extra Con Tapas</t>
  </si>
  <si>
    <t>2234813493</t>
  </si>
  <si>
    <t>Reloj Garmin Instinct 2 Grafito Estándar 45mm Con Gps 10atm Color De La Caja Gris</t>
  </si>
  <si>
    <t>3553307292</t>
  </si>
  <si>
    <t>Magic Bullet Licuadora Personal De 11 Piezas Color Plateado</t>
  </si>
  <si>
    <t>3552892704</t>
  </si>
  <si>
    <t>3460490110</t>
  </si>
  <si>
    <t>3550149464</t>
  </si>
  <si>
    <t>NC301</t>
  </si>
  <si>
    <t>DEAL</t>
  </si>
  <si>
    <t>2234781073</t>
  </si>
  <si>
    <t>Licuadora De Sobremesa Nutribullet Nbf50400 1.8l 1200w Gris</t>
  </si>
  <si>
    <t>3553371376</t>
  </si>
  <si>
    <t>Nutribullet Batidora Ultra Nb50500, 32 Onzas Color Gris Oscur</t>
  </si>
  <si>
    <t>2236708089</t>
  </si>
  <si>
    <t>Xiaomi Electric Scooter 4 Patín Negro De 35km</t>
  </si>
  <si>
    <t>3558230260</t>
  </si>
  <si>
    <t>Reloj Inteligente Xiaomi Watch 2 Pro Wear Os By Google Hasta 65hrs Bateria Plateado</t>
  </si>
  <si>
    <t>3558301050</t>
  </si>
  <si>
    <t>2099363371</t>
  </si>
  <si>
    <t>Bocina Harman Kardon Onyx Studio 8 Hkos8blkbr Portátil Con Bluetooth Negra 127v</t>
  </si>
  <si>
    <t>2236890451</t>
  </si>
  <si>
    <t>Audífonos Inalámbricos Jbl Vibe Beam Bluetooth, Blanco. Color Blanco Color De La Luz Blanco</t>
  </si>
  <si>
    <t>3558012550</t>
  </si>
  <si>
    <t>Audífonos Redmi Buds 6 Play Color Rosa</t>
  </si>
  <si>
    <t>3558086970</t>
  </si>
  <si>
    <t>3562439670</t>
  </si>
  <si>
    <t>Audífonos Sony Inalámbricos, Wh-1000xm5 Color Negro</t>
  </si>
  <si>
    <t xml:space="preserve">#3558230260
</t>
  </si>
  <si>
    <t>2238213891</t>
  </si>
  <si>
    <t>Parlante Xiaomi Mi Portable Bluetooth Speaker 16w Red Color Rojo</t>
  </si>
  <si>
    <t>3562294302</t>
  </si>
  <si>
    <t>Auriculares Inalámbricos A9 Pro Con Pantalla Táctil Anc Tws Noise</t>
  </si>
  <si>
    <t>2234930069</t>
  </si>
  <si>
    <t>Licuadora Nutribullet Flip 500ml Negra, Con  Accesorios</t>
  </si>
  <si>
    <t>2244934645</t>
  </si>
  <si>
    <t xml:space="preserve">Barra De Sonido Sony Ht-s100f 2 Canales Bluetooth Hdmi Negr </t>
  </si>
  <si>
    <t>2246310531</t>
  </si>
  <si>
    <t xml:space="preserve">Buds 6 lite </t>
  </si>
  <si>
    <t>2244922919</t>
  </si>
  <si>
    <t>Home Theater Sony Ht Ht-s400 Negro 127v</t>
  </si>
  <si>
    <t>3576569130</t>
  </si>
  <si>
    <t>Ultimate Ears Wonderboom 4 Altavoz Bluetooth Portátil Al Con</t>
  </si>
  <si>
    <t>2240773825</t>
  </si>
  <si>
    <t xml:space="preserve">Buds 6 active </t>
  </si>
  <si>
    <t>2240721771</t>
  </si>
  <si>
    <t>2243023517</t>
  </si>
  <si>
    <t>Licuadora Profesional Ninja Grand Kitchen System 1200 Watts Auto-iq 4 Programas Estab</t>
  </si>
  <si>
    <t>2243113993</t>
  </si>
  <si>
    <t>2246295937</t>
  </si>
  <si>
    <t>Bocina Sony Serie X Srs-xe300 Srs-xe300 Portátil Con Bluetooth Waterproof Azul 127v</t>
  </si>
  <si>
    <t>2246335097</t>
  </si>
  <si>
    <t>2246297271</t>
  </si>
  <si>
    <t xml:space="preserve">Buds 6 Lite </t>
  </si>
  <si>
    <t>2238123533</t>
  </si>
  <si>
    <t>beam</t>
  </si>
  <si>
    <t>2238149907</t>
  </si>
  <si>
    <t>3581966414</t>
  </si>
  <si>
    <t>Bocina Xiaomi Sound Outdoor Mdz-38-db Portátil Con Bluetooth 5.4 Waterproof Black Ip67 30w 12horas Combo Estéreo Tws 5v</t>
  </si>
  <si>
    <t>3577824696</t>
  </si>
  <si>
    <t>Audífonos Inalámbricos Wh-ch520 Color Beige</t>
  </si>
  <si>
    <t>2240796211</t>
  </si>
  <si>
    <t>Audífonos Cobrapulse Bluetooth 5.4 Tws Con Smart Pantalla Táctil Iq Store</t>
  </si>
  <si>
    <t>2249945311</t>
  </si>
  <si>
    <t>Bose Quietcomfort - Auriculares Inalámbricos Con</t>
  </si>
  <si>
    <t>3582063136</t>
  </si>
  <si>
    <t>3582101766</t>
  </si>
  <si>
    <t>Audifonos Bose Quietcomfort Wireless Noise Cancelling Color Azul - Limited Edition</t>
  </si>
  <si>
    <t>3582140600</t>
  </si>
  <si>
    <t>3591629812</t>
  </si>
  <si>
    <t>Papel</t>
  </si>
  <si>
    <t>3591631620</t>
  </si>
  <si>
    <t>Watch 5</t>
  </si>
  <si>
    <t>3591727692</t>
  </si>
  <si>
    <t>Sony WF-C500 wireless earbuds black</t>
  </si>
  <si>
    <t>3591771682</t>
  </si>
  <si>
    <t>Buds 6 PRO LAVANDER</t>
  </si>
  <si>
    <t>3591940186</t>
  </si>
  <si>
    <t>3591774502</t>
  </si>
  <si>
    <t xml:space="preserve">Buds 6 Blancos </t>
  </si>
  <si>
    <t>3591903204</t>
  </si>
  <si>
    <t>Buds 6</t>
  </si>
  <si>
    <t>3591838898</t>
  </si>
  <si>
    <t>Buds 6 Coral green</t>
  </si>
  <si>
    <t>3591839994</t>
  </si>
  <si>
    <t>Audífonos Pro Air Blancos Inalámbricos Bluetooth Compatible Color Blanco</t>
  </si>
  <si>
    <t>3591900656</t>
  </si>
  <si>
    <t>Smartwatch Xiaomi Watch S4 Amoled 1.43'' Gps Hyperos 2 Resistente Al Agua Gps Pantalla Táctil</t>
  </si>
  <si>
    <t>3591793650</t>
  </si>
  <si>
    <t>Ninja SLUSHi - FS301C Pofessional Frozen Drink</t>
  </si>
  <si>
    <t>2262293251</t>
  </si>
  <si>
    <t>Reloj Smartwatch Xiaomi Watch 5 2,07 Amoled 5atm - Silver Gray</t>
  </si>
  <si>
    <t>3591812670</t>
  </si>
  <si>
    <t>2425464486</t>
  </si>
  <si>
    <t>2263612229</t>
  </si>
  <si>
    <t>Party10000</t>
  </si>
  <si>
    <t>3602023730</t>
  </si>
  <si>
    <t>Audífonos Inalámbricos Jbl Tune 510bt Jblt510bt Blanco Con Luz Led</t>
  </si>
  <si>
    <t>2263038283</t>
  </si>
  <si>
    <t>3615876286</t>
  </si>
  <si>
    <t>Sounlink Micro</t>
  </si>
  <si>
    <t>2263019439</t>
  </si>
  <si>
    <t>2266401487</t>
  </si>
  <si>
    <t>3602137038</t>
  </si>
  <si>
    <t>3607335198</t>
  </si>
  <si>
    <t>Audífonos Skullcandy Tw Rail Inalámbricos</t>
  </si>
  <si>
    <t>3611473704</t>
  </si>
  <si>
    <t>3621020870</t>
  </si>
  <si>
    <t xml:space="preserve">Ventilador </t>
  </si>
  <si>
    <t>3632783562</t>
  </si>
  <si>
    <t>Celular Xiaomi Poco M7 Pro 5g 8gb Ram 256gb Rom Dual Sim Silver</t>
  </si>
  <si>
    <t>3632721822</t>
  </si>
  <si>
    <t>Celular Xiaomi Poco M7 Pro 5g 8gb Ram 256gb Rom Dual Sim Purple</t>
  </si>
  <si>
    <t>2279957023</t>
  </si>
  <si>
    <t>Xiaomi Pocophone Xiaomi Poco M7 Pro 5g Yes Green 256 Gb 8 Gb</t>
  </si>
  <si>
    <t>2279892595</t>
  </si>
  <si>
    <t>Celular Xiaomi Poco M7 Pro 5g 12gb Ram 256gb Rom Dual Sim Silver</t>
  </si>
  <si>
    <t>2280017813</t>
  </si>
  <si>
    <t>2279970545</t>
  </si>
  <si>
    <t>2280022145</t>
  </si>
  <si>
    <t xml:space="preserve">Xiaomi Pocophone Poco X7 Pro 5g Dual Sim 8 Gb Ram 256 </t>
  </si>
  <si>
    <t>2280090083</t>
  </si>
  <si>
    <t>Xiaomi Pocophone Poco X7 Pro 5g Dual Sim 8 Gb Ram 257</t>
  </si>
  <si>
    <t>3626188752</t>
  </si>
  <si>
    <t>Barra De Sonido Xiaomi Soundbar 2.0ch Bocina Home Theater ,altavoces Ovalados De 2×15w,bluetooth 5.3,aux,spdif,optical</t>
  </si>
  <si>
    <t>3633254642</t>
  </si>
  <si>
    <t>Lentes De Realidad Virtual Oculus Meta Quest 3 128gb Blanc</t>
  </si>
  <si>
    <t>2277176245</t>
  </si>
  <si>
    <t>Audifonos Bluetooth Pods Gamer Onikuma T20 Switch Wonder Go Color Negro Neón Luz Blanca</t>
  </si>
  <si>
    <t>2277081613</t>
  </si>
  <si>
    <t>3626079624</t>
  </si>
  <si>
    <t>Xiaomi Mi Tv Stick Full Hd 8gb Chromecast Streaming Con C</t>
  </si>
  <si>
    <t>3637634576</t>
  </si>
  <si>
    <t>Caja De Tv Android Box 2gb Ram 16gb 1000 Canales Inlcluidos</t>
  </si>
  <si>
    <t>3626252866</t>
  </si>
  <si>
    <t>3614651308</t>
  </si>
  <si>
    <t>3616143072</t>
  </si>
  <si>
    <t>2282315627</t>
  </si>
  <si>
    <t>Audífonos Inalambrico Redmi Busds 6 Pro 36 Horas Negro</t>
  </si>
  <si>
    <t>3626225464</t>
  </si>
  <si>
    <t>3626522402</t>
  </si>
  <si>
    <t>2271841047</t>
  </si>
  <si>
    <t>Audífonos Inalámbricos Jbl Live Buds 3 Nc Bluetooth</t>
  </si>
  <si>
    <t>2279076323</t>
  </si>
  <si>
    <t>2289429353</t>
  </si>
  <si>
    <t>2280289545</t>
  </si>
  <si>
    <t xml:space="preserve">ANker </t>
  </si>
  <si>
    <t>2280277417</t>
  </si>
  <si>
    <t>3633417460</t>
  </si>
  <si>
    <t>2284185853</t>
  </si>
  <si>
    <t>Poco C71 4gb Ram 128gb Rom Dorado Dual Sim Smartphone 2025</t>
  </si>
  <si>
    <t>2284224171</t>
  </si>
  <si>
    <t>Poco C71 4gb Ram 128gb Rom Black Dual Sim Smartphone 2025</t>
  </si>
  <si>
    <t>3870573558</t>
  </si>
  <si>
    <t>2284224501</t>
  </si>
  <si>
    <t>Poco C71 4gb Ram 128gb Rom Black Dual Sim Smartphone 2026</t>
  </si>
  <si>
    <t>3649087076</t>
  </si>
  <si>
    <t xml:space="preserve">Audifonos Skullcandy Dime True Inalambricos Bluetooth Verde
</t>
  </si>
  <si>
    <t>3649050380</t>
  </si>
  <si>
    <t>3574431554</t>
  </si>
  <si>
    <t xml:space="preserve">Wind 3 </t>
  </si>
  <si>
    <t>3658757362</t>
  </si>
  <si>
    <t>Mouse Logitech Mx Ergo S Trackball Graphite</t>
  </si>
  <si>
    <t>2296665141</t>
  </si>
  <si>
    <t>2296652053</t>
  </si>
  <si>
    <t>2296679395</t>
  </si>
  <si>
    <t>3332581842</t>
  </si>
  <si>
    <t>2292625027</t>
  </si>
  <si>
    <t>2292446103</t>
  </si>
  <si>
    <t>Emberton</t>
  </si>
  <si>
    <t>2295714599</t>
  </si>
  <si>
    <t>Screwdriver</t>
  </si>
  <si>
    <t>851845747</t>
  </si>
  <si>
    <t>2288178507</t>
  </si>
  <si>
    <t>2288064865</t>
  </si>
  <si>
    <t>2301830341</t>
  </si>
  <si>
    <t>Mouse Logitech Mx Master 3s Grafito</t>
  </si>
  <si>
    <t>3686616180</t>
  </si>
  <si>
    <t xml:space="preserve">Xtreme 3 </t>
  </si>
  <si>
    <t>2301767721</t>
  </si>
  <si>
    <t>Mouse Logitech G502 Hero K/da. Edicion Liga De Leyendas Kda</t>
  </si>
  <si>
    <t>2305328089</t>
  </si>
  <si>
    <t>Audífonos Skullcandy Grind Inalámbrico 40hrs Ip55 Color Negro</t>
  </si>
  <si>
    <t>2311398225</t>
  </si>
  <si>
    <t>2304176987</t>
  </si>
  <si>
    <t>2305278531</t>
  </si>
  <si>
    <t>Bocina Xiaomi Sound Outdoor Mdz-38-db Portátil Con Bluetooth 5.4 Waterproof Azul Ip67 30w 12horas Co</t>
  </si>
  <si>
    <t>2305343323</t>
  </si>
  <si>
    <t>2308741771</t>
  </si>
  <si>
    <t>Power Bank Xiaomi 33w 20000mah Batería Portátil Con Cable Color Azul</t>
  </si>
  <si>
    <t>2308780193</t>
  </si>
  <si>
    <t>3679051086</t>
  </si>
  <si>
    <t>Auriculares Jbl Tune Flex 2 - Negro</t>
  </si>
  <si>
    <t>3679051666</t>
  </si>
  <si>
    <t>Auriculares Jbl Tour Pro 3 True Wireless Con Cancelación De Color Negro</t>
  </si>
  <si>
    <t>3679084894</t>
  </si>
  <si>
    <t xml:space="preserve">Bocina Inalámbrica Harman Kardon Aura Studio 4 Bt, Negro
</t>
  </si>
  <si>
    <t>3679125668</t>
  </si>
  <si>
    <t>Auriculares Bluetooth Jbl Endurance Race 2 Blancos</t>
  </si>
  <si>
    <t>3679228756</t>
  </si>
  <si>
    <t>3679139238</t>
  </si>
  <si>
    <t>Auriculares Jbl Endurance Race 2 - Negro</t>
  </si>
  <si>
    <t>3679163568</t>
  </si>
  <si>
    <t>Auriculares Bluetooth Jbl Tune Buds 2 Negros</t>
  </si>
  <si>
    <t>2315550777</t>
  </si>
  <si>
    <t>Cargador Portátil Xiaomi Power Bank 22.5w 10000 Mah Alta Capacidad Carga Rápida Multidispositivo Seguridad Avanzada Diseño Compacto</t>
  </si>
  <si>
    <t>2315512409</t>
  </si>
  <si>
    <t>3700703490</t>
  </si>
  <si>
    <t>2312786253</t>
  </si>
  <si>
    <t>2312888363</t>
  </si>
  <si>
    <t>c71</t>
  </si>
  <si>
    <t>2305291159</t>
  </si>
  <si>
    <t xml:space="preserve">Buds 6 play azul </t>
  </si>
  <si>
    <t>2305277923</t>
  </si>
  <si>
    <t>3692477142</t>
  </si>
  <si>
    <t>3692427034</t>
  </si>
  <si>
    <t>2311418117</t>
  </si>
  <si>
    <t>2311408057</t>
  </si>
  <si>
    <t>2305305345</t>
  </si>
  <si>
    <t>3692350294</t>
  </si>
  <si>
    <t>3716929366</t>
  </si>
  <si>
    <t>3704561378</t>
  </si>
  <si>
    <t>2317982107</t>
  </si>
  <si>
    <t>2317891125</t>
  </si>
  <si>
    <t>3704574294</t>
  </si>
  <si>
    <t>3704510826</t>
  </si>
  <si>
    <t>Bolsa Tote Fjallraven Kånken Totepack Color Black</t>
  </si>
  <si>
    <t>2317904101</t>
  </si>
  <si>
    <t>2317980917</t>
  </si>
  <si>
    <t>2317955617</t>
  </si>
  <si>
    <t>3704588360</t>
  </si>
  <si>
    <t>3704497540</t>
  </si>
  <si>
    <t>3704510526</t>
  </si>
  <si>
    <t>2315528669</t>
  </si>
  <si>
    <t>2317981939</t>
  </si>
  <si>
    <t>3716947140</t>
  </si>
  <si>
    <t>3716973238</t>
  </si>
  <si>
    <t>3707799702</t>
  </si>
  <si>
    <t>3704710094</t>
  </si>
  <si>
    <t>3704758486</t>
  </si>
  <si>
    <t>2262295177</t>
  </si>
  <si>
    <t>2289054077</t>
  </si>
  <si>
    <t>Audifonos Bose Quietcomfort Ultra Wireless Noise Cancelling Color Neg</t>
  </si>
  <si>
    <t>2330748849</t>
  </si>
  <si>
    <t xml:space="preserve">Audífonos Inalámbricos Diadema Soundcore Life Q20 </t>
  </si>
  <si>
    <t>2330906047</t>
  </si>
  <si>
    <t>Xiaomi Power Bank 10000mah 33w Supercarga Con Cable/cordón Azul</t>
  </si>
  <si>
    <t>2330786981</t>
  </si>
  <si>
    <t>2331917831</t>
  </si>
  <si>
    <t>Máquina Algodón De Azúcar Rosa Iq Tech 500 W | Compacta</t>
  </si>
  <si>
    <t>3727252416</t>
  </si>
  <si>
    <t>Xiaomi Powerbank 10000mah 33w Supercarga Con Cable Int</t>
  </si>
  <si>
    <t>3729759464</t>
  </si>
  <si>
    <t>Home Donut Maker 16 Rosquillas, 1400 W, Calefacción De Doble</t>
  </si>
  <si>
    <t>3729697806</t>
  </si>
  <si>
    <t>Horno Electrico De Mesa Horno Tostador Asador Multifuncional</t>
  </si>
  <si>
    <t>3729760002</t>
  </si>
  <si>
    <t>Máquina Mini Donas 12 Cavidades Antiadherente 900 W | Donuts</t>
  </si>
  <si>
    <t>2333018033</t>
  </si>
  <si>
    <t>3740503100</t>
  </si>
  <si>
    <t>Nutribullet Triple Prep System Color Negro</t>
  </si>
  <si>
    <t>3704588416</t>
  </si>
  <si>
    <t>Bandolera Fjällräven Kånken Sling, Color Ocre, Níquel, Correa De Hombro, Diseño De Tela Amarilla, Suave</t>
  </si>
  <si>
    <t>2350575311</t>
  </si>
  <si>
    <t xml:space="preserve">Quantum 100 Negro </t>
  </si>
  <si>
    <t>2352047719</t>
  </si>
  <si>
    <t>Audífonos Xiaomi Redmi Buds 4 Lite Negro- Open Box Original</t>
  </si>
  <si>
    <t>2352101471</t>
  </si>
  <si>
    <t>Xiaomi Tv Box S Negro 2 Puertos Hdmi Rca 1080p - Open Box</t>
  </si>
  <si>
    <t>2352129345</t>
  </si>
  <si>
    <t>Audífonos Inalámbricos Jbl Tune 230nc Tws Blanco Open Box</t>
  </si>
  <si>
    <t>3783257018</t>
  </si>
  <si>
    <t>Auriculares Jbl Tune 720bt Bluetooth Negro Open Box</t>
  </si>
  <si>
    <t>3783203522</t>
  </si>
  <si>
    <t>Audífonos Gamer Jbl Quantum 400 Negro Con Cable Open Box</t>
  </si>
  <si>
    <t>3783296384</t>
  </si>
  <si>
    <t>Audífonos Bose Quietcomfort Earbudsii Color Blanco Open Box</t>
  </si>
  <si>
    <t>3783336258</t>
  </si>
  <si>
    <t>Xiaomi Mi Smart Band 8 Active Rosa Open Box Nuevo</t>
  </si>
  <si>
    <t>3785735494</t>
  </si>
  <si>
    <t>Parlante Jbl Link Music Con Asistente Google Open Box</t>
  </si>
  <si>
    <t>3785956494</t>
  </si>
  <si>
    <t>Audífonos Skullcandy Smokin Buds Xt True Black Openbox Nuevo</t>
  </si>
  <si>
    <t>3816273534</t>
  </si>
  <si>
    <t>Audífonos Inalámbricos Jbl Vibe Flex Menta - Open Box</t>
  </si>
  <si>
    <t>2365615363</t>
  </si>
  <si>
    <t>Amplificador Wifi Xiaomi Mirouter 4c 300mbps Blanco-open Box</t>
  </si>
  <si>
    <t>3816313036</t>
  </si>
  <si>
    <t>Xiaomi Mi Tv Stick Full Hd 8gb Chromecast Negro - Open Box</t>
  </si>
  <si>
    <t>2365654705</t>
  </si>
  <si>
    <t>Skullcandy Smokin Buds In-ear Bluetooth Blanco Open Box</t>
  </si>
  <si>
    <t>3816133068</t>
  </si>
  <si>
    <t>Xiaomi BUds 5 Azul</t>
  </si>
  <si>
    <t>2365660159</t>
  </si>
  <si>
    <t>Audifonos Jbl Wave Beam Inalámbricos Bt Negros -openbox</t>
  </si>
  <si>
    <t>3816172310</t>
  </si>
  <si>
    <t>Audífonos Skullcandy Indy Evo True Wireless Gris Open Box</t>
  </si>
  <si>
    <t>3833031150</t>
  </si>
  <si>
    <t>Xiaomi Band 8 negra</t>
  </si>
  <si>
    <t>3833062724</t>
  </si>
  <si>
    <t>Band 9 active black</t>
  </si>
  <si>
    <t>3833102278</t>
  </si>
  <si>
    <t>Watch 5 active silver</t>
  </si>
  <si>
    <t>3833102800</t>
  </si>
  <si>
    <t>Watch 5 active black</t>
  </si>
  <si>
    <t>3833064128</t>
  </si>
  <si>
    <t>Auriculares Inalámbricos Jbl Live Beam 3 Negro</t>
  </si>
  <si>
    <t>3876183714</t>
  </si>
  <si>
    <t>2388864199</t>
  </si>
  <si>
    <t>Xiaomi Mi Tvstick Full Hd 8gb Chromecast Negro Openbox</t>
  </si>
  <si>
    <t>3878621406</t>
  </si>
  <si>
    <t>Skullcandy Indy evo</t>
  </si>
  <si>
    <t>2395665969</t>
  </si>
  <si>
    <t>HyperX Cloud Buds</t>
  </si>
  <si>
    <t>2395731935</t>
  </si>
  <si>
    <t>Go 4 Rojo</t>
  </si>
  <si>
    <t>2343145463</t>
  </si>
  <si>
    <t>Audífonos In Ear Inalámbricos Gamer Soundcore Liberty 4 Nc,98.5% Reducción Del Ruido,cancelación Ruido Adaptable A Oídos Y Entorno,hi-res Audio,50</t>
  </si>
  <si>
    <t>2343297003</t>
  </si>
  <si>
    <t>2343261899</t>
  </si>
  <si>
    <t>Audífonos In Ear Inalámbricos Gamer Soundcore Liberty 4 Nc,98.5% Reducción Del Ruido,cancelación Ruido Adaptable A Oídos Y Entorno,hi-res Audio,51</t>
  </si>
  <si>
    <t>3750335524</t>
  </si>
  <si>
    <t>BL710</t>
  </si>
  <si>
    <t>DEAL Sin Stock</t>
  </si>
  <si>
    <t>3750270288</t>
  </si>
  <si>
    <t>2503472645</t>
  </si>
  <si>
    <t>Licuadora Profesional Ninja Bl710wm 1000 Watts 2.1 Litros Color Negro</t>
  </si>
  <si>
    <t>2503498501</t>
  </si>
  <si>
    <t>2340764627</t>
  </si>
  <si>
    <t>Sistema De Cocina 3 En 1 Con 5 Programas - Ninja Bn801</t>
  </si>
  <si>
    <t>2348043615</t>
  </si>
  <si>
    <t>Licuadora Triturador Personal Nutri Blender 700w Ninja Bn300 Color Plateado</t>
  </si>
  <si>
    <t>2347926527</t>
  </si>
  <si>
    <t>BN401</t>
  </si>
  <si>
    <t>2333904043</t>
  </si>
  <si>
    <t>2333966401</t>
  </si>
  <si>
    <t>3783308284</t>
  </si>
  <si>
    <t>Aspiradora Profesional Xiaomi Uv Eliminador De Polvo Sofás</t>
  </si>
  <si>
    <t>3785907054</t>
  </si>
  <si>
    <t>Aspiradora Eliminador De Ácaros Pro Xiaomi Sofás Y Colchones</t>
  </si>
  <si>
    <t>2344427191</t>
  </si>
  <si>
    <t>3793946112</t>
  </si>
  <si>
    <t>JC151</t>
  </si>
  <si>
    <t>5107115852</t>
  </si>
  <si>
    <t>3761811800</t>
  </si>
  <si>
    <t>3795266826</t>
  </si>
  <si>
    <t>CM401</t>
  </si>
  <si>
    <t>3793815784</t>
  </si>
  <si>
    <t>3793946198</t>
  </si>
  <si>
    <t>TB401</t>
  </si>
  <si>
    <t>3759005964</t>
  </si>
  <si>
    <t>2298034265</t>
  </si>
  <si>
    <t>2134190851</t>
  </si>
  <si>
    <t>2297918211</t>
  </si>
  <si>
    <t>2101439286</t>
  </si>
  <si>
    <t>2359684899</t>
  </si>
  <si>
    <t>Flexstyle Frizzfighter Multiestilizador - Shark - Hd450tl</t>
  </si>
  <si>
    <t>2359554987</t>
  </si>
  <si>
    <t>2359818339</t>
  </si>
  <si>
    <t>2366785941</t>
  </si>
  <si>
    <t>3816208418</t>
  </si>
  <si>
    <t>Xiaomi Power Bank 10000mah 22.5w Lite Gl Batería Portátil Carga Rápida Bidireccional Usb-c</t>
  </si>
  <si>
    <t>3816298794</t>
  </si>
  <si>
    <t>3825317780</t>
  </si>
  <si>
    <t>2372651397</t>
  </si>
  <si>
    <t>Cámara De Seguridad Solar Xiaomi Outdoor Camera Bw400 Pro Set</t>
  </si>
  <si>
    <t>3833051764</t>
  </si>
  <si>
    <t>Proyector Inteligente Xiaomi L1 Con Google Tv Mini Proyecto</t>
  </si>
  <si>
    <t>3835101826</t>
  </si>
  <si>
    <t>Sistema De Bebidas Ninja Thirsti Wc1001 Con Cilindro De Co2</t>
  </si>
  <si>
    <t>3821662410</t>
  </si>
  <si>
    <t xml:space="preserve">Air Pump 2 Pro Xiaomi Compresor De Aire Portátil Color Negro
</t>
  </si>
  <si>
    <t>3802757576</t>
  </si>
  <si>
    <t>Cámara De Vigilancia Xiaomi Outdoor Camera Cw300 Color Blanco</t>
  </si>
  <si>
    <t>3816183362</t>
  </si>
  <si>
    <t>Power Bank Xiaomi 10w Wireless 10000 Color Negro</t>
  </si>
  <si>
    <t>2372584319</t>
  </si>
  <si>
    <t>Xiaomi Curved Gaming Monitor G34Wi US</t>
  </si>
  <si>
    <t>2372571405</t>
  </si>
  <si>
    <t>2373701833</t>
  </si>
  <si>
    <t>Pill</t>
  </si>
  <si>
    <t>3835788336</t>
  </si>
  <si>
    <t>3833037760</t>
  </si>
  <si>
    <t>3833011836</t>
  </si>
  <si>
    <t>3841954598</t>
  </si>
  <si>
    <t>Bocina Bluetooth LG Xboom Go Pl2 Color Sour Lemon</t>
  </si>
  <si>
    <t>2375419649</t>
  </si>
  <si>
    <t>2264</t>
  </si>
  <si>
    <t>Bocina LG Portatil Xboom Xo2tbk</t>
  </si>
  <si>
    <t>3859793800</t>
  </si>
  <si>
    <t>3851518402</t>
  </si>
  <si>
    <t>Bocina Bluetooth LG Xboom Go Pl2</t>
  </si>
  <si>
    <t>3851279182</t>
  </si>
  <si>
    <t>3851572116</t>
  </si>
  <si>
    <t>Altavoz De Barra De Sonido De Escritorio Xiaomi Rgb Bluetooth Usb Auxiliar Color Gris</t>
  </si>
  <si>
    <t>3861414312</t>
  </si>
  <si>
    <t>Aspiradora Xiaomi Robot Vacuum E5 Wifi Trapeadora Con Agua Color Negro</t>
  </si>
  <si>
    <t>3866752544</t>
  </si>
  <si>
    <t>2343264697</t>
  </si>
  <si>
    <t>2386402791</t>
  </si>
  <si>
    <t>2386376891</t>
  </si>
  <si>
    <t>2386350445</t>
  </si>
  <si>
    <t>Ninja - Licuadora Bn701 Professional Plus, 1400 Watts Color Negro</t>
  </si>
  <si>
    <t>3867741718</t>
  </si>
  <si>
    <t>2385344337</t>
  </si>
  <si>
    <t>3867525722</t>
  </si>
  <si>
    <t>2387389885</t>
  </si>
  <si>
    <t>3834791194</t>
  </si>
  <si>
    <t>3861428886</t>
  </si>
  <si>
    <t>2315542023</t>
  </si>
  <si>
    <t>2395729185</t>
  </si>
  <si>
    <t>2395629727</t>
  </si>
  <si>
    <t>2395731485</t>
  </si>
  <si>
    <t>2395769489</t>
  </si>
  <si>
    <t>3924175512</t>
  </si>
  <si>
    <t>3933873616</t>
  </si>
  <si>
    <t>3933640922</t>
  </si>
  <si>
    <t>Reloj Smartwatch Xiaomi Band 10 1.72 Amoled Bluetooth Resist - Negro - Tpu - Negro - Negro 4.9 Calificación 4.9 de 5. 405 opiniones. (405)</t>
  </si>
  <si>
    <t>2412884185</t>
  </si>
  <si>
    <t>Dispositivo De Streaming Xiaomi Tv Box Mdz-32-aa 4k 32gb Color Negro</t>
  </si>
  <si>
    <t>2412758241</t>
  </si>
  <si>
    <t>2405347173</t>
  </si>
  <si>
    <t>Altavoz Bose Soundlink Flex 2a Gen Petal Pink Water Proof. Rosa</t>
  </si>
  <si>
    <t>2405491659</t>
  </si>
  <si>
    <t>Xiaomi Gafas Bloqueadoras De Luz Azul // Color Negro</t>
  </si>
  <si>
    <t>3852669512</t>
  </si>
  <si>
    <t>Nevera Thermal Box 3 En 1 Para Mesa, Silla Y Ruedas, 32 L, Con Asa, Color Negro</t>
  </si>
  <si>
    <t>3924639610</t>
  </si>
  <si>
    <t>Altavoz Portátil Bose Soundlink Max: Impermeable, 20h Baterí</t>
  </si>
  <si>
    <t>3925655932</t>
  </si>
  <si>
    <t>3925604828</t>
  </si>
  <si>
    <t>3933640584</t>
  </si>
  <si>
    <t>3933717982</t>
  </si>
  <si>
    <t>2415562545</t>
  </si>
  <si>
    <t xml:space="preserve">Amazon Echo Auto (2nd Gen) Con Asistente Virtual Alexa Color Negro
</t>
  </si>
  <si>
    <t>2415562543</t>
  </si>
  <si>
    <t>3956865852</t>
  </si>
  <si>
    <t>Mouse Inalámbrico Logitech Ergo M575s</t>
  </si>
  <si>
    <t>3957098974</t>
  </si>
  <si>
    <t>3957098156</t>
  </si>
  <si>
    <t>Mouse Inalámbrico Logitech Triathlon M720 Color Negro</t>
  </si>
  <si>
    <t>3956865104</t>
  </si>
  <si>
    <t>2419012707</t>
  </si>
  <si>
    <t>Ninja Slushi Maquina Profesional De Bebidas Congeladas Fs301 Color Azul Petróleo 120</t>
  </si>
  <si>
    <t>2419254843</t>
  </si>
  <si>
    <t>Grind fuel</t>
  </si>
  <si>
    <t>2421080873</t>
  </si>
  <si>
    <t>Micrófono Inalámbrico Solapa Hollyland Lark M2 Para Combo Color Negr</t>
  </si>
  <si>
    <t>3975760350</t>
  </si>
  <si>
    <t>3975670802</t>
  </si>
  <si>
    <t>3996111838</t>
  </si>
  <si>
    <t>2395707251</t>
  </si>
  <si>
    <t>2395719975</t>
  </si>
  <si>
    <t>2413583409</t>
  </si>
  <si>
    <t>BN701</t>
  </si>
  <si>
    <t>4016269482</t>
  </si>
  <si>
    <t>CT800</t>
  </si>
  <si>
    <t>2343240083</t>
  </si>
  <si>
    <t>2395780227</t>
  </si>
  <si>
    <t>3885633184</t>
  </si>
  <si>
    <t>3995957236</t>
  </si>
  <si>
    <t>4016372360</t>
  </si>
  <si>
    <t>4019426954</t>
  </si>
  <si>
    <t>2412974045</t>
  </si>
  <si>
    <t>3933717528</t>
  </si>
  <si>
    <t>5336509986</t>
  </si>
  <si>
    <t>Kit Xiaomi: Pulsera Inteligente Mi Band 10 Glacier Silver + Bocina Sound Outdoor Portátil Bluetooth</t>
  </si>
  <si>
    <t>2412974047</t>
  </si>
  <si>
    <t>3996021274</t>
  </si>
  <si>
    <t>4016385322</t>
  </si>
  <si>
    <t>Máquina Para Hacer Helados Creami - Ninja Nc300</t>
  </si>
  <si>
    <t>4019530408</t>
  </si>
  <si>
    <t>4028271812</t>
  </si>
  <si>
    <t>4028476202</t>
  </si>
  <si>
    <t>4034885400</t>
  </si>
  <si>
    <t>4028776534</t>
  </si>
  <si>
    <t>2431466789</t>
  </si>
  <si>
    <t>2431581881</t>
  </si>
  <si>
    <t>2435716441</t>
  </si>
  <si>
    <t>2449788515</t>
  </si>
  <si>
    <t>4028413010</t>
  </si>
  <si>
    <t>2431401445</t>
  </si>
  <si>
    <t>2431401853</t>
  </si>
  <si>
    <t>4028272242</t>
  </si>
  <si>
    <t>4028309548</t>
  </si>
  <si>
    <t>2435729741</t>
  </si>
  <si>
    <t>2449839823</t>
  </si>
  <si>
    <t>4028272012</t>
  </si>
  <si>
    <t>2431402919</t>
  </si>
  <si>
    <t>4028321612</t>
  </si>
  <si>
    <t>4035298468</t>
  </si>
  <si>
    <t>4028763330</t>
  </si>
  <si>
    <t>2455192221</t>
  </si>
  <si>
    <t>3826490638</t>
  </si>
  <si>
    <t>bl610</t>
  </si>
  <si>
    <t>4317244286</t>
  </si>
  <si>
    <t>BL610</t>
  </si>
  <si>
    <t>2340764625</t>
  </si>
  <si>
    <t>BN801</t>
  </si>
  <si>
    <t>3795265376</t>
  </si>
  <si>
    <t>Extractor Y Exprimidor De Jugos Ninja Cold Press Pro Jc151 Carbón.</t>
  </si>
  <si>
    <t>4016373158</t>
  </si>
  <si>
    <t>Licuadora Ninja Chef Ct800c 2.1 L Negra Con Vaso De Plástico Negro</t>
  </si>
  <si>
    <t>3793660232</t>
  </si>
  <si>
    <t>Máquina De Café Ninja Espresso Es601 Plateado</t>
  </si>
  <si>
    <t>3550123620</t>
  </si>
  <si>
    <t>Maquina Para Hacer Nieve Ninja Nc301 Creami 7 Programas</t>
  </si>
  <si>
    <t>4094993956</t>
  </si>
  <si>
    <t>Purificador De Aire Xiaomi Smart Air Purifier 4 Compact</t>
  </si>
  <si>
    <t>2455334845</t>
  </si>
  <si>
    <t>Smokin buds</t>
  </si>
  <si>
    <t>4119729312</t>
  </si>
  <si>
    <t xml:space="preserve">Kindle </t>
  </si>
  <si>
    <t>4119664498</t>
  </si>
  <si>
    <t>2465448217</t>
  </si>
  <si>
    <t>Auriculares Inalámbricos Skullcandy Method 360 Anc | Sonido By Bose Color Negro</t>
  </si>
  <si>
    <t>2465564733</t>
  </si>
  <si>
    <t>2465592283</t>
  </si>
  <si>
    <t xml:space="preserve">Auriculares Inalámbricos Skullcandy Rail Anc 27h Con Micrófono
</t>
  </si>
  <si>
    <t>4119741628</t>
  </si>
  <si>
    <t>Kindle Basic 2024 6 16gb Wi-fi Con Luz De Lectura Matcha Color Verde Cl</t>
  </si>
  <si>
    <t>4119676728</t>
  </si>
  <si>
    <t>2465587863</t>
  </si>
  <si>
    <t>Amazon Fire Hd 10 13th Gen 2023 32gb Black 3gb Ram 2023 Color Negro</t>
  </si>
  <si>
    <t>4128458950</t>
  </si>
  <si>
    <t>Wahl Deluxe Groom Pro Combo Peluquera Profesional 79305-3608 Color Gris</t>
  </si>
  <si>
    <t>2475353115</t>
  </si>
  <si>
    <t>FA222</t>
  </si>
  <si>
    <t>4139036224</t>
  </si>
  <si>
    <t>CO905</t>
  </si>
  <si>
    <t>4139076356</t>
  </si>
  <si>
    <t>Ninja - Licuadora Profesional Con Pantalla Táctil - Ct610 Color Negro</t>
  </si>
  <si>
    <t>4139103740</t>
  </si>
  <si>
    <t>4139167530</t>
  </si>
  <si>
    <t>4139140292</t>
  </si>
  <si>
    <t>4156319590</t>
  </si>
  <si>
    <t>3841906034</t>
  </si>
  <si>
    <t>2457162469</t>
  </si>
  <si>
    <t>2474956691</t>
  </si>
  <si>
    <t>2475110167</t>
  </si>
  <si>
    <t>2455323677</t>
  </si>
  <si>
    <t>2475086533</t>
  </si>
  <si>
    <t>TB201</t>
  </si>
  <si>
    <t>2475035161</t>
  </si>
  <si>
    <t>BL480</t>
  </si>
  <si>
    <t>4139103020</t>
  </si>
  <si>
    <t>4139169296</t>
  </si>
  <si>
    <t>4139310316</t>
  </si>
  <si>
    <t>2474967499</t>
  </si>
  <si>
    <t>4143890256</t>
  </si>
  <si>
    <t>2477073557</t>
  </si>
  <si>
    <t>4143544388</t>
  </si>
  <si>
    <t>2477099985</t>
  </si>
  <si>
    <t>4145486422</t>
  </si>
  <si>
    <t>4145602142</t>
  </si>
  <si>
    <t>2491930491</t>
  </si>
  <si>
    <t>2492030151</t>
  </si>
  <si>
    <t>FA200</t>
  </si>
  <si>
    <t>4165765140</t>
  </si>
  <si>
    <t>bn801</t>
  </si>
  <si>
    <t>4165527748</t>
  </si>
  <si>
    <t>4180187602</t>
  </si>
  <si>
    <t>SS101</t>
  </si>
  <si>
    <t>4179945206</t>
  </si>
  <si>
    <t>2500952457</t>
  </si>
  <si>
    <t>2500953073</t>
  </si>
  <si>
    <t>2492015425</t>
  </si>
  <si>
    <t>TB400</t>
  </si>
  <si>
    <t>2431569097</t>
  </si>
  <si>
    <t>4180157156</t>
  </si>
  <si>
    <t>BL660</t>
  </si>
  <si>
    <t>2517295517</t>
  </si>
  <si>
    <t>Impresora Foto Portable Xiaomi Photo Printer 1s Modelo 2025 Blanco</t>
  </si>
  <si>
    <t>2500833727</t>
  </si>
  <si>
    <t>4139169298</t>
  </si>
  <si>
    <t>2500937379</t>
  </si>
  <si>
    <t>2516456703</t>
  </si>
  <si>
    <t>2515454535</t>
  </si>
  <si>
    <t>4205740850</t>
  </si>
  <si>
    <t>4196406430</t>
  </si>
  <si>
    <t>4249620750</t>
  </si>
  <si>
    <t>4249736430</t>
  </si>
  <si>
    <t>2510103569</t>
  </si>
  <si>
    <t>2524112383</t>
  </si>
  <si>
    <t>IZ142</t>
  </si>
  <si>
    <t>2536143443</t>
  </si>
  <si>
    <t>2505414941</t>
  </si>
  <si>
    <t>2431568257</t>
  </si>
  <si>
    <t>2510518133</t>
  </si>
  <si>
    <t>4229792362</t>
  </si>
  <si>
    <t>2510477535</t>
  </si>
  <si>
    <t>2510400683</t>
  </si>
  <si>
    <t>3335889558</t>
  </si>
  <si>
    <t>2524090091</t>
  </si>
  <si>
    <t>2343225201</t>
  </si>
  <si>
    <t>2463060103</t>
  </si>
  <si>
    <t>4115230992</t>
  </si>
  <si>
    <t>2517911987</t>
  </si>
  <si>
    <t>4297300372</t>
  </si>
  <si>
    <t>4016269234</t>
  </si>
  <si>
    <t>4294966452</t>
  </si>
  <si>
    <t>2348004529</t>
  </si>
  <si>
    <t>2517923221</t>
  </si>
  <si>
    <t>BN300</t>
  </si>
  <si>
    <t>2540804579</t>
  </si>
  <si>
    <t>2541287151</t>
  </si>
  <si>
    <t>3488553124</t>
  </si>
  <si>
    <t>4305979302</t>
  </si>
  <si>
    <t>2517315247</t>
  </si>
  <si>
    <t>2232111469</t>
  </si>
  <si>
    <t>4330026978</t>
  </si>
  <si>
    <t>CN501</t>
  </si>
  <si>
    <t>4329898222</t>
  </si>
  <si>
    <t>5347086592</t>
  </si>
  <si>
    <t>4329769140</t>
  </si>
  <si>
    <t>2545251393</t>
  </si>
  <si>
    <t>2426721105</t>
  </si>
  <si>
    <t>4317257260</t>
  </si>
  <si>
    <t>2545333177</t>
  </si>
  <si>
    <t>2547388951</t>
  </si>
  <si>
    <t>2545297649</t>
  </si>
  <si>
    <t>2545332285</t>
  </si>
  <si>
    <t>2545319993</t>
  </si>
  <si>
    <t>2545371551</t>
  </si>
  <si>
    <t>2547353015</t>
  </si>
  <si>
    <t>2547363191</t>
  </si>
  <si>
    <t>2547378289</t>
  </si>
  <si>
    <t>2547402449</t>
  </si>
  <si>
    <t>2564196523</t>
  </si>
  <si>
    <t>4338203074</t>
  </si>
  <si>
    <t>4330706398</t>
  </si>
  <si>
    <t>2545318697</t>
  </si>
  <si>
    <t>2564269665</t>
  </si>
  <si>
    <t>2545305365</t>
  </si>
  <si>
    <t>2545407777</t>
  </si>
  <si>
    <t>4338469234</t>
  </si>
  <si>
    <t>4338419092</t>
  </si>
  <si>
    <t>2572135969</t>
  </si>
  <si>
    <t>4397677480</t>
  </si>
  <si>
    <t>2545397661</t>
  </si>
  <si>
    <t>4352470192</t>
  </si>
  <si>
    <t>2455332849</t>
  </si>
  <si>
    <t>4016398588</t>
  </si>
  <si>
    <t>2572123225</t>
  </si>
  <si>
    <t>4351357824</t>
  </si>
  <si>
    <t xml:space="preserve"> </t>
  </si>
  <si>
    <t>2572324425</t>
  </si>
  <si>
    <t>2572350233</t>
  </si>
  <si>
    <t>2585960807</t>
  </si>
  <si>
    <t>4418950202</t>
  </si>
  <si>
    <t>IQ1316</t>
  </si>
  <si>
    <t>2597032731</t>
  </si>
  <si>
    <t>4100184970</t>
  </si>
  <si>
    <t>2475099049</t>
  </si>
  <si>
    <t>2500761659</t>
  </si>
  <si>
    <t>3360697476</t>
  </si>
  <si>
    <t>4437716296</t>
  </si>
  <si>
    <t>2593023277</t>
  </si>
  <si>
    <t>4371472630</t>
  </si>
  <si>
    <t>4371434428</t>
  </si>
  <si>
    <t>3576519662</t>
  </si>
  <si>
    <t>4371460458</t>
  </si>
  <si>
    <t>4372001138</t>
  </si>
  <si>
    <t>3591860966</t>
  </si>
  <si>
    <t>4183681966</t>
  </si>
  <si>
    <t>4240366986</t>
  </si>
  <si>
    <t>2572324179</t>
  </si>
  <si>
    <t>2572260531</t>
  </si>
  <si>
    <t>3630719726</t>
  </si>
  <si>
    <t>2545397659</t>
  </si>
  <si>
    <t>2256285661</t>
  </si>
  <si>
    <t>4139128348</t>
  </si>
  <si>
    <t>2547443349</t>
  </si>
  <si>
    <t>4295167356</t>
  </si>
  <si>
    <t>3538455262</t>
  </si>
  <si>
    <t>2246295935</t>
  </si>
  <si>
    <t>2516502295</t>
  </si>
  <si>
    <t>3759170226</t>
  </si>
  <si>
    <t>2359632905</t>
  </si>
  <si>
    <t>2236735203</t>
  </si>
  <si>
    <t>2491902581</t>
  </si>
  <si>
    <t>3802679514</t>
  </si>
  <si>
    <t>2475008907</t>
  </si>
  <si>
    <t>3795071536</t>
  </si>
  <si>
    <t>2475125273</t>
  </si>
  <si>
    <t>4255504890</t>
  </si>
  <si>
    <t>Pocket</t>
  </si>
  <si>
    <t>2455288121</t>
  </si>
  <si>
    <t>4392425430</t>
  </si>
  <si>
    <t>2597393093</t>
  </si>
  <si>
    <t>Mouse Gamer De Juego Inalámbrico Recargable Logitech G G Series G502 Hero G502 Negro</t>
  </si>
  <si>
    <t>4397676238</t>
  </si>
  <si>
    <t>4420216064</t>
  </si>
  <si>
    <t>2586432685</t>
  </si>
  <si>
    <t>Máscara De Luz Led Cryoglow Lilac - Shark - Fw312laapl</t>
  </si>
  <si>
    <t>4389073998</t>
  </si>
  <si>
    <t>Power Bank Anker Para Laptop De 25,000mah Con 3 Pu</t>
  </si>
  <si>
    <t>2601039779</t>
  </si>
  <si>
    <t xml:space="preserve">TB401 Ninja </t>
  </si>
  <si>
    <t>2603387381</t>
  </si>
  <si>
    <t>Onn caja azul/amarilla</t>
  </si>
  <si>
    <t>4397675828</t>
  </si>
  <si>
    <t>BR201AMZ</t>
  </si>
  <si>
    <t>4414040866</t>
  </si>
  <si>
    <t>Watch 5 active plata</t>
  </si>
  <si>
    <t>4139080932</t>
  </si>
  <si>
    <t>Dime true</t>
  </si>
  <si>
    <t>4139131530</t>
  </si>
  <si>
    <t>2426731769</t>
  </si>
  <si>
    <r>
      <rPr>
        <rFont val="Poppins"/>
        <color rgb="FF000000"/>
        <sz val="9.0"/>
        <u/>
      </rPr>
      <t>Ninja - Licuadora Profesional Plus Con Auto-iq - Bn701 Color Negro</t>
    </r>
  </si>
  <si>
    <t>4397137324</t>
  </si>
  <si>
    <t>TB300</t>
  </si>
  <si>
    <t>4398011716</t>
  </si>
  <si>
    <t>BN751</t>
  </si>
  <si>
    <t>4397238554</t>
  </si>
  <si>
    <t>BN642</t>
  </si>
  <si>
    <t>2585971989</t>
  </si>
  <si>
    <t>FS301 reacondicionada</t>
  </si>
  <si>
    <t>2564197445</t>
  </si>
  <si>
    <t>4489521512</t>
  </si>
  <si>
    <t>Buds 8 Lite Black</t>
  </si>
  <si>
    <t>4489729142</t>
  </si>
  <si>
    <t>4521654364</t>
  </si>
  <si>
    <t>4489664606</t>
  </si>
  <si>
    <t>3889463014</t>
  </si>
  <si>
    <t>3889291020</t>
  </si>
  <si>
    <t>3933769288</t>
  </si>
  <si>
    <t>2455232301</t>
  </si>
  <si>
    <t>3591910724</t>
  </si>
  <si>
    <t>4244209702</t>
  </si>
  <si>
    <t>3964042108</t>
  </si>
  <si>
    <t>4255382852</t>
  </si>
  <si>
    <t>2330820495</t>
  </si>
  <si>
    <t>4389075024</t>
  </si>
  <si>
    <t>1975924543</t>
  </si>
  <si>
    <t>Drone dji</t>
  </si>
  <si>
    <t>4397678172</t>
  </si>
  <si>
    <t>4430679972</t>
  </si>
  <si>
    <t>Soundlink home silver</t>
  </si>
  <si>
    <t>4338641028</t>
  </si>
  <si>
    <t>4338469844</t>
  </si>
  <si>
    <t>3750659954</t>
  </si>
  <si>
    <t>4392991246</t>
  </si>
  <si>
    <t>3591871466</t>
  </si>
  <si>
    <t>4351331402</t>
  </si>
  <si>
    <t>2386343109</t>
  </si>
  <si>
    <t>4133136064</t>
  </si>
  <si>
    <t>2572373659</t>
  </si>
  <si>
    <t>4419222038</t>
  </si>
  <si>
    <t>4414908850</t>
  </si>
  <si>
    <t>4418989952</t>
  </si>
  <si>
    <t>2517189367</t>
  </si>
  <si>
    <t>2641034829</t>
  </si>
  <si>
    <t>3581927400</t>
  </si>
  <si>
    <t>2505414939</t>
  </si>
  <si>
    <t>2475112999</t>
  </si>
  <si>
    <t>2385501155</t>
  </si>
  <si>
    <t>1483039445</t>
  </si>
  <si>
    <t>4558827502</t>
  </si>
  <si>
    <t>4558827440</t>
  </si>
  <si>
    <t>3626239512</t>
  </si>
  <si>
    <t>4464680900</t>
  </si>
  <si>
    <t>2545307371</t>
  </si>
  <si>
    <t>2515371993</t>
  </si>
  <si>
    <t>2876033060</t>
  </si>
  <si>
    <t>4228909344</t>
  </si>
  <si>
    <t>2545420869</t>
  </si>
  <si>
    <t>2611597363</t>
  </si>
  <si>
    <t>2611620431</t>
  </si>
  <si>
    <t>4574873318</t>
  </si>
  <si>
    <t>4592444406</t>
  </si>
  <si>
    <t>2648690663</t>
  </si>
  <si>
    <t>2529598719</t>
  </si>
  <si>
    <t>Buds 6 play negros</t>
  </si>
  <si>
    <t>4481689002</t>
  </si>
  <si>
    <t>4592505194</t>
  </si>
  <si>
    <t>2619530553</t>
  </si>
  <si>
    <t>2648435417</t>
  </si>
  <si>
    <t>4584776682</t>
  </si>
  <si>
    <t xml:space="preserve">
Bocina Inalámbrica Jbl Authentics 200 Wi-fi/bluetooth 90w Color Negro</t>
  </si>
  <si>
    <t>4591817232</t>
  </si>
  <si>
    <t>2529547027</t>
  </si>
  <si>
    <t>4559201310</t>
  </si>
  <si>
    <t>2109527097</t>
  </si>
  <si>
    <t>4640711780</t>
  </si>
  <si>
    <t>2684379891</t>
  </si>
  <si>
    <t>Parlante Bose Soundlink Micro Portatil Con Bluetooth Azul Celeste</t>
  </si>
  <si>
    <t>2684211971</t>
  </si>
  <si>
    <t>2617758373</t>
  </si>
  <si>
    <t>2684121825</t>
  </si>
  <si>
    <t>Micro bose</t>
  </si>
  <si>
    <t>2684122139</t>
  </si>
  <si>
    <t>Dewalt</t>
  </si>
  <si>
    <t>2600998521</t>
  </si>
  <si>
    <t>2617721531</t>
  </si>
  <si>
    <t>2661636771</t>
  </si>
  <si>
    <t>4605931230</t>
  </si>
  <si>
    <t>4660315586</t>
  </si>
  <si>
    <t>4667421686</t>
  </si>
  <si>
    <t>4640842142</t>
  </si>
  <si>
    <t>4640803066</t>
  </si>
  <si>
    <t>4372042844</t>
  </si>
  <si>
    <t>4035336640</t>
  </si>
  <si>
    <t>4656548020</t>
  </si>
  <si>
    <t>2622640857</t>
  </si>
  <si>
    <t>4715863528</t>
  </si>
  <si>
    <t>4665222618</t>
  </si>
  <si>
    <t>2732726767</t>
  </si>
  <si>
    <t>4715824692</t>
  </si>
  <si>
    <t>4591675798</t>
  </si>
  <si>
    <t>4731095646</t>
  </si>
  <si>
    <t>4731056790</t>
  </si>
  <si>
    <t>4660831066</t>
  </si>
  <si>
    <t>4693770170</t>
  </si>
  <si>
    <t>4693615636</t>
  </si>
  <si>
    <t>4667629108</t>
  </si>
  <si>
    <t>2420903375</t>
  </si>
  <si>
    <t>4716077688</t>
  </si>
  <si>
    <t>4510016866</t>
  </si>
  <si>
    <t>2716551649</t>
  </si>
  <si>
    <t>4771465324</t>
  </si>
  <si>
    <t>2716434005</t>
  </si>
  <si>
    <t>4731304284</t>
  </si>
  <si>
    <t>2737648617</t>
  </si>
  <si>
    <t>4770341578</t>
  </si>
  <si>
    <t>2730349701</t>
  </si>
  <si>
    <t>2730387583</t>
  </si>
  <si>
    <t>Harman Kardon Onyx Studio 9 Black</t>
  </si>
  <si>
    <t>2753954109</t>
  </si>
  <si>
    <t>Xiaomi Deskstop Speaker</t>
  </si>
  <si>
    <t>Xiaomi Bluetooth Speaker 40W</t>
  </si>
  <si>
    <t>Xiaomi Bluetooth Speaker Mini</t>
  </si>
  <si>
    <t>Xiaomi Grooming Kit Pro</t>
  </si>
  <si>
    <t>2732778095</t>
  </si>
  <si>
    <t>4766572362</t>
  </si>
  <si>
    <t>5336508956</t>
  </si>
  <si>
    <t>4790768576</t>
  </si>
  <si>
    <t>4742583074</t>
  </si>
  <si>
    <t>2737489475</t>
  </si>
  <si>
    <t>4803258224</t>
  </si>
  <si>
    <t>4665274778</t>
  </si>
  <si>
    <t>4666017660</t>
  </si>
  <si>
    <t>2730426709</t>
  </si>
  <si>
    <t>4371462652</t>
  </si>
  <si>
    <t>4770328452</t>
  </si>
  <si>
    <t>2737777761</t>
  </si>
  <si>
    <t>3861403152</t>
  </si>
  <si>
    <t>2572221449</t>
  </si>
  <si>
    <t>2716383183</t>
  </si>
  <si>
    <t>2716486543</t>
  </si>
  <si>
    <t>4510363384</t>
  </si>
  <si>
    <t>4179875094</t>
  </si>
  <si>
    <t>4948237116</t>
  </si>
  <si>
    <t>2746261383</t>
  </si>
  <si>
    <t>4790742592</t>
  </si>
  <si>
    <t>2754004469</t>
  </si>
  <si>
    <t xml:space="preserve">
Xiaomi Parlante Bluetooth Asm02g</t>
  </si>
  <si>
    <t>5118751280</t>
  </si>
  <si>
    <t>62914422</t>
  </si>
  <si>
    <t>4843240322</t>
  </si>
  <si>
    <t>4823746042</t>
  </si>
  <si>
    <t>2732570831</t>
  </si>
  <si>
    <t>4660766378</t>
  </si>
  <si>
    <t>4954171284</t>
  </si>
  <si>
    <t>2753954107</t>
  </si>
  <si>
    <t>2773504575</t>
  </si>
  <si>
    <t>4418989366</t>
  </si>
  <si>
    <t>4948146928</t>
  </si>
  <si>
    <t>2764968415</t>
  </si>
  <si>
    <t>4977483502</t>
  </si>
  <si>
    <t>Mini Cámara Digital Kodak Charmera Llavero B4u Sorpresa</t>
  </si>
  <si>
    <t>Canon EOS R50</t>
  </si>
  <si>
    <t>2797956007</t>
  </si>
  <si>
    <t>4995475564</t>
  </si>
  <si>
    <t>3793947534</t>
  </si>
  <si>
    <t>2317980915</t>
  </si>
  <si>
    <t>2617731455</t>
  </si>
  <si>
    <t>2617746361</t>
  </si>
  <si>
    <t>2765352349</t>
  </si>
  <si>
    <t>2794728069</t>
  </si>
  <si>
    <t>2804115015</t>
  </si>
  <si>
    <t>2817789085</t>
  </si>
  <si>
    <t>2784826501</t>
  </si>
  <si>
    <t>5113492030</t>
  </si>
  <si>
    <t>4397136704</t>
  </si>
  <si>
    <t>4954119302</t>
  </si>
  <si>
    <t>5071705754</t>
  </si>
  <si>
    <t>5057906410</t>
  </si>
  <si>
    <t>5113474630</t>
  </si>
  <si>
    <t>5071706750</t>
  </si>
  <si>
    <t>5113467218</t>
  </si>
  <si>
    <t>2814667739</t>
  </si>
  <si>
    <t>2839245453</t>
  </si>
  <si>
    <t>5099548712</t>
  </si>
  <si>
    <t>5071707330</t>
  </si>
  <si>
    <t>2409368297</t>
  </si>
  <si>
    <t>5113524950</t>
  </si>
  <si>
    <t>2813774147</t>
  </si>
  <si>
    <t>2811181977</t>
  </si>
  <si>
    <t>2811181155</t>
  </si>
  <si>
    <t>2716460733</t>
  </si>
  <si>
    <t>2811147213</t>
  </si>
  <si>
    <t>5118727238</t>
  </si>
  <si>
    <t>5113442270</t>
  </si>
  <si>
    <t>2839172271</t>
  </si>
  <si>
    <t>2343274741</t>
  </si>
  <si>
    <t>1386184046</t>
  </si>
  <si>
    <t>2850510495</t>
  </si>
  <si>
    <t>5232349472</t>
  </si>
  <si>
    <t>2850528577</t>
  </si>
  <si>
    <t>2855661593</t>
  </si>
  <si>
    <t>2855714537</t>
  </si>
  <si>
    <t>5336951714</t>
  </si>
  <si>
    <t>Kit Garmin: Smartwatch Forerunner 165 Negro Correa Deportiva + Audífonos Bluetooth 5.4 Tws Pantalla</t>
  </si>
  <si>
    <t>5063304308</t>
  </si>
  <si>
    <t>2872547929</t>
  </si>
  <si>
    <t>5217725138</t>
  </si>
  <si>
    <t>2878104433</t>
  </si>
  <si>
    <t>2872571623</t>
  </si>
  <si>
    <t>5205053222</t>
  </si>
  <si>
    <t>2880723781</t>
  </si>
  <si>
    <t>5228300754</t>
  </si>
  <si>
    <t>2878103617</t>
  </si>
  <si>
    <t>2882542713</t>
  </si>
  <si>
    <t>2882581571</t>
  </si>
  <si>
    <t>2877951025</t>
  </si>
  <si>
    <t>2877951869</t>
  </si>
  <si>
    <t>2877952017</t>
  </si>
  <si>
    <t>5217639860</t>
  </si>
  <si>
    <t>5165205822</t>
  </si>
  <si>
    <t>2232100343</t>
  </si>
  <si>
    <t>2240627629</t>
  </si>
  <si>
    <t>2317982105</t>
  </si>
  <si>
    <t>2348081489</t>
  </si>
  <si>
    <t>2419102091</t>
  </si>
  <si>
    <t>2455180851</t>
  </si>
  <si>
    <t>2465501595</t>
  </si>
  <si>
    <t>2500851433</t>
  </si>
  <si>
    <t>2524176773</t>
  </si>
  <si>
    <t>2536980452</t>
  </si>
  <si>
    <t>2541124941</t>
  </si>
  <si>
    <t>2545345879</t>
  </si>
  <si>
    <t>2545410207</t>
  </si>
  <si>
    <t>2547262949</t>
  </si>
  <si>
    <t>2547350183</t>
  </si>
  <si>
    <t>2547417247</t>
  </si>
  <si>
    <t>2586432683</t>
  </si>
  <si>
    <t>2601013751</t>
  </si>
  <si>
    <t>2654411521</t>
  </si>
  <si>
    <t>2737752487</t>
  </si>
  <si>
    <t>2738862007</t>
  </si>
  <si>
    <t>2745088369</t>
  </si>
  <si>
    <t>2745269419</t>
  </si>
  <si>
    <t>2746261381</t>
  </si>
  <si>
    <t>2794740983</t>
  </si>
  <si>
    <t>2804132585</t>
  </si>
  <si>
    <t>2807890488</t>
  </si>
  <si>
    <t>2811108889</t>
  </si>
  <si>
    <t>2811147221</t>
  </si>
  <si>
    <t>2817838663</t>
  </si>
  <si>
    <t>2839208229</t>
  </si>
  <si>
    <t>2855649057</t>
  </si>
  <si>
    <t>2855717391</t>
  </si>
  <si>
    <t>2872547573</t>
  </si>
  <si>
    <t>2872547577</t>
  </si>
  <si>
    <t>2872547927</t>
  </si>
  <si>
    <t>2872571619</t>
  </si>
  <si>
    <t>2877951021</t>
  </si>
  <si>
    <t>2877952013</t>
  </si>
  <si>
    <t>2877953391</t>
  </si>
  <si>
    <t>2877953573</t>
  </si>
  <si>
    <t>2878059935</t>
  </si>
  <si>
    <t>2878061983</t>
  </si>
  <si>
    <t>2880723777</t>
  </si>
  <si>
    <t>2882555631</t>
  </si>
  <si>
    <t>2882594347</t>
  </si>
  <si>
    <t>2883095065</t>
  </si>
  <si>
    <t>3574784932</t>
  </si>
  <si>
    <t>3601997612</t>
  </si>
  <si>
    <t>3704483728</t>
  </si>
  <si>
    <t>3704523100</t>
  </si>
  <si>
    <t>3704710746</t>
  </si>
  <si>
    <t>3704745690</t>
  </si>
  <si>
    <t>3704784442</t>
  </si>
  <si>
    <t>3704810116</t>
  </si>
  <si>
    <t>4143635110</t>
  </si>
  <si>
    <t>4315323756</t>
  </si>
  <si>
    <t>4351254056</t>
  </si>
  <si>
    <t>4351293434</t>
  </si>
  <si>
    <t>4363091594</t>
  </si>
  <si>
    <t>4371474466</t>
  </si>
  <si>
    <t>4389188110</t>
  </si>
  <si>
    <t>4397148398</t>
  </si>
  <si>
    <t>4665197098</t>
  </si>
  <si>
    <t>4716077480</t>
  </si>
  <si>
    <t>4716497806</t>
  </si>
  <si>
    <t>4823759172</t>
  </si>
  <si>
    <t>5030149852</t>
  </si>
  <si>
    <t>5057909738</t>
  </si>
  <si>
    <t>5057994076</t>
  </si>
  <si>
    <t>5058002126</t>
  </si>
  <si>
    <t>5058025036</t>
  </si>
  <si>
    <t>5065166792</t>
  </si>
  <si>
    <t>5071605544</t>
  </si>
  <si>
    <t>5099658880</t>
  </si>
  <si>
    <t>5111980222</t>
  </si>
  <si>
    <t>5113474628</t>
  </si>
  <si>
    <t>5113481206</t>
  </si>
  <si>
    <t>5113519366</t>
  </si>
  <si>
    <t>5113524986</t>
  </si>
  <si>
    <t>5118748910</t>
  </si>
  <si>
    <t>5165218472</t>
  </si>
  <si>
    <t>5197595658</t>
  </si>
  <si>
    <t>5205053218</t>
  </si>
  <si>
    <t>5217123702</t>
  </si>
  <si>
    <t>5217299160</t>
  </si>
  <si>
    <t>5217311908</t>
  </si>
  <si>
    <t>5217641356</t>
  </si>
  <si>
    <t>5217641964</t>
  </si>
  <si>
    <t>5221968782</t>
  </si>
  <si>
    <t>5228201504</t>
  </si>
  <si>
    <t>5228286972</t>
  </si>
  <si>
    <t>5228286978</t>
  </si>
  <si>
    <t>5250382540</t>
  </si>
  <si>
    <t>5258531724</t>
  </si>
  <si>
    <t>5258557084</t>
  </si>
  <si>
    <t>5267838568</t>
  </si>
  <si>
    <t>5269624156</t>
  </si>
  <si>
    <t>2917055371</t>
  </si>
  <si>
    <t>2917055655</t>
  </si>
  <si>
    <t>5347083444</t>
  </si>
  <si>
    <t>2917018479</t>
  </si>
  <si>
    <t>Eos R50 Rf-s 18-45mm F4.5-6.3</t>
  </si>
  <si>
    <t>5347082718</t>
  </si>
  <si>
    <t>2669277909</t>
  </si>
  <si>
    <t>2669278223</t>
  </si>
  <si>
    <t>a PRO 75</t>
  </si>
  <si>
    <t>Sokany Parrila</t>
  </si>
  <si>
    <t>5326124186</t>
  </si>
  <si>
    <t>2923573187</t>
  </si>
  <si>
    <t>2932442161</t>
  </si>
  <si>
    <t>5338097454</t>
  </si>
  <si>
    <t>5347097958</t>
  </si>
  <si>
    <t>2932369193</t>
  </si>
  <si>
    <t>5347083122</t>
  </si>
  <si>
    <t>5347213956</t>
  </si>
  <si>
    <t>5384502332</t>
  </si>
  <si>
    <t>2956680215</t>
  </si>
  <si>
    <t>2950581331</t>
  </si>
  <si>
    <t>5389458802</t>
  </si>
  <si>
    <t>2950620241</t>
  </si>
  <si>
    <t>2956689207</t>
  </si>
  <si>
    <t>5389461026</t>
  </si>
  <si>
    <t>5389444652</t>
  </si>
  <si>
    <t>5389445760</t>
  </si>
  <si>
    <t>2956688767</t>
  </si>
  <si>
    <t>2956667247</t>
  </si>
  <si>
    <t>5389432602</t>
  </si>
  <si>
    <t>2956701535</t>
  </si>
  <si>
    <t>2956665959</t>
  </si>
  <si>
    <t>5389433062</t>
  </si>
  <si>
    <t>5389431936</t>
  </si>
  <si>
    <t>2950606787</t>
  </si>
  <si>
    <t>2956680923</t>
  </si>
  <si>
    <t>2973266283</t>
  </si>
  <si>
    <t>Amazon</t>
  </si>
  <si>
    <t xml:space="preserve">Producto </t>
  </si>
  <si>
    <t>ASIN</t>
  </si>
  <si>
    <t>SKU</t>
  </si>
  <si>
    <t>Precio de venta</t>
  </si>
  <si>
    <t>Estatus</t>
  </si>
  <si>
    <t>Retenciones</t>
  </si>
  <si>
    <t xml:space="preserve">Costo </t>
  </si>
  <si>
    <t xml:space="preserve">Comision </t>
  </si>
  <si>
    <t xml:space="preserve">Comison </t>
  </si>
  <si>
    <t>Sin iVA</t>
  </si>
  <si>
    <t>Utilidad</t>
  </si>
  <si>
    <t>Mi Box</t>
  </si>
  <si>
    <t>B07KB1KLYN</t>
  </si>
  <si>
    <t>Mi Band 5</t>
  </si>
  <si>
    <t>B089NS9JW2</t>
  </si>
  <si>
    <t>Mi Projector 2</t>
  </si>
  <si>
    <t>B08RMX5XVR</t>
  </si>
  <si>
    <t>Roku 4k+</t>
  </si>
  <si>
    <t>B0916TKFF2</t>
  </si>
  <si>
    <t>Roku exprees</t>
  </si>
  <si>
    <t>B07WVFCVJN</t>
  </si>
  <si>
    <t>Aura</t>
  </si>
  <si>
    <t>B0C4FYKW24</t>
  </si>
  <si>
    <t xml:space="preserve">Roku4k streaming </t>
  </si>
  <si>
    <t>B09BKCDXZC</t>
  </si>
  <si>
    <t>Scooter essential</t>
  </si>
  <si>
    <t>B089NR5WZ8</t>
  </si>
  <si>
    <t>B091V6V2CL</t>
  </si>
  <si>
    <t>Aspiradora Mop 1C</t>
  </si>
  <si>
    <t>B086W5Y1CG</t>
  </si>
  <si>
    <t>Earphones Blancos</t>
  </si>
  <si>
    <t>B08BRGH7S3</t>
  </si>
  <si>
    <t>Buds 3 PRO</t>
  </si>
  <si>
    <t>B09C3W56FC</t>
  </si>
  <si>
    <t>Router 4A</t>
  </si>
  <si>
    <t>B085G5CDY7</t>
  </si>
  <si>
    <t>Router 4c</t>
  </si>
  <si>
    <t>B09HSV3JZ5</t>
  </si>
  <si>
    <t>B09HSV3JZ5-new4c</t>
  </si>
  <si>
    <t>Tablet ONN</t>
  </si>
  <si>
    <t>B09FBZ4D9T</t>
  </si>
  <si>
    <t>Mi Speaker 2</t>
  </si>
  <si>
    <t>B07RD3FNTN</t>
  </si>
  <si>
    <t>Razer Tournament</t>
  </si>
  <si>
    <t>B075M47H3H</t>
  </si>
  <si>
    <t>Mi Band 6</t>
  </si>
  <si>
    <t>B091G3FLL7</t>
  </si>
  <si>
    <t>B09NQKCQWS</t>
  </si>
  <si>
    <t>Aspiradora Mop P</t>
  </si>
  <si>
    <t>B085BP7ZC5</t>
  </si>
  <si>
    <t xml:space="preserve">Watch S1 </t>
  </si>
  <si>
    <t>B09S8BKKHB</t>
  </si>
  <si>
    <t>Buds 3</t>
  </si>
  <si>
    <t>B09J4T4JF5</t>
  </si>
  <si>
    <t>Repetidor Xiaomi</t>
  </si>
  <si>
    <t>B0762SH6WG</t>
  </si>
  <si>
    <t>B084WT4WWK</t>
  </si>
  <si>
    <t>Cargador Xiaomi Tipo c 20W</t>
  </si>
  <si>
    <t>B0969PK3SG</t>
  </si>
  <si>
    <t>Xiaomi Pad 5 256 gb</t>
  </si>
  <si>
    <t>B09JBZQG49</t>
  </si>
  <si>
    <t>Xiaomi Pad 5 128 gb</t>
  </si>
  <si>
    <t>B09JBZP2WR</t>
  </si>
  <si>
    <t>Mi watch</t>
  </si>
  <si>
    <t>B08P5J7KGH</t>
  </si>
  <si>
    <t>Camara 360</t>
  </si>
  <si>
    <t>B093C8S6B1</t>
  </si>
  <si>
    <t>B07P12T1G3</t>
  </si>
  <si>
    <t>Xiaomi Smart Camera C300 White bhr6540gl…</t>
  </si>
  <si>
    <t>B0B6PG6S81</t>
  </si>
  <si>
    <t>Mop 2 nueva 1c</t>
  </si>
  <si>
    <t>B09R8WM46V</t>
  </si>
  <si>
    <t>Pilas AAA</t>
  </si>
  <si>
    <t>B00VQVVOTS</t>
  </si>
  <si>
    <t>Pilas AA</t>
  </si>
  <si>
    <t>B00V7FQUOM</t>
  </si>
  <si>
    <t>Cargador de Pilas</t>
  </si>
  <si>
    <t>B078XL37LQ</t>
  </si>
  <si>
    <t xml:space="preserve">Aspiradora Xiaomi  Mop 2 Lite </t>
  </si>
  <si>
    <t>B09TFYRVG9</t>
  </si>
  <si>
    <t>Acer Chromebook Spin 311, CP311-2H-C7QD, 4 GB, 64 GB, Plateado</t>
  </si>
  <si>
    <t>B08NTP5RTN</t>
  </si>
  <si>
    <t>Samsund Laptop</t>
  </si>
  <si>
    <t>B07XQQTVS3</t>
  </si>
  <si>
    <t>Xiaomi Smartwatch Redmi Watch 2 Lite…</t>
  </si>
  <si>
    <t>B09PF98LX4</t>
  </si>
  <si>
    <t>Xiaomi Redmi AirDots 2 auriculares básicos 2 auriculares inalámbricos Bluetooth 5.0 estéreo Touch Control S 1PX4 impermeable con funda de carga TWSEJ061LS</t>
  </si>
  <si>
    <t>B08GNXRGVX</t>
  </si>
  <si>
    <t>Razer Hammerhead True Wireless X - Auriculares de baja latencia (60 ms modo de juego de baja latencia, personalización de aplicaciones móviles, controladores personalizados de 13 mm, Bluetooth 5.2 con emparejamiento automático, Google Fast Pair), col…</t>
  </si>
  <si>
    <t>B08Z4GQS4X</t>
  </si>
  <si>
    <t xml:space="preserve">Tv stick 4k </t>
  </si>
  <si>
    <t>B09RZHVDGS</t>
  </si>
  <si>
    <t>Haylou gt7</t>
  </si>
  <si>
    <t>B09HXSW5ZX</t>
  </si>
  <si>
    <t>Clavija Blanca</t>
  </si>
  <si>
    <t>B07FFBD8XP</t>
  </si>
  <si>
    <t>Speaker azul</t>
  </si>
  <si>
    <t>B08MKQ6DXJ</t>
  </si>
  <si>
    <t>Monitor Bar</t>
  </si>
  <si>
    <t>B09X13LS7F</t>
  </si>
  <si>
    <t>Samsung Tab A8</t>
  </si>
  <si>
    <t>B08QQTQNDC</t>
  </si>
  <si>
    <t>Tv stick</t>
  </si>
  <si>
    <t>B09LPTSRMH</t>
  </si>
  <si>
    <t>aspiradora Mini Xiaomi</t>
  </si>
  <si>
    <t>B08MPQQJHQ</t>
  </si>
  <si>
    <t>Scooter S1</t>
  </si>
  <si>
    <t>B076KKX4BC</t>
  </si>
  <si>
    <t>B089KLHYG3</t>
  </si>
  <si>
    <t>B086TKHRSN</t>
  </si>
  <si>
    <t>B08HGJ8M4N</t>
  </si>
  <si>
    <t>Audifono Kraken Xlite</t>
  </si>
  <si>
    <t>B081GJ938B</t>
  </si>
  <si>
    <t>Razer DeathAdder V2 Mini - Ratón gaming ergonómico con cable - Edición Negro EstándarWindows Vista; Windows XP; Mac; linux…</t>
  </si>
  <si>
    <t>B08B3K9K6P</t>
  </si>
  <si>
    <t>B09CLWQ45V</t>
  </si>
  <si>
    <t>Razer Game wolverine V2 white</t>
  </si>
  <si>
    <t>B09C13DWYL</t>
  </si>
  <si>
    <t>Razer kiyo webcam</t>
  </si>
  <si>
    <t>B09FNX2PLL</t>
  </si>
  <si>
    <t>Razer Headset v2 x Negro</t>
  </si>
  <si>
    <t>B086PKMZ21</t>
  </si>
  <si>
    <t xml:space="preserve">Buds 3 lite blancos </t>
  </si>
  <si>
    <t>B09NY2HZFQ</t>
  </si>
  <si>
    <t xml:space="preserve">Mi bODY Scale composition </t>
  </si>
  <si>
    <t>B07VD9F419</t>
  </si>
  <si>
    <t>Xiaomi Reloj Inteligente Smartwatch Watch S1 Active GL (Moon White)…</t>
  </si>
  <si>
    <t>B09S8RCGSC</t>
  </si>
  <si>
    <t>Reloj Inteligente Smartwatch Xiaomi Watch S1 (Silver)…</t>
  </si>
  <si>
    <t>B09TR69KGF</t>
  </si>
  <si>
    <t>Reloj Inteligente Smartwatch Xiaomi Watch S1 (Black)…</t>
  </si>
  <si>
    <t>B09TR5XVML</t>
  </si>
  <si>
    <t>Arlo</t>
  </si>
  <si>
    <t>B08NTGL8MB</t>
  </si>
  <si>
    <t>Xiaomi Mi 360° Home Security Camera 2K Pro…</t>
  </si>
  <si>
    <t>B08P5G51GN</t>
  </si>
  <si>
    <t>Kraken Mercury</t>
  </si>
  <si>
    <t>B07SKCLW2G</t>
  </si>
  <si>
    <t>Razer Gigantus v2 -Mouse mat para Videojuegos mediano…</t>
  </si>
  <si>
    <t>B088539GLT</t>
  </si>
  <si>
    <t>Xiaomi Audífonos Inálambricos Buds 3T Pro Carbon Grey…</t>
  </si>
  <si>
    <t>B09R9JY2RZ</t>
  </si>
  <si>
    <t xml:space="preserve">Wolverine Control V2 </t>
  </si>
  <si>
    <t>B08LRTTGM6</t>
  </si>
  <si>
    <t>MI In ear</t>
  </si>
  <si>
    <t>B01N0Z1YKE</t>
  </si>
  <si>
    <t>Xiaomi Audífonos Inalámbricos Buds 3 Carbon Black</t>
  </si>
  <si>
    <t>B09S2Z86R4</t>
  </si>
  <si>
    <t>Bomba</t>
  </si>
  <si>
    <t>B09JZWJ2QY</t>
  </si>
  <si>
    <t>Razer Kraken color negro - Audifonos Gaming 3.5 mm multiplataforma ( PC, XBOX , PS4,SWITCH, MOBIL , TABLET)</t>
  </si>
  <si>
    <t>B07N85FY1G</t>
  </si>
  <si>
    <t>Razer Razer BlackShark V2 - Headset Multi plataforma con Tarjeta de Sonido Negro StandardWindows Vista; Windows XP; Mac; Linux…</t>
  </si>
  <si>
    <t>B086PKMZ1Q</t>
  </si>
  <si>
    <t>Xiaomi Audífonos Inalámbricos Redmi Buds 3 Pro Glacier Gray…</t>
  </si>
  <si>
    <t>B09C3WHL7P</t>
  </si>
  <si>
    <t xml:space="preserve">
Pasa el mouse encima de la imagen para aplicar zoom
Xiaomi Mi Portable Bluetooth Speaker Gris</t>
  </si>
  <si>
    <t>B08N4BFTL9</t>
  </si>
  <si>
    <t>Xiaomi Bascula Inteligente Mi Smart Scale 2 Blanca…</t>
  </si>
  <si>
    <t>B07VLN38BL</t>
  </si>
  <si>
    <t>Xiaomi Foco Inteligente Mi Smart Led Bulb Essential…</t>
  </si>
  <si>
    <t>B0859NF38S</t>
  </si>
  <si>
    <t>Xiaomi Mouse Mi Dual Mode Wireless Silent Edition Blanco</t>
  </si>
  <si>
    <t>B08868HFW2</t>
  </si>
  <si>
    <t>Mi robot juguete</t>
  </si>
  <si>
    <t>B0769LNZFM</t>
  </si>
  <si>
    <t>Roku Streaming Stick+</t>
  </si>
  <si>
    <t>B075XLWML4</t>
  </si>
  <si>
    <t>Tab A8 sAMSUNG</t>
  </si>
  <si>
    <t>B09N41RC6L</t>
  </si>
  <si>
    <t>Instax mORADA</t>
  </si>
  <si>
    <t>B0858B1HRR</t>
  </si>
  <si>
    <t>iNTSAX Rosa</t>
  </si>
  <si>
    <t>B085282C1R</t>
  </si>
  <si>
    <t>Razer Basilisk X HyperSpeed - Gaming Mouse -Wireless Ergonomico color Negro StandardWindows Vista; Windows XP; Mac; Linux…</t>
  </si>
  <si>
    <t>B07YPBQSCK</t>
  </si>
  <si>
    <t>Blackmagic Design - Conmutador ATEM Mini HDMI de transmisión en vivo…</t>
  </si>
  <si>
    <t>B07XZKRDLB</t>
  </si>
  <si>
    <t>insta360 GO 2 Cámara de acción pequeña, 28 g, Impermeable, estabilización, Captura POV, Sensor de 1.27 cm, Estuche de Carga y Accesorios de cámara portátil para Viajes, Deportes, vlog</t>
  </si>
  <si>
    <t>B08Y1P3CQ8</t>
  </si>
  <si>
    <t>Motorola HK375-S - Auriculares inalámbricos intraurales mono con tecn</t>
  </si>
  <si>
    <t>B09J1N9KBR</t>
  </si>
  <si>
    <t>MI WIRELESS OUTDOOR SECURITY CAMERA 1080P</t>
  </si>
  <si>
    <t>B09DQ24TGX</t>
  </si>
  <si>
    <t>MI WIRELESS OUTDOOR SECURITY CAMERA 1080P SET</t>
  </si>
  <si>
    <t>B09DQ21SBC</t>
  </si>
  <si>
    <t>Camara 2k 360</t>
  </si>
  <si>
    <t>B08R8LKBV9</t>
  </si>
  <si>
    <t>Xiaomi Smartwatch Redmi Watch 2 Lite Ivory…</t>
  </si>
  <si>
    <t>B09LHGP5JF</t>
  </si>
  <si>
    <t>Xiaomi Mi Watch Lite Azul US…</t>
  </si>
  <si>
    <t>B08Q3WDC9J</t>
  </si>
  <si>
    <t>Xiaomi Smartwatch Redmi Watch 2 Lite Azul…</t>
  </si>
  <si>
    <t>B09R8SD6G5</t>
  </si>
  <si>
    <t xml:space="preserve">Tune 500 bt azul </t>
  </si>
  <si>
    <t>B08WM1V5P1</t>
  </si>
  <si>
    <t>B08WM298TV</t>
  </si>
  <si>
    <t>B08WM3LJQB</t>
  </si>
  <si>
    <t>SAMSUNG Proyector portátil Inteligente Freestyle de 30 a 100 Pulgadas, FHD, HDR, Uso doméstico, Experiencia de Pantalla Grande, Sonido 360, SP-LSP3BLAXZA, Modelo 2022</t>
  </si>
  <si>
    <t>B09NDXB72V</t>
  </si>
  <si>
    <t>B098BRGZW1</t>
  </si>
  <si>
    <t>Mi watch lite 2</t>
  </si>
  <si>
    <t>B09LHFW2NL</t>
  </si>
  <si>
    <t>Xiaomi Mi Portable Photo Printer Paper (2x3-inch, 20-Sheets)</t>
  </si>
  <si>
    <t>B08BY35N8L</t>
  </si>
  <si>
    <t>B09S3B442Z</t>
  </si>
  <si>
    <t>B09HY1LGZ2</t>
  </si>
  <si>
    <t>RazerRZ04-02980100-R3M1Razer Kraken Kitty Edition Razer Chroma USB Gaming Headset Black…</t>
  </si>
  <si>
    <t>B07WC9KLFZ</t>
  </si>
  <si>
    <t>Xiaomi Tetera Hervidor de agua inteligente con función de mantener caliente y programación desde el celular…</t>
  </si>
  <si>
    <t>B08MPXN672</t>
  </si>
  <si>
    <t xml:space="preserve">Razer Kraken Kitty - Audífonos Gaming con iluminación Chroma RGB USB Rosa </t>
  </si>
  <si>
    <t>B07XYPXB9Q</t>
  </si>
  <si>
    <t>Mi Box 4K</t>
  </si>
  <si>
    <t>B09NMT7NXY</t>
  </si>
  <si>
    <t>Razer DeathAdder Essential Gaming Mouse - Ratón óptico de 6400 PPP, 5 Botones programables, interruptores mecánicos, empuñaduras Laterales de Goma, Color Negro clásico</t>
  </si>
  <si>
    <t>B094PS5RZQ</t>
  </si>
  <si>
    <t>Xiaomi Banco de energía Redmi de 20000 mAh, carga rápida, carga rápida bidireccional de 18 W, puertos de entrada y salida duales, alta capacidad de 74 Wh, batería externa comp</t>
  </si>
  <si>
    <t>B08LN1YV1X</t>
  </si>
  <si>
    <t>Kishi</t>
  </si>
  <si>
    <t>B0B16NGTCT</t>
  </si>
  <si>
    <t>Razer Razer Basilisk V2 - Mouse Gamer Ergonómico Negro StandardWindows Vista; Windows XP; Mac; Linux…</t>
  </si>
  <si>
    <t>B082G5BDNC</t>
  </si>
  <si>
    <t>Xiaomi Purificador de Aire Mi Air Purifier 3C…</t>
  </si>
  <si>
    <t>B09NB1X529</t>
  </si>
  <si>
    <t>Xiaomi Mi Air Purifier 3H, Blanco…</t>
  </si>
  <si>
    <t>B07ZV7BDXZ</t>
  </si>
  <si>
    <t>Xiaomi Mi Smart LED Desk Lamp Pro Blanco…</t>
  </si>
  <si>
    <t>B08H5JN5BM</t>
  </si>
  <si>
    <t>Xiaomi Mi Destornillador inalámbrico de 3,6 V, batería recargable de 2000 mAh, cuerpo patentado de una sola pieza con puerto de carga USB-C. Destornillador</t>
  </si>
  <si>
    <t>B07XZNJDGG</t>
  </si>
  <si>
    <t>Razer BlackWidow V3 Mechanical Gaming Keyboard: Green Mechanical Switches - Tactile &amp; Clicky - Chroma RGB Lighting - Compact Form Factor - Programmable Macros - Halo Infinite…</t>
  </si>
  <si>
    <t>B08F2YY8JV</t>
  </si>
  <si>
    <t>Auriculares para juegos USB con cable Razer Kraken V3 HyperSense con tecnología háptica: Controladores Triforce Titanium de 50 mm - Audio espacial THX - Cojines de espuma viscoelástica de tela híbrida y cuero sintético - Micrófono desmontable…</t>
  </si>
  <si>
    <t>B09HJC1X9P</t>
  </si>
  <si>
    <t>Razer BlackShark V2 X - Auriculares para videojuegos: sonido envolvente 7.1, controladores de 50 mm, cojín de espuma viscoelástica, para PC, Mac, PS4, PS5, S</t>
  </si>
  <si>
    <t>B09PZG4R17</t>
  </si>
  <si>
    <t>Razer Kraken V3 X Auriculares gaming USB con iluminación Chroma Negro StandardWindows Vista; Windows XP; Mac; linux…</t>
  </si>
  <si>
    <t>B08WYN93RJ</t>
  </si>
  <si>
    <t>Razer BlackShark V2 - Auriculares para videojuegos: sonido envolvente espacial THX 7.1, controladores de 50 mm, micrófono desmontable, para PC, PS4, PS5, Switch, Xbox One, X</t>
  </si>
  <si>
    <t>B099MRQKY2</t>
  </si>
  <si>
    <t>azerRZ04-02980100-R3M1Razer Kraken Kitty Edition Razer Chroma USB Auriculares para juegos Negro…</t>
  </si>
  <si>
    <t>Buds Air 3</t>
  </si>
  <si>
    <t>B018LW032S</t>
  </si>
  <si>
    <t>Buds 3 Air Neo Realme</t>
  </si>
  <si>
    <t>B0B4DDZQ97</t>
  </si>
  <si>
    <t>Redmi Buds 4 pro</t>
  </si>
  <si>
    <t>B0B8ZMGK7D</t>
  </si>
  <si>
    <t>- JBL Vibe 200 Earbuds fo</t>
  </si>
  <si>
    <t>B097F4V3FJ</t>
  </si>
  <si>
    <t>Razer Seiren Mini Condenser Microphone - Mercury</t>
  </si>
  <si>
    <t>B08HGLTNDM</t>
  </si>
  <si>
    <t>azer Razer BlackWidow V3 - Teclado mecánico para juegos (interruptor verde) - Diseño ES Negro clásico EstándarWindows Vista;Windows XP;Mac;Linux…</t>
  </si>
  <si>
    <t>B08FQPLCNC</t>
  </si>
  <si>
    <t>Razer Seiren Mini Condenser Microphone - Black</t>
  </si>
  <si>
    <t>B08HH3FTYT</t>
  </si>
  <si>
    <t xml:space="preserve">Razer Seiren V2 X -Micrófono USB para Streamers, condensador de 25 mm - Patrón de </t>
  </si>
  <si>
    <t>B09GJXKYR4</t>
  </si>
  <si>
    <t>Silla Enki</t>
  </si>
  <si>
    <t>B09CLP7ZDT</t>
  </si>
  <si>
    <t>Silla para juegos Razer Enki X Essential: Comodidad para jugar dura</t>
  </si>
  <si>
    <t>B09CLMBFQZ</t>
  </si>
  <si>
    <t>RazerTartarus V2 - gaming Keypad Mecha-Membrane con 32 teclas programables totales e iluminación Chroma RGB…</t>
  </si>
  <si>
    <t>B07754PYFK</t>
  </si>
  <si>
    <t>Naga</t>
  </si>
  <si>
    <t>B0788MCRGC</t>
  </si>
  <si>
    <t>Xiaomi Mi Desktop Monitor 1C 23.8 Pulgadas FullHD (Negro), Alta Definición, Tamaño Compacto, Visión Infinita, Pantalla Envolvente, Ajustable a tu ángulo de visión.…</t>
  </si>
  <si>
    <t>B08NH238L8</t>
  </si>
  <si>
    <t>Xiaomi 3</t>
  </si>
  <si>
    <t>B09F9HP5GF</t>
  </si>
  <si>
    <t>Xiaomi Scooter Electrico Patinete Eléctrico 3 Lite (Negro) EU…</t>
  </si>
  <si>
    <t>B0B5DXKJ7P</t>
  </si>
  <si>
    <t>Xiaomi Juego de destornilladores de precisión, juego de 24 puntas de destornilladores magnéticos, juego de herramientas de destornillador de bolsillo, kit de mini dest</t>
  </si>
  <si>
    <t>B08MV2H7KD</t>
  </si>
  <si>
    <t xml:space="preserve">
B08MV2H7KD-new</t>
  </si>
  <si>
    <t>JBL Audífonos Inalámbricos In Ear True Wireless Tune 115TWS Bluetooth…</t>
  </si>
  <si>
    <t>B08FGPMMQ8</t>
  </si>
  <si>
    <t>Xiaomi Mi Impresora fotográfica instantánea portátil de 2 x 3 con fotos de audio AR, videos dinámicos, impresión de imágenes en papel ca</t>
  </si>
  <si>
    <t>B0BKPSZP9D</t>
  </si>
  <si>
    <t>Razer Barracuda X - Audifonos Inalambricos Multi-plataforma para Gaming Negro StandardWindows Vista; Windows XP; Mac; Linux [android, gamecube, macintosh, nintendo_wii, playstation, playstation_2</t>
  </si>
  <si>
    <t>B09HN6JTKH</t>
  </si>
  <si>
    <t>Razer Barracuda X - Audifonos Inalámbricos Multi-plataforma para Gaming Negro StandardWindows Vista; Windows XP; Mac; Linux</t>
  </si>
  <si>
    <t>B096N6Q51N</t>
  </si>
  <si>
    <t>Bombilla LED inteligente Xiaomi Mi (blanco frío)…</t>
  </si>
  <si>
    <t>B08PQ6CY5Y</t>
  </si>
  <si>
    <t>Razer Barracuda X Wireless Multi-Platform Gaming and Mobile Headset: 250g Ergonomic Design - Detachable HyperClear Mic - 20hrs Battery Life - Compatible w/PC, PS5, Switch, &amp; Android - Quartz…</t>
  </si>
  <si>
    <t>B09HN6SQB9</t>
  </si>
  <si>
    <t>Bombilla LED inteligente Xiaomi Mi (blanco cálido)…</t>
  </si>
  <si>
    <t>B08C4TWFJK</t>
  </si>
  <si>
    <t>Xiaomi Pulsera Inteligente Smart Band 7 Pro GL Blanca con GPS (Versión Global)…</t>
  </si>
  <si>
    <t>B0BBN6GQ96</t>
  </si>
  <si>
    <t>New
New
Xiaomi Pulsera Inteligente Smart Band 7 Pro GL Negra con GPS (Versión Global)…</t>
  </si>
  <si>
    <t>B0BBNDC95L</t>
  </si>
  <si>
    <t>Harman Kardon Onyx Studio 7, Bocina Portátil Bluetooth, 50 W de Potencia, Mango de Aluminio Anodizado - Negro…</t>
  </si>
  <si>
    <t>B09817FXSM</t>
  </si>
  <si>
    <t>Nothing Ear (Stick) - Auriculares inalámbricos, diseño ergonómico cómodo, Driver Personalizado, tecnología Clear Voice, Controles táctiles, hasta 29 de batería（Una Bolsa para Auriculares Gratis）</t>
  </si>
  <si>
    <t>B0B45WH7TN</t>
  </si>
  <si>
    <t>JBL PMB100: Micrófono Vocal dinámico con cable, Negro, JBLPBM100BLKAM…</t>
  </si>
  <si>
    <t>B08LR3YWTY</t>
  </si>
  <si>
    <t>JBL Bocina Portátil Charge 5 Bluetooth Azul…</t>
  </si>
  <si>
    <t>B08X4VXF1M</t>
  </si>
  <si>
    <t xml:space="preserve">	
JBL Bocina Portátil Charge 5 Bluetooth Negro…</t>
  </si>
  <si>
    <t>B08X4YMTPM</t>
  </si>
  <si>
    <t>JBL Bocina Portátil Charge 5 Bluetooth Rojo…</t>
  </si>
  <si>
    <t>B08X4W5TZB</t>
  </si>
  <si>
    <t>JBL Bocina Link Music Wi-Fi - Negro…</t>
  </si>
  <si>
    <t>B07XRZHHRQ</t>
  </si>
  <si>
    <t>JBL Vibe 100 TWS - Auriculares intraurales inalambricos Verdaderos, Color Negro…</t>
  </si>
  <si>
    <t>B095J62YQR</t>
  </si>
  <si>
    <t>JBL T110 - Auriculares in-Ear con mando a distancia de un botón, Negro, Una Talla…</t>
  </si>
  <si>
    <t>B07PL3CB71</t>
  </si>
  <si>
    <t>JBL Endurance Race TWS Audífonos Inalámbricos Bluetooth - Negro…</t>
  </si>
  <si>
    <t>B09FTLQ64Q</t>
  </si>
  <si>
    <t xml:space="preserve">	
JBL Vibe 100TWS Audífonos Inalámbricos Bluetooth - Azul…</t>
  </si>
  <si>
    <t>B095J56XV5</t>
  </si>
  <si>
    <t>Wolverine V2 Chroma</t>
  </si>
  <si>
    <t>B09CKFSRK7</t>
  </si>
  <si>
    <t>B07B9TVQ82</t>
  </si>
  <si>
    <t>Razer Viper Ultimate mouse gamer inalambrico con base - ambidiestro con iluminacion Chroma RGB Negro UltimateWindows Vista;Windows XP;Mac;Linux…</t>
  </si>
  <si>
    <t>B07YPC3BQC</t>
  </si>
  <si>
    <t>LP NEGRO</t>
  </si>
  <si>
    <t>B08TWYFNFY</t>
  </si>
  <si>
    <t>Xiaomi Impresora Portátil Mi Portable Photo Printer…</t>
  </si>
  <si>
    <t>B08BT1K9GR</t>
  </si>
  <si>
    <t>JBL Tune 710BT Auriculares inalámbricos sobre la Oreja - Auriculares Bluetooth con micrófono, batería 50H, Llamadas Manos Libres, portátil (Negro)…</t>
  </si>
  <si>
    <t>B095QN9WHH</t>
  </si>
  <si>
    <t>realme TechLife Buds T100 | Resistencia al agua IPX5 | Bluetooth 5.3 | Hasta 28 horas de reproducción total, color negro…</t>
  </si>
  <si>
    <t>B0BR324HBB</t>
  </si>
  <si>
    <t>Keurig K-Mini Cafetera K-Cup</t>
  </si>
  <si>
    <t>B07MF3F16S</t>
  </si>
  <si>
    <t>Sengled Smart LED Light Bulb, Compatible con Alexa, 800LM, Blanco suave 2700K, 8.7W (60W Equivalente), 1 Paquete - Actualización desde el dispositivo…</t>
  </si>
  <si>
    <t>B08DJBDG5L</t>
  </si>
  <si>
    <t>Realme - Reloj 2, reloj inteligente para teléfonos Android e iOS, compatible con iPhone, Samsung, reloj inteligente IP68 con monitor de frecuencia cardíaca, oxígeno en sangre, podómetro, monitor de sueño, 90 modos deportivos</t>
  </si>
  <si>
    <t>B098NK8M77</t>
  </si>
  <si>
    <t>realme Audífonos inalámbricos Buds Air 3, cancelación Activa de Ruido, Controlador dinámico de Refuerzo de Graves de 10 mm, hasta 30 Horas de Tiempo de reproducción, Resistencia al Agua IPX5, Galaxy…</t>
  </si>
  <si>
    <t>B09PHCJBKJ</t>
  </si>
  <si>
    <t>Razer Mamba Elite -Mouse Gaming con Sensor óptico de 000 DPI, 9 Botones programables…</t>
  </si>
  <si>
    <t>B07F816PH9</t>
  </si>
  <si>
    <t>Razer DeathAdder V2 Lite - Mouse Gamer ergonómico con Cable</t>
  </si>
  <si>
    <t>B0BSG2S7J2</t>
  </si>
  <si>
    <t>Xiaomi Mouse Mi Dual Mode Wireless Mouse Silent Edition B</t>
  </si>
  <si>
    <t>B0885Q4VMQ</t>
  </si>
  <si>
    <t>realme Buds Air 3S Bluetooth verdaderamente inalámbricos, driver de titanio triple de 11 mm, con micrófono AI ENC para llamadas, emparejamiento de dispositivos duales, reproducción total de 30 horas con carga rápida…</t>
  </si>
  <si>
    <t>B0BK9CYMY5</t>
  </si>
  <si>
    <t>Razer Hammerhead True Wireless Bluetooth Auriculares para juegos: 60 ms de baja latencia, IPX4 resistente al agua, emparejamiento automático Bluetooth 5.0, habilitado pa</t>
  </si>
  <si>
    <t>B07Z77V1RH</t>
  </si>
  <si>
    <t>Sengled Smart WiFi LED Multicolor foco, no requiere Hub, 2000 - 6500 K, equivalente a 60 W, funciona con Alexa &amp; Google Assistant, 1 paquete…</t>
  </si>
  <si>
    <t>B07QJH9Q56</t>
  </si>
  <si>
    <t>Earbuds Basic</t>
  </si>
  <si>
    <t>B08GSQ7B9Z</t>
  </si>
  <si>
    <t>motorola Moto Buds 085 - Auriculares Bluetooth Inalámbricos con Micrófono, Conexión Dual, IPX5…</t>
  </si>
  <si>
    <t>B09SKLDYM5</t>
  </si>
  <si>
    <t>Logitech K380</t>
  </si>
  <si>
    <t>B084B1VBF9</t>
  </si>
  <si>
    <t xml:space="preserve">Logitech Lift Mouse Ergonómico Vertical, Inalámbrico, Bluetooth o Receptor Logi Bolt USB, clics Silenciosos, 4 Botones, Compatible con Windows/macOS/iPadOS, Laptop, PC - Rosa
</t>
  </si>
  <si>
    <t>B098HXFLMW</t>
  </si>
  <si>
    <t>Xiaomi - Altavoz Mi Outdoor Negro</t>
  </si>
  <si>
    <t>B08MLBTBHC</t>
  </si>
  <si>
    <t>Xiaomi Scooter Eléctrico Mi Electric Scooter 3 (Gray) EU</t>
  </si>
  <si>
    <t>B09GPLG941</t>
  </si>
  <si>
    <t>Xiaomi Repetidor Mi WiFi Range Extender AC1200</t>
  </si>
  <si>
    <t>B099K5WVYY</t>
  </si>
  <si>
    <t>HyperX Cloud Earbuds - Audífonos para gaming portátiles con micrófono para Nintendo Switch y Mobile Gaming (HX-HSCEB-RD)…</t>
  </si>
  <si>
    <t>B07GW283KL</t>
  </si>
  <si>
    <t>DJI Drone Mavic Mini 2 Combo, Blanco…</t>
  </si>
  <si>
    <t>B08JGX61H7</t>
  </si>
  <si>
    <t>JBL Xtreme 3</t>
  </si>
  <si>
    <t>B08NLCW9WY</t>
  </si>
  <si>
    <t>JBL Tune 230NC</t>
  </si>
  <si>
    <t>B09FMS2QYD</t>
  </si>
  <si>
    <t>SKULLCANDY Audifonos Inalámbrico</t>
  </si>
  <si>
    <t>B0857JQFYP</t>
  </si>
  <si>
    <t>B084SC59D7</t>
  </si>
  <si>
    <t>B084SBWWQ5</t>
  </si>
  <si>
    <t xml:space="preserve">
810015586877</t>
  </si>
  <si>
    <t>Lenovo Smart Tab M8 8'' con Asistente Google 2GB RAM, 32 GB de Capacidad, procesador MediaTek Helio A22</t>
  </si>
  <si>
    <t>B09B44V16M</t>
  </si>
  <si>
    <t>Razer Pbt - Kit de teclas para personalizacion de teclados mecánicos y ópticos, Color Negro Mate, Negro clásico…
B07ZPRSWPZ</t>
  </si>
  <si>
    <t>B07ZPRSWPZ</t>
  </si>
  <si>
    <t>Pulse 4</t>
  </si>
  <si>
    <t>B07XK9L6XH</t>
  </si>
  <si>
    <t>Razer Huntsman Mini - 60% Teclado Gaming con Switches Opticos (Linear Red Switch) Mercury…</t>
  </si>
  <si>
    <t>B08B3MHYPC</t>
  </si>
  <si>
    <t xml:space="preserve">Razer Base Station V2 Chroma: Iluminación Chroma RGB – </t>
  </si>
  <si>
    <t>B08J5ZGKBW</t>
  </si>
  <si>
    <t>Razer Pbt - Kit de Teclas para teclados mecánicos y ópt</t>
  </si>
  <si>
    <t>B07ZPRYK9X</t>
  </si>
  <si>
    <t>Razer Pbt - Kit de teclas para personalizacion de teclados mecánicos y ópticos, Color Mercury/ Blanco…</t>
  </si>
  <si>
    <t>B07ZPRL49Y</t>
  </si>
  <si>
    <t>Razer Kishi V2 -Universal Mobile Gaming Controller mobile para iPhone [ios]…</t>
  </si>
  <si>
    <t>B0B16PJ31L</t>
  </si>
  <si>
    <t>Razer Pbt -Kit de teclas para personalizacion de teclados mecánicos y ópticos, Color Negro Mate, Quartz Rosa</t>
  </si>
  <si>
    <t>B07ZPRN5ZQ</t>
  </si>
  <si>
    <t>Razer Wolverine V2 Chroma Wired Gaming Pro Controller for Xbox Series X|S, Xbox One, PC: RGB Ligh</t>
  </si>
  <si>
    <t>B09JJ4592H</t>
  </si>
  <si>
    <t>Xiaomi Mi Smart LED Bulb (Warm White)…</t>
  </si>
  <si>
    <t>Razer BlackWidow V3 - Mechanical Gaming Keyboard (Yellow Switch) - US Layout – FRML Packaging StandardWindows Vista; Windows XP; Mac; Linux…</t>
  </si>
  <si>
    <t>B08FQR969J</t>
  </si>
  <si>
    <t>Razer DeathStalker V2 Gaming Keyboard: Low-Profile Optical Switches - Linear Red - Ultra-Durable Coated Keycaps - Durab</t>
  </si>
  <si>
    <t>B0B5FR8ZB5</t>
  </si>
  <si>
    <t xml:space="preserve">Razer Goliathus Extended Chroma Gaming Mouse Pad - </t>
  </si>
  <si>
    <t>B07QGHBLNP</t>
  </si>
  <si>
    <t>Razer Huntsman Mini - 60% Teclado Gaming con Switche´s Opticos (Linear Red Switch)</t>
  </si>
  <si>
    <t>B08B3JSKGR</t>
  </si>
  <si>
    <t>Lenovo Tab M8 (3ª generación) 8 pulgadas HD (1280 x 800) IPS 350nits brillante, táctil,</t>
  </si>
  <si>
    <t>B09J87KSPM</t>
  </si>
  <si>
    <t>B08LTQQR54</t>
  </si>
  <si>
    <t>SAMSUNG Galaxy SmartTag 2021 -</t>
  </si>
  <si>
    <t>B08SXLWXH9</t>
  </si>
  <si>
    <t>motorola Moto Buds 250</t>
  </si>
  <si>
    <t>B09SKWWRVG</t>
  </si>
  <si>
    <t>Razer Nommo Chroma –</t>
  </si>
  <si>
    <t>B078H1T9YD</t>
  </si>
  <si>
    <t xml:space="preserve">Buds 3 Lite </t>
  </si>
  <si>
    <t>B0B2MNFCWD</t>
  </si>
  <si>
    <t>JBL Live Free NC+ TWS Audífonos Inalámbricos Bluetooth - Negro…</t>
  </si>
  <si>
    <t>B08WPBS8VC</t>
  </si>
  <si>
    <t xml:space="preserve">Xiaomi Redmi Buds 4 Lite TWS </t>
  </si>
  <si>
    <t>B0BYJL3KJT</t>
  </si>
  <si>
    <t>Razer Naga X</t>
  </si>
  <si>
    <t>B08QVNG4BM</t>
  </si>
  <si>
    <t>Razer Tartarus Pro - Gaming KeyPad Optico Negro StandardWindows Vista; Windows XP; Mac; Linux</t>
  </si>
  <si>
    <t>B07YQKS4B5</t>
  </si>
  <si>
    <t>Razer Ratón para juegos Bungee V3: soporte de mouse con cable sin arrastrar, para rendimie</t>
  </si>
  <si>
    <t>B08HCKR6BR</t>
  </si>
  <si>
    <t>Razer PBT Keycap + Coiled Cable Upgrade Set: Durable Doubleshot PBT - Universal C</t>
  </si>
  <si>
    <t>B09614LSQT</t>
  </si>
  <si>
    <t>Xiaomi Taladro inalámbrico sin escobillas de 12 V máximo, par de torsión potente de 30 nm, control de precisión de 30 velocidades, 3 modos de funcionamiento, pantalla inteligente, gris</t>
  </si>
  <si>
    <t>B09PYSKWFJ</t>
  </si>
  <si>
    <t>Mi afeitadora eléctrica S500…</t>
  </si>
  <si>
    <t>B089Z6X451</t>
  </si>
  <si>
    <t>Razer Firefly V2 - Alfombrilla de Mouse para Videojuegos (Micro Texturizada, con iluminación RGB, alimentada por Chroma)…</t>
  </si>
  <si>
    <t>B07Y8WMR5H</t>
  </si>
  <si>
    <t xml:space="preserve">Logitech G502 X </t>
  </si>
  <si>
    <t>B0B8JMT89N</t>
  </si>
  <si>
    <t>Razer Huntsman Mini - 60% Optical Keyboard (Clicky Purple Switch) Mercury</t>
  </si>
  <si>
    <t>B08B3CFL6W</t>
  </si>
  <si>
    <t xml:space="preserve">JBL Vibe Buds Audífonos Inalámbricos Bluetooth, Drivers 8mm, Reproducción 32 Horas, Resistentes al Agua y </t>
  </si>
  <si>
    <t>B0BQPNJT25</t>
  </si>
  <si>
    <t xml:space="preserve">JBL Endurance Race TWS </t>
  </si>
  <si>
    <t>B09FTK5D4K</t>
  </si>
  <si>
    <t>Buds 3 Lite Negro</t>
  </si>
  <si>
    <t>B09QQG85HM</t>
  </si>
  <si>
    <t>Xiaomi Mi 10000mAh 37Wh Redmi - Cargador portátil de en</t>
  </si>
  <si>
    <t>B093NBR9MV</t>
  </si>
  <si>
    <t>Gamer Razer Kaira X Chroma Rgb Pc Mac Xbox Movile</t>
  </si>
  <si>
    <t>B09DHNQ8FV</t>
  </si>
  <si>
    <t>Razer Kaira X for Xbox - Aud</t>
  </si>
  <si>
    <t>Razer DeathAdder Essential - Ratón para Videojuegos (Sensor óptico de 6400 PPP, 5 Botones programa</t>
  </si>
  <si>
    <t>B094Q1GJSD</t>
  </si>
  <si>
    <t>RZ01-03850200-R3M1</t>
  </si>
  <si>
    <t>Razer Goliathus Chroma Gaming Mousepad Negro con iluminacion RGB…</t>
  </si>
  <si>
    <t>B07BL7CNSB</t>
  </si>
  <si>
    <t>Razer Viper 8KHz - Mouse Gamer Ambidiestro Negro con iluminacion Chroma RGB StandardWindows Vista; Windows XP; Mac; Linux…</t>
  </si>
  <si>
    <t>B08QVM2JMQ</t>
  </si>
  <si>
    <t>Razer Phantom Keycap Upgrade Set: Unique Stealth Design - Translucent Sides - Bottom-Lasered Legends - Keycap Removal Tools &amp; Stablizers - Universal Compatiability - White…
B0973RTYZW</t>
  </si>
  <si>
    <t>B0973RTYZW</t>
  </si>
  <si>
    <t>Razer Cojín Lumbar Hello Kitty &amp; Friends Edition: Sopo</t>
  </si>
  <si>
    <t>B09PXB9H6D</t>
  </si>
  <si>
    <t>Razer Gigantus v2 - Mouse Mat para Videojuegos, Large…</t>
  </si>
  <si>
    <t>B0885NTLKJ</t>
  </si>
  <si>
    <t>Sensor Inteligente Xiaomi Mi Door and Window Sensor 2 (White)…</t>
  </si>
  <si>
    <t>B09GPYH1HK</t>
  </si>
  <si>
    <t>JBL Live 460NC Audífonos Inalámbricos Bluetooth - Negro…</t>
  </si>
  <si>
    <t>B08WR6YDKP</t>
  </si>
  <si>
    <t>Razer BlackShark V2 Special Edition - Auriculares Deportivos con Cable multiplataforma</t>
  </si>
  <si>
    <t>B091FBWFYF</t>
  </si>
  <si>
    <t>Razer Huntsman Mini - 60% Optical Keyboard (Clicky Purple Switch)…</t>
  </si>
  <si>
    <t>B08BFF4C7J</t>
  </si>
  <si>
    <t>DJI Pack Mini 3 Vuela Más Plus, Dron Mini con cámara Ligero y Plegable con vídeo 4K HDR, 51 min de Tiempo de Vuelo, Grabación Vertical y Funciones Inteligentes, Negro, M16313</t>
  </si>
  <si>
    <t>B0BL6MWNR6</t>
  </si>
  <si>
    <t>Cortapelos de oro sin cable profesional para hombres para estilistas y barberos, carcasa de metal completa, cortado</t>
  </si>
  <si>
    <t>B085RMD914</t>
  </si>
  <si>
    <t>Kemei Golden - Cortapelos inalámbrico profesional, cortapelos par</t>
  </si>
  <si>
    <t>B085R94XT4</t>
  </si>
  <si>
    <t>B09D2XJ7RJ</t>
  </si>
  <si>
    <t>motorola TurboPower 30 Cargador USB-C con Cable USB-C a USB</t>
  </si>
  <si>
    <t>B09H9ZCJNR</t>
  </si>
  <si>
    <t>Samsung Galaxy Buds Live, auriculares inalámbricos con ca</t>
  </si>
  <si>
    <t>B08FT3ZMF3</t>
  </si>
  <si>
    <t xml:space="preserve">Samsung Galaxy S Pen Fold Edition, punta delgada de 1.5 </t>
  </si>
  <si>
    <t>B09BL5TBS3</t>
  </si>
  <si>
    <t>SAMSUNG Adaptador de Viaje 2.0 de Carga rápida de 45 W, Color Negro, Puerto USB C con Cable USB C Incluido</t>
  </si>
  <si>
    <t>B09RTPVRSN</t>
  </si>
  <si>
    <t xml:space="preserve">Razer BlackShark V2 X Auriculares para juegos con cable USB </t>
  </si>
  <si>
    <t>B0B7KKD78B</t>
  </si>
  <si>
    <t>realme Buds Air 3 Neo Auriculares Inalambricos, Controlado</t>
  </si>
  <si>
    <t>B0B4DDBD99</t>
  </si>
  <si>
    <t>realme Watch 3, Smartwatch para contestar a Las Llamadas, Pantalla de 1.8'', 110 Modos de Fitness para Android iO</t>
  </si>
  <si>
    <t>B0BT5YHH3T</t>
  </si>
  <si>
    <t>JBL Tune 115bt Negro/Auriculares Inear Inalámbricos</t>
  </si>
  <si>
    <t>B07XRW6NVS</t>
  </si>
  <si>
    <t>Cortapelos profesional de barba/</t>
  </si>
  <si>
    <t>B083N2WHVZ</t>
  </si>
  <si>
    <t xml:space="preserve">JBL Vibe Beam Audífonos Inalámbricos Bluetooth, Drivers 8mm, </t>
  </si>
  <si>
    <t>B0BQPGJ9LQ</t>
  </si>
  <si>
    <t xml:space="preserve">
KL-BNP9-OBR2</t>
  </si>
  <si>
    <t xml:space="preserve">SAMSUNG Galaxy Buds Live, Auriculares inalámbricos Verdaderos con </t>
  </si>
  <si>
    <t>B089B6Y618</t>
  </si>
  <si>
    <t>Razer Razer Huntsman V2 Teclado Óptico Gamer, (Clicky Purple Switch) - Layout en Español Negro Standard Windows…</t>
  </si>
  <si>
    <t>B09C12ZBKM</t>
  </si>
  <si>
    <t>JBL Tune 130NC Audífonos Inalámbricos Bluetooth - Negro…</t>
  </si>
  <si>
    <t>B09JB8KPNW</t>
  </si>
  <si>
    <t>JBL Endurance Run - Auriculares intrauditivos Deportivos con Cable, Color Neg</t>
  </si>
  <si>
    <t>B07NVXJNHG</t>
  </si>
  <si>
    <t>Seiren Pink</t>
  </si>
  <si>
    <t>B08GP28B4N</t>
  </si>
  <si>
    <t>JBL Tune 125TWS Audífonos Inalámbricos Bluetooth - Azul…</t>
  </si>
  <si>
    <t>B08BQF1Z53</t>
  </si>
  <si>
    <t xml:space="preserve">	
RZ01-04640100-R3U1</t>
  </si>
  <si>
    <t>B0B6XTDJS1</t>
  </si>
  <si>
    <t>RZ04-04510100-R3U1</t>
  </si>
  <si>
    <t>B0BSK5F71X</t>
  </si>
  <si>
    <t>Xiaomi Mi Electric Scooter Pro 2…</t>
  </si>
  <si>
    <t>B089WDJJ7H</t>
  </si>
  <si>
    <t>RZ04-04510200-R3U1</t>
  </si>
  <si>
    <t>B0BSK884XH</t>
  </si>
  <si>
    <t>Motorola Moto Buds 105 - Auriculares</t>
  </si>
  <si>
    <t>B0BQXHYJGR</t>
  </si>
  <si>
    <t>RZ02-04490100-R3U1</t>
  </si>
  <si>
    <t>B0B5HJV5BS</t>
  </si>
  <si>
    <t>B0BT3VC25K</t>
  </si>
  <si>
    <t xml:space="preserve">GO3 </t>
  </si>
  <si>
    <t>B08KVZ6X3P</t>
  </si>
  <si>
    <t>DJI Mini 3 Pro (DJI RC), Dron ligero y plegable con vídeo 4K/60 fps, fot</t>
  </si>
  <si>
    <t>B09VK5SFHW</t>
  </si>
  <si>
    <t xml:space="preserve">	
DJI Mini 3, Dron Mini con cámara Ligero y Plegable con vídeo 4K HDR, 3</t>
  </si>
  <si>
    <t>B0BL3T49JF</t>
  </si>
  <si>
    <t>Razer Seiren V2 Pro - Micrófono USB de grado profesional para streamers Limitador digital analógico - Botones de monitoriz</t>
  </si>
  <si>
    <t>B09GJZXJSR</t>
  </si>
  <si>
    <t>Razer Goliathus Extended Chroma Gaming Mouse Pad - Iluminación RGB Personalizable - Material de Tela Suave, Control equilibrado y Velocidad - Base de Goma Antideslizante - Halo Infinte Edition…</t>
  </si>
  <si>
    <t>B08F2Z1G6H</t>
  </si>
  <si>
    <t>Razer Huntsman V2 - Optical Gaming Keyboard (Linear Red Switch)…</t>
  </si>
  <si>
    <t>B09C12L49Z</t>
  </si>
  <si>
    <t>Xiaomi Dzn4006gl, Bomba De Aire Adultos Unisex, Negro, Chico…</t>
  </si>
  <si>
    <t>B07XZCLGVQ</t>
  </si>
  <si>
    <t>Buds 4 pro</t>
  </si>
  <si>
    <t>B0B8ZMQQVY</t>
  </si>
  <si>
    <t>B0BWN2718H</t>
  </si>
  <si>
    <t>B0C4ML6PQN</t>
  </si>
  <si>
    <t>JBL Audífonos Gamer Over Ear Quantum One para PC con Micrófono Extraíble…</t>
  </si>
  <si>
    <t>B085R7TPCR</t>
  </si>
  <si>
    <t xml:space="preserve">JBL Quantum 800 Black </t>
  </si>
  <si>
    <t>B085RMDGP9</t>
  </si>
  <si>
    <t>Razer Viper 8KHz - ESL Ed.</t>
  </si>
  <si>
    <t>B09S3VW7KG</t>
  </si>
  <si>
    <t>Razer DeathAdder V3 - Mouse alámbrico</t>
  </si>
  <si>
    <t>Razer Huntsman Mini Analog - Teclado Gaming analógico 60% de tamaño con switches ópticos…</t>
  </si>
  <si>
    <t>B09RG9LWYY</t>
  </si>
  <si>
    <t>Razer Phone Cooler Chroma: iPhone 12 &amp; 13 Series - MagSafe</t>
  </si>
  <si>
    <t>B09M6795GL</t>
  </si>
  <si>
    <t>B0BV4BC7LV</t>
  </si>
  <si>
    <t>JBL Tune 220TWS - Auriculares in-Ear inalámbricos, Color Azul…</t>
  </si>
  <si>
    <t>B082TMKVRW</t>
  </si>
  <si>
    <t>B09VB1Y5NS</t>
  </si>
  <si>
    <t xml:space="preserve">JBL Audífonos inalámbricos auténticos Live 300 </t>
  </si>
  <si>
    <t>B085J2HLWG</t>
  </si>
  <si>
    <t>SAMSUNG Auriculares inalámbricos Galaxy Buds2 con cancelación de Ruido, Sonido Ambiental, Blue</t>
  </si>
  <si>
    <t xml:space="preserve">B09CKJ4Y2R
</t>
  </si>
  <si>
    <t>SAMSUNG Galaxy Buds2 - Auriculares inalámbricos con can</t>
  </si>
  <si>
    <t>B09CKBN7W6</t>
  </si>
  <si>
    <t>SAMSUNG Galaxy Buds Live True Auriculares inalámbricos Bluet</t>
  </si>
  <si>
    <t>B08J3Y4W5J</t>
  </si>
  <si>
    <t>SAMSUNG Cargador de vehículo 2 Salidas USB-C/USB-A Ultra rápido Negro 40W sin Cable…</t>
  </si>
  <si>
    <t>B09VKC4KFR</t>
  </si>
  <si>
    <t>JBL TUNE 120TWS True Wireless Bluetooth In Ear Headphones - Blue…</t>
  </si>
  <si>
    <t>B07RKLNS3K</t>
  </si>
  <si>
    <t xml:space="preserve">BUDS 4 Blancos </t>
  </si>
  <si>
    <t>B0B8DWGRW5</t>
  </si>
  <si>
    <t>Sony</t>
  </si>
  <si>
    <t>B086DBR6T7</t>
  </si>
  <si>
    <t>Earphones 2s</t>
  </si>
  <si>
    <t>B08DKXW7BW</t>
  </si>
  <si>
    <t>Xiaomi Bocina Portátil Mi Compact Bluetooth Speak 2 Blanca</t>
  </si>
  <si>
    <t>B07HHBZSW5</t>
  </si>
  <si>
    <t>Webcam logi</t>
  </si>
  <si>
    <t>B08BNJPVXG</t>
  </si>
  <si>
    <t>JBL Audífonos On Ear Tune 500 con Mic/Control…</t>
  </si>
  <si>
    <t>B07PHVQVKF</t>
  </si>
  <si>
    <t>B0B6PVX4Z3</t>
  </si>
  <si>
    <t>JBL Tune 125TWS -</t>
  </si>
  <si>
    <t>B088NGD49M</t>
  </si>
  <si>
    <t>BL Tune 760NC Audífonos Inalámbricos Bluetooth - Negro…</t>
  </si>
  <si>
    <t>B094YV1S9T</t>
  </si>
  <si>
    <t>Xiaomi Scooter Eléctrico Electric Scooter 4Pro EU…</t>
  </si>
  <si>
    <t>B0B7XYXVZ4</t>
  </si>
  <si>
    <t>Watch 3 Xiaomi</t>
  </si>
  <si>
    <t>B0BXPZRNJS</t>
  </si>
  <si>
    <t>JBL Tune 125TWS Audífonos Inalámbricos Bluetooth, Sonido Pure Bass, Reproducción 32 Horas, Dual Connect - Blanco/Rosa…</t>
  </si>
  <si>
    <t>B08BQF2B5H</t>
  </si>
  <si>
    <t>realme Audífonos Inalámbricos Buds Q2s White…</t>
  </si>
  <si>
    <t>B09PHBLPFY</t>
  </si>
  <si>
    <t>Xiaomi Pulsera Inteligente Redmi Smart Band 2 Black…</t>
  </si>
  <si>
    <t>B0BQN7KCVV</t>
  </si>
  <si>
    <t>B08P52KQ8G</t>
  </si>
  <si>
    <t>Razer Ornata V3 X - Teclado Gamer de Perfil bajo Membrana RGB…</t>
  </si>
  <si>
    <t>B0C8YGGGYB</t>
  </si>
  <si>
    <t xml:space="preserve">JBL - Auriculares In Ear True Wireless Live 300TWS Bluetooth- Negro
</t>
  </si>
  <si>
    <t xml:space="preserve">B085J23QT6
</t>
  </si>
  <si>
    <t xml:space="preserve">JBL Endurance Race TWS Audífonos Inalámbricos Bluetooth - Azul
</t>
  </si>
  <si>
    <t>B09FTK4JJJ</t>
  </si>
  <si>
    <t xml:space="preserve">JBL Tune 130NC Audífonos Inalámbricos Bluetooth - Blanco
</t>
  </si>
  <si>
    <t>JBL Vibe Beam Audífonos Inalámbricos Bluetooth, Drivers 8mm, Reproducción 32 Horas, Resistentes al Agua y al Polvo IP57 - Negro…</t>
  </si>
  <si>
    <t>B0BQPNMXQV</t>
  </si>
  <si>
    <t xml:space="preserve">
FC-6SLJ-F44Q</t>
  </si>
  <si>
    <t>Keurig K-Mini cafetera de una porción K-Cup Pod Coffee Brewer, 6 a 12 oz. Tamaños de cerveza, Oasis, 6 to 12 oz. Brew Sizes, 1…</t>
  </si>
  <si>
    <t xml:space="preserve">B07GV2BHKC
</t>
  </si>
  <si>
    <t>Logitech Lift Mouse Ergonómico Vertical, Inalámbrico, Bluetooth o Receptor Logi Bolt USB, clics Silenciosos, 4 Botones, Compatible con Windows/macOS/iPadOS, Laptop, PC - Blanco…</t>
  </si>
  <si>
    <t xml:space="preserve">B098JK6G5N
</t>
  </si>
  <si>
    <t xml:space="preserve">Razer Auriculares inalámbricos para juegos y móviles Barracuda X (PC, Playstation, Switch, Android, iOS): Modelo 2022 - Inalámbrico de 2,4 GHz + Bl
</t>
  </si>
  <si>
    <t xml:space="preserve">B0B6Q51ZMW
</t>
  </si>
  <si>
    <t>Razer Mamba Elite ratone USB Óptico 16000 DPI Mano derecha - Ratón (Mano derecha, Óptico, USB, 16000 DPI, Negro)…</t>
  </si>
  <si>
    <t xml:space="preserve">B07D8VPBW5
</t>
  </si>
  <si>
    <t>SAMSUNG Auriculares inalámbricos Galaxy Buds2 con cancelación de Ruido, Sonido Ambiental, Bluetooth, Ligero, Ajuste cómodo, Control táctil, versión Internacional (Lavanda)…</t>
  </si>
  <si>
    <t xml:space="preserve">B09CKJ4Y2R
</t>
  </si>
  <si>
    <t xml:space="preserve">SKULLCANDY - Auriculares intraurales inalámbricos Indy ANC True con Bluetooth, cancelación activa de ruido, compatibles con iPhone y Android, funda de carga y micrófono, ideales para </t>
  </si>
  <si>
    <t xml:space="preserve">B08G211JLR
</t>
  </si>
  <si>
    <t>Xiaomi Mi Watch Lite Blanco US…</t>
  </si>
  <si>
    <t xml:space="preserve">B08Q3DQXH6
</t>
  </si>
  <si>
    <t>Xiaomi Redmi Buds 3 Lite True Wireless in Ear Auriculares con micrófono, Bluetooth 5.2, IP54 resistente a salpicaduras, ultraligero, carga rápida y hasta 18 horas de reproducción, nuevo diseño de bloqueo, respuesta táctil rápida…</t>
  </si>
  <si>
    <t xml:space="preserve">B0BY7WQP9T
</t>
  </si>
  <si>
    <t>Logitech K380 Teclado Bluetooth inalámbrico multidispositivo para Mac - Rosa</t>
  </si>
  <si>
    <t>B0876P8VHN</t>
  </si>
  <si>
    <t>Xiaomi - Desarmador eléctrico de precisión, caja metálica, potente motor magnético, batería de litio recargable, puntas de acero S2, carga tipo C</t>
  </si>
  <si>
    <t>B09KY4ZZXP</t>
  </si>
  <si>
    <t>Logitech MK345 - Combo de Mouse y Teclado Inalámbricos, Negro - Inglés</t>
  </si>
  <si>
    <t>B00QXT5T3U</t>
  </si>
  <si>
    <t>Xiaomi Mi 20W Wireless Charging Stand</t>
  </si>
  <si>
    <t>B0881PNW97</t>
  </si>
  <si>
    <t>Razer Basilisk V3 Customizable Ergonomic Gaming Mouse: Fastest Gaming Mouse Switch - Chroma RGB Lighting - 26K dpi Optical Sensor - 11 Programmable Bu</t>
  </si>
  <si>
    <t>B09C13PZX7</t>
  </si>
  <si>
    <t>JBL PartyBox 110 - Altavoz portátil con Luces incorporadas, Sonido Po</t>
  </si>
  <si>
    <t>B094DPXR4X</t>
  </si>
  <si>
    <t>JBL Cinema SB190 - Barra de Sonido de 2</t>
  </si>
  <si>
    <t>B098CPHWSM</t>
  </si>
  <si>
    <t>Razer Goliathus Chroma 3XL -</t>
  </si>
  <si>
    <t>B0B3Y46PYB</t>
  </si>
  <si>
    <t>Scooter 3 lite</t>
  </si>
  <si>
    <t xml:space="preserve">B0B5DZXY95
</t>
  </si>
  <si>
    <t>Cobra</t>
  </si>
  <si>
    <t>B0C51J2ZXN</t>
  </si>
  <si>
    <t>Xiaomi Pulsera Inteligente Smart Band 7 Pro</t>
  </si>
  <si>
    <t>Band 2 Ivory</t>
  </si>
  <si>
    <t>B0BQN5SS6R</t>
  </si>
  <si>
    <t xml:space="preserve">	
Xiaomi Audifonos Inalámbricos Redmi Buds Essential Black…</t>
  </si>
  <si>
    <t>B0BLPD6PNT</t>
  </si>
  <si>
    <t xml:space="preserve">Vibe Buds </t>
  </si>
  <si>
    <t>B0BQPZ7DMV</t>
  </si>
  <si>
    <t>B0CCF855SN</t>
  </si>
  <si>
    <t>JBL Audífonos Gamer Over Ear Quantum 100 con Micrófono Extraíble…</t>
  </si>
  <si>
    <t>B084CWCJTW</t>
  </si>
  <si>
    <t>B0B2DK5YCP</t>
  </si>
  <si>
    <t>LOGITECH K380</t>
  </si>
  <si>
    <t>B0B8LQHNWN</t>
  </si>
  <si>
    <t>LP40</t>
  </si>
  <si>
    <t>B0C6JT6BQF</t>
  </si>
  <si>
    <t>Mi Box S 2</t>
  </si>
  <si>
    <t>B0BZC43HX8</t>
  </si>
  <si>
    <t>Quantum 400</t>
  </si>
  <si>
    <t>B084CZDX61</t>
  </si>
  <si>
    <t>B0876MVKQC</t>
  </si>
  <si>
    <t xml:space="preserve">Proyector </t>
  </si>
  <si>
    <t>B09M8NW1B4</t>
  </si>
  <si>
    <t>B0823BTNYV</t>
  </si>
  <si>
    <t xml:space="preserve">Xiaomi MI Smart Video Projector 2, 1920 x 1080 Full HD, Android TV </t>
  </si>
  <si>
    <t>B09K7T92DV</t>
  </si>
  <si>
    <t>Mi Smart Band 8</t>
  </si>
  <si>
    <t>B0CD2MP728</t>
  </si>
  <si>
    <t>Xiaomi Sintonizador Mi TV Stick Negro…</t>
  </si>
  <si>
    <t>B08DP5VCN3</t>
  </si>
  <si>
    <t>Earphones 2</t>
  </si>
  <si>
    <t>B099HYT928</t>
  </si>
  <si>
    <t>JBL Audífonos Gamer Over Ear Quantum 200 con Micrófono Abatible…</t>
  </si>
  <si>
    <t>B084CZX3T1</t>
  </si>
  <si>
    <t>B0CBT4TDBR</t>
  </si>
  <si>
    <t>o
JBL Bocina Portátil PartyBox Encore Essential Bluetooth - Negro…</t>
  </si>
  <si>
    <t>B09VMPBBY5</t>
  </si>
  <si>
    <t>realme Buds T100 - Auriculares inalámbricos, Bluetooth 5.3, Resistencia al Agua IPX5, Cancelación de Ruido para Llamadas,hasta 28 Horas de reproducción, Incluye Estuche de Carga, Negro…</t>
  </si>
  <si>
    <t>B0BNZ48TGK</t>
  </si>
  <si>
    <t>Celular Xiomi</t>
  </si>
  <si>
    <t>B0CF2T6FDZ</t>
  </si>
  <si>
    <t>B0CDJ3CTPK</t>
  </si>
  <si>
    <t>B01DY7ED12</t>
  </si>
  <si>
    <t xml:space="preserve">	
JBL - Auriculares In-Ear True Wireless Vibe 200TWS Bluetooth - Blanco…</t>
  </si>
  <si>
    <t>B097F31VQL</t>
  </si>
  <si>
    <t>B097F31VQL-new</t>
  </si>
  <si>
    <t xml:space="preserve">	
Xiaomi redmi Buds 4 Lite White…</t>
  </si>
  <si>
    <t>B0BTSXHNN1</t>
  </si>
  <si>
    <t>JBL Audífonos In Ear Endurance RUNBT Bluetooth - Verde</t>
  </si>
  <si>
    <t>B07TCKLJ5N</t>
  </si>
  <si>
    <t>JBL Tune Flex - Auriculares inalámbricos con cancelación de Rui</t>
  </si>
  <si>
    <t>B0C1QQYP53</t>
  </si>
  <si>
    <t>JBL Tune Flex - Auriculares inalámbricos con cancelación de Ruido (Negro)…</t>
  </si>
  <si>
    <t>B0C1QNRGHC</t>
  </si>
  <si>
    <t xml:space="preserve">
Xiaomi Bocina Inteligente Smart Speaker (IR Control) Black</t>
  </si>
  <si>
    <t>B0B5FN58HH</t>
  </si>
  <si>
    <t>JBL Tune Buds, Audífonos Inalámbricos ANC</t>
  </si>
  <si>
    <t>B0C1QWWZR4</t>
  </si>
  <si>
    <t>Razer RZ02-01910100-R3M1 Mouse Mat…</t>
  </si>
  <si>
    <t>B01LX8OATZ</t>
  </si>
  <si>
    <t>JBL Jblclip4blkam</t>
  </si>
  <si>
    <t>B08PJ7JMQM</t>
  </si>
  <si>
    <t>JBL Clip 4 Eco - Altavoz Bluetooth ultraportátil,</t>
  </si>
  <si>
    <t>B0BV5GJCKH</t>
  </si>
  <si>
    <t>JBL Tour Pro 2 (Negro) - Auriculares inalámbricos con cancelación de Ruid</t>
  </si>
  <si>
    <t>B0C3NV42GJ</t>
  </si>
  <si>
    <t>JBL Audífonos Gamer Over Ear Quantum 300 con Micrófono Abatible…</t>
  </si>
  <si>
    <t>B084D5QDXN</t>
  </si>
  <si>
    <t>JBL - Auriculares In-Ear Endurance Run</t>
  </si>
  <si>
    <t>B07QVF16RN</t>
  </si>
  <si>
    <t>JBL Wind 3 FM Altavoz de manubrio Bluetooth, Negro…</t>
  </si>
  <si>
    <t>B09YWPY5SB</t>
  </si>
  <si>
    <t>Xiaomi redmi Buds 4 Active Black…</t>
  </si>
  <si>
    <t>B0C6K7VGCN</t>
  </si>
  <si>
    <t>B0C5ML798M</t>
  </si>
  <si>
    <t>Buds 4 active</t>
  </si>
  <si>
    <t>B0CNPHZ6J8</t>
  </si>
  <si>
    <t>Xiaomi MI Motion Activated Night Light 2 - Bluetooth</t>
  </si>
  <si>
    <t>B09PRCM1QC</t>
  </si>
  <si>
    <t>Camara Roku</t>
  </si>
  <si>
    <t>B0CCS2M75D</t>
  </si>
  <si>
    <t xml:space="preserve">	
HyperX Cloud Buds Audífonos Gaming Inalámbricos Bluetooth, Q</t>
  </si>
  <si>
    <t>B08JPCMD54</t>
  </si>
  <si>
    <t>Bank 3</t>
  </si>
  <si>
    <t>B08WCKLBJJ+</t>
  </si>
  <si>
    <t>Boombox</t>
  </si>
  <si>
    <t>B09YDS8BHK</t>
  </si>
  <si>
    <t>JBL Autoestéreo Celebrity 100 USB/Bluetooth/aux 50w X 4 Máx</t>
  </si>
  <si>
    <t>B0B3SCPGGZ</t>
  </si>
  <si>
    <t>Xiaomi Celular Redmi Note 12 Onyx Gray 6GB Ram128GB ROM</t>
  </si>
  <si>
    <t>B0BZ7R2MPQ</t>
  </si>
  <si>
    <t>Xiaomi REDMI Note 12 4GB 128GB Azul…</t>
  </si>
  <si>
    <t>B0C8BKHP5R</t>
  </si>
  <si>
    <t xml:space="preserve">
Pasa el mouse encima de la imagen para aplicar zoom
Xiaomi Redmi Buds 4 Pro TWS </t>
  </si>
  <si>
    <t>B0BJDYLYNT</t>
  </si>
  <si>
    <t>Xiaomi 10w Wireless Power Bank…</t>
  </si>
  <si>
    <t>B09TWRHGWV</t>
  </si>
  <si>
    <t>B084D1BVKR</t>
  </si>
  <si>
    <t>B084CZT5SX</t>
  </si>
  <si>
    <t>HyperX HHSS1S-AA-BK/G</t>
  </si>
  <si>
    <t>B08DCKP6D4</t>
  </si>
  <si>
    <t>Xiaomi Redmi Watch 3 Active 1.83" Black…</t>
  </si>
  <si>
    <t>B0C7R1RN2D</t>
  </si>
  <si>
    <t>Sony MDREX15LP Audífonos intrauditivos de Silicón, color Negro</t>
  </si>
  <si>
    <t>B00IJXCBG6</t>
  </si>
  <si>
    <t>Xiaomi Celular Poco X5 5G Black 8GB RAM 256GB ROM…</t>
  </si>
  <si>
    <t>B0BRQKGTVM</t>
  </si>
  <si>
    <t>DJI Mini 3 Pro -</t>
  </si>
  <si>
    <t>B09VKNYGXD</t>
  </si>
  <si>
    <t xml:space="preserve">	
Xiaomi Redmi Note 12 4G LTE 128GB 4 GB Verde Menta…</t>
  </si>
  <si>
    <t>B0BZHYZ6ND</t>
  </si>
  <si>
    <t xml:space="preserve">	
Xiaomi Celular Poco X5 5G Black 8GB RAM 256GB ROM…</t>
  </si>
  <si>
    <t>B0BT633HQ3</t>
  </si>
  <si>
    <t>JBL Bar 800</t>
  </si>
  <si>
    <t>B0CLMCK8SN</t>
  </si>
  <si>
    <t>Sony SELP18105G E PZ 18-105mm f/4.0 G - APS-C, Zoom Eléctrico, Color Negro…</t>
  </si>
  <si>
    <t>B00ENZRQH8</t>
  </si>
  <si>
    <t>JBL Vibe 300TWS</t>
  </si>
  <si>
    <t>B0BQCZPSH3</t>
  </si>
  <si>
    <t>JBL Vibe Buds, Audífonos Inalámbricos Bluetooth, Drivers 8mm, Reproducción 32 Horas, Resistentes al Agua y al Polvo IP54 - Beige</t>
  </si>
  <si>
    <t>B0C3PRBJGJ</t>
  </si>
  <si>
    <t>JBL Live Pro 2, NC</t>
  </si>
  <si>
    <t>B09V9P5Q6W</t>
  </si>
  <si>
    <t>Sony 28-70mm F3.5-5.6 FE OSS Interchangeable Standard Zoom Lens…</t>
  </si>
  <si>
    <t>B00GTXHQ8Q</t>
  </si>
  <si>
    <t>Sony NP-FW50//C1 Batería Recargable de Staminia…</t>
  </si>
  <si>
    <t>B003NJVY14</t>
  </si>
  <si>
    <t>Sony HDR-CX405 - Videocámara (30 Factor de Zoom, 350 Factor de Zoom, 1.9-57 milímetro), Negro (Versión Nacional)…</t>
  </si>
  <si>
    <t>B00RK7ODDG</t>
  </si>
  <si>
    <t>JBL Tune 660NC Audífonos Inalámbricos Bluetooth, Drivers de 32mm, Reproducción 44 Horas, Plegables - Negro…</t>
  </si>
  <si>
    <t>B08WNBYQC9</t>
  </si>
  <si>
    <t>Sony Lente FE 24-105 mm F4 Zoom estándar G Lens. Montura E Full Frame…</t>
  </si>
  <si>
    <t>B076VNDS8F</t>
  </si>
  <si>
    <t>Band 8 Active</t>
  </si>
  <si>
    <t>B0CHJ2C1YS</t>
  </si>
  <si>
    <t xml:space="preserve">Sony NW-WS413/LM MX3 Reproductor Mp3 Deportivo 4 Gb, color </t>
  </si>
  <si>
    <t>B01K6VR2Y4</t>
  </si>
  <si>
    <t>VP-N8SM-190I</t>
  </si>
  <si>
    <t>B01K6VQRK4</t>
  </si>
  <si>
    <t>FP-WV12-SIY3-combinado sin etiqueta</t>
  </si>
  <si>
    <t>Sony Batería Recargable NP-FZ100 Serie Z para Cámaras Alpha</t>
  </si>
  <si>
    <t>B071NHTQMJ</t>
  </si>
  <si>
    <t>HyperX CloudX Stinger</t>
  </si>
  <si>
    <t>B07WJRF4XY</t>
  </si>
  <si>
    <t xml:space="preserve">	
Xiaomi Tablet Pad 6 8GB 256GB Gris…</t>
  </si>
  <si>
    <t>B0C8PRJMF9</t>
  </si>
  <si>
    <t>Xiaomi REDMI 12 4+128GB Azul…</t>
  </si>
  <si>
    <t>B0C9GJ5DYX</t>
  </si>
  <si>
    <t>EarBuds Bose QuietComfort Noise Cancelling II: Audífonos Inalámbricos con Personalización de Reducción de Ruido y Sonido (Gris Ec</t>
  </si>
  <si>
    <t>B0CLQN76MM</t>
  </si>
  <si>
    <t>Sony WF-C500</t>
  </si>
  <si>
    <t>B09FKGJ1CB</t>
  </si>
  <si>
    <t xml:space="preserve">	
Celular Poco X5 Pro 5G Black 8GB RAM 256GB ROM…</t>
  </si>
  <si>
    <t>B0BRQMC66M</t>
  </si>
  <si>
    <t xml:space="preserve">Xiaomi Redmi 13C 4G LTE (128GB + 6GB) ROM global desbloqueada de fábrica GSM 6.7 pulgadas 50MP Triple cámara (Tello Mint &amp; Global) + cargador de coche rápido gratuito (Midnight Black Global ROM) (Midnight Black Global ROM)…
B0CLPJJBVZ
14 </t>
  </si>
  <si>
    <t>B0CLPJJBVZ</t>
  </si>
  <si>
    <t>Sony - Cámara Sin Espejo Alpha A6400: Cámara Digital Compacta Aps-C Con Objetivo Intercambiable</t>
  </si>
  <si>
    <t>B07MV3P7M8</t>
  </si>
  <si>
    <t xml:space="preserve">Quantum50 </t>
  </si>
  <si>
    <t>B08D7Y5HN3</t>
  </si>
  <si>
    <t xml:space="preserve">	
JBL Audífono Inalámbrico Tipo Diadema Tune 520BT, Respuesta de Frecuencia 20-20000Hz, Bluetooth 5.3. Color Negro.…</t>
  </si>
  <si>
    <t>B0C1HGKNG7</t>
  </si>
  <si>
    <t>Xiaomi Redmi Note 12 4GB 128GB Verde</t>
  </si>
  <si>
    <t>B0C8BNY5SJ</t>
  </si>
  <si>
    <t>Celular Poco M6 Pro 256GB 8GB Black</t>
  </si>
  <si>
    <t>B0CR4QCBBV</t>
  </si>
  <si>
    <t>Xiaomi Redmi Note 13 Pro+ Plus 5G + 4G (512GB + 12GB) 6.67"</t>
  </si>
  <si>
    <t>B0CSDXC9Z5</t>
  </si>
  <si>
    <t>Xiaomi Reloj Inteligente Redmi Watch 4 Obsidian Black…</t>
  </si>
  <si>
    <t>B0CQM9TRRS</t>
  </si>
  <si>
    <t>Xiaomi Reloj Inteligente Redmi Watch 4 Silver Gray</t>
  </si>
  <si>
    <t>B0CQM91BKY</t>
  </si>
  <si>
    <t>Celular Poco M6 Pro 512GB 12GB Black</t>
  </si>
  <si>
    <t>B0CR4Z633K</t>
  </si>
  <si>
    <t>Celular Poco X6 Pro 5G 256GB 8GB Black…</t>
  </si>
  <si>
    <t>B0CR54RG8J</t>
  </si>
  <si>
    <t>Xiaomi Poco X6 Pro 5G + 4G LTE (512GB + 12GB) 64MP Triple Ca</t>
  </si>
  <si>
    <t>B0CSB222W4</t>
  </si>
  <si>
    <t>B0CFCQVZS6</t>
  </si>
  <si>
    <t>B0CR5B3394</t>
  </si>
  <si>
    <t xml:space="preserve">Buds 4 lite Blanco </t>
  </si>
  <si>
    <t>B0C4QGDCZ2</t>
  </si>
  <si>
    <t xml:space="preserve">	
Xiaomi Redmi Note 13 Pro 8gb Ram 256gb Negro…</t>
  </si>
  <si>
    <t>B0CTJ3QBRT</t>
  </si>
  <si>
    <t>Xiaomi Redmi Note 13 Pro 5G Dual Sim 512 GB Negro 12 GB Ram</t>
  </si>
  <si>
    <t>B0CTJ35LKP</t>
  </si>
  <si>
    <t>Xiaomi Smartwatch Redmi Watch 3 Ivory, BHR6854GL…</t>
  </si>
  <si>
    <t>B0BXQ3J62X</t>
  </si>
  <si>
    <t>Xiaomi Redmi Buds 5…</t>
  </si>
  <si>
    <t>B0CQKF98K3</t>
  </si>
  <si>
    <t xml:space="preserve">	
XIAOMI Audífonos Redmi Buds 5 Black…</t>
  </si>
  <si>
    <t>B0CQKD5N9X</t>
  </si>
  <si>
    <t xml:space="preserve">	
Xiaomi Audífonos Redmi Buds 5 Sky Blue…</t>
  </si>
  <si>
    <t>B0CR6Q5ZRK</t>
  </si>
  <si>
    <t>Xiaomi S10+ Robot Aspirador Sans Sac Blanco…</t>
  </si>
  <si>
    <t>B0BW4KYHCV</t>
  </si>
  <si>
    <t>Xiaomi Poco M6 Pro 4G LTE gsm (256GB + 8GB) 64</t>
  </si>
  <si>
    <t>B0CQLNL7JC</t>
  </si>
  <si>
    <t xml:space="preserve">	
JBL Tune 660NC: Auriculares in-Ear inalámbricos co</t>
  </si>
  <si>
    <t>B08WN3QZB3</t>
  </si>
  <si>
    <t>Sony G Lens SEL90M28G Lente Telefoto Macro montura E Ful</t>
  </si>
  <si>
    <t>B00ULLSWSU</t>
  </si>
  <si>
    <t xml:space="preserve">	
Sony ILCE-6400L/BE38 Cámara Montura E, APS-C con Lente Versátil 16-50mm…</t>
  </si>
  <si>
    <t>B07NK4CXDW</t>
  </si>
  <si>
    <t>Sony Lente Telefoto Zoom 55-210mm F4.5-6.3 Montura E APS-C con Estabilizador S</t>
  </si>
  <si>
    <t>B00HV9TB4O</t>
  </si>
  <si>
    <t>B07MTWVN3M</t>
  </si>
  <si>
    <t xml:space="preserve">Buds 4 Pro </t>
  </si>
  <si>
    <t>B0C349GFGJ</t>
  </si>
  <si>
    <t>Watch Blanco</t>
  </si>
  <si>
    <t>B08P5KKYFX</t>
  </si>
  <si>
    <t>Celular Poco M6 Pro 256GB 8GB Blue…</t>
  </si>
  <si>
    <t>B0CR4G8WNN</t>
  </si>
  <si>
    <t xml:space="preserve">Band 8 Pro </t>
  </si>
  <si>
    <t>B0CSPFJN1P</t>
  </si>
  <si>
    <t>Xiaomi Celular Redmi Note 12 Onyx Gray 4GB Ram 128GB ROM…</t>
  </si>
  <si>
    <t>B0C2BG3757</t>
  </si>
  <si>
    <t>12c</t>
  </si>
  <si>
    <t>B0BZK2CCHB</t>
  </si>
  <si>
    <t xml:space="preserve">	
Xiaomi Celular Redmi Note 13 256GB 8GB Midnight Black…</t>
  </si>
  <si>
    <t>B0CTRZB43P</t>
  </si>
  <si>
    <t>Band 8 Dorada</t>
  </si>
  <si>
    <t>B0CD2LRBKS</t>
  </si>
  <si>
    <t>Poco x6 pro 12+512 gb 5g black</t>
  </si>
  <si>
    <t>B0CPXYTPYG</t>
  </si>
  <si>
    <t>Poco x6 pro 12+512 gb 5g yellow</t>
  </si>
  <si>
    <t>B0CPXX3B45</t>
  </si>
  <si>
    <t>Xiaomi Smartphone Redmi Note 12 6.67 Dual Sim, 128GB, 6GB RAM, Verde</t>
  </si>
  <si>
    <t>B078K4FKQM</t>
  </si>
  <si>
    <t>Xiaomi Smartphone Redmi Note 12 6.67" 128GB/4GB Cámara 50MP+8MP+2MP/13MP Snapdragon Android 13 Color Gris Ónix</t>
  </si>
  <si>
    <t>B0BX4MQH3G</t>
  </si>
  <si>
    <t>Xiaomi Redmi Note 13 Pro+ Plus 5G + 4G (512GB + 12GB) blanco</t>
  </si>
  <si>
    <t>B0CSDYSC4C</t>
  </si>
  <si>
    <t>JBL Tune Buds, Audífonos Inalámbricos ANC Bluetooth, Drivers de 10mm, Reproducción 48 Horas, Resistentes al Agua y al Polvo IP54 - Blanco</t>
  </si>
  <si>
    <t>B0C1Q9QDQP</t>
  </si>
  <si>
    <t>Xiaomi Redmi Note 13 Pro+ Plus 5G + 4G (512GB + 12GB) 6.67" 200MP Triple Camara con Nom Liberado + (Fast Car Dual Charger Bundle) (Aurora Purple (Global ROM))</t>
  </si>
  <si>
    <t>B0CSDX93GY</t>
  </si>
  <si>
    <t>Xiaomi Tablet Pad 6 Mist Blue 8Gb Ram 256Gb ROM</t>
  </si>
  <si>
    <t>B0CBL1GV8C</t>
  </si>
  <si>
    <t>Xiaomi Redmi Note 13 Pro 5G Dual Sim 512 GB Azul 12 GB Ram</t>
  </si>
  <si>
    <t>B0CTJ4MYYP</t>
  </si>
  <si>
    <t xml:space="preserve">Poco M6 </t>
  </si>
  <si>
    <t>B0CSC1PZNN</t>
  </si>
  <si>
    <t>B0CPXYTPYC</t>
  </si>
  <si>
    <t>B0CQLPRTFN</t>
  </si>
  <si>
    <t>Watcha S3</t>
  </si>
  <si>
    <t>B0CSPM7CXK</t>
  </si>
  <si>
    <t>JBL - Sistema inalámbrico de Dos micrófonos con Receptor de Doble Canal, Color Negr</t>
  </si>
  <si>
    <t>B08WHHWRST</t>
  </si>
  <si>
    <t>Google - Pixel 8 128GB (Unlocked) - Rose</t>
  </si>
  <si>
    <t>Google - Pixel 8 128GB (Unlocked) - Hazel</t>
  </si>
  <si>
    <t>Google - Pixel 8 128GB (Unlocked) - Obsidian</t>
  </si>
  <si>
    <t>Xiaomi Audífonos Redmi Buds 5 Pro Moonlight White…</t>
  </si>
  <si>
    <t>B0CQKGQ7C3</t>
  </si>
  <si>
    <t>B0CQKHK626</t>
  </si>
  <si>
    <t>Poco M6</t>
  </si>
  <si>
    <t>B0CPXZ9F5V</t>
  </si>
  <si>
    <t>Poco M7</t>
  </si>
  <si>
    <t>B0CPXXKH23</t>
  </si>
  <si>
    <t xml:space="preserve">	
Xiaomi Redmi Note 11S - Smartphone 6+128GB, 6.43" 90Hz</t>
  </si>
  <si>
    <t>B09YRJ2VP7</t>
  </si>
  <si>
    <t>REDMI Note 13 Pro 5G 8+256GB Verde</t>
  </si>
  <si>
    <t>B0CTD55R25</t>
  </si>
  <si>
    <t>Xiaomi Poco M6 Pro 4G LTE gsm (256GB + 8GB) 64MP Triple Camera 6.67" Octa Core Des</t>
  </si>
  <si>
    <t>B0CQLP2YZ7</t>
  </si>
  <si>
    <t>Band 8 Pink</t>
  </si>
  <si>
    <t>B0CHJ53GPM</t>
  </si>
  <si>
    <t xml:space="preserve">
IL-I0LQ-UJW8-combinado sin etiqueta</t>
  </si>
  <si>
    <t>Quantum 200</t>
  </si>
  <si>
    <t xml:space="preserve">
B084CZX3T1</t>
  </si>
  <si>
    <t>Xiaomi Redmi Note Redmi Note 13 Pro+ Dual Sim 512 GB Negro 12 GB Ram…</t>
  </si>
  <si>
    <t>B0CTJ5SF3M</t>
  </si>
  <si>
    <t>Xiaomi Redmi Note 13 Pro+ 5G Smartphone 12+512GB,</t>
  </si>
  <si>
    <t>B0CSFT32XN</t>
  </si>
  <si>
    <t>Partybox 710</t>
  </si>
  <si>
    <t>B09CW9WXML</t>
  </si>
  <si>
    <t xml:space="preserve">Baesus </t>
  </si>
  <si>
    <t>B07MW8G8QX</t>
  </si>
  <si>
    <t>Aspiradora E10</t>
  </si>
  <si>
    <t>B0CQN4YXDK</t>
  </si>
  <si>
    <t xml:space="preserve">Vibe Flex </t>
  </si>
  <si>
    <t>B0C3PJQ4L6</t>
  </si>
  <si>
    <t>Vube flex Mint</t>
  </si>
  <si>
    <t>B0C3PV2564</t>
  </si>
  <si>
    <t>B0CSKR1XQR</t>
  </si>
  <si>
    <t>Xiaomi POCO X6 Pro Smartphone 12GB RAM 512GB ROM, Dimensity 8300-Ultra, 6.67” AMOLED Display, 5000mAh Battery 67W Turbo Charging, 64MP Triple Camera, Grey</t>
  </si>
  <si>
    <t>B0CPXZHT66</t>
  </si>
  <si>
    <t>Reloj Deportivo Xiaomi Mi Watch Lite Azul…</t>
  </si>
  <si>
    <t xml:space="preserve">B08P5C768V
</t>
  </si>
  <si>
    <t>Watch 3 active</t>
  </si>
  <si>
    <t>B0C8HKFG4F</t>
  </si>
  <si>
    <t>Watch 3 active Gris</t>
  </si>
  <si>
    <t>B0C8JYNTKZ</t>
  </si>
  <si>
    <t>B0BWNWQVH5</t>
  </si>
  <si>
    <t>Xiaomi Celular Redmi Note 12 4GB 128GB Azul Hielo Desbloqueado 23028RA60L…</t>
  </si>
  <si>
    <t>B0BX4KQ6M1</t>
  </si>
  <si>
    <t xml:space="preserve">	
JBL Vibe Flex, Audífonos Inalámbricos Bluetooth, Drivers 12mm, Reproducción 32 Horas, Resistentes al Agua y al Polvo IP54 - Negro…</t>
  </si>
  <si>
    <t>B0BZGH7WYX</t>
  </si>
  <si>
    <t>JBL Vibe Buds Audífonos Inalámbricos Bluetooth, Drivers 8mm, Reproducción 32 Horas, Resistentes al Agua y al Polvo IP54 - Verde Menta…</t>
  </si>
  <si>
    <t>B0C1F3PW8V</t>
  </si>
  <si>
    <t>JBL Vibe Flex, Audífonos Inalámbricos Bluetooth, Drivers 12mm, Reproducción 32 Horas, Resistentes al Agua y al Polvo IP54 - Beige…</t>
  </si>
  <si>
    <t>B0C3PLZXCF</t>
  </si>
  <si>
    <t>POCO C65 6+128gb Negro</t>
  </si>
  <si>
    <t>B0CMRV3KWB</t>
  </si>
  <si>
    <t>Redmi Note 13 6+128gb Negro</t>
  </si>
  <si>
    <t>B0CSDY3XV4</t>
  </si>
  <si>
    <t>Oppo Reno 10</t>
  </si>
  <si>
    <t>B0CF3SSBXB</t>
  </si>
  <si>
    <t>Wind 3s</t>
  </si>
  <si>
    <t>B09YWRXHTL</t>
  </si>
  <si>
    <t xml:space="preserve">
31-7EA0-W49Q</t>
  </si>
  <si>
    <t>B09YVYLR3Z</t>
  </si>
  <si>
    <t>Xiaomi Celular Poco M6 Pro 512GB 12GB Blue</t>
  </si>
  <si>
    <t>B0CSBZ4XQK</t>
  </si>
  <si>
    <t>JBL Endurance Peak 3, JBLENDURPEAK3WTAM…</t>
  </si>
  <si>
    <t>B0BQPRV3NJ</t>
  </si>
  <si>
    <t>Xiaomi Redmi Note 13 Pro+ 5G Smartphone 8+256GB, 6.67 Super QPD, 120W HyperCharge, 2.8GHz, Purple (EU Version)</t>
  </si>
  <si>
    <t>B0CSFVWW4B</t>
  </si>
  <si>
    <t xml:space="preserve">	
Xiaomi Redmi Note 13 Pro+ 5G Smartphone 8+256GB, 6.67 Sup</t>
  </si>
  <si>
    <t>B0CSFS28ZN</t>
  </si>
  <si>
    <t>HARMAN Kardon  Luna Speaker Black</t>
  </si>
  <si>
    <t>B0CF7YGTRV</t>
  </si>
  <si>
    <t>Xiaomi Redmi Pad SE 4+128GB, Snapdragon 680, Pantalla FHD+ de 11" 90Hz, Batería 8000mAh, hasta 1 TB de Almacenamiento Ampliable, WiFi, Verde</t>
  </si>
  <si>
    <t>B0CDLT5LS7</t>
  </si>
  <si>
    <t>Xiaomi Redmi Pad SE 4+128GB, Snapdragon 680, Pantalla FHD+ de 11" 90Hz, Batería 8000mAh, hasta 1 TB de Almacenamiento Ampliable, WiFi, Gris</t>
  </si>
  <si>
    <t>B0CDLVCQ5C</t>
  </si>
  <si>
    <t>Xiaomi Redmi Pad SE 8+256GB, Snapdragon 680, Pantalla FHD+ de 11" 90Hz, Batería 8000mAh, hasta 1 TB de Almacenamiento Ampliable, WiFi, Gris…</t>
  </si>
  <si>
    <t>B0CKVJF3Q6</t>
  </si>
  <si>
    <t xml:space="preserve">	
Xiaomi Redmi Pad SE 8+256GB, Snapdragon 680, Pantalla FHD+ de 11" 90Hz, Batería 8000mAh, hasta 1 TB de Almacenamiento Ampliable, WiFi, Púrpura</t>
  </si>
  <si>
    <t>B0CKVNVN6Z</t>
  </si>
  <si>
    <t>JBL BassPro Go - Subwoofer Alimentado en el</t>
  </si>
  <si>
    <t>B08XWVZSWR</t>
  </si>
  <si>
    <t xml:space="preserve">	
JBL Tune 720BT</t>
  </si>
  <si>
    <t>B0CTBCDD6D</t>
  </si>
  <si>
    <t>B0CTB3TJC7</t>
  </si>
  <si>
    <t xml:space="preserve">	
Xiaomi Pad 6 Solo WiFi 11 Pulgadas 144Hz 8840mAh Bluetooth 5.2 Cuatro Altavoces Dolby Atmos Global con Nom 13 MP + Cargador rápido para Coche de 51W (Mist Blue, 256GB + 8GB)</t>
  </si>
  <si>
    <t>B0CB1P2X3B</t>
  </si>
  <si>
    <t>Harman Kardon SondSticks 4, Sistema de Bocinas Bluetooth, 140 W de Potencia, 2.1 Canales, Conector 3.5mm - Blanco</t>
  </si>
  <si>
    <t>B08GY8QW6X</t>
  </si>
  <si>
    <t>JBL Tour Pro 2, A</t>
  </si>
  <si>
    <t>B0C7LPFJ95</t>
  </si>
  <si>
    <t>Xiaomi Reloj Inteligente Watch 2 con Correa TPU Negra</t>
  </si>
  <si>
    <t>B0CTMXNBLH</t>
  </si>
  <si>
    <t xml:space="preserve">JBL 230N </t>
  </si>
  <si>
    <t>B09FMNXHM6</t>
  </si>
  <si>
    <t>Xiaomi Redmi Note 13 Pro 4G LTE (256GB + 8GB) 6.67" 200MP Triple Camara con Nom Liberado + (Fast Car Dual Charger Bundle) (Forest Green (Global ROM))</t>
  </si>
  <si>
    <t>B0CQKBV5WY</t>
  </si>
  <si>
    <t>Xiaomi Redmi Note 13 Pro 4G 8GB+256GB Púrpura…</t>
  </si>
  <si>
    <t>B0CQJXXLQG</t>
  </si>
  <si>
    <t>Dime 3 Blancos</t>
  </si>
  <si>
    <t>B0CFCHY7YM</t>
  </si>
  <si>
    <t>Aw200</t>
  </si>
  <si>
    <t>B0BNGLTV7Q</t>
  </si>
  <si>
    <t>Peak 3 azul</t>
  </si>
  <si>
    <t>B0CDQQ5F8S</t>
  </si>
  <si>
    <t>Peak 3</t>
  </si>
  <si>
    <t>B0BQPW9R9H</t>
  </si>
  <si>
    <t>JBL Authentics 300 B</t>
  </si>
  <si>
    <t>B0CCK2TFQB</t>
  </si>
  <si>
    <t>JBL Authentics 500</t>
  </si>
  <si>
    <t>B0CCK36RSY</t>
  </si>
  <si>
    <t>Poco M5s</t>
  </si>
  <si>
    <t>B0BCSQNGFQ</t>
  </si>
  <si>
    <t>SKULLCANDY Audifonos Inalámbrico SESH True Wireless IN-Ear IN Ear, Azul Índigo,</t>
  </si>
  <si>
    <t>B07VS4GKQT</t>
  </si>
  <si>
    <t>Skullcandy S2DMW-P752 SESH</t>
  </si>
  <si>
    <t>B08XZPJZW2</t>
  </si>
  <si>
    <t>Clip 4 eco</t>
  </si>
  <si>
    <t>B0BV5CXS1S</t>
  </si>
  <si>
    <t>B0BV5LV7QR</t>
  </si>
  <si>
    <t>B0CQX3CY7K</t>
  </si>
  <si>
    <t>JBL Bocina Portátil Clip 4 Bluetooth - Gris…</t>
  </si>
  <si>
    <t>B08PHJW4BD</t>
  </si>
  <si>
    <t>JBL Go 4 Bocina P</t>
  </si>
  <si>
    <t>B0CTNYC4BS</t>
  </si>
  <si>
    <t>B0CTNWBT1Z</t>
  </si>
  <si>
    <t>JBL Live Beam 3</t>
  </si>
  <si>
    <t>B0D3629RB6</t>
  </si>
  <si>
    <t>JBL Live Beam 4</t>
  </si>
  <si>
    <t>B0D362MJ6G</t>
  </si>
  <si>
    <t>JBL Tune Flex Audífonos Inalámbricos Bluetoo</t>
  </si>
  <si>
    <t>B0C1QDR7HP</t>
  </si>
  <si>
    <t>Xiaomi Tablet Redmi Pad SE 4GB 128 GB Gris</t>
  </si>
  <si>
    <t>B0CF2PMNLJ</t>
  </si>
  <si>
    <t>JBL - Auriculares intraurales con cable Tune 110 con micrófono y contro</t>
  </si>
  <si>
    <t>B07PHVRMV7</t>
  </si>
  <si>
    <t>JBL Audífonos Gamer In Ear Quantum 50 con Micrófono, Negro</t>
  </si>
  <si>
    <t>B08HDJ2H1V</t>
  </si>
  <si>
    <t xml:space="preserve">	
JBL Tune 760 NC Audífonos Inalámbrico D</t>
  </si>
  <si>
    <t>B096FYLJ6M</t>
  </si>
  <si>
    <t xml:space="preserve">Skullcandy - Altavoz Bluetooth Boombox - </t>
  </si>
  <si>
    <t>B0CCQP5C3V</t>
  </si>
  <si>
    <t>JBL Tour One M2 Audífonos Inalámbricos</t>
  </si>
  <si>
    <t>B0C4JBTM5B</t>
  </si>
  <si>
    <t xml:space="preserve">	
JBL Tune 770NC Audífonos Inalámb</t>
  </si>
  <si>
    <t>B0CT9XTKKM</t>
  </si>
  <si>
    <t>Xiaomi Pulsera Inteligente Smart B</t>
  </si>
  <si>
    <t>B0D8WQ94W5</t>
  </si>
  <si>
    <t>B0D98HTWRR</t>
  </si>
  <si>
    <t>B0D98DMX2H</t>
  </si>
  <si>
    <t>B0D6YMGXBF</t>
  </si>
  <si>
    <t xml:space="preserve">	
Sony Audífonos inalámbricos WH-CH720N con Noise Canceling, Ne</t>
  </si>
  <si>
    <t>B0BS1QCFHX</t>
  </si>
  <si>
    <t xml:space="preserve">	
Sony Audífonos inalámbricos WH-CH720N </t>
  </si>
  <si>
    <t>B0BSGR9C4P</t>
  </si>
  <si>
    <t>Sony Audífonos inalámbricos WH-CH720N con Noise Canceling,Blanco (Versión Extranjera)</t>
  </si>
  <si>
    <t>B0BS74M665</t>
  </si>
  <si>
    <t>Nutri Ninja Ninja Blender Duo, Licuadora duo con Auto-iQ (BL642)…</t>
  </si>
  <si>
    <t>B00NGV4E1G</t>
  </si>
  <si>
    <t xml:space="preserve">JBL Horizon 2 </t>
  </si>
  <si>
    <t>B08DRZH591</t>
  </si>
  <si>
    <t>Smokin</t>
  </si>
  <si>
    <t>B0C2F3DMY6</t>
  </si>
  <si>
    <t>B0CPP4RYGV</t>
  </si>
  <si>
    <t>Ninja IG651 Foodi Smart XL Pro 7-in-1 Indoor Grill/Griddle Combo</t>
  </si>
  <si>
    <t>B09B82LJ21</t>
  </si>
  <si>
    <t>Harman Kardon, Onyx Studio 8 Boci</t>
  </si>
  <si>
    <t>B0BRYQ641F</t>
  </si>
  <si>
    <t>Marshall Minor IV True Wireless Headphone, Black</t>
  </si>
  <si>
    <t>B0D1VH7WMX</t>
  </si>
  <si>
    <t xml:space="preserve">
Marshall Major IV Audífonos Inalámbricos Bluetooth - Negro</t>
  </si>
  <si>
    <t>B08KHT2HDT</t>
  </si>
  <si>
    <t xml:space="preserve">
Marshall Major IV Audífonos Inalámbricos Bluetooth - Café</t>
  </si>
  <si>
    <t>B09CHFX22K</t>
  </si>
  <si>
    <t>JBL Tune 130NC Audífonos Inalámbricos Bluetooth - Blanco</t>
  </si>
  <si>
    <t>B09JB7PK6W</t>
  </si>
  <si>
    <t xml:space="preserve">
PV-3TV6-I13V</t>
  </si>
  <si>
    <t>Roku Streaming Stick 4K |</t>
  </si>
  <si>
    <t>B09K9GYF7J</t>
  </si>
  <si>
    <t xml:space="preserve">Xiaomi Redmi Pad SE Tableta para Usar con WiFi,11 Pulgadas Octa Core, </t>
  </si>
  <si>
    <t>B0CKFLNF81</t>
  </si>
  <si>
    <t xml:space="preserve">
Xiaomi Redmi Pad SE - Tableta para usar solo con wifi, 27 cm (11 pulgadas), Octa Core, 4 altavoces ROM global, Dolby Atmos 8000 mAh, Bluetooth 5.3, 8 MP + (paquete de cargador rápido de coche dual USB</t>
  </si>
  <si>
    <t>B0CN1J3M9R</t>
  </si>
  <si>
    <t xml:space="preserve">
Skullcandy Indy Evo True</t>
  </si>
  <si>
    <t>B0857K4HX4</t>
  </si>
  <si>
    <t xml:space="preserve">
47-QHIX-4V4O</t>
  </si>
  <si>
    <t>Razer Leviathan V2 X - Barra de Sonido Gamer para PC, Chroma RGB</t>
  </si>
  <si>
    <t>B0BCCCNHD8</t>
  </si>
  <si>
    <t>go4</t>
  </si>
  <si>
    <t>B0CTNTFBNX</t>
  </si>
  <si>
    <t>Sony WH-1000XM5 Audífonos inalámbricos con Cancelación de Ruido, Negro (Versión Nacional)</t>
  </si>
  <si>
    <t>Ninja NC301 C</t>
  </si>
  <si>
    <t>B08QXB9BH5</t>
  </si>
  <si>
    <t xml:space="preserve">
Razer Firefly V2 Pro - Alfombrilla de Mouse RGB Totalmente iluminada para Juegos: diseño retroiluminado, iluminación Croma de</t>
  </si>
  <si>
    <t>B0CY6RJRBR</t>
  </si>
  <si>
    <t>JBL PartyBox Encore Bocina Portátil con 2 Micrófonos Bluetooth, 100 W de Potencia, Reproducción 6 Horas, Resistente al Agua IPX4 - Negro</t>
  </si>
  <si>
    <t>B0CVKMH599</t>
  </si>
  <si>
    <t>e10c</t>
  </si>
  <si>
    <t>B0CPJJ8W4G</t>
  </si>
  <si>
    <t xml:space="preserve">
Xiaomi Audífonos Inalambricos Redmi Buds 6 Active White</t>
  </si>
  <si>
    <t>B0D6Y9LDCL</t>
  </si>
  <si>
    <t>Xiaomi Redmi Pad Pro WiFi Version 12.1" Octa Core Global ROM 1</t>
  </si>
  <si>
    <t>B0D6NBFQVQ</t>
  </si>
  <si>
    <t xml:space="preserve">
Xiaomi Redmi Pad Pro WiFi Version 12.1" Octa Core Global ROM 10000mAh Bluetooth 5.3 8MP Dual Camera + (33w Dual USB Fast Auto Combo) (Mint Green, 256GB + 8GB)</t>
  </si>
  <si>
    <t>B0D5VRCJ7T</t>
  </si>
  <si>
    <t>Motorola Moto Buds Charge - Auriculares inalámbricos Bluetoo</t>
  </si>
  <si>
    <t>B09K53R8WX</t>
  </si>
  <si>
    <t>Celular Poco X6 Pro 5G Black 8GB RAM 256GB ROM</t>
  </si>
  <si>
    <t>B0CRNQJS93</t>
  </si>
  <si>
    <t>JBL Go 4 Bocina Portátil Bluetooth, 4.2W de Potencia, Reproducción 7 Horas, Resistente al Agua y al Polvo IP67 - Rojo</t>
  </si>
  <si>
    <t>B0CTNTGZKR</t>
  </si>
  <si>
    <t>Sony MDR7506 Auriculares profesionales de diafragma grande</t>
  </si>
  <si>
    <t>B000AJIF4E</t>
  </si>
  <si>
    <t xml:space="preserve">
Sony WH-1000XM5</t>
  </si>
  <si>
    <t>B0CFSZ4ZRF</t>
  </si>
  <si>
    <t>Harman Kardon Go + Play 3 Bocina Inalámbrica Bluetooth, 160W de Potencia, Reproducción 8 Horas, Micrófonos Duales - Gris</t>
  </si>
  <si>
    <t>B0CZPNZ9NB</t>
  </si>
  <si>
    <t>Xiaomi 20000mAh Redmi P</t>
  </si>
  <si>
    <t>B095VRGD14</t>
  </si>
  <si>
    <t>B086KKMKZ4</t>
  </si>
  <si>
    <t>XIAOMI Mi Air Purifier 4 Compact Filter EU</t>
  </si>
  <si>
    <t>B0B6FDW6CM</t>
  </si>
  <si>
    <t xml:space="preserve">
Ninja SP351 Foodi Smart 13 en 1 Horno de encimera de aire de doble calor, deshidratar, recalentar, termómetro inteligente, 1800 vatios, plateado</t>
  </si>
  <si>
    <t>B08R12QZS1</t>
  </si>
  <si>
    <t>B08QKTXT1N</t>
  </si>
  <si>
    <t>B0CFSD4TSQ</t>
  </si>
  <si>
    <t xml:space="preserve">
Sony Earbuds WF-C700N con Noise Canceling, Negro (Versión Extranjera)</t>
  </si>
  <si>
    <t>B0BYPFNW6T</t>
  </si>
  <si>
    <t>Marshall Acton III Bocina Inalámbrica Bluetooth - Negro</t>
  </si>
  <si>
    <t>B0BC27MM5Z</t>
  </si>
  <si>
    <t>Skullcandy Smokin' Buds Auriculares In-Ear Inalámbricos, 20 h d</t>
  </si>
  <si>
    <t>B0C2F5KD26</t>
  </si>
  <si>
    <t xml:space="preserve">Watch 5 active </t>
  </si>
  <si>
    <t>B0DFHFM1X9</t>
  </si>
  <si>
    <t>B0DFZPR9Z4</t>
  </si>
  <si>
    <t>JBL Partybox Stage 320 Bocina Portátil Efecto Luz LED, Bluetooth, 240W de Potencia,</t>
  </si>
  <si>
    <t>B0CTD6V6S6</t>
  </si>
  <si>
    <t>Sony NW-WS623 Reproductor de MP3</t>
  </si>
  <si>
    <t>B071NTXYNY</t>
  </si>
  <si>
    <t>Sony Walkman NW-WS623 Reproductor de MP3 16GB Negro - Reproductor MP3 (Reproductor de MP3, 16 GB, 32 g, Negro)</t>
  </si>
  <si>
    <t>B07343TRVR</t>
  </si>
  <si>
    <t xml:space="preserve">
Skullcandy Crusher Evo Audífonos Cascos Over-Ear Inalámbricos </t>
  </si>
  <si>
    <t>B08FCGH2RL</t>
  </si>
  <si>
    <t xml:space="preserve">Redmi Buds 6 Lite - </t>
  </si>
  <si>
    <t>B0D9YZQVQT</t>
  </si>
  <si>
    <t>JBL Go 3 Eco</t>
  </si>
  <si>
    <t>B0BT2V6KNM</t>
  </si>
  <si>
    <t xml:space="preserve">
Xiaomi Redmi Buds 6 Active </t>
  </si>
  <si>
    <t>B0DB72NZ1L</t>
  </si>
  <si>
    <t xml:space="preserve">
Logitech MX Master 3S M</t>
  </si>
  <si>
    <t>B0B11LJ69K</t>
  </si>
  <si>
    <t xml:space="preserve">
Harman Kardon Bocina Portátil Neo Bluetooth</t>
  </si>
  <si>
    <t>B086FHTZ65</t>
  </si>
  <si>
    <t>B0D9H19PBL</t>
  </si>
  <si>
    <t xml:space="preserve">
Logitech Lift Mouse Ergonómico Vertical, Inalámbrico, Blue</t>
  </si>
  <si>
    <t>B09J1TB35S</t>
  </si>
  <si>
    <t>Buds 6 play</t>
  </si>
  <si>
    <t>B0DBHT1BT9</t>
  </si>
  <si>
    <t>B0DBHRWRKC</t>
  </si>
  <si>
    <t>JBL Tune 125BT Audífonos Inalámbricos con Mic/Control Bluetooth, Drivers de 8.6 mm, Reproducción 16 Horas, Asistente de Voz - Negro</t>
  </si>
  <si>
    <t>B08WM1FXSF</t>
  </si>
  <si>
    <t>ZK-HIWP-1QXX</t>
  </si>
  <si>
    <t>B0BT38PTX7</t>
  </si>
  <si>
    <t>HP Laptop 14 Pulgadas HD Intel Celeron N4020 4GB eMMC 64GB Webcam Bluetooth Rosa</t>
  </si>
  <si>
    <t>B08RWJXXNY</t>
  </si>
  <si>
    <t>e10</t>
  </si>
  <si>
    <t>B0C6WZKYVQ</t>
  </si>
  <si>
    <t>B06XRGSJNN</t>
  </si>
  <si>
    <t>B083X26ZL8</t>
  </si>
  <si>
    <t xml:space="preserve">Wave 200 blanco </t>
  </si>
  <si>
    <t>B09HH2VVL4</t>
  </si>
  <si>
    <t xml:space="preserve">
EJ-L92B-J4GB</t>
  </si>
  <si>
    <t>Xiaomi Watch 2 Pro Bluetooth Acero Negro con Correa de Fluorocarbono Negro</t>
  </si>
  <si>
    <t>B07DLYDCLC</t>
  </si>
  <si>
    <t>Xiaomi redmi Pad SE 4+128GB WiFi 8.7" Graphite Gray</t>
  </si>
  <si>
    <t>B0DF83K299</t>
  </si>
  <si>
    <t xml:space="preserve">Xiaomi Redmi Buds 6 Active </t>
  </si>
  <si>
    <t>B0DBZP4ZL5</t>
  </si>
  <si>
    <t>B0D6Y82MBY</t>
  </si>
  <si>
    <t>B07DLXKQTP</t>
  </si>
  <si>
    <t>Xiaomi Mi Power Bank 3 Ultra Compact, 10000 mAh, Negro</t>
  </si>
  <si>
    <t>B08WCKLBJJ</t>
  </si>
  <si>
    <t xml:space="preserve">
XW-IJ7K-SBXB</t>
  </si>
  <si>
    <t>B0D6YS25GB</t>
  </si>
  <si>
    <t>Xiaomi Redmi Pad SE 8+256GB, Snapdragon 680,</t>
  </si>
  <si>
    <t>B0CKVJ38SC</t>
  </si>
  <si>
    <t xml:space="preserve">JBL PARTYLIGHT - Luz de proyección Bluetooth, lleva tu fiesta al siguiente nivel con espectáculo de luz coreografiado </t>
  </si>
  <si>
    <t>B0D9R3FGD1</t>
  </si>
  <si>
    <t>75-ZTC2-YZM0</t>
  </si>
  <si>
    <t>Xiaomi Redmi Pad SE 8.7 4+128gb Green</t>
  </si>
  <si>
    <t>B0DMQ9XGRM</t>
  </si>
  <si>
    <t>Xiaomi Robot Vacuum S10 EU</t>
  </si>
  <si>
    <t>B0BYWD2HQH</t>
  </si>
  <si>
    <t xml:space="preserve">
U0-DA19-20V4</t>
  </si>
  <si>
    <t>Xiaomi Aspiradora Inteligente Robot Vacuum S20 White</t>
  </si>
  <si>
    <t>B0D4Q6NG3D</t>
  </si>
  <si>
    <t>Xiaomi Sound Packet Mi altavoz portátil Bluetooth 5.4, altavoz Bluetooth IP67 impermeable para exteriores con sonido dinámico, compatible con conexión TWS, 10 horas de tiempo de reproducción, negro</t>
  </si>
  <si>
    <t>B0D5LS1CMV</t>
  </si>
  <si>
    <t>Xiaomi Redmi Buds 6 Active, Bluetooth avanzado 5.4, driv</t>
  </si>
  <si>
    <t>B0D8TBRCPC</t>
  </si>
  <si>
    <t>Xiaomi Redmi Pad Pro 8GB 256GB, Snapdragon 7S Gen2, Pantalla de 12.1" 120Hz, WiFi, Gris</t>
  </si>
  <si>
    <t>B0D6N7GW4P</t>
  </si>
  <si>
    <t xml:space="preserve">
KI-7M2E-ZQ45</t>
  </si>
  <si>
    <t>Xiaomi Poco Pad WiFi Version 12.1" Octa Core Global ROM 10000mAh Bluetooth 5.3 8MP Dual Camera + (33w Dual USB Fast Auto Combo) (Gray Version Global, 256GB + 8GB)</t>
  </si>
  <si>
    <t>B0D44VCMWL</t>
  </si>
  <si>
    <t xml:space="preserve">
GO-TZAV-IJE7</t>
  </si>
  <si>
    <t>JBL Vibe Beam, Audífonos Inalámbricos Bluetooth</t>
  </si>
  <si>
    <t>B0C3PQ4DG5</t>
  </si>
  <si>
    <t xml:space="preserve">
AD-TINI-SADC</t>
  </si>
  <si>
    <t>JBL Vibe Beam Audífonos Inalámbricos Bluetooth, Drivers 8mm, Reproducción 32 Horas, Resistentes al Agua y al Polvo IP55 - Verde Menta</t>
  </si>
  <si>
    <t>B0C1F6QKD2</t>
  </si>
  <si>
    <t xml:space="preserve">
8T-YABF-U5ES</t>
  </si>
  <si>
    <t>Xiaomi, Negro, 48.2mm x 39.3mm x 10.6mm, Watch 5 Lite</t>
  </si>
  <si>
    <t>B0DG5Z75F8</t>
  </si>
  <si>
    <t xml:space="preserve">
6C-8DHA-2960</t>
  </si>
  <si>
    <t>B0DFHG6YZ7</t>
  </si>
  <si>
    <t xml:space="preserve">
HZ-KZVP-0GYI</t>
  </si>
  <si>
    <t>Xiaomi Smart Band 9 Pro Obsidian Black – 1.74" AMOLED, 1200 ni</t>
  </si>
  <si>
    <t>B0DK71CTCK</t>
  </si>
  <si>
    <t xml:space="preserve">
4X-WEIZ-B4MI</t>
  </si>
  <si>
    <t>B096X9LGJ1</t>
  </si>
  <si>
    <t xml:space="preserve">
Xiaomi MI Smart Camera C200 White</t>
  </si>
  <si>
    <t>B0BL1PYL4Z</t>
  </si>
  <si>
    <t>Buds 6 lite</t>
  </si>
  <si>
    <t>B0D9YX6R8D</t>
  </si>
  <si>
    <t xml:space="preserve">Wave beam </t>
  </si>
  <si>
    <t>B0BHTJLFVP</t>
  </si>
  <si>
    <t>TO-VJ5A-10JE</t>
  </si>
  <si>
    <t>Wave 200</t>
  </si>
  <si>
    <t>B09HGGV5R5</t>
  </si>
  <si>
    <t>MG-68MF-HQDF</t>
  </si>
  <si>
    <t xml:space="preserve">Xiaomi Smart Band 9 Active Pink </t>
  </si>
  <si>
    <t>B0DK6ZZFL9</t>
  </si>
  <si>
    <t>A1-NDVD-85WB</t>
  </si>
  <si>
    <t xml:space="preserve">Xiaomi Smart Band 9 Active </t>
  </si>
  <si>
    <t>B0DKFM5S5R</t>
  </si>
  <si>
    <t>DI-83ZC-47EA</t>
  </si>
  <si>
    <t>aw300</t>
  </si>
  <si>
    <t>B0BW4LWPJ2</t>
  </si>
  <si>
    <t>Aspiradora Mini</t>
  </si>
  <si>
    <t>B098Q3KTX6</t>
  </si>
  <si>
    <t>Xiaomi Redmi Pad SE Purple 4+128</t>
  </si>
  <si>
    <t>B0CHD2TP1D</t>
  </si>
  <si>
    <t xml:space="preserve">
Redmi Buds 6 Play </t>
  </si>
  <si>
    <t>B0DBHTP4NM</t>
  </si>
  <si>
    <t>JBL Cinema SB510 Barra de Sonido 3.1 Bluetooth, 200W de Potencia, Dolby Audio, con HDMI eARC - Negro</t>
  </si>
  <si>
    <t>B0CZPMT24Y</t>
  </si>
  <si>
    <t>JBL Cinema SB580 Barra de Sonido y Subwoofer 3.1 Bluetooth, 440W de Potencia, Dolby Atmos, con HDMI, HDMI eARC - Negro</t>
  </si>
  <si>
    <t>B0CZPN69GK</t>
  </si>
  <si>
    <t>FJÄLLRÄVEN - - Bolsa de cadera Kånken, unisex-adult, Black</t>
  </si>
  <si>
    <t>B07VC9CB97</t>
  </si>
  <si>
    <t>Fjallraven Kånken Card Wallet, Green, One Size</t>
  </si>
  <si>
    <t>B07D4R9MLH</t>
  </si>
  <si>
    <t>Wallet Kånken Card, Fjällräven, Unisex-adulto, Navy, 7.5 x 11 x 2 cm</t>
  </si>
  <si>
    <t>B07D4QD3YJ</t>
  </si>
  <si>
    <t>Wallet Kånken Card, Fjällräven, Unisex-adulto, Black, 7.5 x 11 x 2 cm</t>
  </si>
  <si>
    <t>B07D4PTMG9</t>
  </si>
  <si>
    <t>Wallet Kånken Card, Fjällräven, Unisex-adulto, Ox Red, 7.5 x 11 x 2 cm</t>
  </si>
  <si>
    <t>B07DX8XZXN</t>
  </si>
  <si>
    <t>Luggage- Carry-On Luggage Kånken Totepack, Fjällräven, Unisex-adulto, Ox Red, 36 x 30 x 15 cm, 14 L</t>
  </si>
  <si>
    <t>B07VCFY69Q</t>
  </si>
  <si>
    <t>Fjlraven 23524 Kanken Laptop 15" Backpack, navy</t>
  </si>
  <si>
    <t>B0B6PKLCZ9</t>
  </si>
  <si>
    <t>FJÄLLRÄVEN - Mochila Verde, 23510-664</t>
  </si>
  <si>
    <t>B007AGQF7E</t>
  </si>
  <si>
    <t>Fjallraven Kånken, Green, One Size</t>
  </si>
  <si>
    <t>B099MP7WS5</t>
  </si>
  <si>
    <t>Fjallraven Kånken, Blue, One Size</t>
  </si>
  <si>
    <t>B06XHL281Z</t>
  </si>
  <si>
    <t>FJÄLLRÄVEN - Mochila tipo casual Kånken, , Unisex-adulto, Azul Royal, 38 x 27 x 13 cm, 16 L</t>
  </si>
  <si>
    <t>B002P01O8A</t>
  </si>
  <si>
    <t>Fjallraven, Kanken Classic - Mochila para uso diario, color turquesa, 13 x 27 x 38 cm</t>
  </si>
  <si>
    <t>B08NTRRMBT</t>
  </si>
  <si>
    <t>Fjallraven Unisex Kånken, Sky Blue-Light Oak, One Size</t>
  </si>
  <si>
    <t>B099M95CTQ</t>
  </si>
  <si>
    <t>Mochila Kånken, Fjällräven, Unisex-adulto, Ox Rojo, 38 X 27 X 13 Cm, 16 L</t>
  </si>
  <si>
    <t>B002P0O9Y6</t>
  </si>
  <si>
    <t>Mochila Fjällräven Rosa, 23510-312</t>
  </si>
  <si>
    <t>B002P3XFJ8</t>
  </si>
  <si>
    <t>Fjallraven - Mochila Kanken, ocre, 38 x 27 x 13 cm</t>
  </si>
  <si>
    <t>B00B8QY0CY</t>
  </si>
  <si>
    <t>Mochila tipo casual Kånken, Fjällräven, Unisex-adulto, Super Grey, 38 x 27 x 13 cm, 16 L</t>
  </si>
  <si>
    <t>B074GG2SX7</t>
  </si>
  <si>
    <t>Mochila tipo casual Kånken, Fjällräven, Unisex-adulto, Fog Gris, 38 x 27 x 13 cm, 16 L</t>
  </si>
  <si>
    <t>B00F179AQW</t>
  </si>
  <si>
    <t>Fjallraven Kånken Laptop 15", Black, One Size</t>
  </si>
  <si>
    <t>B0B5P9QVFJ</t>
  </si>
  <si>
    <t>Travel Accessory- Travel Belt High Coast Hip Pack, Fjällräven, Unisex-adulto, Green, 12 x 21 x 6 cm, 1.5 L</t>
  </si>
  <si>
    <t>B07VGKH6R1</t>
  </si>
  <si>
    <t>Fjällräven High Coast Hip Pack, Navy, 12 x 21 x 6 cm, 1.5 L</t>
  </si>
  <si>
    <t>B07VFK2XRK</t>
  </si>
  <si>
    <t>B088X1P414</t>
  </si>
  <si>
    <t>IQ STORE Audífonos Bluetooth, Audífonos Inalámbricos con Pantalla Táctil Inteligente, Bluetooth 5.4, Hi-Fi Estéreo Cascos, Llamadas Nítidas con Micrófono, Cancelación de Ruido IQ-Python by</t>
  </si>
  <si>
    <t>B0DR9GB1SY</t>
  </si>
  <si>
    <t>Xiaomi Extensor de Rango WiFi Range Extender N300</t>
  </si>
  <si>
    <t>B0DCTCF32J</t>
  </si>
  <si>
    <t>Destornillador Inalámbrico Xiaomi Mi Cordless Screwdriver</t>
  </si>
  <si>
    <t>B09DGQW3QC</t>
  </si>
  <si>
    <t>Skullcandy Hesh ANC Cascos Over-Ear Inalámbricos con Cancelación de Ruido, 22 h de Autonomía, Micrófono, Compatibles con iPhone Android y Dispositivos Bluetooth, Negro</t>
  </si>
  <si>
    <t>B08G1ZBKGP</t>
  </si>
  <si>
    <t>JBL Tour Pro 2 - Auriculares inalámbricos con cancelación de Ruido con Funda de Carga Inteligente, Llamadas perfectas de 6 micrófonos con Control de Voz, hasta 40 Horas de Tiempo de reproducción,</t>
  </si>
  <si>
    <t>B0C2QJY1YS</t>
  </si>
  <si>
    <t xml:space="preserve">Band 9 </t>
  </si>
  <si>
    <t>B0DGWTPD15</t>
  </si>
  <si>
    <t>B0CZRLRGM5</t>
  </si>
  <si>
    <t>B0DK6YXGYY</t>
  </si>
  <si>
    <t>Garmin Instinct 2S Graphito, 40 mm</t>
  </si>
  <si>
    <t>B09NMLNC95</t>
  </si>
  <si>
    <t xml:space="preserve">Garmin Instinct 2, Reloj Inteligente con GPS Resistente al </t>
  </si>
  <si>
    <t>B09MTP5QXS</t>
  </si>
  <si>
    <t>QCY T13 ANC Audífonos Inalámbricos, Cancelación de Ruido Acti</t>
  </si>
  <si>
    <t>B0BWRBKMCK</t>
  </si>
  <si>
    <t>IQ STORE Auriculares inalámbricos Phyton Bluetooth 5.3 - ENC cancelación de Ruido, Pantalla Tactil, LED, Auriculares para Graves Profundos con micrófono Integrado, Black Series</t>
  </si>
  <si>
    <t>B0DX2JBGJ8</t>
  </si>
  <si>
    <t>Xiaomi Bocina Inalámbrica Portable Bluetooth Speaker 16W Roja</t>
  </si>
  <si>
    <t>B0BKSS62J4</t>
  </si>
  <si>
    <t>Harman Kardon Onyx Studio 8 - Altavoces de Estudio Bluetooth, Experiencia de Sonido Ideal</t>
  </si>
  <si>
    <t>B0CC35GD8L</t>
  </si>
  <si>
    <t>Xiaomi rasuradoras para hombre: Versatilidad con 14 longitudes, batería de 180 min, cuchillas de cerámi</t>
  </si>
  <si>
    <t>B0B4D6MQY4</t>
  </si>
  <si>
    <t>Altavoz Bluetooth portátil Xiaomi (30 W), sonido, estéreo inalámbrico verdadero, Bluetooth 5.4, IP68 impermeabl</t>
  </si>
  <si>
    <t>B0D9ZXFX9C</t>
  </si>
  <si>
    <t>Xiaomi Camara de Vigilancia Smart Camere C301</t>
  </si>
  <si>
    <t>B0D7D7P84Q</t>
  </si>
  <si>
    <t xml:space="preserve">Buds 6 Pro </t>
  </si>
  <si>
    <t>B0DPXSS7KX</t>
  </si>
  <si>
    <t>B0DPXRMRWK</t>
  </si>
  <si>
    <t>B0DPXRGYP3</t>
  </si>
  <si>
    <t>Xiaomi Altavoz Bluetooth Smart Speaker (IR Control) Black qbh4218gl</t>
  </si>
  <si>
    <t>B09TWN6VQ7</t>
  </si>
  <si>
    <t>IQ STORE Auriculares Inalámbricos OWS Bluetooth 5.3, Sonido Envolvente, Cancelación de Ruido, IPX7, Micrófono HD, Carga Rápida – Modelo Chameleon</t>
  </si>
  <si>
    <t>B0DXJBMCT1</t>
  </si>
  <si>
    <t>IQ STORE Caja de TV Android 10.0, X96Q Android TV Box 2GB RAM 16GB ROM Allwinner H313 Quad-Core 64bit con WiFi 2.4G USB Ultra HD 4K H.265 3D Home Smart TV Box</t>
  </si>
  <si>
    <t>B0DXHZX296</t>
  </si>
  <si>
    <t>IQ STORE Audífonos Inalámbricos FOL FS-B09 Gecko – Bluetooth 5.3, Sonido Envolvente, Estuche Metálico, Resistentes al Agua IPX</t>
  </si>
  <si>
    <t>B0DXHGMFVC</t>
  </si>
  <si>
    <t>Clip 4</t>
  </si>
  <si>
    <t>B08V99CBZR</t>
  </si>
  <si>
    <t>Sony Bocina inalámbrica portátil XE300 de la Serie X</t>
  </si>
  <si>
    <t>B0B445JCZ3</t>
  </si>
  <si>
    <t>B0B449DVBL</t>
  </si>
  <si>
    <t>Altavoz Bluetooth portátil Xiaomi (30 W), sonido, estéreo inalámbrico verdadero, Bluetooth 5.4, IP69 impermeable, reprod</t>
  </si>
  <si>
    <t>B0D9ZHKDSJ</t>
  </si>
  <si>
    <t>Xiaomi Redmi Buds 6 Cloud White</t>
  </si>
  <si>
    <t>B0DPXSW5PH</t>
  </si>
  <si>
    <t>Xiaomi Redmi Buds 6 - Verde Coral</t>
  </si>
  <si>
    <t>B0DPXQ5SYT</t>
  </si>
  <si>
    <t>Xiaomi Redmi Watch 5 Lite Bluetooth Negro (Black)</t>
  </si>
  <si>
    <t>B0DDY56M4B</t>
  </si>
  <si>
    <t>B0DM6JR255</t>
  </si>
  <si>
    <t>Ninja SS351 Foodi Licuadora potente y sistema de procesamiento</t>
  </si>
  <si>
    <t>B08C41Q414</t>
  </si>
  <si>
    <t>Sony Audífonos inalámbricos on-Ear WH-CH520 hasta 50 Horas de duración de batería, Beige (Versión Nacional)</t>
  </si>
  <si>
    <t>B0CFS29Y49</t>
  </si>
  <si>
    <t>Sony WH-CH520 Auriculares Inalámbrico Diadema Llamadas/Música USB Tipo C Bluetooth Base de Carga Crema de Color</t>
  </si>
  <si>
    <t>B0BTJ9WHL9</t>
  </si>
  <si>
    <t>Licuadora Ninja Grand Kitchen System de 1,200 Watts, Licuadora con 4 programas Auto-iQ 72onz con Boquilla de Vertido, Tazón Procesador de Alimentos, Cuchillas Intercambiables. Blanco KS500WM-NEGRO</t>
  </si>
  <si>
    <t>B0DT4R2BKF</t>
  </si>
  <si>
    <t>Sony HT-S100F Barra de Sonido Única de 2 Canales con Tecnología Bluetooth, compacta, uso de oficina en casa con sonido claro</t>
  </si>
  <si>
    <t>B07F6JSM7N</t>
  </si>
  <si>
    <t>Sony WF-C500 - Auriculares inámbricos Bluetooth con micrófono y Resistencia al Agua IPX4, Color Negro (Versión Extranjera)</t>
  </si>
  <si>
    <t>B09CFP6J6D</t>
  </si>
  <si>
    <t>Xiaomi Xiami Smartwatch Reloj Inteligente Redmi Watch 5 Silver Gray</t>
  </si>
  <si>
    <t>B0DPX8TSSY</t>
  </si>
  <si>
    <t>B0DPX91VHZ</t>
  </si>
  <si>
    <t>B0DSG3MMDZ</t>
  </si>
  <si>
    <t>B0DQ18CMLJ</t>
  </si>
  <si>
    <t>Xiaomi Reloj S4 Black – 1,43 Pulgadas AMOLED, 2200 nit</t>
  </si>
  <si>
    <t>B0DSGLPKCC</t>
  </si>
  <si>
    <t>B0DK6YL89L</t>
  </si>
  <si>
    <t>Ninja SLUSHi - Fabricante profesional de bebidas con</t>
  </si>
  <si>
    <t>B0D88SMLS2</t>
  </si>
  <si>
    <t>Sony STRDH190 Receptor estéreo para el hogar de 2 Canales con entradas de F</t>
  </si>
  <si>
    <t>B078WFDR8D</t>
  </si>
  <si>
    <t xml:space="preserve">JBL PartyBox 110 - Altavoz portátil con Luces incorporadas, Sonido Potente y </t>
  </si>
  <si>
    <t>Vacuum E5</t>
  </si>
  <si>
    <t>B0CWV9LST4</t>
  </si>
  <si>
    <t>Sony Bocina Ultra portátil inalámbrica ULT Field 1 con Graves Profundos y potentes</t>
  </si>
  <si>
    <t>B0CXL4FQBK</t>
  </si>
  <si>
    <t>JBL Bocina Portátil GO 3 Bluetooth</t>
  </si>
  <si>
    <t>B08MYJ2JQ2</t>
  </si>
  <si>
    <t>Xiaomi Rasuradora Electrica Mi Electric Shaver Negro</t>
  </si>
  <si>
    <t>B07JQBQHVS</t>
  </si>
  <si>
    <t>Fj llr ven K nken Hip Pack Pastel Lavanda Talla nica, Pastel Lavender, Una talla, K nken Hip Pack</t>
  </si>
  <si>
    <t>B0BRKMFL25</t>
  </si>
  <si>
    <t>B0D361ZPPC</t>
  </si>
  <si>
    <t>Nutribullet Triple Prep System NBKS50100, Negro</t>
  </si>
  <si>
    <t>B0CKY4MXX2</t>
  </si>
  <si>
    <t xml:space="preserve">Xiaomi Celular Poco M7 Pro 5G 12GB RAM 256GB ROM Green
</t>
  </si>
  <si>
    <t>B0F1FL4NQ3</t>
  </si>
  <si>
    <t>B0F1FHLNWL</t>
  </si>
  <si>
    <t>Xiaomi Celular Poco M7 Pro 5G 8GB RAM 256GB ROM Green</t>
  </si>
  <si>
    <t>B0F2W5MC3T</t>
  </si>
  <si>
    <t>Xiaomi Celular Poco M7 Pro 5G 8GB RAM 256GB ROM Silver</t>
  </si>
  <si>
    <t>B0F2WH8SDY</t>
  </si>
  <si>
    <t>B0F2WRXJ99</t>
  </si>
  <si>
    <t>Skullcandy Sesh Evo Auriculares In-Ear Inalámbricos, Menta</t>
  </si>
  <si>
    <t>B0857JPMND</t>
  </si>
  <si>
    <t>Räven 28</t>
  </si>
  <si>
    <t>B0B5P94ZWT</t>
  </si>
  <si>
    <t>Räven 29</t>
  </si>
  <si>
    <t>B0B5P9J35Q</t>
  </si>
  <si>
    <t>Fjallraven Kånken Card Wallet, Blue, One Size</t>
  </si>
  <si>
    <t>B099N1K3LK</t>
  </si>
  <si>
    <t>Mochila Kånken Mini, Fjällräven, Unisex-child, Sky Blue, Talla única</t>
  </si>
  <si>
    <t>B00F18U0BK</t>
  </si>
  <si>
    <t>Kånken</t>
  </si>
  <si>
    <t>B09Z5M9R78</t>
  </si>
  <si>
    <t>B08DQQ11Z1</t>
  </si>
  <si>
    <t>Fjallraven Kånken Sling, Pink, 20 x 15 x 8 cm, Talla Única</t>
  </si>
  <si>
    <t>B07TX8F6B7</t>
  </si>
  <si>
    <t>Kånken Mini</t>
  </si>
  <si>
    <t>B0C35GXW2Y</t>
  </si>
  <si>
    <t>Fjallraven, Kanken Mochila clasica para uso diario, corn</t>
  </si>
  <si>
    <t>Rail</t>
  </si>
  <si>
    <t>B0B75RL6JX</t>
  </si>
  <si>
    <t>TV STICK</t>
  </si>
  <si>
    <t>B08B8F63XP</t>
  </si>
  <si>
    <t>B08B8F63XP-1</t>
  </si>
  <si>
    <t>B0BRDJ28B7</t>
  </si>
  <si>
    <t>B0CTNTR9X4</t>
  </si>
  <si>
    <t>B0F1FHJFSY</t>
  </si>
  <si>
    <t>B09FGTT2RK</t>
  </si>
  <si>
    <t>Sony Altavoz Inala</t>
  </si>
  <si>
    <t>B08YF234B3</t>
  </si>
  <si>
    <t>B08YDZRXGN</t>
  </si>
  <si>
    <t xml:space="preserve">Skullcandy Stomp XL - </t>
  </si>
  <si>
    <t>B0D79RXVST</t>
  </si>
  <si>
    <t>B0DBHTG7ZX</t>
  </si>
  <si>
    <t>B09C1K95LB</t>
  </si>
  <si>
    <t>Bar xiaomi</t>
  </si>
  <si>
    <t>B0F4S87RS5</t>
  </si>
  <si>
    <t>Sony Barra de Sonido de 2.1 Canales con Potente Subwoofer Inalámbrico I HT-S400</t>
  </si>
  <si>
    <t>B09SQWQ4TC</t>
  </si>
  <si>
    <t>HP</t>
  </si>
  <si>
    <t>B08XW7LT9P</t>
  </si>
  <si>
    <t>soNY c700</t>
  </si>
  <si>
    <t>B0CFSKJ73D</t>
  </si>
  <si>
    <t>dIME 3</t>
  </si>
  <si>
    <t>B08X22G28L</t>
  </si>
  <si>
    <t>B0F5Z3755G</t>
  </si>
  <si>
    <t>B0D8285WC4</t>
  </si>
  <si>
    <t>B0C1QQYP54</t>
  </si>
  <si>
    <t>Xiaomi Celular Poco C71 4gb Ram 128gb ROM Black Dual Sim Smartphone</t>
  </si>
  <si>
    <t>B0F54VMHX4</t>
  </si>
  <si>
    <t>B0DNKBC4H6</t>
  </si>
  <si>
    <t>Logitech MX Ergo S Mouse inalámbrico avanzado con trackball,</t>
  </si>
  <si>
    <t>B0DFGJ4FHH</t>
  </si>
  <si>
    <t xml:space="preserve">Ninja Slushie </t>
  </si>
  <si>
    <t>B0D2LZYQ2M</t>
  </si>
  <si>
    <t>Logitech MK540 A</t>
  </si>
  <si>
    <t>B07CC7D4P9</t>
  </si>
  <si>
    <t>Noise - Reloj inteligente Halo 2 recién lanzado con esfera giratoria funcional (b</t>
  </si>
  <si>
    <t>B0D6N5ZYRJ</t>
  </si>
  <si>
    <t>Noise - Reloj inteligente Halo 2 recién lanzado con esfera giratoria funcional (bisel de corte axial), 1.4 pulgadas AMOLED, construcción de acero inoxidable, efectos de transición personalizados,</t>
  </si>
  <si>
    <t>B0D6N5V9PY</t>
  </si>
  <si>
    <t>Noise Fit Halo 1.43" AMOLED Display, Bluetooth Calling Round Dial Smart Watch, Premium Metallic Build, Always on Display, Smart Gesture Control, 100 Sports Modes, Up to 7-Day Battery Life, BT v5.3,</t>
  </si>
  <si>
    <t>B0BLHGBSG8</t>
  </si>
  <si>
    <t>Noise Pulse 2 MAX 1,85 Pulgadas, Bluetooth Calling Smart Watch, 10 días de batería, 550 NITS Brightness, Smart DND, 100 Modos Deportivos, más de 150 Caras de Reloj basadas en la Nube, Reloj</t>
  </si>
  <si>
    <t>B0B6BPTFT5</t>
  </si>
  <si>
    <t>Ventolador Clip</t>
  </si>
  <si>
    <t>B0F74GGJ4L</t>
  </si>
  <si>
    <t>Skullcandy Grind Auriculares In-Ear Inalámbricos, 40 h de Autonomía, Skull-iQ, Habilitados para Alexa, Micrófono, Compatibles con iPhone Android y Dispositivos Bluetoo</t>
  </si>
  <si>
    <t>B08X1R3K8N</t>
  </si>
  <si>
    <t>B0D362TDVB</t>
  </si>
  <si>
    <t>B0DW97VBWL</t>
  </si>
  <si>
    <t>JBL Endurance Race 2 Audífonos Inalámbricos Bluetooth, Deportivos, Reproducción 48 Horas, Resistentes al Agua, Sudor y Polvo IP67 - Negro</t>
  </si>
  <si>
    <t>B0DW9BXCYW</t>
  </si>
  <si>
    <t>Apagada</t>
  </si>
  <si>
    <t>B0DVTDJ7TH</t>
  </si>
  <si>
    <t>B0DVTGBCBL</t>
  </si>
  <si>
    <t>B0DW99DCRF</t>
  </si>
  <si>
    <t>B0CZRMJSM1</t>
  </si>
  <si>
    <t xml:space="preserve">JBL Tune Beam 2 - Auriculares in-Ear inalámbricos Bluetooth con cancelación de Ruido, 48 h de reproducción, IP54, Resistente al Agua y al Polvo, conexión multipunto, diseño ergonómico, Color Negro
ASIN
</t>
  </si>
  <si>
    <t>B0DK3W2XK3</t>
  </si>
  <si>
    <t>Xiaomi Compresor de aire eléctrico portátil 2 Pro</t>
  </si>
  <si>
    <t>B0DLBGZG3N</t>
  </si>
  <si>
    <t>B0BN1ZG1QZ</t>
  </si>
  <si>
    <t>Skullcandy Crusher Evo Cascos Over-Ear Inalámbricos con Sensory Bass, 40 h de Autonomía, Micrófono, Compatibles con iPhone Android y</t>
  </si>
  <si>
    <t>B08FCGLYFZ</t>
  </si>
  <si>
    <t>B0DB52X2ZW</t>
  </si>
  <si>
    <t>B0D462WY6X</t>
  </si>
  <si>
    <t>B0F46K122X</t>
  </si>
  <si>
    <t>B0F9XLN4N8</t>
  </si>
  <si>
    <t>Nutribullet NBF50400 licuadora de encimera para batidos, batidos, preparación de alimentos y mezcla congelada, 64 onzas, 1200 W, gris oscuro</t>
  </si>
  <si>
    <t>B08KW6DHHC</t>
  </si>
  <si>
    <t>B0D9ZHZDV3</t>
  </si>
  <si>
    <t>B09QGKR75Z</t>
  </si>
  <si>
    <t>B074RNL1RX</t>
  </si>
  <si>
    <t>B0BQPZYWFC</t>
  </si>
  <si>
    <t>Nutribullet NBPB50350AK - Batidora portátil con tapa aislada, sin cable, color negro</t>
  </si>
  <si>
    <t>B0D8ZXZH5Z</t>
  </si>
  <si>
    <t>B0F5TNNPSW</t>
  </si>
  <si>
    <t>HyperX HHSS1C-KB-WT/G HyperX Cloud Stinger Core Auriculares Inalámbricos para PS4, PC, Ligeros, Deslizadores de Acero Duraderos, Micrófono con Cancelación de Ruido, Color Blanco, Over Ear</t>
  </si>
  <si>
    <t>B08BTHXJFN</t>
  </si>
  <si>
    <t>Skullcandy Jib True 2 Auriculares In-Ear Inalámbricos, 32 h de Autonomía, Micrófono, Compatibles con iPhone Android y Dispositivos Bluetooth, Negro</t>
  </si>
  <si>
    <t>B09VM2TBZF</t>
  </si>
  <si>
    <t>Xiaomi Reloj Inteligente Redmi Watch 5 Lavender Purple - Pantalla AMOLED 2.07", Bisel de Aluminio, Batería hast</t>
  </si>
  <si>
    <t>B0DQ181HVY</t>
  </si>
  <si>
    <t>SOKANY SK-08002 1400W Donut Maker, Mini Donut Maker para 16 Mini Donuts, Antiadherente, Regulación automática de la temperatura, Libre de BPA</t>
  </si>
  <si>
    <t>B0CCKZ3SWH</t>
  </si>
  <si>
    <t>B0FBT75NTR</t>
  </si>
  <si>
    <t>IQ TECH Centro de Desayunos 3 en 1 1050 W IQ STORE | Tostador Horno + Cafetera + Plancha Antiadherente | Compacto, Temporizador, Fácil Limpieza</t>
  </si>
  <si>
    <t>B0FBZFCL6Z</t>
  </si>
  <si>
    <t>IQ TECH Ventilador, enfriador de aire montado en la pared, ventilador de calentador pequeño con visualización digital, control remoto portátil para habitación, cocina, oficina, recámara Instalacion</t>
  </si>
  <si>
    <t>B0FBQCMN4K</t>
  </si>
  <si>
    <t>B093KMRX1J</t>
  </si>
  <si>
    <t>Ninja - Sistema de Cocina 3 en 1, Set Licuadora con 5 programas | BN801</t>
  </si>
  <si>
    <t>B08559K7CN</t>
  </si>
  <si>
    <t>Ninja Licuadora Profesional con 4 velocidades, 1000W - BL710WM</t>
  </si>
  <si>
    <t>B07ZZM1TQP</t>
  </si>
  <si>
    <t>Xiaomi Dust Mite Vacuum Cleaner Pro – 14000 Pa Potencia de succión, luz UV, Pantalla Inteligente, Sistema de filtración de 4 etapas y Secado al Aire Caliente a 55 °C para una eliminación eficaz de</t>
  </si>
  <si>
    <t>B0DJ58HZKM</t>
  </si>
  <si>
    <t>JBL Tune Buds 2 Audífonos Inalámbricos ANC Bluetooth, Drivers 10mm, Reproducción 48 Horas, Resistentes al Agua y al Polvo IP54 - Blanco</t>
  </si>
  <si>
    <t>B0DVTF9RV5</t>
  </si>
  <si>
    <t>JBL Tune Beam 2 Audífonos Inalámbricos ANC Bluetooth, Drivers 10mm, Reproducción 48 Horas, Resistentes al Agua y al Polvo IP54 - Blanco/Transparente</t>
  </si>
  <si>
    <t>B0DW96RYW7</t>
  </si>
  <si>
    <t>B0D3633DVB</t>
  </si>
  <si>
    <t>B0F9XNQQN1</t>
  </si>
  <si>
    <t>B0DZ5K2N99</t>
  </si>
  <si>
    <t>B0F2F4VH14</t>
  </si>
  <si>
    <t>B0DW9C8RVQ</t>
  </si>
  <si>
    <t>B00NGV4506</t>
  </si>
  <si>
    <t>B0BR8HZL9V</t>
  </si>
  <si>
    <t>B0F35QN76L</t>
  </si>
  <si>
    <t>B08QXJ31WR</t>
  </si>
  <si>
    <t>B0D45PK5V4</t>
  </si>
  <si>
    <t>B07PFLM2LK</t>
  </si>
  <si>
    <t>B01K1VM7O4</t>
  </si>
  <si>
    <t>B0CZS6SS3Y</t>
  </si>
  <si>
    <t>B0FDRCMN99</t>
  </si>
  <si>
    <t>B0DMF23B83</t>
  </si>
  <si>
    <t>Xiaomi Band 10</t>
  </si>
  <si>
    <t>B0DYF7HLQ2</t>
  </si>
  <si>
    <t>Xiaomi Band 11</t>
  </si>
  <si>
    <t>B0DYF64BV2</t>
  </si>
  <si>
    <t>Xiaomi Band 12</t>
  </si>
  <si>
    <t>B0DYF82545</t>
  </si>
  <si>
    <t>Noise Master Buds</t>
  </si>
  <si>
    <t>B0DK979YJ7</t>
  </si>
  <si>
    <t>B0DK97GN8T</t>
  </si>
  <si>
    <t>B0DK96DPY6</t>
  </si>
  <si>
    <t>Licuadora Profesional NINJA BL610 4V</t>
  </si>
  <si>
    <t>B07HZ3T1YN</t>
  </si>
  <si>
    <t>Ninja Thirsti - Sistema de bebidas gaseosas, crea bebidas espumosas y fijas únicas, personaliza tamaño y sabor, máquina de agua carbonatada, cilindro de CO2 de 60 litros y variedad de gotas de agua</t>
  </si>
  <si>
    <t>B0CCK33WLB</t>
  </si>
  <si>
    <t>B0F714FN26</t>
  </si>
  <si>
    <t>B0F7J45K49</t>
  </si>
  <si>
    <t>B0D1DDD9CC</t>
  </si>
  <si>
    <t>B0CWS2YKNK</t>
  </si>
  <si>
    <t>B0CT1XQ1S6</t>
  </si>
  <si>
    <t>B0DQ8V34GS</t>
  </si>
  <si>
    <t xml:space="preserve">
1P-S48I-VO5Z</t>
  </si>
  <si>
    <t>Xiaomi Bocina Sound Outdoor 30W Blue</t>
  </si>
  <si>
    <t>B0CZRP1KFG</t>
  </si>
  <si>
    <t>Shark Aspiradora Inalámbrica, Aspiradora de Mano Removible, para Pelo de Mascotas, Alfombras y Pisos Duros, 40 min de Batería, Gris, IX141LAA</t>
  </si>
  <si>
    <t>B0F9MR4KC7</t>
  </si>
  <si>
    <t>SHARK, Máscara de Luz Led CryoGlow, Tecnología Refrescante para Debajo de los Ojos, Luces Led Roja, Azul e Infrarroja para Skincare Antiedad, USB C, Control Remoto, Color Azul, FW312LAA</t>
  </si>
  <si>
    <t>B0DFWZQ1TQ</t>
  </si>
  <si>
    <t>FW312LAA</t>
  </si>
  <si>
    <t>NINJA, Licuadora Chef Profesional, Capacidad de 72 Oz, 10 Programas, Control Manual de Velocidad, 1500 Watts, Auto IQ, Color Negro, CT800</t>
  </si>
  <si>
    <t>B07DD2VPS3</t>
  </si>
  <si>
    <t>NINJA, Licuadora Profesional Plus, Capacidad de 72 Oz, 3 Funciones para Smoothie, Bebidas Congeladas y Helado, 1400 Watts, Auto IQ, Color Gris, BN701LAA</t>
  </si>
  <si>
    <t>B0F81KXHQT</t>
  </si>
  <si>
    <t>B0CSG9TT2G</t>
  </si>
  <si>
    <t>B07ZNSQZNC</t>
  </si>
  <si>
    <t>B0857JLRFJ</t>
  </si>
  <si>
    <t>B0DK2BQ4D7</t>
  </si>
  <si>
    <t>B0D87FF6P8</t>
  </si>
  <si>
    <t>YN-8Y9N-UTKE</t>
  </si>
  <si>
    <t>B0DDDD8WD6</t>
  </si>
  <si>
    <t>B0DK5QY3XD</t>
  </si>
  <si>
    <t>B0DBLNX7GT</t>
  </si>
  <si>
    <t xml:space="preserve">
RH-0USY-14QV</t>
  </si>
  <si>
    <t>B0BHTK78SS</t>
  </si>
  <si>
    <t>B09HSLHBLS</t>
  </si>
  <si>
    <t xml:space="preserve">
EK-00CR-M9B9</t>
  </si>
  <si>
    <t>B0DWV8QCQP</t>
  </si>
  <si>
    <t>ZL-EBHF-JPG3</t>
  </si>
  <si>
    <t>B0B25H1NYH</t>
  </si>
  <si>
    <t>JJ-309Z-5NQM</t>
  </si>
  <si>
    <t>B0DJ1QD7SL</t>
  </si>
  <si>
    <t>B01LF37K80</t>
  </si>
  <si>
    <t>Skullcandy Rail ANC In-Ear Noise Cancelling Wireless Earbuds, 27 HR Battery, Microphone, Works with iPhone Android and Bluetooth Devices - Bone</t>
  </si>
  <si>
    <t>B0CPP1DBRL</t>
  </si>
  <si>
    <t>B0D5RG1TQJ</t>
  </si>
  <si>
    <t>B0DK2BJ271</t>
  </si>
  <si>
    <t>B0DK29XKB9</t>
  </si>
  <si>
    <t>Xiaomi Mouse 3 GL</t>
  </si>
  <si>
    <t>B0DK29ZPX1</t>
  </si>
  <si>
    <t>B0C1QDNP2G</t>
  </si>
  <si>
    <t>XIAOMI Redmi Buds 6 Verde, Auriculares inalámbrico, cancelación de Ruido, Ligero, 10 Horas de autonomía y 42 Horas con el Estuche de Carga, Bluetooth</t>
  </si>
  <si>
    <t>B0DQP8KZQX</t>
  </si>
  <si>
    <t>B0BHDS3HQS</t>
  </si>
  <si>
    <t>JBL Wave Flex - Auriculares inalámbricos in-Ear Bluetooth, Impermeables IP54 y Antipolvo IPX2, Sonido Profundo de Graves, tecnología TalkThru y AmbientAware, hasta 32 h de autonomía, Color Negro</t>
  </si>
  <si>
    <t>B0BHDRW3MK</t>
  </si>
  <si>
    <t>NINJA, Extractor de Nutrientes y Batidora Foodi, 1200 Watts, Auto IQ, Incluye 2 Vasos de Extracción de 24 Oz y 1 Vaso para Smoothies de 14 Oz, Color Plateado, SS101</t>
  </si>
  <si>
    <t>B08C1DJNR2</t>
  </si>
  <si>
    <t>Xiaomi Mi Smart Scale S200 - Control preciso del peso, 4 métricas corporales, modo bebé y objeto, prueba de equilibrio, conexión a aplicaciones, gris oscuro</t>
  </si>
  <si>
    <t>B0F7SCD618</t>
  </si>
  <si>
    <t>Xiaomi Aspiradora Vacuum G20 Lite con 18000pa de Succion</t>
  </si>
  <si>
    <t>B0D9PDMTKK</t>
  </si>
  <si>
    <t>Ninja - Licuadora BN701 Professional Plus, 1400 vatios máximos, 3 funciones para batidos, bebidas congeladas y helados con Auto IQ, jarra y tapa de trituración total de 72 onzas*, gris oscuro</t>
  </si>
  <si>
    <t>B0855B5Z6F</t>
  </si>
  <si>
    <t>NINJA Creami, Máquina para Hacer Helados, Helados, Mezclas, Batidos, Sorbetes, Smoothies, 7 Programas en un Solo Toque, 2 Recipientes con Tapa, Tamaño Compacto, Plateada, NC301LAA</t>
  </si>
  <si>
    <t>B0F353HHBW</t>
  </si>
  <si>
    <t>B0D9WV919N</t>
  </si>
  <si>
    <t>B0F4QN69RZ</t>
  </si>
  <si>
    <t>B0DD1R7GZH</t>
  </si>
  <si>
    <t>BL710WM Ninja Performance 1000 W Blender - BL710WM</t>
  </si>
  <si>
    <t>B082XKBYLQ</t>
  </si>
  <si>
    <t>Exterior, Control Remoto, Accesorio de Nebulización, Color Gris, FA222</t>
  </si>
  <si>
    <t>B0CSDS34CQ</t>
  </si>
  <si>
    <t>Ninja Swirl de CREAMi - Fabricante de helados y servicios suaves, sorbete, licuado, yogur congelado, programa de bajo contenido de calorías y más, 13 en 1, mango de servicio suave, (2) pinturas de</t>
  </si>
  <si>
    <t>B0DSJW8SFG</t>
  </si>
  <si>
    <t>B0DXXMW8T9</t>
  </si>
  <si>
    <t>Ninja - Licuadora DUO 2 con 3 velocidades + extractor de nutrientes | BL660</t>
  </si>
  <si>
    <t>B00939FV8K</t>
  </si>
  <si>
    <t>Xiaomi humidifier 2 lite white bhr6605eu</t>
  </si>
  <si>
    <t>B0BKS2WPC1</t>
  </si>
  <si>
    <t>Pantalla PC Xiaomi Curved Gaming Monitor G34WQi Negro</t>
  </si>
  <si>
    <t>B0D1HQK5G5</t>
  </si>
  <si>
    <t>Shark WV201 WANDVAC Aspiradora de Mano, Ligera de 1 Libras con Potente succión, Muelle de Carga, Taza de Polvo vacía y Desmontable de un Solo Toque, Grafito, pizarrón</t>
  </si>
  <si>
    <t>B07FX5K4D6</t>
  </si>
  <si>
    <t>Xiaomi Blender Pro EU</t>
  </si>
  <si>
    <t>B0F555ZK27</t>
  </si>
  <si>
    <t>B0F4K1H6X5</t>
  </si>
  <si>
    <t>Ninja - Licuadora de 3 programas Auto-iQ con touch screen | CT610</t>
  </si>
  <si>
    <t>B077ZJGYZ4</t>
  </si>
  <si>
    <t>B0DC99VSHH</t>
  </si>
  <si>
    <t>XIAOMI MICROFONO INALAMBRICO Karaoke Microphone</t>
  </si>
  <si>
    <t>B0CM296T1H</t>
  </si>
  <si>
    <t>NINJA Detect, Sistema de Cocina, Tecnología BlendSense, Picar y Preparar Batidos, Jarra de 72 oz., Procesador de Alimentos, con Vaso Personal, Plateado, TB400LAA</t>
  </si>
  <si>
    <t>B0F49N78D1</t>
  </si>
  <si>
    <t>B0D5CZQ31M</t>
  </si>
  <si>
    <t>B0D5D294RR</t>
  </si>
  <si>
    <t>B0D1VN2VB7</t>
  </si>
  <si>
    <t xml:space="preserve">JBL Quantum Stream inalámbrico USB-C – </t>
  </si>
  <si>
    <t>B0CW4PKBH9</t>
  </si>
  <si>
    <t xml:space="preserve">XIAOMI Sound Outdoor Verde </t>
  </si>
  <si>
    <t>B0FN7YLSFK</t>
  </si>
  <si>
    <t>XIAOMI Sound Outdoor Dorado</t>
  </si>
  <si>
    <t>B0FN7WNLCC</t>
  </si>
  <si>
    <t>B0D9R5BYCZ</t>
  </si>
  <si>
    <t>Shark - Aspiradora Inalámbrica Rocket Pro, Cobre/Gris | IZ142</t>
  </si>
  <si>
    <t>B0843HRZ8M</t>
  </si>
  <si>
    <t>B0BMGSZMW9</t>
  </si>
  <si>
    <t>B0828CZ1CS</t>
  </si>
  <si>
    <t>NINJA, Freidora de aire Pro 4 en 1, Capacidad de 5 QT, Freír al aire, Asar al aire, Hornear, Recalentar, Deshidratar, Asar, Cesta antiadherente, Cesta antiadherente, Gris, AF141LAA</t>
  </si>
  <si>
    <t>B0F36FK9GL</t>
  </si>
  <si>
    <t>Shark Clean &amp; Empty, Aspiradora Vertical Inalámbrica, con Sistema de Vaciado Automático, Cepillo Giratorio, Autolimpiable, Filtro HEPA, Blanco, BU3120LAA</t>
  </si>
  <si>
    <t>B0F4QMWWRC</t>
  </si>
  <si>
    <t>Ninja AF080 Mini freidora de aire, capacidad de 2 cuartos de galón, compacta, antiadherente, con temporizador de ajuste rápido, gris</t>
  </si>
  <si>
    <t>B0B7CBQM87</t>
  </si>
  <si>
    <t xml:space="preserve">JBL Bocina PartyBox 310
</t>
  </si>
  <si>
    <t>B08HBG3M7M</t>
  </si>
  <si>
    <t>NINJA Detect Duo, Licuadora de Velocidades, con Vaso Personal, BlendSense, Profesional, Preajustable a un Solo Toque, Cuchillas Total Crushing, Velocidad Variable, Plateado, TB300LAA</t>
  </si>
  <si>
    <t>B0F35TXYFZ</t>
  </si>
  <si>
    <t>B093KDD2NR</t>
  </si>
  <si>
    <t>B089TQWJKK</t>
  </si>
  <si>
    <t>B0F9MY1FYS</t>
  </si>
  <si>
    <t>B0CKTYP1JT</t>
  </si>
  <si>
    <t>B0CQ1HP3RX</t>
  </si>
  <si>
    <t>Xiaomi Secador de Pelo MI Ionic H300 EU</t>
  </si>
  <si>
    <t>B097C6H8HY</t>
  </si>
  <si>
    <t>B0F96FWCDF</t>
  </si>
  <si>
    <t>XIAOMI Redmi Buds 8 Lite Black | Controlador dinámico de 12.4mm | Cancelación Activa de Ruido de 42 dB | hasta 36h de batería | Carga rápida 10mins para 3h</t>
  </si>
  <si>
    <t>B0FRSCXWSV</t>
  </si>
  <si>
    <t>XIAOMI Redmi Buds 8 Lite White | Controlador dinámico de 12.4mm | Cancelación Activa de Ruido de 42 dB | hasta 36h de batería | Carga rápida 10mins para 3h</t>
  </si>
  <si>
    <t>B0FRSN8MK5</t>
  </si>
  <si>
    <t>Skullcandy Push Play In-Ear Wireless Earbuds, 34 HR Battery, Microphone, Works with iPhone Android and Bluetooth Devices - Preppy Summer Resort</t>
  </si>
  <si>
    <t>B0CYJW3MYW</t>
  </si>
  <si>
    <t>JBL Tune Beam 2 Audífonos Inalámbricos ANC Bluetooth, Drivers 10mm, Reproducción 48 Horas, Resistentes al Agua y al Polvo IP54 - Blanco</t>
  </si>
  <si>
    <t>B0DW9B4MGV</t>
  </si>
  <si>
    <t>JBL Tune Beam 2 Audífonos Inalámbricos ANC Bluetooth, Drivers 10mm, Reproducción 48 Horas, Resistentes al Agua y al Polvo IP54 - Negro</t>
  </si>
  <si>
    <t>B0DW9B393N</t>
  </si>
  <si>
    <t>JBL Wave Flex 2 - Auriculares in-Ear inalámbricos Bluetooth con 40 h de reproducción, Sonido de Graves Puros, tecnología Smart Ambient, IP54 Resistente al Agua y al Polvo, conexión multipunto, Color</t>
  </si>
  <si>
    <t>B0DHL8DRFM</t>
  </si>
  <si>
    <t xml:space="preserve">JBL PartyBox On-The-Go Essential </t>
  </si>
  <si>
    <t>B0CW89H6L6</t>
  </si>
  <si>
    <t>Ninja CFP301C DualBrew Pro Specialty Sistema de café, una sola porción, cápsulas y cafetera de goteo de 12 tazas (versión canadiense)</t>
  </si>
  <si>
    <t>B093KFBFKV</t>
  </si>
  <si>
    <t>SHARK, Máscara de Luz Led CryoGlow, Tecnología Refrescante para Debajo de los Ojos, Luces Led Roja, Azul e Infrarroja para Skincare Antiedad, USB C, Control Remoto, Color Lilac, FW312LAAPL</t>
  </si>
  <si>
    <t>B0F7J4PS2Y</t>
  </si>
  <si>
    <t>JBL Quantum 250 Auriculares para Juegos multiplataforma con Cable Morado</t>
  </si>
  <si>
    <t>B0FH5MB2CJ</t>
  </si>
  <si>
    <t>B0FMM4J7ST</t>
  </si>
  <si>
    <t>JBL Quantum 100M2 - Audífonos alambricos Gamer Over Ear, Morado</t>
  </si>
  <si>
    <t>B0FH5LYL4S</t>
  </si>
  <si>
    <t>JBL Authentics 200 Bocina Inalámbrica Wi-Fi/Bluetooth, 90W de Potencia, Ajuste Automático, Asistentes de Voz - Negro</t>
  </si>
  <si>
    <t>B0CCK25S7Z</t>
  </si>
  <si>
    <t>Razer Kraken V4 X Auriculares con Cable para Juegos: Altavoces de 40 mm - Micrófono Cardioide - Almohadillas de Espuma con Memoria - Iluminación RGB Chroma - Cable Tipo C y Tipo A - para PC, Mac, PS5</t>
  </si>
  <si>
    <t>B0D9ZQTZ8N</t>
  </si>
  <si>
    <t>Razer Barracuda X - Auriculares inalámbricos para móvil y juegos multiplataforma - Windows</t>
  </si>
  <si>
    <t>B09XZZQK6Q</t>
  </si>
  <si>
    <t>IQ TECH Licuadora Portatil con 2 vasos Tazas, Mini Licuadora de 700ml 500W Licuadora Personal con Cuchillas Pro 304 Acero I</t>
  </si>
  <si>
    <t>B0G88JK9SC</t>
  </si>
  <si>
    <t>XIAOMI TV A Pro 55 2026</t>
  </si>
  <si>
    <t>B0FSP414WH</t>
  </si>
  <si>
    <t>Xiaomi TV A Pro 65" 2026 | G</t>
  </si>
  <si>
    <t>B0F63PSJ2D</t>
  </si>
  <si>
    <t>XIAOMI TV A Pro 75</t>
  </si>
  <si>
    <t>B0FSPQM8WX</t>
  </si>
  <si>
    <t>Audífono Inalámbrico Tipo Diadema JBL Tune 520BT, Respuesta de Frecuencia 20-20000Hz, Bluetooth 5.3. Color Azul.</t>
  </si>
  <si>
    <t>B0CGMV5TMR</t>
  </si>
  <si>
    <t>Mochila Kånken F23510-350 Coral Mediano Unisex adulto</t>
  </si>
  <si>
    <t>B0B1M3S216</t>
  </si>
  <si>
    <t>B07TX6QHHB</t>
  </si>
  <si>
    <t>Mochila Kånken Mini F23561-350 Coral Mediano Unisex adulto</t>
  </si>
  <si>
    <t>B0B1LVXZY3</t>
  </si>
  <si>
    <t>Mochila Kånken F23510-457-916 Violeta Mediano Unisex adulto</t>
  </si>
  <si>
    <t>B0CNGZFZZY</t>
  </si>
  <si>
    <t>Fjällräven Kånken Sling, Navy, 20 x 15 x 8 cm</t>
  </si>
  <si>
    <t>B07V2Y7KJS</t>
  </si>
  <si>
    <t>Fjällräven Kånken Sling, Black, 20 x 15 x 8 cm</t>
  </si>
  <si>
    <t>B07VC9F1GV</t>
  </si>
  <si>
    <t>Bolsa Kånken Sling F23797-424 Morado Mediano Unisex adulto</t>
  </si>
  <si>
    <t>B0C5CSLCMD</t>
  </si>
  <si>
    <t>Mochila Kånken Mini, Fjällräven, Unisex-child, Pink, Talla única</t>
  </si>
  <si>
    <t>B0042B4QQC</t>
  </si>
  <si>
    <t>B0828CNS4M</t>
  </si>
  <si>
    <t>B06XGG2DY8</t>
  </si>
  <si>
    <t>B08DQW3S98</t>
  </si>
  <si>
    <t>Mochila Räven 28 F23345-633 Verde Mediano Unisex adulto</t>
  </si>
  <si>
    <t>B0B6P473X2</t>
  </si>
  <si>
    <t>Mochila Skule 20 F23349-662 Verde Mediano Unisex adulto</t>
  </si>
  <si>
    <t>B0C3541L2V</t>
  </si>
  <si>
    <t>B088X2RZ92</t>
  </si>
  <si>
    <t>Mochila Kånken Weekender F23802-457 Violeta Mediano Unisex adulto</t>
  </si>
  <si>
    <t>B0C35G5LX9</t>
  </si>
  <si>
    <t>Mochila Kånken Weekender F23802-424 Violeta Mediano Unisex adulto</t>
  </si>
  <si>
    <t>B0CNGWB4WL</t>
  </si>
  <si>
    <t>Ninja Luxe Cafe Premier Series, máquina de expreso, café por goteo, rápida preparación fría, molinillo integrado, espumador manos libres, con caja de golpes, filtro de agua, tabletas de limpieza</t>
  </si>
  <si>
    <t>B0F452YBW1</t>
  </si>
  <si>
    <t>Ninja PB051 Pods &amp; Grounds Specialty Cafetera de una sola servidor, compatible con cápsulas K-K-Pod, espumador de leche integrado, 6 onzas Taza a 24 onzas Tamaños de taza de viaje, negro</t>
  </si>
  <si>
    <t>B0C25Y15TL</t>
  </si>
  <si>
    <t>Ninja Cafetera de especialidad para 12 tazas DualBrew Pro - CFP301</t>
  </si>
  <si>
    <t>B08QZSN97Z</t>
  </si>
  <si>
    <t>Razer DeathAdder Essential (2021) - Mouse para Juegos con Cable (Sensor óptico, 6400 dpi, 5 Botones programables, Factor de Forma ergonómico) Negro</t>
  </si>
  <si>
    <t>B092R5MCB3</t>
  </si>
  <si>
    <t>Audífonos Skullcandy Riff 2 On-Ear Inalámbricos, 34 Horas de Batería, Micrófono, Compatibles con iPhone, Android y Dispositivos Bluetooth, Negro</t>
  </si>
  <si>
    <t>B0B75MQJQR</t>
  </si>
  <si>
    <t>XIAOMI Sound Party | Bocina Portátil de 50W | Iluminación LED 3D | hasta 26h de Reproducción | Enlaza hasta 100 Bocinas | Waterproof IP67 | Bluetooth 5.4 |</t>
  </si>
  <si>
    <t>B0FKC2TN6C</t>
  </si>
  <si>
    <t>Ninja Blender, Blast Max, sin cable, licuadora personal para batidos, bebidas congeladas, hielo Crush, 22 onzas. Recipiente extraíble, tapa a prueba de fugas, sin BPA, apto para lavavajillas,</t>
  </si>
  <si>
    <t>B0DD4FTRJV</t>
  </si>
  <si>
    <t>Ninja C38000 Foodi NeverStick Juego de utensilios de cocina de alta calidad de 8 piezas con tapas de vidrio, anodizado duro, antiadherente, duradero y apto para horno hasta 500 °F, gris pizarrón</t>
  </si>
  <si>
    <t>B08C1FFSBD</t>
  </si>
  <si>
    <t>Xiaomi Humidificador Inteligente 2, Libera hasta 350 mL de Niebla por Hora, Capacidad de Tanque de 4.5L, Modo Automático para Prevenir Humedad Excesiva, Control de Humedad con un Toque, Blanco</t>
  </si>
  <si>
    <t>B0BC9SDP8Z</t>
  </si>
  <si>
    <t>XIAOMI Gaming Monitor G27i 2026 | 27" Panel IPS FHD (1920 * 1080) 200Hz | HDR400 | AMD Freesync Premium | 1ms (GTG) | Certificación Low Blue Light</t>
  </si>
  <si>
    <t>B0FW258JYX</t>
  </si>
  <si>
    <t>Shark TurboBlade - Ventilador de torre ultra potente sin aspas ultra silencioso, refrigeración de alto rendimiento más de 85 pies, pivotes y giros, oscilación de 180°, 10 velocidades, enfría el hogar</t>
  </si>
  <si>
    <t>B0F2KG6XNN</t>
  </si>
  <si>
    <t>Shark CarpetXpert HairPro Pet con StainStriker, máquina de limpieza vertical de alfombras para mascotas, limpiador de alfombras profundas, limpiador de alfombras y tapicería, removedor de manchas y</t>
  </si>
  <si>
    <t>B0DK3X5X1L</t>
  </si>
  <si>
    <t>NINJA, Freidora de aire Pro 4 en 1, Capacidad de 5 QT, Freír al aire, Asar al aire, Hornear, Recalentar, Deshidratar, Asar, Cesta antiadherente, Cesta antiadherente, Gris, AF141</t>
  </si>
  <si>
    <t>B0CSZ7WBYW</t>
  </si>
  <si>
    <t>Xiaomi Mi Air Purifier 4 Compact</t>
  </si>
  <si>
    <t>B0D1YBCWGZ</t>
  </si>
  <si>
    <t>Ninja Flip tostador Horno y Freidora de aire, funcionalidad 8 en 1, capacidad abatib</t>
  </si>
  <si>
    <t>B0D1CXL52G</t>
  </si>
  <si>
    <t>Xiaomi Altavoz Bluetooth Mini – 6 W 360 ° Sonido, batería de 11 h, IP67 Resistente al Agua, iluminación RGB, NFC y Bluetooth 5.3, portátil para Exteriores</t>
  </si>
  <si>
    <t>B0DBK4RR4C</t>
  </si>
  <si>
    <t>MZ-QGCA-S05N</t>
  </si>
  <si>
    <t>Check</t>
  </si>
  <si>
    <t>Ninja SLUSHi con Tecnología RapidChill, Máquina para Bebidas y Granizados Congelados, 2,6 L (88 oz), 5 Programas Automáticos, Ideal para Margaritas, Frappés y Más, Diseño Premium, Negro, FS301LAA</t>
  </si>
  <si>
    <t>B0FJQQJY3X</t>
  </si>
  <si>
    <t>Skullcandy Kilo Altavoz Bluetooth inalámbrico IPX7 Impermeable con batería de 24 Horas, hacia Abajo y emparejamiento inalámbrico Verdadero,Perfecto para Exteriores (Negro) (2SKSK1845B0L2)</t>
  </si>
  <si>
    <t>B0C679L51J</t>
  </si>
  <si>
    <t>JBL PartyBox 720 - La bocina para Fiestas JBL de baterías es más Potente con el Sonido Superior JBL Pro Sound y un espectáculo de Luces futurista - Black</t>
  </si>
  <si>
    <t>B0FNBWSN54</t>
  </si>
  <si>
    <t>IQ TECH- Masajeador térmico Bionic, masajeador Shiatsu portátil inalámbrico, cuello y espalda, masaje eléctrico de amasado 4D, diseño simulado de manos humanas para aliviar el dolor y relajación</t>
  </si>
  <si>
    <t>B0GDRVJLTW</t>
  </si>
  <si>
    <t>XIAOMI Portable Photo Printer 1S _x0096_ Impresora Fotográfica Portátil Pequeña, Bluetooth, Tecnología Zink sin Tinta, Fotos 2x3_x0094_ Adhesivas, iOS y Android</t>
  </si>
  <si>
    <t>B0FVKVDXDH</t>
  </si>
  <si>
    <t>Cafetera Espresso Semi Automática Xiaomi 110V Plateada | Bomba Italiana de 20 Bares | Preinfusión Profesional | Control de Temperatura NTC | Espumador de Leche</t>
  </si>
  <si>
    <t>B0GLRFTR7H</t>
  </si>
  <si>
    <t>JBL PartyBox 520 - Altavoz portátil para Fiesta Alimentado por batería con Refuerzo de Sonido AI, hasta 15 Horas de Tiempo de reproducción, a Prueba de Salpicaduras IPX4, conexión multiradiador por</t>
  </si>
  <si>
    <t>B0F83CBG9Z</t>
  </si>
  <si>
    <t>Marshall Major V Audífonos Inalámbricos Bluetooth - Azul Medianoche</t>
  </si>
  <si>
    <t>B0FBHRH4WV</t>
  </si>
  <si>
    <t>Ninja Cafetera Espresso y Sistema Barista, Compatible con Cápsulas Nespresso, Jarra de 12 Tazas, Espumador Incorporado, Máquina para Espresso, Capuchino y Latte, CFN601</t>
  </si>
  <si>
    <t>B0B9YP76FN</t>
  </si>
  <si>
    <t>NINJA BlendSense, Licuadora Profesional, 1800 Vatios, Preajustable a un Solo Toque, Cuchillas Total Crushing, Velocidad Variable, Plateado, TB201LAA</t>
  </si>
  <si>
    <t>B0F35Q7MML</t>
  </si>
  <si>
    <t>JBL Quantum 100M2 - Audífonos alambricos integrales para Gaming con Cable y micrófono Extraible con opción de silenciar - Blanco</t>
  </si>
  <si>
    <t>B0DR3NH8JH</t>
  </si>
  <si>
    <t>JBL Quantum 100M2 - Audífonos alambricos integrales para Gaming con Cable y micrófono Extraible con opción de silenciar - Negro</t>
  </si>
  <si>
    <t>B0DRM949PC</t>
  </si>
  <si>
    <t>XIAOMI Celular Poco X8 Pro MAX 12GB RAM 512GB ROM Versión Global, Flagship Dimensity 9500s, Batería 8500mAh(typ), Pantalla 6.83" AMOLED 120Hz, Cámara 50MP, Carga Rápida 100W (Negro, 512, GB)</t>
  </si>
  <si>
    <t>B0GMX1P99Z</t>
  </si>
  <si>
    <t>XIAOMI Celular Poco X8 Pro MAX 12GB RAM 256GB/512GB ROM Versión Global, Flagship Dimensity 9500s, Batería 8500mAh(typ), Pantalla 6.83" AMOLED 120Hz, Cámara 50MP, Carga Rápida 100W (Negro, 256, GB)</t>
  </si>
  <si>
    <t>B0GMWZTMNM</t>
  </si>
  <si>
    <t>XIAOMI Celular Poco X8 Pro 8GB + 512GB Negro Versión Global,Flagship Dimensity 8500 Ultra, Batería 6500mAh(typ),Pantalla AMOLED 6.59'' 120Hz, Cámara Principal 50MP</t>
  </si>
  <si>
    <t>B0GN1TCVYX</t>
  </si>
  <si>
    <t>XIAOMI Celular Poco X8 Pro 8GB + 256GB Negro Versión Global,Flagship Dimensity 8500 Ultra, Batería 6500mAh(typ),Pantalla AMOLED 6.59'' 120Hz, Cámara Principal 50MP</t>
  </si>
  <si>
    <t>B0GN22FHH2</t>
  </si>
  <si>
    <t>JBL Vibe Beam 2, Auriculares Lifestyle, True Wireless Beam, ANC, 2 Micrófonos Beamforming, IP54 - Negro</t>
  </si>
  <si>
    <t>B0DN45YMP6</t>
  </si>
  <si>
    <t>JBL Vibe Beam 2, Auriculares Lifestyle, True Wireless Beam, ANC, 2 Micrófonos Beamforming, IP54 - Blanco</t>
  </si>
  <si>
    <t>B0DN4BG1RW</t>
  </si>
  <si>
    <t>XIAOMI Redmi Buds 8 Pro Negro, True Wireless Bluetooth, cancelación Activa de Ruido de hasta 55 dB, Triple Driver, Sonido Hi-Res Hi-Fi, Dolby Audio, hasta 33h de autonomía, Bluetooth 5.4, IP54.</t>
  </si>
  <si>
    <t>B0G5N98LBK</t>
  </si>
  <si>
    <t>XIAOMI Smart Tag, Compatible con Apple Find My y Google Android Find Hub, localizador, buscador para Equipaje/Bolsos/Carteras/Mascotas, IP67, batería con más de 1 año de autonomía, Pack de 1</t>
  </si>
  <si>
    <t>B0G5B5DM5P</t>
  </si>
  <si>
    <t>XIAOMI Celular Poco X8 Pro 12GB + 512GB Negro Versión Global,Flagship Dimensity 8500 Ultra, Batería 6500mAh(typ),Pantalla AMOLED 6.59'' 120Hz, Cámara Principal 50MP</t>
  </si>
  <si>
    <t>B0GN2L3DZZ</t>
  </si>
  <si>
    <t>XIAOMI TV Stick 4K (2ª Generación</t>
  </si>
  <si>
    <t>B0FYB21SPT</t>
  </si>
  <si>
    <t>JBL Xtreme 4 Bocina Portátil Bluetooth, Reproducción 24 Horas, Resistente al Agua IP67 - Negro Camuflaje</t>
  </si>
  <si>
    <t>B0CTP229X7</t>
  </si>
  <si>
    <t>Garmin Forerunner 165 Mist Grey/Whitestone</t>
  </si>
  <si>
    <t>B0CT3VBDTV</t>
  </si>
  <si>
    <t>DEWALT Taladro de martillo giratorio 20 V MAX* XR con mango en D, 1 pulgada, solo herramienta (DCH133B)</t>
  </si>
  <si>
    <t>B01MF4YEIF</t>
  </si>
  <si>
    <t>DeWalt DCH133M2 Kit de martillo perforador de mango en D de 1 pulgada (2.54 cm) sin escobillas XR, 20 V máximo</t>
  </si>
  <si>
    <t>B01M4LXUD2</t>
  </si>
  <si>
    <t>DEWALT Esmeriladora Angular de 4-1/2" (115mm), 20V, DCG413B</t>
  </si>
  <si>
    <t>B07457BXJW</t>
  </si>
  <si>
    <t>ONN. Google TV 4K Caja de transmisión</t>
  </si>
  <si>
    <t>B0C3RD6CV2</t>
  </si>
  <si>
    <t>DEWALT - Taladro inalámbrico de 20 V MAX, driver de impacto, kit combinado de herramientas eléctricas de 2 herramientas, juego de herramientas eléctricas sin escobillas con 2 baterías y cargador</t>
  </si>
  <si>
    <t>B0C3PQHGR7</t>
  </si>
  <si>
    <t>JBL Grip - Rojo</t>
  </si>
  <si>
    <t>B0FKVL8BZF</t>
  </si>
  <si>
    <t>JBL Grip - Azul</t>
  </si>
  <si>
    <t>B0FKV24X87</t>
  </si>
  <si>
    <t>JBL Grip - Negro</t>
  </si>
  <si>
    <t>B0FKVSH438</t>
  </si>
  <si>
    <t>JBL Grip - Blanco</t>
  </si>
  <si>
    <t>B0FKVN7V3V</t>
  </si>
  <si>
    <t>Bocina inalámbrica portátil Sony XB100 Sonido Potente y nítido</t>
  </si>
  <si>
    <t>B0C29BL8BS</t>
  </si>
  <si>
    <t>JBL Bar 1000MK2-7.1.4 Sistema de Barra de Sonido de Canal con Altavoces envolventes Desmontables, MultiBeam 3.0™, Dolby Atmos® y DTS:X®, 480W RMS con Sub de 10 Pulgadas y Funciona con Altavoces</t>
  </si>
  <si>
    <t>B0FHBKBMRZ</t>
  </si>
  <si>
    <t>Garmin Forerunner 165 Black/Slate Grey</t>
  </si>
  <si>
    <t>B0CT3SGHXL</t>
  </si>
  <si>
    <t>Sony Cámara Alpha 6400 APS-C con Nuevo Lente Zoom 16-50mm Versión 2 con autoenfoque más rápido, Ligero y silencioso</t>
  </si>
  <si>
    <t>B0DTFSLSTS</t>
  </si>
  <si>
    <t>Samsung Adaptador de Corriente USB-C de 45W Negro</t>
  </si>
  <si>
    <t>B0DV66LFKB</t>
  </si>
  <si>
    <t>XIAOMI Bocina Portátil Sound Pocket Essential Batería hasta 10Hrs Negro</t>
  </si>
  <si>
    <t>B0CD5RLF3Q</t>
  </si>
  <si>
    <t>SHOKZ OpenMove auriculares conducción ósea,Open-Ear auriculares deportivos inalámbricos con Bluetooth y micrófono,auriculares resistencia al agua IP55 para correr y ejercicio,6h Duración Batería, Gris</t>
  </si>
  <si>
    <t>B09BW29FJS</t>
  </si>
  <si>
    <t>Xiaomi Bluetooth Speaker qbh4275gl</t>
  </si>
  <si>
    <t>B0DBKKFZRS</t>
  </si>
  <si>
    <t>B0GXLGZBXP</t>
  </si>
  <si>
    <t>B0GXLFSD3K</t>
  </si>
  <si>
    <t>B0GXLNLSJT</t>
  </si>
  <si>
    <t>B0GXLB8TB5</t>
  </si>
  <si>
    <t>B0GXLGPHRY</t>
  </si>
  <si>
    <t>B0GXL99STG</t>
  </si>
  <si>
    <t>B0GXLFHVTG</t>
  </si>
  <si>
    <t>Xiaomi Bomba de Aire iPortátil Portable Electric Air Compressor 2…</t>
  </si>
  <si>
    <t>B0CBBP8BQX</t>
  </si>
  <si>
    <t xml:space="preserve">
CK-UUNY-KFTU-combinado sin etiqueta</t>
  </si>
  <si>
    <t>Xiaomi Aspiradora Robot Vacuum E5 Blanco</t>
  </si>
  <si>
    <t>B0DDN2JNSV</t>
  </si>
  <si>
    <t xml:space="preserve">
3B-58GL-HTBZ</t>
  </si>
  <si>
    <t>B0D9YYQ7X9</t>
  </si>
  <si>
    <t xml:space="preserve">
X7-XFC1-34AM</t>
  </si>
  <si>
    <t>Harman Luna</t>
  </si>
  <si>
    <t>B0CF7GCG6F</t>
  </si>
  <si>
    <t>Xiaomi Mijia - Escala de grasa corporal S400, pantalla LED Bluetooth 5.0 150 kg, escala de composición corporal inteligente para el hogar funciona con la aplicación Mi Home</t>
  </si>
  <si>
    <t>B0D3P8ZP21</t>
  </si>
  <si>
    <t xml:space="preserve">
HG-AKNN-GLN8</t>
  </si>
  <si>
    <t>Deal</t>
  </si>
  <si>
    <t>Mochila Kånken Mini, Fjällräven, Unisex-child, Pastel Lavender, Unitalla</t>
  </si>
  <si>
    <t>B07VGT69TG</t>
  </si>
  <si>
    <t>Xiaomi Mi Smart Scale S200 - Control preciso del peso, 4 métricas corporales, modo bebé y objeto, prueba de equilibrio, conexión a aplicaciones, luz blanca luna</t>
  </si>
  <si>
    <t>B0F7SJ9MT8</t>
  </si>
  <si>
    <t>XIAOMI Mi TV Stick 4k (2nd Gen)</t>
  </si>
  <si>
    <t>B0FFN6NRTZ</t>
  </si>
  <si>
    <t>Mochila Kånken Mini, Fjällräven, Unisex, Navy, Talla única</t>
  </si>
  <si>
    <t>B003NF40OG</t>
  </si>
  <si>
    <t xml:space="preserve">Xiaomi Smart Air Purifier 4 compact EU </t>
  </si>
  <si>
    <t>B0B6FHKKHP</t>
  </si>
  <si>
    <t xml:space="preserve">
WE-3JJ9-RC56</t>
  </si>
  <si>
    <t>Xiaomi TV Box S 3rd Gen - 4K UHD</t>
  </si>
  <si>
    <t>B0F3JWFL56</t>
  </si>
  <si>
    <t>11-9LWI-3CKA-combinado sin etiqueta</t>
  </si>
  <si>
    <t xml:space="preserve">JBL Tune 230NC </t>
  </si>
  <si>
    <t>B09FM6PDHP</t>
  </si>
  <si>
    <t xml:space="preserve">
050036384551</t>
  </si>
  <si>
    <t>Xiaomi TV Box S (3rd Gen) - 4K UHD, Dolby Vision, 32GB, WiFi 6, Dolby Atmos y DTS:X, Bluetooth 5.2, conectividad inalámbrica Bluetooth 360°, Compatible con Google Voice Assistant</t>
  </si>
  <si>
    <t>B0F58Q4CM9</t>
  </si>
  <si>
    <t>JBL Wind 3 FM - Altavoz de manubrio Bluetooth (negro/naranja)</t>
  </si>
  <si>
    <t>B0DNV41CHB</t>
  </si>
  <si>
    <t xml:space="preserve">Router 4c </t>
  </si>
  <si>
    <t>B085FVKSMC</t>
  </si>
  <si>
    <t>XIAOMI Bocina Inteligente Sound Pocket Blue Gray</t>
  </si>
  <si>
    <t>B0FN7VLZCH</t>
  </si>
  <si>
    <t>KODAK CHARMERA - Caja para cámara Digital (1 Unidad) Mini cámara cámara Digital grabación de vídeo 1,6 MP Tarjeta Micro SD para Principiantes Adolescentes Adultos</t>
  </si>
  <si>
    <t>B0FKBDT8FR</t>
  </si>
  <si>
    <t>Harman Kardon Go + Play 3 Bocina Inalámbrica Bluetooth, 160W de Potencia, Reproducción 8 Horas, Micrófonos Duales - Gris…</t>
  </si>
  <si>
    <t>B0CF7LY4XZ</t>
  </si>
  <si>
    <t>B0CZRMRQ3Y</t>
  </si>
  <si>
    <t>Sony WH-1000XM5 Audífonos inalámbricos con Cancelación de Ruido, Plateado (Versión Extranjera)</t>
  </si>
  <si>
    <t>B09XSDMT4F</t>
  </si>
  <si>
    <t>XIAOMI Bocina Inteligente Sound Pocket Pink S28H-GL</t>
  </si>
  <si>
    <t>B0FN7XC2J7</t>
  </si>
  <si>
    <t>B0DK6ZC5ZC</t>
  </si>
  <si>
    <t xml:space="preserve">
KC-063I-Y90E</t>
  </si>
  <si>
    <t>Xiaomi Kit De Aseo Recortador De Pelo Unisex Indicador De Batería Con Pantalla Led Carga Rápida Tipo C 90 Minutos De Autonomía Completa Negro</t>
  </si>
  <si>
    <t>B0BHT7NX51</t>
  </si>
  <si>
    <t>FJÄLLRÄVEN - Mochila Kånken Mini, Unisex-child, Ox Red</t>
  </si>
  <si>
    <t>B003NF40TQ</t>
  </si>
  <si>
    <t>Fjallraven Unisex Kånken, Light Oak, One Size</t>
  </si>
  <si>
    <t>B099N2KQ93</t>
  </si>
  <si>
    <t>Mochila tipo casual Kånken, Fjällräven, Unisex-adulto, Forest Green, 38 x 27 x 13 cm, 16 L</t>
  </si>
  <si>
    <t>B07663R4PJ</t>
  </si>
  <si>
    <t>FJÄLLRÄVEN - Mochila tipo casual Kånken, , Unisex-adulto, Black, 38 x 27 x 13 cm, 16 L</t>
  </si>
  <si>
    <t>B07663R4PD</t>
  </si>
  <si>
    <t>Mochila Kånken, Fjällräven, Unisex-adulto, Mint Green, 38 x 27 x 13 cm, 16 L</t>
  </si>
  <si>
    <t>B07VC9G7RX</t>
  </si>
  <si>
    <t>Mochila Kånken, Fjällräven, Unisex-adulto, Pastel Lavender, 38 x 27 x 13 cm, 16 L</t>
  </si>
  <si>
    <t>B07VFCWZ8W</t>
  </si>
  <si>
    <t>Mochila Kånken F23510-021-312 Gris Mediano Unisex adulto</t>
  </si>
  <si>
    <t>B08Z7CBB7R</t>
  </si>
  <si>
    <t>Mochila Kånken F23510-501 Azul Mediano Unisex adulto</t>
  </si>
  <si>
    <t>B00EZCCBL0</t>
  </si>
  <si>
    <t>Mochila Kånken Mini, Fjällräven, Unisex-adult, Black, Talla única</t>
  </si>
  <si>
    <t>B005M94XMK</t>
  </si>
  <si>
    <t>FJÄLLRÄVEN - Mochila Kånken Mini, unisex para niños, verde menta, Unitalla</t>
  </si>
  <si>
    <t>B07VCLWFJX</t>
  </si>
  <si>
    <t>Mochila Kånken Mini F23561-571 Azul Mediano Unisex adulto</t>
  </si>
  <si>
    <t>B0C356P8GH</t>
  </si>
  <si>
    <t>Mochila Kånken Mini, Fjällräven, Unisex-child, Royal blue, Talla única</t>
  </si>
  <si>
    <t>B003NF05XG</t>
  </si>
  <si>
    <t>SAMSUNG - Adaptador de Corriente para Cargador de Pared de 45 W, Cable no Incluido, Carga súper rápida para teléfonos Galaxy, tabletas y Dispositivos USB Tipo C, bajo Consumo de energía en Espera,</t>
  </si>
  <si>
    <t>B0DQFJKP4B</t>
  </si>
  <si>
    <t>Kodak PIXPRO FZ45-WH - Cámara Digital de 16 MP, Zoom óptico de 27 mm, Gran Angular, 1080P, Full HD, Video, 2,7 Pulgadas, cámara de vlogging LCD (Blanco)</t>
  </si>
  <si>
    <t>B0B8PD8TTP</t>
  </si>
  <si>
    <t>Kodak PIXPRO - Cámara Digital de 16 MP con Zoom óptico de 27 mm de Gran Angular y visualización LCD de 2,7 Pulgadas (Negro)</t>
  </si>
  <si>
    <t>B0B8PDHRWY</t>
  </si>
  <si>
    <t>NutriBullet NBJ50100 - Máquina centrífuga para exprimidor de frutas, verduras y alimentos, 27 onzas/1,5 litros, 800 vatios, gris</t>
  </si>
  <si>
    <t>B08G5DNFFZ</t>
  </si>
  <si>
    <t>Xiaomi Arrocera Eléctrica Multifuncional Rice Cooker 4L</t>
  </si>
  <si>
    <t>B0DTLY7T7B</t>
  </si>
  <si>
    <t>IQ TECH Cinturón de Lastre con Cadena para Levantamiento de Pesas, Dominadas, Fondos - Cadena de Acero Resistente para Entrenamiento Negro</t>
  </si>
  <si>
    <t>B0H1K5YP9R</t>
  </si>
  <si>
    <t>IQ Tech Gorra México Ajustable Unisex | Edición Inspirada en la Pasión Futbolera 2026 | Bordado Premium Tricolor | Curva Clásica (Blanco)</t>
  </si>
  <si>
    <t>B0H1JQNMWR</t>
  </si>
  <si>
    <t>IQ Tech Gorra México Ajustable Unisex | Edición Inspirada en la Pasión Futbolera 2026 | Bordado Premium Tricolor | Curva Clásica (Vino)</t>
  </si>
  <si>
    <t>B0H1J9D3WQ</t>
  </si>
  <si>
    <t>IQ Tech Gorra México Ajustable Unisex | Edición Inspirada en la Pasión Futbolera 2026 | Bordado Premium Tricolor | Curva Clásica (Negro)</t>
  </si>
  <si>
    <t>B0H1JHH5MM</t>
  </si>
  <si>
    <t>IQ Tech Gorra México Ajustable Unisex | Edición Inspirada en la Pasión Futbolera 2026 | Bordado Premium Tricolor | Curva Clásica |</t>
  </si>
  <si>
    <t>B0H1DLD7WN</t>
  </si>
  <si>
    <t>IQ-TECH 8 en 1 Esterilizador de Vapor de Biberones, Esterilización Biberones, Calentador de Biberones con Funciones de Descongelar, Esterilizar, Calentar Leche y Calentar Alimentos (Gris)</t>
  </si>
  <si>
    <t>B0H2NHKK4G</t>
  </si>
  <si>
    <t>IQ-Tech Quitapelusas eléctrico Afeitadora de Tela de Pelusa Recargable for Ropa, eliminador de Pelusa eléctrico con 6 Cuchillas, carretes, recortador de Bolas de Pelo Removedor de Pelusa para Ropa</t>
  </si>
  <si>
    <t>B0H2N5M68F</t>
  </si>
  <si>
    <t>IQ Tech | Cámara de Vídeo de Dos vías de Paso de vídeo de la cámara IP WiFi Inteligente de Voz de 360 Grados de vigilancia de Seguridad</t>
  </si>
  <si>
    <t>B0GZM1TGL7</t>
  </si>
  <si>
    <t>IQ TECH | Secador de pelo 5 en 1 con cepillo de aire caliente, multipeinado para peinado rápido, cepillo para polvo iónico negativo de alta velocidad para rizar,(Dorado)</t>
  </si>
  <si>
    <t>B0GZRQP44G</t>
  </si>
  <si>
    <t>IQ Tech | Altavoz portátil inalámbrico, Adecuado para Coche, computadora, Fitness, al Aire última intervensión, hogar, portátil móvil, Karaoke</t>
  </si>
  <si>
    <t>B0GZR89RNX</t>
  </si>
  <si>
    <t>IQ Tech | Soporte para Amplificador de teléfono móvil con Lupa de vídeo, Soporte Plegable para Amplificador de vídeo, Pantalla de teléfono móvil</t>
  </si>
  <si>
    <t>B0GZQJ5FZR</t>
  </si>
  <si>
    <t>IQ Tech | Altavoz USB para Computadora, Barra de Sonido de Escritorio USB con Cable, Entrada Auxiliar de 3,5 MM, Minialtavoz Portátil, Caja de subwoofer (versión Bluetooth)</t>
  </si>
  <si>
    <t>B0GZLM5FKL</t>
  </si>
  <si>
    <t>IQ TECH | Lavadora Portátil Modos Múltiples Enchufe Automático de Limpieza Profunda con Cable de Suministro de Agua, dormitorio automático, mini calcetines de lavado pequeños, ropa interior</t>
  </si>
  <si>
    <t>B0GZLJK2TV</t>
  </si>
  <si>
    <t>IQ Tech | Bandeja de Calentamiento eléctrico con Temperatura Ajustable, portátil, Plegable, Calentador de Alimentos de Silicona de Calentamiento rápido (Blanco)</t>
  </si>
  <si>
    <t>B0GZLQKV16</t>
  </si>
  <si>
    <t>IQ TECH Air Styler 5 en 1 para Cabello, Cepillo Secador Voluminizador con Aire Caliente, Rizador Automático, Alaciadora y Cepillo Moldeador con Iones Negativos</t>
  </si>
  <si>
    <t>B0H2BRK7GN</t>
  </si>
  <si>
    <t>1 Hora PD 20W GAN Cargador Tipo C - Cargador Carga Rápida con 1M 3A Cable USB C a C - Compatible con iP16/16P/16PM/15/15P/15PM, Samsung Galaxy A55/S23/Note10/S20 Ultra/S10/S9/S8, Motorola</t>
  </si>
  <si>
    <t>B09RWP17X3</t>
  </si>
  <si>
    <t>Skullcandy Riff Cascos On-Ear Alámbricos, Micrófono, Compatibles con iPhone Android y Dispositivos Bluetooth, Negro</t>
  </si>
  <si>
    <t>B07HB9Q3CY</t>
  </si>
  <si>
    <t>JBL Wind 3 FM Bluetooth - Altavoz para manubrio (Rojo)</t>
  </si>
  <si>
    <t>B0C37SMRQF</t>
  </si>
  <si>
    <t>Watch 5 Active Midnight Black</t>
  </si>
  <si>
    <t>B0DDY6KWB2</t>
  </si>
  <si>
    <t>B0GR1Q2ZWZ</t>
  </si>
  <si>
    <t>B09BVX8ZXF</t>
  </si>
  <si>
    <t>B0DHLRBLSH</t>
  </si>
  <si>
    <t>B0CBWD3PN7</t>
  </si>
  <si>
    <t>B0C29CL98P</t>
  </si>
  <si>
    <t>B0H3QDLL18</t>
  </si>
  <si>
    <t>B0H3QDJMVS</t>
  </si>
  <si>
    <t>B0H3M941H9</t>
  </si>
  <si>
    <t>B08W2C5W59</t>
  </si>
  <si>
    <t>BL710WM</t>
  </si>
  <si>
    <t>Referral Fee Nivel 1</t>
  </si>
  <si>
    <t>BN400</t>
  </si>
  <si>
    <t>ES601</t>
  </si>
  <si>
    <t>SL401</t>
  </si>
  <si>
    <t>TB401LAA</t>
  </si>
  <si>
    <t>QB3000SS</t>
  </si>
  <si>
    <t>HD435LAA Shark Flex Style Blanco</t>
  </si>
  <si>
    <t>HD442BP Shark Malibu Pink</t>
  </si>
  <si>
    <t>HD450TL Shark Flex Style Teal</t>
  </si>
  <si>
    <t>BN701LAA</t>
  </si>
  <si>
    <t>IX141LAA</t>
  </si>
  <si>
    <t>CT610</t>
  </si>
  <si>
    <t>NC301LAA</t>
  </si>
  <si>
    <t>4095291968</t>
  </si>
  <si>
    <t>Cl305A</t>
  </si>
  <si>
    <t>CO905KS</t>
  </si>
  <si>
    <t>TB201LAA</t>
  </si>
  <si>
    <t>CN501COLAA</t>
  </si>
  <si>
    <t>WV201CO</t>
  </si>
  <si>
    <t>TB400LAA</t>
  </si>
  <si>
    <t>IZ492HLAA</t>
  </si>
  <si>
    <t>DW2401GY</t>
  </si>
  <si>
    <t>DW2401WH</t>
  </si>
  <si>
    <t>BU3120L</t>
  </si>
  <si>
    <t>AF161</t>
  </si>
  <si>
    <t>DW2401MT</t>
  </si>
  <si>
    <t>FS301LAA</t>
  </si>
  <si>
    <t>S1000LAA</t>
  </si>
  <si>
    <t>CH951</t>
  </si>
  <si>
    <t>CFN601</t>
  </si>
  <si>
    <t>CT672A</t>
  </si>
  <si>
    <t>DW2401BL</t>
  </si>
  <si>
    <t>DW2401BK</t>
  </si>
  <si>
    <t>DT201</t>
  </si>
  <si>
    <t>Comison IVa</t>
  </si>
  <si>
    <t>Remate</t>
  </si>
  <si>
    <t>HS</t>
  </si>
  <si>
    <t>Para walmart</t>
  </si>
  <si>
    <t xml:space="preserve">B0BQPNMXQV
</t>
  </si>
  <si>
    <t>liver</t>
  </si>
  <si>
    <t>Xiaomi Redmi Note 13 Pro 8gb Ram 256gb Negro…</t>
  </si>
  <si>
    <t>Sony ILCE-6400L/BE38 Cámara Montura E, APS-C con Lente Versátil 16-50mm…</t>
  </si>
  <si>
    <t>Xiaomi Celular Redmi Note 13 256GB 8GB Midnight Black…</t>
  </si>
  <si>
    <t>MSI</t>
  </si>
  <si>
    <t>Nuevo en walmart</t>
  </si>
  <si>
    <t xml:space="preserve">B0CSFT32XN
</t>
  </si>
  <si>
    <t>Catalogo</t>
  </si>
  <si>
    <t>ID</t>
  </si>
  <si>
    <t>Precio Minimo</t>
  </si>
  <si>
    <t>Si se concretara la venta</t>
  </si>
  <si>
    <t xml:space="preserve">Utilidad esperada de esta venta </t>
  </si>
  <si>
    <t>Descuento al comprador</t>
  </si>
  <si>
    <t>Si aplicamos Reembolso</t>
  </si>
  <si>
    <t>No aplicamos Reembolso</t>
  </si>
  <si>
    <t>Precio Venta</t>
  </si>
  <si>
    <t>Si lo vendemos al mismo precio</t>
  </si>
  <si>
    <t>Si aplicamos %20 de reembolso</t>
  </si>
  <si>
    <t>Devolucion</t>
  </si>
  <si>
    <t xml:space="preserve">Quedamos a dever por aceptarlo </t>
  </si>
  <si>
    <t>Fee de Ml</t>
  </si>
  <si>
    <t>Nueva comision de envio</t>
  </si>
  <si>
    <t>Costo del producto</t>
  </si>
  <si>
    <t>Nuevo Fee</t>
  </si>
  <si>
    <t xml:space="preserve">Si no lo regresa </t>
  </si>
  <si>
    <t>¿El producto incluye baterías o es una batería en sí mismo?</t>
  </si>
  <si>
    <t>Composición química / tipo de la celda de la batería</t>
  </si>
  <si>
    <t>Embalaje de la batería</t>
  </si>
  <si>
    <t>Vatios/hora</t>
  </si>
  <si>
    <t>Potencial de derrame</t>
  </si>
  <si>
    <t>Número de celdas</t>
  </si>
  <si>
    <t>Statut de validation des détails</t>
  </si>
  <si>
    <t>Sí</t>
  </si>
  <si>
    <t>_18650_</t>
  </si>
  <si>
    <t>En el aparato</t>
  </si>
  <si>
    <t>WH &lt;= 100</t>
  </si>
  <si>
    <t>Derramable</t>
  </si>
  <si>
    <t>No</t>
  </si>
  <si>
    <t>Completo</t>
  </si>
  <si>
    <t>Óxido_cobalto_Litio</t>
  </si>
  <si>
    <t>Con el equipo</t>
  </si>
  <si>
    <t>101 - 300 WH</t>
  </si>
  <si>
    <t>No derramable</t>
  </si>
  <si>
    <t>Alcalina</t>
  </si>
  <si>
    <t>Ion_litio</t>
  </si>
  <si>
    <t>Independiente</t>
  </si>
  <si>
    <t>WH &gt; 300</t>
  </si>
  <si>
    <t>Níquel_metal_hidruro</t>
  </si>
  <si>
    <t>Litio_ferrofosfato</t>
  </si>
  <si>
    <t>Níquel_cadmio</t>
  </si>
  <si>
    <t>Óxido_de_cobalto_de_manganeso_y_litio</t>
  </si>
  <si>
    <t>Zinc_carbono</t>
  </si>
  <si>
    <t>Polímero_de_litio</t>
  </si>
  <si>
    <t>Zinc_aire</t>
  </si>
  <si>
    <t>Titanato_de_litio</t>
  </si>
  <si>
    <t>Óxido_de_plata</t>
  </si>
  <si>
    <t>Litio_Metal</t>
  </si>
  <si>
    <t>Incompleto</t>
  </si>
  <si>
    <t>Litio_Cloruro_de_Tionilo</t>
  </si>
  <si>
    <t>_LR44_</t>
  </si>
  <si>
    <t>Carbono_zinc</t>
  </si>
  <si>
    <t>_CR2032_</t>
  </si>
  <si>
    <t>Plomo_ácido</t>
  </si>
  <si>
    <t>Plomo_calcio</t>
  </si>
  <si>
    <t>Zinc</t>
  </si>
  <si>
    <t>!</t>
  </si>
  <si>
    <t>@</t>
  </si>
  <si>
    <t>#</t>
  </si>
  <si>
    <t>$</t>
  </si>
  <si>
    <t>%</t>
  </si>
  <si>
    <t>^</t>
  </si>
  <si>
    <t>&amp;</t>
  </si>
  <si>
    <t>*</t>
  </si>
  <si>
    <t>Una_sola_celda</t>
  </si>
  <si>
    <t>Varias_celdas</t>
  </si>
  <si>
    <t>WH &lt;= 20</t>
  </si>
  <si>
    <t>WH &gt; 20</t>
  </si>
  <si>
    <t>Battery Packaging ON/OFF</t>
  </si>
  <si>
    <t>Spillability</t>
  </si>
  <si>
    <t>ASIN/Title</t>
  </si>
  <si>
    <t>Óxido_de_litio_y_cobalto</t>
  </si>
  <si>
    <t>Fosfato_de_hierro_y_litio</t>
  </si>
  <si>
    <t>Óxido_de_litio_níquel_manganeso_y_cobalto</t>
  </si>
  <si>
    <t>Metal_de_litio</t>
  </si>
  <si>
    <t>Cloruro_de_tionilo_de_litio</t>
  </si>
  <si>
    <t>Aire_de_zinc</t>
  </si>
  <si>
    <t>Nombre del Producto</t>
  </si>
  <si>
    <t>IQ TECH Centro de Desayunos 3 en 1 1050 W | Tostador Horno + Cafetera + Plancha Antiadherente | Compacto, Temporizador, Fácil Limpieza</t>
  </si>
  <si>
    <t>IQ Tech Cargador inalámbrico Plegable 3 en 1, Almohadilla magnética de Carga inalámbrica rápida, Compatible con iPhone 15/14/13/12 Series, Apple Watch, AirPods Pro (Adaptador no Incluido)</t>
  </si>
  <si>
    <t>IQ TECH Ventilador en la pared, ventilador de calentador pequeño con visualización digital, control remoto portátil para habitación, cocina, oficina, recámara Instalacion DOBLE FUNCION</t>
  </si>
  <si>
    <t>B0FGLL5RGB</t>
  </si>
  <si>
    <t>IQ Tech Bandeja de Brazo para sofá, con Clip en la Mesa Lateral, Mesa Plegable con Soporte para teléfono de 360°, bandejas de Comida para Comer/Bebidas/Aperitivos/Control Remoto</t>
  </si>
  <si>
    <t>B0FGKMQ5QW</t>
  </si>
  <si>
    <t>IQ Tech Espejo de Maquillaje con Luz LED, Espejo de Maquillaje Portátil con Brillo LED, Pantalla táctil, por USB, Espejo de Maquillaje Portátil Ultra Delgado Iluminado (Rosa)</t>
  </si>
  <si>
    <t>B0FGKTDTY9</t>
  </si>
  <si>
    <t>IQ TECH Paquete de 3 luces hexagonales, paneles de pared RGB con control remoto y táctil, paneles de luz LED para sala de estar, recámara, decoración de sala de juegos</t>
  </si>
  <si>
    <t>B0FGKJ45HS</t>
  </si>
  <si>
    <t>IQ Tech Espejo de Maquillaje para Tocador Hollywood con Luz - Espejo con Luz para Makeup Hollywood Vintage, con 9 Focos LED Regulables de Blanca, Cálida y Neutra, Conexión USB (Blanco, 35.5x30.5 CM)</t>
  </si>
  <si>
    <t>IQ TECH Licuadora Portatil con 2 vasos Tazas, Mini Licuadora de 700ml 500W Licuadora Personal con Cuchillas Pro 304 Acero Inoxidable Extractoras de Nutrientes, para Smoothies, Batidos y Congeladas</t>
  </si>
  <si>
    <t>IQ TECH 1400W Donut Maker, Mini Donut Maker para 12 Mini Donuts, Antiadherente, Regulación automática de la temperatura, Libre de BPA</t>
  </si>
  <si>
    <t>IQ TECH Exprimidor de verduras y frutas de 800 W, con rendimiento de zumo optimizado, gran orificio de llenado de 65 mm, 2 niveles de velocidad, fácil de limpiar, negro/acero inoxidable</t>
  </si>
  <si>
    <t>IQ TECH- Batidora multiusos de 6000 W, procesador de alimentos 2 en 1 taza, trituradora de hielo</t>
  </si>
  <si>
    <t>IQ TECH | Procesador de alimentos de 8 tazas de 400 W, picadora eléctrica y picadora de carne, cuchillas afiladas 4D, cortador de cocina de 2 L</t>
  </si>
  <si>
    <t>IQ TECH | Sartén Eléctrico Antiadherente Portátil 1500W con Termostato Ajustable | Sartenes para Freír, Hervir y Estofar | Incluye Tapa de Vidrio | Electrodomesticos para la Cocina de tu Hogar</t>
  </si>
  <si>
    <t>IQ TECH 1400W Donut Maker, Mini Donut Maker para 16 Mini Donuts, Antiadherente, Regulación automática de la temperatura, Libre de BPA</t>
  </si>
  <si>
    <t>B0GXX3SCJW</t>
  </si>
  <si>
    <t>IQ TECH | Lámparas de mesa inalámbrica de escritorio recargable de 5000mAh, luz nocturna LED regulable de 3 niveles para dormitorio, comedor, restaurante - Diseño de metal (Oro)</t>
  </si>
  <si>
    <t>B0GXLM4YQQ</t>
  </si>
  <si>
    <t>IQ TECH | Lámpara de mesa inalámbrica, control táctil de estilo retro Ajuste de 3 colores Decoración Moderno Recargable</t>
  </si>
  <si>
    <t>IQ Tech | Altavoz portátil inalámbrico, Adecuado para Coche, computadora, Fitness, al Aire última intervención, hogar, portátil móvil, Karaoke</t>
  </si>
  <si>
    <t>IQ Tech | Altavoz USB para Computadora, Barra de Sonido de Escritorio USB con Cable, Entrada Auxiliar de 3.5 MM, Minialtavoz Portátil, Caja de subwoofer (versión Bluetooth)</t>
  </si>
  <si>
    <t>IQ Tech Gorra México Ajustable Unisex | Edición Inspirada en la Pasión Futbolera 2026 | Bordado Premium Tricolor | Curva Clásica</t>
  </si>
  <si>
    <t>B0GZRG1651</t>
  </si>
  <si>
    <t>IQ Tech | Dispensador automático de jabón para Montaje en Pared, eléctrico Recargable sin Contacto, para Pared, baño, Cocina, Comercio</t>
  </si>
  <si>
    <t>IQ TECH | Secador de pelo 5 en 1 con cepillo de aire caliente, multipeinado para peinado rápido, cepillo para polvo iónico negativo de alta velocidad para rizar (Dorado)</t>
  </si>
  <si>
    <t>B0H2N2JPFS</t>
  </si>
  <si>
    <t>IQ STORE Removedor de Pelusa de Tela, Ajuste de 4 velocidades, maneja fácilmente Ropa de Diferentes Materiales, suaviza Las Bolas de Cabello y Hace que la Ropa Sea Suave como Nueva (Verde)</t>
  </si>
  <si>
    <t>B0H2NH9LN2</t>
  </si>
  <si>
    <t>IQ-TECH Cortaúñas eléctrico automático 3 en 1 con Pulido, Cortaúñas Electrico | 3 in 1 Automatic Electric Nail Clipper, Taladro de Uñas Eléctrico con Carga USB para Bebés, Niños, Personas Mayores y Adultos (Rosa)</t>
  </si>
  <si>
    <t>ESTATUS</t>
  </si>
  <si>
    <t>Codigo de Barras</t>
  </si>
  <si>
    <t>Sku</t>
  </si>
  <si>
    <t>ID Elektra.mx</t>
  </si>
  <si>
    <t>Nombre</t>
  </si>
  <si>
    <t>Categoria</t>
  </si>
  <si>
    <t>Marca</t>
  </si>
  <si>
    <t>Precio Regular</t>
  </si>
  <si>
    <t>Precio con Descuento</t>
  </si>
  <si>
    <t>Inventario</t>
  </si>
  <si>
    <t>Comision MSI</t>
  </si>
  <si>
    <t>Envío</t>
  </si>
  <si>
    <t>FEE %</t>
  </si>
  <si>
    <t>FEE $</t>
  </si>
  <si>
    <t>LARGO</t>
  </si>
  <si>
    <t>ANCHO</t>
  </si>
  <si>
    <t>ALTO</t>
  </si>
  <si>
    <t>Peso</t>
  </si>
  <si>
    <t>Peso Volumetrico</t>
  </si>
  <si>
    <t>Peso cotizado</t>
  </si>
  <si>
    <t>IQ1109</t>
  </si>
  <si>
    <t>622356564793</t>
  </si>
  <si>
    <t>80843691</t>
  </si>
  <si>
    <t>1301039665</t>
  </si>
  <si>
    <t>Mini Licuadora Ninja SS101</t>
  </si>
  <si>
    <t>Licuadoras</t>
  </si>
  <si>
    <t>NINJA</t>
  </si>
  <si>
    <t>10</t>
  </si>
  <si>
    <t>Elektra envío gratis</t>
  </si>
  <si>
    <t>IQ1095</t>
  </si>
  <si>
    <t>622356322386</t>
  </si>
  <si>
    <t>80843624</t>
  </si>
  <si>
    <t>1301039689</t>
  </si>
  <si>
    <t>Licuadora Ninja BN701</t>
  </si>
  <si>
    <t>2,599.00</t>
  </si>
  <si>
    <t>9</t>
  </si>
  <si>
    <t>IQ965</t>
  </si>
  <si>
    <t>622356536820</t>
  </si>
  <si>
    <t>80843439</t>
  </si>
  <si>
    <t>1301039706</t>
  </si>
  <si>
    <t>Licuadora Ninja BL610</t>
  </si>
  <si>
    <t>2,899.00</t>
  </si>
  <si>
    <t>IQ964</t>
  </si>
  <si>
    <t>622356556897</t>
  </si>
  <si>
    <t>80843610</t>
  </si>
  <si>
    <t>1301039723</t>
  </si>
  <si>
    <t>Licuadora Ninja BL710WM</t>
  </si>
  <si>
    <t>2,399.00</t>
  </si>
  <si>
    <t>IQ1286</t>
  </si>
  <si>
    <t>622356561891</t>
  </si>
  <si>
    <t>80843657</t>
  </si>
  <si>
    <t>1301039776</t>
  </si>
  <si>
    <t>Licuadora Ninja BN751</t>
  </si>
  <si>
    <t>3,799.00</t>
  </si>
  <si>
    <t>IQ972</t>
  </si>
  <si>
    <t>622356603911</t>
  </si>
  <si>
    <t>80843697</t>
  </si>
  <si>
    <t>1301039823</t>
  </si>
  <si>
    <t>Ninja Juicer JC151</t>
  </si>
  <si>
    <t>Extractores y Exprimidores</t>
  </si>
  <si>
    <t>4,999.00</t>
  </si>
  <si>
    <t>IQ1127</t>
  </si>
  <si>
    <t>7506478067482</t>
  </si>
  <si>
    <t>80843705</t>
  </si>
  <si>
    <t>1301039831</t>
  </si>
  <si>
    <t>Trapeador Shark S1000LAA</t>
  </si>
  <si>
    <t>Limpieza</t>
  </si>
  <si>
    <t>SHARK</t>
  </si>
  <si>
    <t>2,099.00</t>
  </si>
  <si>
    <t>IQ1111</t>
  </si>
  <si>
    <t>622356532099</t>
  </si>
  <si>
    <t>80832272</t>
  </si>
  <si>
    <t>1301029310</t>
  </si>
  <si>
    <t>Licuadora Ninja Bl660</t>
  </si>
  <si>
    <t>3,599.00</t>
  </si>
  <si>
    <t>IQ1126</t>
  </si>
  <si>
    <t xml:space="preserve">Ninja Slushi Fs301laa </t>
  </si>
  <si>
    <t>Otros</t>
  </si>
  <si>
    <t xml:space="preserve">Ninja </t>
  </si>
  <si>
    <t>IQ1386</t>
  </si>
  <si>
    <t>Ninja Creami Nc701</t>
  </si>
  <si>
    <t>IQ1385</t>
  </si>
  <si>
    <t>Cafetera Ninja Pb051cco</t>
  </si>
  <si>
    <t>Cafeteras Y Teteras</t>
  </si>
  <si>
    <t>Ninja</t>
  </si>
  <si>
    <t>IQ1395</t>
  </si>
  <si>
    <t>Licuadora Ninja Blast Max ‎Bc251</t>
  </si>
  <si>
    <t>IQ1122</t>
  </si>
  <si>
    <t>Aspiradora Inalámbrica Bu3120laa</t>
  </si>
  <si>
    <t>Aspiradoras</t>
  </si>
  <si>
    <t>Shark</t>
  </si>
  <si>
    <t>IQ1128</t>
  </si>
  <si>
    <t>Aspiradora Inalámbrica Shark Ix141laa</t>
  </si>
  <si>
    <t>IQ1118</t>
  </si>
  <si>
    <t>Aspiradora Inalámbrica Shark Iz492hlaa</t>
  </si>
  <si>
    <t>IQ977</t>
  </si>
  <si>
    <t>Multiestilizador Shark Blanco Hd435laa</t>
  </si>
  <si>
    <t>Secadoras</t>
  </si>
  <si>
    <t>IQ978</t>
  </si>
  <si>
    <t>Multiestilizador Shark Hd442bp Rosa</t>
  </si>
  <si>
    <t>Secador De Pelo Dyson Edición Especial Supersonic Nural</t>
  </si>
  <si>
    <t>Dyson</t>
  </si>
  <si>
    <t>IQ1129</t>
  </si>
  <si>
    <t>Aspiradora De Mano Shark Ch951</t>
  </si>
  <si>
    <t>IQ1383</t>
  </si>
  <si>
    <t>Licuadora Xinest</t>
  </si>
  <si>
    <t>GENERICO</t>
  </si>
  <si>
    <t>IQ1297</t>
  </si>
  <si>
    <t>622356564380</t>
  </si>
  <si>
    <t>80831781</t>
  </si>
  <si>
    <t>1301028501</t>
  </si>
  <si>
    <t>Freidora de Aire Ninja DZ201</t>
  </si>
  <si>
    <t>Freidoras de Aire</t>
  </si>
  <si>
    <t>5,199.00</t>
  </si>
  <si>
    <t>IQ1296</t>
  </si>
  <si>
    <t>Freidora de Aire AF141LAA</t>
  </si>
  <si>
    <t>IQ1398</t>
  </si>
  <si>
    <t>Freidora de Aire SL401</t>
  </si>
  <si>
    <t>IQ1124</t>
  </si>
  <si>
    <t>Freidora de Aire AF161</t>
  </si>
  <si>
    <t>IQ973</t>
  </si>
  <si>
    <t>IQ983</t>
  </si>
  <si>
    <t>BC151BK</t>
  </si>
  <si>
    <t>IQ1131</t>
  </si>
  <si>
    <t>Sistema De Cocina Ninja Ct672a</t>
  </si>
  <si>
    <t>IQ1112</t>
  </si>
  <si>
    <t>Licuadora Ninja Tb201laa</t>
  </si>
  <si>
    <t>IQ1108</t>
  </si>
  <si>
    <t>Licuadora Ninja Ct800</t>
  </si>
  <si>
    <t>IQ966</t>
  </si>
  <si>
    <t>Nutri Blender Bn401</t>
  </si>
  <si>
    <t>IQ974</t>
  </si>
  <si>
    <t>Cafetera Ninja Cm401</t>
  </si>
  <si>
    <t>IQ1117</t>
  </si>
  <si>
    <t>Licuadora Ninja Ct610</t>
  </si>
  <si>
    <t>Cafetera Espresso Xiaomi</t>
  </si>
  <si>
    <t>Xiaomi</t>
  </si>
  <si>
    <t>IQ1453</t>
  </si>
  <si>
    <t xml:space="preserve">Plancha Hamilton Beach </t>
  </si>
  <si>
    <t>Planchas</t>
  </si>
  <si>
    <t>Hamilton Beach</t>
  </si>
  <si>
    <t>IQ1448</t>
  </si>
  <si>
    <t>Ventilador Torre Shark Turbolade TF202S</t>
  </si>
  <si>
    <t>Ventiladores</t>
  </si>
  <si>
    <t>IQ1361</t>
  </si>
  <si>
    <t>Al Haramain Amber Oud Gold 120 mL</t>
  </si>
  <si>
    <t>Hombre</t>
  </si>
  <si>
    <t>Al Haramain</t>
  </si>
  <si>
    <t>IQ1075</t>
  </si>
  <si>
    <t>Jbl Tune Beam 2 Negro</t>
  </si>
  <si>
    <t>Audífonos</t>
  </si>
  <si>
    <t>Jbl</t>
  </si>
  <si>
    <t>JBL Quantum 100  M2 Blanco</t>
  </si>
  <si>
    <t>IQ1071</t>
  </si>
  <si>
    <t>JBL Endurance race 2 headphones NC Black</t>
  </si>
  <si>
    <t>JBL</t>
  </si>
  <si>
    <t>IQ700</t>
  </si>
  <si>
    <t xml:space="preserve">Harman Kardon Go Play 3 Black </t>
  </si>
  <si>
    <t>Bocinas</t>
  </si>
  <si>
    <t>Harman Kardon</t>
  </si>
  <si>
    <t>IQ739</t>
  </si>
  <si>
    <t>Jbl Wave Beam Negro</t>
  </si>
  <si>
    <t>IQ729</t>
  </si>
  <si>
    <t>JBL Wave 200 Blanco</t>
  </si>
  <si>
    <t>IQ730</t>
  </si>
  <si>
    <t>JBL Wave 200 Negro</t>
  </si>
  <si>
    <t>IQ1312</t>
  </si>
  <si>
    <t>Amazon Echo Dot 5ta Generación Negro</t>
  </si>
  <si>
    <t>Asistentes Virtuales</t>
  </si>
  <si>
    <t>IQ1063</t>
  </si>
  <si>
    <t>Xiaomi 33w Powwerbank 10000 Cable Beige</t>
  </si>
  <si>
    <t>Pilas Y Cargadores</t>
  </si>
  <si>
    <t>IQ36</t>
  </si>
  <si>
    <t>Xiaomi Mi Portable Speaker 16w Azul</t>
  </si>
  <si>
    <t>IQ1084</t>
  </si>
  <si>
    <t>Xiaomi Sound Outdoor 30w Negro</t>
  </si>
  <si>
    <t>IQ1458</t>
  </si>
  <si>
    <t>Xiaomi Sound Outdoor 30w Azul</t>
  </si>
  <si>
    <t>IQ1035</t>
  </si>
  <si>
    <t>Xiaomi Outdoor Cámara Cw300</t>
  </si>
  <si>
    <t>De Seguridad</t>
  </si>
  <si>
    <t>IQ1167</t>
  </si>
  <si>
    <t>Xiaomi Photo Printer 1s</t>
  </si>
  <si>
    <t>Impresoras</t>
  </si>
  <si>
    <t>IQ17</t>
  </si>
  <si>
    <t>Razer Deathadder Essential Blanco</t>
  </si>
  <si>
    <t>Teclados Y Mouse</t>
  </si>
  <si>
    <t>IQ60</t>
  </si>
  <si>
    <t>Razer Deathadder Essential Negro</t>
  </si>
  <si>
    <t xml:space="preserve">Smart Band 9 Active </t>
  </si>
  <si>
    <t>IQ1463</t>
  </si>
  <si>
    <t>Partybox 720</t>
  </si>
  <si>
    <t>IQ1381</t>
  </si>
  <si>
    <t>Partybox 520</t>
  </si>
  <si>
    <t>IQ1223</t>
  </si>
  <si>
    <t>Xiaomi Vacuum S40c Us</t>
  </si>
  <si>
    <t>IQ635</t>
  </si>
  <si>
    <t>Xiaomi Robot Vacuum E10 Us</t>
  </si>
  <si>
    <t>IQ1225</t>
  </si>
  <si>
    <t>Skullcandy Riff Negro</t>
  </si>
  <si>
    <t>Skullcandy</t>
  </si>
  <si>
    <t>IQ890</t>
  </si>
  <si>
    <t>Xiaomi Smart Band 9 Active Beige</t>
  </si>
  <si>
    <t>Fit Bands</t>
  </si>
  <si>
    <t>IQ892</t>
  </si>
  <si>
    <t>Xiaomi Smart Band 9 Active Rosa</t>
  </si>
  <si>
    <t>IQ1032</t>
  </si>
  <si>
    <t>Xiaomi Mi Band 10 Gris</t>
  </si>
  <si>
    <t>IQ1047</t>
  </si>
  <si>
    <t>Xiaomi Watch 5 Negro</t>
  </si>
  <si>
    <t>Smartwatch</t>
  </si>
  <si>
    <t>IQ1472</t>
  </si>
  <si>
    <t>Kodak Charmera</t>
  </si>
  <si>
    <t>Digitales</t>
  </si>
  <si>
    <t>Kodak</t>
  </si>
  <si>
    <t>IQ1037</t>
  </si>
  <si>
    <t>Cafetera Phillips Baristina</t>
  </si>
  <si>
    <t>Phillips</t>
  </si>
  <si>
    <t>IQ872</t>
  </si>
  <si>
    <t>Xiaomi Redmi Watch 5 Lite Black</t>
  </si>
  <si>
    <t>IQ871</t>
  </si>
  <si>
    <t>Xiaomi Redmi Watch 5 Lite Gold</t>
  </si>
  <si>
    <t>IQ856</t>
  </si>
  <si>
    <t>Xiaomi Vacuum E5 Blanco</t>
  </si>
  <si>
    <t>IQ1164</t>
  </si>
  <si>
    <t>Xiaomi Vacuum G20 Lite</t>
  </si>
  <si>
    <t>IQ1266</t>
  </si>
  <si>
    <t>Auriculares Inalámbricos A9 Con Pantalla</t>
  </si>
  <si>
    <t>Generico</t>
  </si>
  <si>
    <t>IQ807</t>
  </si>
  <si>
    <t>Redmi Buds 6 Active Blanco</t>
  </si>
  <si>
    <t>IQ809</t>
  </si>
  <si>
    <t>Redmi Buds 6 Active Negro</t>
  </si>
  <si>
    <t>IQ1325</t>
  </si>
  <si>
    <t>Redmi Buds 8 Lite Negro</t>
  </si>
  <si>
    <t>IQ1326</t>
  </si>
  <si>
    <t>IQ831</t>
  </si>
  <si>
    <t>Redmi Buds 6 Play Negro</t>
  </si>
  <si>
    <t>Onyx 9</t>
  </si>
  <si>
    <t>IQ1480</t>
  </si>
  <si>
    <t>Xiaomi Sound Pocket Essential Negro</t>
  </si>
  <si>
    <t>IQ1481</t>
  </si>
  <si>
    <t>Xiaomi Sound Pocket Essential Verde</t>
  </si>
  <si>
    <t>IQ1076</t>
  </si>
  <si>
    <t>Jbl Tune Beam 2 Blanco</t>
  </si>
  <si>
    <t>IQ1487</t>
  </si>
  <si>
    <t>Redmi Buds 8 Active Azul</t>
  </si>
  <si>
    <t>IQ1491</t>
  </si>
  <si>
    <t>AMAZON ECHO SHOW 11 GRAPHITE</t>
  </si>
  <si>
    <t>AMAZON</t>
  </si>
  <si>
    <t>Máquina para 12 Donas Sokany SK-821</t>
  </si>
  <si>
    <t>Máquina para 16 Donas sk-08023</t>
  </si>
  <si>
    <t>Procesador de Alimentos Sokany SK-7020</t>
  </si>
  <si>
    <t>SOKANY Sandwichera 3 en 1 SK-08006</t>
  </si>
  <si>
    <t>IQ1501</t>
  </si>
  <si>
    <t>CANON REBEL T7</t>
  </si>
  <si>
    <t>CANON</t>
  </si>
  <si>
    <t>IQ1596</t>
  </si>
  <si>
    <t>NINJA Freidora de aire double stack   SL201</t>
  </si>
  <si>
    <t>IQ970</t>
  </si>
  <si>
    <t>0622356635165</t>
  </si>
  <si>
    <t>80843238</t>
  </si>
  <si>
    <t>1301039061</t>
  </si>
  <si>
    <t>Cafetera Ninja ES601</t>
  </si>
  <si>
    <t>Cafeteras y Teteras</t>
  </si>
  <si>
    <t>13,999.00</t>
  </si>
  <si>
    <t>IQ1116</t>
  </si>
  <si>
    <t>Sistema De Cocina Ninja Tb400laa</t>
  </si>
  <si>
    <t>IQ873</t>
  </si>
  <si>
    <t>Xiaomi Sound Pocket Negro</t>
  </si>
  <si>
    <t>IQ1211</t>
  </si>
  <si>
    <t>Xiaomi Sound Pocket Rosa</t>
  </si>
  <si>
    <t>IQ1168</t>
  </si>
  <si>
    <t>Xiaomi Sound Pocket Gris</t>
  </si>
  <si>
    <t>IQ1418</t>
  </si>
  <si>
    <t>Amazon Fire Tv Stick 4k Select</t>
  </si>
  <si>
    <t>TV Digital</t>
  </si>
  <si>
    <t>IQ1457</t>
  </si>
  <si>
    <t>JBL Quantum M2 Negro</t>
  </si>
  <si>
    <t>IQ1492</t>
  </si>
  <si>
    <t>JBL Quantum 100 Morado</t>
  </si>
  <si>
    <t>IQ1391</t>
  </si>
  <si>
    <t>Amazon Echo Dot 5 Azul</t>
  </si>
  <si>
    <t>IQ1390</t>
  </si>
  <si>
    <t>Amazon Echo Dot 5 Blanco</t>
  </si>
  <si>
    <t>IQ1235</t>
  </si>
  <si>
    <t>Amazon Echo Pop Negro</t>
  </si>
  <si>
    <t>IQ1275</t>
  </si>
  <si>
    <t>Xiaomi Sound Outdoor Gold S29h-gl</t>
  </si>
  <si>
    <t>IQ1276</t>
  </si>
  <si>
    <t>Xiaomi Sound Outdoor Green S29h-gl</t>
  </si>
  <si>
    <t>IQ825</t>
  </si>
  <si>
    <t>Xiaomi Watch 5 Active Negro</t>
  </si>
  <si>
    <t>Smartwatches</t>
  </si>
  <si>
    <t>IQ826</t>
  </si>
  <si>
    <t>Watch 5 Active Silver</t>
  </si>
  <si>
    <t>Xiaomi Smart Band 9 Active Black</t>
  </si>
  <si>
    <t>IQ1295</t>
  </si>
  <si>
    <t>Echo Auto</t>
  </si>
  <si>
    <t>IQ1005</t>
  </si>
  <si>
    <t>Redmi Buds 6 Play Azul</t>
  </si>
  <si>
    <t>IQ832</t>
  </si>
  <si>
    <t xml:space="preserve">Redmi buds play 6 blanco </t>
  </si>
  <si>
    <t>IQ1036</t>
  </si>
  <si>
    <t>Xiaomi Soundbar 2.0</t>
  </si>
  <si>
    <t>Barras De Sonido</t>
  </si>
  <si>
    <t>IQ1471</t>
  </si>
  <si>
    <t>Perfume Lattafa Teriaq Intense</t>
  </si>
  <si>
    <t>Unisex</t>
  </si>
  <si>
    <t>Lattafa</t>
  </si>
  <si>
    <t>IQ1469</t>
  </si>
  <si>
    <t>Perfume Afnan 9 Am Dive</t>
  </si>
  <si>
    <t>Afnan</t>
  </si>
  <si>
    <t>IQ1473</t>
  </si>
  <si>
    <t>Kit Odyssey Mandarin Sky</t>
  </si>
  <si>
    <t>Sets</t>
  </si>
  <si>
    <t>Armaf</t>
  </si>
  <si>
    <t>IQ1470</t>
  </si>
  <si>
    <t>Perfume Vulcan Feu</t>
  </si>
  <si>
    <t>French Avenue</t>
  </si>
  <si>
    <t>IQ1484</t>
  </si>
  <si>
    <t>JBL Vibe Beam 2 Blanco</t>
  </si>
  <si>
    <t>IQ1486</t>
  </si>
  <si>
    <t>Redmi Buds 8 Active Black</t>
  </si>
  <si>
    <t>XIAOMI</t>
  </si>
  <si>
    <t>IQ1251</t>
  </si>
  <si>
    <t>Xiaomi TV Box S 3era Generación</t>
  </si>
  <si>
    <t>IQ1485</t>
  </si>
  <si>
    <t>Redmi Buds 8 Pro Negro</t>
  </si>
  <si>
    <t>IQ1489</t>
  </si>
  <si>
    <t>Shokz Open Move Azul</t>
  </si>
  <si>
    <t>IQ1490</t>
  </si>
  <si>
    <t>Amazon Echo Show 15</t>
  </si>
  <si>
    <t>IQ1187</t>
  </si>
  <si>
    <t>Estación de Desayuno Sokany SK-145</t>
  </si>
  <si>
    <t>SOKANY</t>
  </si>
  <si>
    <t>IQ1503</t>
  </si>
  <si>
    <t>Licuadora Sokany Sk-999</t>
  </si>
  <si>
    <t>IQ1504</t>
  </si>
  <si>
    <t>Extractor de Jugos Sokany SK-4000</t>
  </si>
  <si>
    <t>IQ1505</t>
  </si>
  <si>
    <t>Olla Electrica Sokany Sk-2005</t>
  </si>
  <si>
    <t>Ollas y Sartenes Eléctricos</t>
  </si>
  <si>
    <t>IQ1494</t>
  </si>
  <si>
    <t>Soundcore Boom Go 3i  Negro</t>
  </si>
  <si>
    <t>IQ1214</t>
  </si>
  <si>
    <t xml:space="preserve">Xiaomi TV stick 2da gen </t>
  </si>
  <si>
    <t>XiAOMI</t>
  </si>
  <si>
    <t>IQ1502</t>
  </si>
  <si>
    <t>Mi TV Stick 8 gb</t>
  </si>
  <si>
    <t>CANON EOS 2000D KIT 18-55MM IS II</t>
  </si>
  <si>
    <t>CAMARA</t>
  </si>
  <si>
    <t>IQ771</t>
  </si>
  <si>
    <t>JBL GO 4 BLUE</t>
  </si>
  <si>
    <t>BOCINAS</t>
  </si>
  <si>
    <t>IQ752</t>
  </si>
  <si>
    <t>JBL GO 4 BLack</t>
  </si>
  <si>
    <t>IQ975</t>
  </si>
  <si>
    <t>Ninja QB3000SS</t>
  </si>
  <si>
    <t>IQ1495</t>
  </si>
  <si>
    <t>Soundcore Boom Go 3i Blue</t>
  </si>
  <si>
    <t>IQ1540</t>
  </si>
  <si>
    <t>Ninja Grand Blender Kitchen System KS500 Black</t>
  </si>
  <si>
    <t>Cafetera Oster</t>
  </si>
  <si>
    <t>OSTER</t>
  </si>
  <si>
    <t>IQ1500</t>
  </si>
  <si>
    <t xml:space="preserve">Reloj Running Garmin Forerunner blanco </t>
  </si>
  <si>
    <t>GARMIN</t>
  </si>
  <si>
    <t>IQ1499</t>
  </si>
  <si>
    <t>Reloj Running Garmin Forerunner BLACK</t>
  </si>
  <si>
    <t>IQ1514</t>
  </si>
  <si>
    <t>JBL Grip Negro</t>
  </si>
  <si>
    <t>IQ1516</t>
  </si>
  <si>
    <t>JBL Grip Rojo</t>
  </si>
  <si>
    <t>IQ1300</t>
  </si>
  <si>
    <t>LATTAFA "KHAMRA" 1OOml</t>
  </si>
  <si>
    <t>PERFUMES</t>
  </si>
  <si>
    <t>LATTAFA</t>
  </si>
  <si>
    <t>IQ1537</t>
  </si>
  <si>
    <t>Lámpara de mesa LED portátil con sensor táctil</t>
  </si>
  <si>
    <t>IQ1538</t>
  </si>
  <si>
    <t>Gold Table Lamp</t>
  </si>
  <si>
    <t>IQ1488</t>
  </si>
  <si>
    <t>Redmi Buds 8 Active Blanco</t>
  </si>
  <si>
    <t>IQ1595</t>
  </si>
  <si>
    <t>NINJA Twisti 5 programas  SS151</t>
  </si>
  <si>
    <t>KODAK CHARMERA BLIND</t>
  </si>
  <si>
    <t>KODAK</t>
  </si>
  <si>
    <t>IQ1606</t>
  </si>
  <si>
    <t>JBL Extreme 4 Portable Bluetooth Speaker Blue</t>
  </si>
  <si>
    <t>Audio</t>
  </si>
  <si>
    <t>IQ1607</t>
  </si>
  <si>
    <t>JBL Extreme 4 Portable Bluetooth Speaker Black</t>
  </si>
  <si>
    <t>IQ1603</t>
  </si>
  <si>
    <t>Marshall Acton 3 White</t>
  </si>
  <si>
    <t>Marshall</t>
  </si>
  <si>
    <t>IQ1602</t>
  </si>
  <si>
    <t>Marshall Acton 3 Black</t>
  </si>
  <si>
    <t>Por crear</t>
  </si>
  <si>
    <t>IQ1593</t>
  </si>
  <si>
    <t>Ninja Crispi FN101GY</t>
  </si>
  <si>
    <t>Freidoras de aire</t>
  </si>
  <si>
    <t>IQ1299</t>
  </si>
  <si>
    <t>MASCARA NINJA</t>
  </si>
  <si>
    <t xml:space="preserve">NINJA </t>
  </si>
  <si>
    <t>IQ1640</t>
  </si>
  <si>
    <t>jbl boombox squad</t>
  </si>
  <si>
    <t>IQ432</t>
  </si>
  <si>
    <t>jbl boombox black</t>
  </si>
  <si>
    <t>Mini lavadora</t>
  </si>
  <si>
    <t>Masajeador</t>
  </si>
  <si>
    <t>IQ1633</t>
  </si>
  <si>
    <t>Bocina Mini-XTREME3 chino</t>
  </si>
  <si>
    <t xml:space="preserve">Secador de calzado </t>
  </si>
  <si>
    <t>tv box</t>
  </si>
  <si>
    <t>Cámara de vigilancia 360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</si>
</sst>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_-&quot;$&quot;* #,##0.00_-;_-&quot;$&quot;* \-#,##0.00_-;_-&quot;$&quot;* &quot;-&quot;??_-;_-@"/>
  </numFmts>
  <fonts count="50">
    <font>
      <sz val="10.0"/>
      <color rgb="FF000000"/>
      <name val="Calibri"/>
      <scheme val="minor"/>
    </font>
    <font>
      <color theme="1"/>
      <name val="Calibri"/>
      <scheme val="minor"/>
    </font>
    <font>
      <sz val="9.0"/>
      <color rgb="FFFF0000"/>
      <name val="Poppins"/>
    </font>
    <font>
      <b/>
      <i/>
      <sz val="9.0"/>
      <color rgb="FFFF0000"/>
      <name val="Poppins"/>
    </font>
    <font>
      <sz val="9.0"/>
      <color rgb="FFFFFFFF"/>
      <name val="Poppins"/>
    </font>
    <font>
      <sz val="9.0"/>
      <color rgb="FF000000"/>
      <name val="Poppins"/>
    </font>
    <font>
      <u/>
      <sz val="9.0"/>
      <color rgb="FF000000"/>
      <name val="Poppins"/>
    </font>
    <font>
      <u/>
      <sz val="9.0"/>
      <color rgb="FF000000"/>
      <name val="Poppins"/>
    </font>
    <font>
      <u/>
      <sz val="9.0"/>
      <color rgb="FF000000"/>
      <name val="Poppins"/>
    </font>
    <font>
      <u/>
      <sz val="9.0"/>
      <color rgb="FF000000"/>
      <name val="Poppins"/>
    </font>
    <font>
      <b/>
      <sz val="9.0"/>
      <color rgb="FF000000"/>
      <name val="Poppins"/>
    </font>
    <font>
      <i/>
      <sz val="9.0"/>
      <color rgb="FF000000"/>
      <name val="Poppins"/>
    </font>
    <font>
      <u/>
      <sz val="9.0"/>
      <color rgb="FF000000"/>
      <name val="Poppins"/>
    </font>
    <font>
      <sz val="9.0"/>
      <color theme="1"/>
      <name val="Poppins"/>
    </font>
    <font>
      <u/>
      <sz val="9.0"/>
      <color rgb="FF0000FF"/>
      <name val="Poppins"/>
    </font>
    <font>
      <sz val="11.0"/>
      <color theme="1"/>
      <name val="Calibri"/>
    </font>
    <font>
      <sz val="9.0"/>
      <color rgb="FF000000"/>
      <name val="&quot;Google Sans Mono&quot;"/>
    </font>
    <font>
      <color theme="1"/>
      <name val="Arial"/>
    </font>
    <font>
      <b/>
      <sz val="9.0"/>
      <color rgb="FFFFFFFF"/>
      <name val="Poppins"/>
    </font>
    <font>
      <u/>
      <sz val="9.0"/>
      <color rgb="FF000000"/>
      <name val="Poppins"/>
    </font>
    <font>
      <u/>
      <sz val="9.0"/>
      <color rgb="FF000000"/>
      <name val="Poppins"/>
    </font>
    <font>
      <u/>
      <sz val="9.0"/>
      <color rgb="FF000000"/>
      <name val="Poppins"/>
    </font>
    <font>
      <sz val="11.0"/>
      <color rgb="FF696969"/>
      <name val="Arial"/>
    </font>
    <font>
      <sz val="11.0"/>
      <color rgb="FF696969"/>
      <name val="&quot;Amazon Ember&quot;"/>
    </font>
    <font>
      <sz val="9.0"/>
      <color rgb="FF666666"/>
      <name val="Arial"/>
    </font>
    <font>
      <b/>
      <color rgb="FFFFFFFF"/>
      <name val="Georgia"/>
    </font>
    <font>
      <color rgb="FFFFFFFF"/>
      <name val="Georgia"/>
    </font>
    <font>
      <color theme="1"/>
      <name val="Georgia"/>
    </font>
    <font>
      <u/>
      <color rgb="FF1155CC"/>
      <name val="Georgia"/>
    </font>
    <font>
      <u/>
      <color rgb="FF009384"/>
      <name val="Georgia"/>
    </font>
    <font>
      <color rgb="FF000000"/>
      <name val="Arial"/>
    </font>
    <font>
      <sz val="11.0"/>
      <color rgb="FF000000"/>
      <name val="&quot;Aptos Narrow&quot;"/>
    </font>
    <font>
      <b/>
      <color rgb="FF000000"/>
      <name val="Arial"/>
    </font>
    <font>
      <color rgb="FF000000"/>
      <name val="Calibri"/>
    </font>
    <font>
      <color rgb="FFEEF1F1"/>
      <name val="Poppins"/>
    </font>
    <font>
      <color rgb="FFFFFFFF"/>
      <name val="Poppins"/>
    </font>
    <font>
      <sz val="9.0"/>
      <color theme="1"/>
      <name val="&quot;Proxima Nova&quot;"/>
    </font>
    <font>
      <b/>
      <sz val="9.0"/>
      <color theme="1"/>
      <name val="Arial"/>
    </font>
    <font>
      <sz val="11.0"/>
      <color theme="0"/>
      <name val="Calibri"/>
    </font>
    <font>
      <b/>
      <sz val="11.0"/>
      <color theme="1"/>
      <name val="Calibri"/>
    </font>
    <font>
      <b/>
      <color theme="1"/>
      <name val="Calibri"/>
      <scheme val="minor"/>
    </font>
    <font>
      <sz val="12.0"/>
      <color theme="1"/>
      <name val="Poppins"/>
    </font>
    <font>
      <b/>
      <sz val="12.0"/>
      <color rgb="FFFFFFFF"/>
      <name val="Poppins"/>
    </font>
    <font>
      <sz val="12.0"/>
      <color rgb="FF000000"/>
      <name val="Poppins"/>
    </font>
    <font>
      <sz val="12.0"/>
      <color rgb="FF333333"/>
      <name val="Poppins"/>
    </font>
    <font>
      <b/>
      <sz val="12.0"/>
      <color theme="1"/>
      <name val="Poppins"/>
    </font>
    <font>
      <sz val="12.0"/>
      <color rgb="FF0F1111"/>
      <name val="Poppins"/>
    </font>
    <font>
      <sz val="11.0"/>
      <color theme="1"/>
      <name val="Poppins"/>
    </font>
    <font>
      <sz val="11.0"/>
      <color rgb="FF333333"/>
      <name val="Poppins"/>
    </font>
    <font>
      <sz val="11.0"/>
      <color theme="1"/>
      <name val="Calibri"/>
      <scheme val="minor"/>
    </font>
  </fonts>
  <fills count="29">
    <fill>
      <patternFill patternType="none"/>
    </fill>
    <fill>
      <patternFill patternType="lightGray"/>
    </fill>
    <fill>
      <patternFill patternType="solid">
        <fgColor rgb="FF000000"/>
        <bgColor rgb="FF000000"/>
      </patternFill>
    </fill>
    <fill>
      <patternFill patternType="solid">
        <fgColor rgb="FFFFCB00"/>
        <bgColor rgb="FFFFCB00"/>
      </patternFill>
    </fill>
    <fill>
      <patternFill patternType="solid">
        <fgColor rgb="FF434343"/>
        <bgColor rgb="FF434343"/>
      </patternFill>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06A6E1"/>
        <bgColor rgb="FF06A6E1"/>
      </patternFill>
    </fill>
    <fill>
      <patternFill patternType="solid">
        <fgColor rgb="FFCCCCCC"/>
        <bgColor rgb="FFCCCCCC"/>
      </patternFill>
    </fill>
    <fill>
      <patternFill patternType="solid">
        <fgColor rgb="FFE06666"/>
        <bgColor rgb="FFE06666"/>
      </patternFill>
    </fill>
    <fill>
      <patternFill patternType="solid">
        <fgColor rgb="FF980000"/>
        <bgColor rgb="FF980000"/>
      </patternFill>
    </fill>
    <fill>
      <patternFill patternType="solid">
        <fgColor rgb="FFB7B7B7"/>
        <bgColor rgb="FFB7B7B7"/>
      </patternFill>
    </fill>
    <fill>
      <patternFill patternType="solid">
        <fgColor rgb="FF002F4A"/>
        <bgColor rgb="FF002F4A"/>
      </patternFill>
    </fill>
    <fill>
      <patternFill patternType="solid">
        <fgColor rgb="FFFFFF00"/>
        <bgColor rgb="FFFFFF00"/>
      </patternFill>
    </fill>
    <fill>
      <patternFill patternType="solid">
        <fgColor rgb="FFB6D7A8"/>
        <bgColor rgb="FFB6D7A8"/>
      </patternFill>
    </fill>
    <fill>
      <patternFill patternType="solid">
        <fgColor rgb="FFEA9999"/>
        <bgColor rgb="FFEA9999"/>
      </patternFill>
    </fill>
    <fill>
      <patternFill patternType="solid">
        <fgColor rgb="FFFFF4D1"/>
        <bgColor rgb="FFFFF4D1"/>
      </patternFill>
    </fill>
    <fill>
      <patternFill patternType="solid">
        <fgColor theme="1"/>
        <bgColor theme="1"/>
      </patternFill>
    </fill>
    <fill>
      <patternFill patternType="solid">
        <fgColor theme="9"/>
        <bgColor theme="9"/>
      </patternFill>
    </fill>
    <fill>
      <patternFill patternType="solid">
        <fgColor rgb="FFFF7C80"/>
        <bgColor rgb="FFFF7C80"/>
      </patternFill>
    </fill>
    <fill>
      <patternFill patternType="solid">
        <fgColor rgb="FFF7CAAC"/>
        <bgColor rgb="FFF7CAAC"/>
      </patternFill>
    </fill>
    <fill>
      <patternFill patternType="solid">
        <fgColor rgb="FFFF0000"/>
        <bgColor rgb="FFFF0000"/>
      </patternFill>
    </fill>
    <fill>
      <patternFill patternType="solid">
        <fgColor rgb="FF00FFFF"/>
        <bgColor rgb="FF00FFFF"/>
      </patternFill>
    </fill>
    <fill>
      <patternFill patternType="solid">
        <fgColor rgb="FF9CC2E5"/>
        <bgColor rgb="FF9CC2E5"/>
      </patternFill>
    </fill>
    <fill>
      <patternFill patternType="solid">
        <fgColor rgb="FF00B050"/>
        <bgColor rgb="FF00B050"/>
      </patternFill>
    </fill>
    <fill>
      <patternFill patternType="solid">
        <fgColor rgb="FFFFC000"/>
        <bgColor rgb="FFFFC000"/>
      </patternFill>
    </fill>
    <fill>
      <patternFill patternType="solid">
        <fgColor rgb="FF00FF00"/>
        <bgColor rgb="FF00FF00"/>
      </patternFill>
    </fill>
    <fill>
      <patternFill patternType="solid">
        <fgColor theme="0"/>
        <bgColor theme="0"/>
      </patternFill>
    </fill>
  </fills>
  <borders count="6">
    <border/>
    <border>
      <bottom style="thin">
        <color rgb="FF000000"/>
      </bottom>
    </border>
    <border>
      <left style="thin">
        <color rgb="FF737373"/>
      </left>
      <right style="thin">
        <color rgb="FF737373"/>
      </right>
      <bottom style="thin">
        <color rgb="FF737373"/>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border>
  </borders>
  <cellStyleXfs count="1">
    <xf borderId="0" fillId="0" fontId="0" numFmtId="0" applyAlignment="1" applyFont="1"/>
  </cellStyleXfs>
  <cellXfs count="294">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Font="1" applyNumberFormat="1"/>
    <xf borderId="0" fillId="2" fontId="2" numFmtId="49" xfId="0" applyAlignment="1" applyFill="1" applyFont="1" applyNumberFormat="1">
      <alignment horizontal="center" vertical="bottom"/>
    </xf>
    <xf borderId="0" fillId="3" fontId="3" numFmtId="49" xfId="0" applyAlignment="1" applyFill="1" applyFont="1" applyNumberFormat="1">
      <alignment horizontal="center" readingOrder="0" vertical="bottom"/>
    </xf>
    <xf borderId="0" fillId="4" fontId="4" numFmtId="49" xfId="0" applyAlignment="1" applyFill="1" applyFont="1" applyNumberFormat="1">
      <alignment horizontal="left" readingOrder="0"/>
    </xf>
    <xf borderId="0" fillId="4" fontId="4" numFmtId="0" xfId="0" applyAlignment="1" applyFont="1">
      <alignment horizontal="left"/>
    </xf>
    <xf borderId="0" fillId="4" fontId="4" numFmtId="164" xfId="0" applyAlignment="1" applyFont="1" applyNumberFormat="1">
      <alignment horizontal="left"/>
    </xf>
    <xf borderId="0" fillId="4" fontId="4" numFmtId="164" xfId="0" applyAlignment="1" applyFont="1" applyNumberFormat="1">
      <alignment horizontal="center" readingOrder="0"/>
    </xf>
    <xf borderId="0" fillId="4" fontId="4" numFmtId="165" xfId="0" applyAlignment="1" applyFont="1" applyNumberFormat="1">
      <alignment horizontal="left" readingOrder="0" vertical="bottom"/>
    </xf>
    <xf borderId="0" fillId="4" fontId="4" numFmtId="10" xfId="0" applyAlignment="1" applyFont="1" applyNumberFormat="1">
      <alignment horizontal="left" readingOrder="0"/>
    </xf>
    <xf borderId="0" fillId="4" fontId="4" numFmtId="164" xfId="0" applyAlignment="1" applyFont="1" applyNumberFormat="1">
      <alignment horizontal="left" readingOrder="0"/>
    </xf>
    <xf borderId="0" fillId="4" fontId="4" numFmtId="0" xfId="0" applyAlignment="1" applyFont="1">
      <alignment horizontal="left" readingOrder="0"/>
    </xf>
    <xf borderId="0" fillId="5" fontId="5" numFmtId="49" xfId="0" applyAlignment="1" applyFill="1" applyFont="1" applyNumberFormat="1">
      <alignment horizontal="left" readingOrder="0" vertical="bottom"/>
    </xf>
    <xf borderId="0" fillId="5" fontId="6" numFmtId="49" xfId="0" applyAlignment="1" applyFont="1" applyNumberFormat="1">
      <alignment horizontal="left" readingOrder="0" vertical="bottom"/>
    </xf>
    <xf borderId="0" fillId="5" fontId="5" numFmtId="0" xfId="0" applyAlignment="1" applyFont="1">
      <alignment horizontal="left" vertical="bottom"/>
    </xf>
    <xf borderId="0" fillId="5" fontId="5" numFmtId="164" xfId="0" applyAlignment="1" applyFont="1" applyNumberFormat="1">
      <alignment horizontal="left" vertical="bottom"/>
    </xf>
    <xf borderId="0" fillId="5" fontId="5" numFmtId="165" xfId="0" applyAlignment="1" applyFont="1" applyNumberFormat="1">
      <alignment horizontal="left" vertical="bottom"/>
    </xf>
    <xf borderId="0" fillId="5" fontId="5" numFmtId="10" xfId="0" applyAlignment="1" applyFont="1" applyNumberFormat="1">
      <alignment horizontal="left" readingOrder="0" vertical="bottom"/>
    </xf>
    <xf borderId="0" fillId="5" fontId="5" numFmtId="10" xfId="0" applyAlignment="1" applyFont="1" applyNumberFormat="1">
      <alignment horizontal="left" vertical="bottom"/>
    </xf>
    <xf borderId="0" fillId="5" fontId="5" numFmtId="0" xfId="0" applyAlignment="1" applyFont="1">
      <alignment horizontal="left" readingOrder="0" vertical="bottom"/>
    </xf>
    <xf borderId="0" fillId="5" fontId="7" numFmtId="49" xfId="0" applyAlignment="1" applyFont="1" applyNumberFormat="1">
      <alignment horizontal="left" vertical="bottom"/>
    </xf>
    <xf borderId="0" fillId="5" fontId="5" numFmtId="49" xfId="0" applyAlignment="1" applyFont="1" applyNumberFormat="1">
      <alignment horizontal="left"/>
    </xf>
    <xf borderId="0" fillId="5" fontId="5" numFmtId="49" xfId="0" applyAlignment="1" applyFont="1" applyNumberFormat="1">
      <alignment horizontal="left" readingOrder="0"/>
    </xf>
    <xf borderId="0" fillId="5" fontId="5" numFmtId="0" xfId="0" applyAlignment="1" applyFont="1">
      <alignment horizontal="left"/>
    </xf>
    <xf borderId="0" fillId="5" fontId="5" numFmtId="0" xfId="0" applyAlignment="1" applyFont="1">
      <alignment horizontal="left" readingOrder="0"/>
    </xf>
    <xf borderId="0" fillId="5" fontId="5" numFmtId="165" xfId="0" applyAlignment="1" applyFont="1" applyNumberFormat="1">
      <alignment horizontal="left" readingOrder="0"/>
    </xf>
    <xf borderId="0" fillId="5" fontId="5" numFmtId="10" xfId="0" applyAlignment="1" applyFont="1" applyNumberFormat="1">
      <alignment horizontal="left" readingOrder="0"/>
    </xf>
    <xf borderId="0" fillId="5" fontId="5" numFmtId="164" xfId="0" applyAlignment="1" applyFont="1" applyNumberFormat="1">
      <alignment horizontal="left"/>
    </xf>
    <xf borderId="0" fillId="5" fontId="5" numFmtId="164" xfId="0" applyAlignment="1" applyFont="1" applyNumberFormat="1">
      <alignment horizontal="left" readingOrder="0" vertical="bottom"/>
    </xf>
    <xf borderId="0" fillId="5" fontId="5" numFmtId="49" xfId="0" applyAlignment="1" applyFont="1" applyNumberFormat="1">
      <alignment horizontal="left" vertical="bottom"/>
    </xf>
    <xf borderId="0" fillId="5" fontId="8" numFmtId="0" xfId="0" applyAlignment="1" applyFont="1">
      <alignment horizontal="left" vertical="bottom"/>
    </xf>
    <xf borderId="0" fillId="5" fontId="5" numFmtId="165" xfId="0" applyAlignment="1" applyFont="1" applyNumberFormat="1">
      <alignment horizontal="left" readingOrder="0" vertical="bottom"/>
    </xf>
    <xf borderId="0" fillId="5" fontId="9" numFmtId="49" xfId="0" applyAlignment="1" applyFont="1" applyNumberFormat="1">
      <alignment horizontal="left" readingOrder="0" vertical="bottom"/>
    </xf>
    <xf borderId="0" fillId="5" fontId="5" numFmtId="49" xfId="0" applyAlignment="1" applyFont="1" applyNumberFormat="1">
      <alignment horizontal="left" readingOrder="0" vertical="bottom"/>
    </xf>
    <xf borderId="0" fillId="5" fontId="5" numFmtId="165" xfId="0" applyAlignment="1" applyFont="1" applyNumberFormat="1">
      <alignment horizontal="left"/>
    </xf>
    <xf borderId="0" fillId="5" fontId="5" numFmtId="0" xfId="0" applyAlignment="1" applyFont="1">
      <alignment horizontal="left" shrinkToFit="0" vertical="bottom" wrapText="0"/>
    </xf>
    <xf borderId="0" fillId="5" fontId="10" numFmtId="165" xfId="0" applyAlignment="1" applyFont="1" applyNumberFormat="1">
      <alignment horizontal="left" vertical="bottom"/>
    </xf>
    <xf borderId="1" fillId="5" fontId="5" numFmtId="0" xfId="0" applyAlignment="1" applyBorder="1" applyFont="1">
      <alignment horizontal="left" vertical="bottom"/>
    </xf>
    <xf borderId="0" fillId="5" fontId="5" numFmtId="49" xfId="0" applyAlignment="1" applyFont="1" applyNumberFormat="1">
      <alignment horizontal="left" readingOrder="0" shrinkToFit="0" wrapText="0"/>
    </xf>
    <xf borderId="0" fillId="5" fontId="10" numFmtId="165" xfId="0" applyAlignment="1" applyFont="1" applyNumberFormat="1">
      <alignment horizontal="left" readingOrder="0"/>
    </xf>
    <xf borderId="0" fillId="5" fontId="5" numFmtId="4" xfId="0" applyAlignment="1" applyFont="1" applyNumberFormat="1">
      <alignment horizontal="left" readingOrder="0"/>
    </xf>
    <xf borderId="0" fillId="5" fontId="5" numFmtId="0" xfId="0" applyAlignment="1" applyFont="1">
      <alignment horizontal="left" vertical="bottom"/>
    </xf>
    <xf borderId="0" fillId="5" fontId="5" numFmtId="10" xfId="0" applyAlignment="1" applyFont="1" applyNumberFormat="1">
      <alignment horizontal="left"/>
    </xf>
    <xf borderId="0" fillId="5" fontId="10" numFmtId="0" xfId="0" applyAlignment="1" applyFont="1">
      <alignment horizontal="left" readingOrder="0"/>
    </xf>
    <xf borderId="0" fillId="5" fontId="5" numFmtId="164" xfId="0" applyAlignment="1" applyFont="1" applyNumberFormat="1">
      <alignment horizontal="left" readingOrder="0"/>
    </xf>
    <xf borderId="0" fillId="5" fontId="5" numFmtId="0" xfId="0" applyAlignment="1" applyFont="1">
      <alignment horizontal="left"/>
    </xf>
    <xf borderId="0" fillId="5" fontId="5" numFmtId="49" xfId="0" applyAlignment="1" applyFont="1" applyNumberFormat="1">
      <alignment horizontal="left"/>
    </xf>
    <xf borderId="0" fillId="5" fontId="5" numFmtId="49" xfId="0" applyAlignment="1" applyFont="1" applyNumberFormat="1">
      <alignment horizontal="left" readingOrder="0" vertical="bottom"/>
    </xf>
    <xf borderId="2" fillId="5" fontId="5" numFmtId="49" xfId="0" applyAlignment="1" applyBorder="1" applyFont="1" applyNumberFormat="1">
      <alignment horizontal="left" readingOrder="0" shrinkToFit="0" vertical="center" wrapText="1"/>
    </xf>
    <xf borderId="0" fillId="5" fontId="11" numFmtId="0" xfId="0" applyAlignment="1" applyFont="1">
      <alignment horizontal="left" vertical="bottom"/>
    </xf>
    <xf borderId="0" fillId="5" fontId="5" numFmtId="0" xfId="0" applyAlignment="1" applyFont="1">
      <alignment horizontal="left"/>
    </xf>
    <xf borderId="0" fillId="5" fontId="5" numFmtId="165" xfId="0" applyAlignment="1" applyFont="1" applyNumberFormat="1">
      <alignment horizontal="left" vertical="center"/>
    </xf>
    <xf borderId="0" fillId="5" fontId="10" numFmtId="49" xfId="0" applyAlignment="1" applyFont="1" applyNumberFormat="1">
      <alignment horizontal="left" readingOrder="0"/>
    </xf>
    <xf borderId="0" fillId="5" fontId="5" numFmtId="49" xfId="0" applyAlignment="1" applyFont="1" applyNumberFormat="1">
      <alignment horizontal="left" readingOrder="0" shrinkToFit="0" vertical="center" wrapText="0"/>
    </xf>
    <xf borderId="0" fillId="5" fontId="12" numFmtId="0" xfId="0" applyAlignment="1" applyFont="1">
      <alignment horizontal="left" readingOrder="0"/>
    </xf>
    <xf borderId="0" fillId="5" fontId="13" numFmtId="165" xfId="0" applyAlignment="1" applyFont="1" applyNumberFormat="1">
      <alignment readingOrder="0"/>
    </xf>
    <xf borderId="0" fillId="5" fontId="13" numFmtId="49" xfId="0" applyAlignment="1" applyFont="1" applyNumberFormat="1">
      <alignment readingOrder="0" shrinkToFit="0" wrapText="0"/>
    </xf>
    <xf borderId="0" fillId="5" fontId="13" numFmtId="164" xfId="0" applyAlignment="1" applyFont="1" applyNumberFormat="1">
      <alignment horizontal="center"/>
    </xf>
    <xf borderId="0" fillId="5" fontId="5" numFmtId="49" xfId="0" applyAlignment="1" applyFont="1" applyNumberFormat="1">
      <alignment readingOrder="0"/>
    </xf>
    <xf borderId="0" fillId="5" fontId="13" numFmtId="164" xfId="0" applyAlignment="1" applyFont="1" applyNumberFormat="1">
      <alignment readingOrder="0"/>
    </xf>
    <xf borderId="0" fillId="5" fontId="13" numFmtId="0" xfId="0" applyAlignment="1" applyFont="1">
      <alignment horizontal="left" readingOrder="0" vertical="center"/>
    </xf>
    <xf borderId="0" fillId="5" fontId="13" numFmtId="164" xfId="0" applyAlignment="1" applyFont="1" applyNumberFormat="1">
      <alignment horizontal="center" readingOrder="0"/>
    </xf>
    <xf borderId="0" fillId="5" fontId="14" numFmtId="0" xfId="0" applyAlignment="1" applyFont="1">
      <alignment horizontal="left" readingOrder="0"/>
    </xf>
    <xf borderId="0" fillId="5" fontId="5" numFmtId="49" xfId="0" applyAlignment="1" applyFont="1" applyNumberFormat="1">
      <alignment readingOrder="0" shrinkToFit="0" vertical="bottom" wrapText="0"/>
    </xf>
    <xf borderId="0" fillId="0" fontId="15" numFmtId="49" xfId="0" applyAlignment="1" applyFont="1" applyNumberFormat="1">
      <alignment horizontal="left" readingOrder="0" shrinkToFit="0" vertical="bottom" wrapText="0"/>
    </xf>
    <xf borderId="0" fillId="0" fontId="1" numFmtId="164" xfId="0" applyAlignment="1" applyFont="1" applyNumberFormat="1">
      <alignment horizontal="center"/>
    </xf>
    <xf borderId="0" fillId="0" fontId="1" numFmtId="164" xfId="0" applyAlignment="1" applyFont="1" applyNumberFormat="1">
      <alignment horizontal="center"/>
    </xf>
    <xf borderId="0" fillId="0" fontId="1" numFmtId="164" xfId="0" applyAlignment="1" applyFont="1" applyNumberFormat="1">
      <alignment horizontal="center" readingOrder="0"/>
    </xf>
    <xf borderId="0" fillId="0" fontId="16" numFmtId="164" xfId="0" applyAlignment="1" applyFont="1" applyNumberFormat="1">
      <alignment readingOrder="0"/>
    </xf>
    <xf borderId="0" fillId="0" fontId="1" numFmtId="164" xfId="0" applyAlignment="1" applyFont="1" applyNumberFormat="1">
      <alignment horizontal="center" readingOrder="0"/>
    </xf>
    <xf borderId="0" fillId="0" fontId="1" numFmtId="164" xfId="0" applyAlignment="1" applyFont="1" applyNumberFormat="1">
      <alignment horizontal="center" shrinkToFit="0" vertical="center" wrapText="0"/>
    </xf>
    <xf borderId="0" fillId="0" fontId="17" numFmtId="164" xfId="0" applyAlignment="1" applyFont="1" applyNumberFormat="1">
      <alignment horizontal="center" readingOrder="0" vertical="bottom"/>
    </xf>
    <xf borderId="0" fillId="2" fontId="3" numFmtId="0" xfId="0" applyAlignment="1" applyFont="1">
      <alignment horizontal="center" readingOrder="0" shrinkToFit="0" vertical="center" wrapText="0"/>
    </xf>
    <xf borderId="0" fillId="3" fontId="3" numFmtId="0" xfId="0" applyAlignment="1" applyFont="1">
      <alignment horizontal="center" readingOrder="0" shrinkToFit="0" vertical="center" wrapText="0"/>
    </xf>
    <xf borderId="0" fillId="4" fontId="18" numFmtId="0" xfId="0" applyAlignment="1" applyFont="1">
      <alignment horizontal="center" shrinkToFit="0" vertical="center" wrapText="0"/>
    </xf>
    <xf borderId="0" fillId="4" fontId="18" numFmtId="0" xfId="0" applyAlignment="1" applyFont="1">
      <alignment horizontal="center" readingOrder="0" shrinkToFit="0" vertical="center" wrapText="0"/>
    </xf>
    <xf borderId="0" fillId="4" fontId="18" numFmtId="164" xfId="0" applyAlignment="1" applyFont="1" applyNumberFormat="1">
      <alignment horizontal="center" shrinkToFit="0" vertical="center" wrapText="0"/>
    </xf>
    <xf borderId="0" fillId="4" fontId="18" numFmtId="164" xfId="0" applyAlignment="1" applyFont="1" applyNumberFormat="1">
      <alignment horizontal="center" readingOrder="0" shrinkToFit="0" vertical="center" wrapText="0"/>
    </xf>
    <xf borderId="0" fillId="4" fontId="18" numFmtId="10" xfId="0" applyAlignment="1" applyFont="1" applyNumberFormat="1">
      <alignment horizontal="center" shrinkToFit="0" vertical="center" wrapText="0"/>
    </xf>
    <xf borderId="0" fillId="5" fontId="19" numFmtId="0" xfId="0" applyAlignment="1" applyFont="1">
      <alignment readingOrder="0" vertical="bottom"/>
    </xf>
    <xf borderId="0" fillId="5" fontId="20" numFmtId="0" xfId="0" applyAlignment="1" applyFont="1">
      <alignment vertical="bottom"/>
    </xf>
    <xf borderId="0" fillId="5" fontId="5" numFmtId="164" xfId="0" applyAlignment="1" applyFont="1" applyNumberFormat="1">
      <alignment horizontal="right" readingOrder="0" vertical="bottom"/>
    </xf>
    <xf borderId="0" fillId="5" fontId="5" numFmtId="0" xfId="0" applyAlignment="1" applyFont="1">
      <alignment horizontal="right" readingOrder="0" vertical="bottom"/>
    </xf>
    <xf borderId="0" fillId="5" fontId="5" numFmtId="164" xfId="0" applyAlignment="1" applyFont="1" applyNumberFormat="1">
      <alignment readingOrder="0" vertical="bottom"/>
    </xf>
    <xf borderId="0" fillId="5" fontId="5" numFmtId="164" xfId="0" applyAlignment="1" applyFont="1" applyNumberFormat="1">
      <alignment horizontal="right" vertical="bottom"/>
    </xf>
    <xf borderId="0" fillId="5" fontId="5" numFmtId="10" xfId="0" applyAlignment="1" applyFont="1" applyNumberFormat="1">
      <alignment horizontal="right" vertical="bottom"/>
    </xf>
    <xf borderId="0" fillId="5" fontId="5" numFmtId="164" xfId="0" applyAlignment="1" applyFont="1" applyNumberFormat="1">
      <alignment vertical="bottom"/>
    </xf>
    <xf borderId="0" fillId="5" fontId="21" numFmtId="0" xfId="0" applyAlignment="1" applyFont="1">
      <alignment readingOrder="0" vertical="bottom"/>
    </xf>
    <xf borderId="0" fillId="5" fontId="5" numFmtId="0" xfId="0" applyAlignment="1" applyFont="1">
      <alignment vertical="bottom"/>
    </xf>
    <xf borderId="0" fillId="5" fontId="5" numFmtId="0" xfId="0" applyAlignment="1" applyFont="1">
      <alignment readingOrder="0" vertical="bottom"/>
    </xf>
    <xf borderId="0" fillId="5" fontId="5" numFmtId="10" xfId="0" applyAlignment="1" applyFont="1" applyNumberFormat="1">
      <alignment horizontal="right" readingOrder="0" vertical="bottom"/>
    </xf>
    <xf borderId="0" fillId="5" fontId="5" numFmtId="10" xfId="0" applyAlignment="1" applyFont="1" applyNumberFormat="1">
      <alignment horizontal="center" vertical="bottom"/>
    </xf>
    <xf borderId="0" fillId="5" fontId="5" numFmtId="10" xfId="0" applyAlignment="1" applyFont="1" applyNumberFormat="1">
      <alignment vertical="bottom"/>
    </xf>
    <xf borderId="0" fillId="5" fontId="5" numFmtId="49" xfId="0" applyAlignment="1" applyFont="1" applyNumberFormat="1">
      <alignment readingOrder="0" vertical="bottom"/>
    </xf>
    <xf borderId="0" fillId="5" fontId="5" numFmtId="0" xfId="0" applyAlignment="1" applyFont="1">
      <alignment shrinkToFit="0" vertical="bottom" wrapText="0"/>
    </xf>
    <xf borderId="0" fillId="5" fontId="5" numFmtId="0" xfId="0" applyAlignment="1" applyFont="1">
      <alignment horizontal="right" vertical="bottom"/>
    </xf>
    <xf borderId="0" fillId="5" fontId="5" numFmtId="0" xfId="0" applyAlignment="1" applyFont="1">
      <alignment horizontal="right" vertical="bottom"/>
    </xf>
    <xf borderId="0" fillId="5" fontId="10" numFmtId="164" xfId="0" applyAlignment="1" applyFont="1" applyNumberFormat="1">
      <alignment horizontal="right" vertical="bottom"/>
    </xf>
    <xf borderId="0" fillId="5" fontId="5" numFmtId="10" xfId="0" applyAlignment="1" applyFont="1" applyNumberFormat="1">
      <alignment readingOrder="0" vertical="bottom"/>
    </xf>
    <xf borderId="0" fillId="5" fontId="22" numFmtId="164" xfId="0" applyAlignment="1" applyFont="1" applyNumberFormat="1">
      <alignment readingOrder="0"/>
    </xf>
    <xf borderId="0" fillId="5" fontId="13" numFmtId="0" xfId="0" applyAlignment="1" applyFont="1">
      <alignment vertical="bottom"/>
    </xf>
    <xf borderId="0" fillId="5" fontId="13" numFmtId="0" xfId="0" applyAlignment="1" applyFont="1">
      <alignment vertical="bottom"/>
    </xf>
    <xf borderId="0" fillId="5" fontId="13" numFmtId="164" xfId="0" applyAlignment="1" applyFont="1" applyNumberFormat="1">
      <alignment horizontal="center" shrinkToFit="0" vertical="center" wrapText="0"/>
    </xf>
    <xf borderId="0" fillId="5" fontId="13" numFmtId="0" xfId="0" applyFont="1"/>
    <xf borderId="0" fillId="0" fontId="5" numFmtId="10" xfId="0" applyAlignment="1" applyFont="1" applyNumberFormat="1">
      <alignment horizontal="right" readingOrder="0" vertical="bottom"/>
    </xf>
    <xf borderId="0" fillId="0" fontId="5" numFmtId="0" xfId="0" applyAlignment="1" applyFont="1">
      <alignment readingOrder="0" vertical="bottom"/>
    </xf>
    <xf borderId="0" fillId="0" fontId="5" numFmtId="0" xfId="0" applyAlignment="1" applyFont="1">
      <alignment vertical="bottom"/>
    </xf>
    <xf borderId="0" fillId="0" fontId="5" numFmtId="164" xfId="0" applyAlignment="1" applyFont="1" applyNumberFormat="1">
      <alignment readingOrder="0" vertical="bottom"/>
    </xf>
    <xf borderId="0" fillId="0" fontId="5" numFmtId="0" xfId="0" applyAlignment="1" applyFont="1">
      <alignment horizontal="right" readingOrder="0" vertical="bottom"/>
    </xf>
    <xf borderId="0" fillId="0" fontId="5" numFmtId="164" xfId="0" applyAlignment="1" applyFont="1" applyNumberFormat="1">
      <alignment horizontal="right" vertical="bottom"/>
    </xf>
    <xf borderId="0" fillId="0" fontId="5" numFmtId="10" xfId="0" applyAlignment="1" applyFont="1" applyNumberFormat="1">
      <alignment vertical="bottom"/>
    </xf>
    <xf borderId="0" fillId="0" fontId="5" numFmtId="164" xfId="0" applyAlignment="1" applyFont="1" applyNumberFormat="1">
      <alignment horizontal="right" readingOrder="0" vertical="bottom"/>
    </xf>
    <xf borderId="0" fillId="5" fontId="5" numFmtId="4" xfId="0" applyAlignment="1" applyFont="1" applyNumberFormat="1">
      <alignment vertical="bottom"/>
    </xf>
    <xf borderId="0" fillId="6" fontId="5" numFmtId="10" xfId="0" applyAlignment="1" applyFill="1" applyFont="1" applyNumberFormat="1">
      <alignment horizontal="right" readingOrder="0" vertical="bottom"/>
    </xf>
    <xf borderId="0" fillId="7" fontId="5" numFmtId="164" xfId="0" applyAlignment="1" applyFill="1" applyFont="1" applyNumberFormat="1">
      <alignment readingOrder="0" vertical="bottom"/>
    </xf>
    <xf borderId="0" fillId="5" fontId="23" numFmtId="0" xfId="0" applyAlignment="1" applyFont="1">
      <alignment readingOrder="0"/>
    </xf>
    <xf borderId="0" fillId="0" fontId="1" numFmtId="49" xfId="0" applyFont="1" applyNumberFormat="1"/>
    <xf borderId="0" fillId="0" fontId="1" numFmtId="0" xfId="0" applyFont="1"/>
    <xf borderId="0" fillId="6" fontId="1" numFmtId="0" xfId="0" applyAlignment="1" applyFont="1">
      <alignment readingOrder="0"/>
    </xf>
    <xf borderId="0" fillId="7" fontId="1" numFmtId="0" xfId="0" applyAlignment="1" applyFont="1">
      <alignment readingOrder="0"/>
    </xf>
    <xf borderId="0" fillId="0" fontId="1" numFmtId="49" xfId="0" applyFont="1" applyNumberFormat="1"/>
    <xf borderId="0" fillId="2" fontId="24" numFmtId="0" xfId="0" applyAlignment="1" applyFont="1">
      <alignment horizontal="center" vertical="bottom"/>
    </xf>
    <xf borderId="0" fillId="8" fontId="25" numFmtId="0" xfId="0" applyAlignment="1" applyFill="1" applyFont="1">
      <alignment vertical="bottom"/>
    </xf>
    <xf borderId="0" fillId="8" fontId="26" numFmtId="0" xfId="0" applyAlignment="1" applyFont="1">
      <alignment vertical="bottom"/>
    </xf>
    <xf borderId="0" fillId="8" fontId="26" numFmtId="164" xfId="0" applyAlignment="1" applyFont="1" applyNumberFormat="1">
      <alignment vertical="bottom"/>
    </xf>
    <xf borderId="0" fillId="8" fontId="27" numFmtId="164" xfId="0" applyAlignment="1" applyFont="1" applyNumberFormat="1">
      <alignment vertical="bottom"/>
    </xf>
    <xf borderId="0" fillId="8" fontId="26" numFmtId="10" xfId="0" applyAlignment="1" applyFont="1" applyNumberFormat="1">
      <alignment vertical="bottom"/>
    </xf>
    <xf borderId="0" fillId="8" fontId="26" numFmtId="0" xfId="0" applyAlignment="1" applyFont="1">
      <alignment readingOrder="0" vertical="bottom"/>
    </xf>
    <xf borderId="0" fillId="9" fontId="28" numFmtId="0" xfId="0" applyAlignment="1" applyFill="1" applyFont="1">
      <alignment vertical="bottom"/>
    </xf>
    <xf borderId="0" fillId="9" fontId="27" numFmtId="164" xfId="0" applyAlignment="1" applyFont="1" applyNumberFormat="1">
      <alignment horizontal="right" vertical="bottom"/>
    </xf>
    <xf borderId="0" fillId="9" fontId="27" numFmtId="164" xfId="0" applyAlignment="1" applyFont="1" applyNumberFormat="1">
      <alignment vertical="bottom"/>
    </xf>
    <xf borderId="0" fillId="9" fontId="27" numFmtId="10" xfId="0" applyAlignment="1" applyFont="1" applyNumberFormat="1">
      <alignment horizontal="right" vertical="bottom"/>
    </xf>
    <xf borderId="0" fillId="9" fontId="27" numFmtId="0" xfId="0" applyAlignment="1" applyFont="1">
      <alignment vertical="bottom"/>
    </xf>
    <xf borderId="0" fillId="9" fontId="27" numFmtId="164" xfId="0" applyAlignment="1" applyFont="1" applyNumberFormat="1">
      <alignment horizontal="right" readingOrder="0" vertical="bottom"/>
    </xf>
    <xf borderId="0" fillId="9" fontId="27" numFmtId="10" xfId="0" applyAlignment="1" applyFont="1" applyNumberFormat="1">
      <alignment horizontal="right" readingOrder="0" vertical="bottom"/>
    </xf>
    <xf borderId="0" fillId="9" fontId="27" numFmtId="10" xfId="0" applyAlignment="1" applyFont="1" applyNumberFormat="1">
      <alignment horizontal="center" vertical="bottom"/>
    </xf>
    <xf borderId="0" fillId="0" fontId="17" numFmtId="0" xfId="0" applyAlignment="1" applyFont="1">
      <alignment vertical="bottom"/>
    </xf>
    <xf borderId="0" fillId="9" fontId="27" numFmtId="10" xfId="0" applyAlignment="1" applyFont="1" applyNumberFormat="1">
      <alignment vertical="bottom"/>
    </xf>
    <xf borderId="0" fillId="9" fontId="29" numFmtId="0" xfId="0" applyAlignment="1" applyFont="1">
      <alignment vertical="bottom"/>
    </xf>
    <xf borderId="0" fillId="0" fontId="27" numFmtId="0" xfId="0" applyAlignment="1" applyFont="1">
      <alignment vertical="bottom"/>
    </xf>
    <xf borderId="0" fillId="10" fontId="27" numFmtId="0" xfId="0" applyAlignment="1" applyFill="1" applyFont="1">
      <alignment vertical="bottom"/>
    </xf>
    <xf borderId="0" fillId="9" fontId="27" numFmtId="0" xfId="0" applyAlignment="1" applyFont="1">
      <alignment horizontal="right" readingOrder="0" vertical="bottom"/>
    </xf>
    <xf borderId="0" fillId="11" fontId="27" numFmtId="0" xfId="0" applyAlignment="1" applyFill="1" applyFont="1">
      <alignment vertical="bottom"/>
    </xf>
    <xf borderId="0" fillId="12" fontId="27" numFmtId="0" xfId="0" applyAlignment="1" applyFill="1" applyFont="1">
      <alignment vertical="bottom"/>
    </xf>
    <xf borderId="0" fillId="12" fontId="27" numFmtId="164" xfId="0" applyAlignment="1" applyFont="1" applyNumberFormat="1">
      <alignment horizontal="right" vertical="bottom"/>
    </xf>
    <xf borderId="0" fillId="9" fontId="27" numFmtId="0" xfId="0" applyAlignment="1" applyFont="1">
      <alignment shrinkToFit="0" vertical="bottom" wrapText="0"/>
    </xf>
    <xf borderId="0" fillId="9" fontId="27" numFmtId="0" xfId="0" applyAlignment="1" applyFont="1">
      <alignment readingOrder="0" vertical="bottom"/>
    </xf>
    <xf borderId="0" fillId="9" fontId="30" numFmtId="0" xfId="0" applyAlignment="1" applyFont="1">
      <alignment horizontal="right" vertical="bottom"/>
    </xf>
    <xf borderId="0" fillId="9" fontId="31" numFmtId="0" xfId="0" applyAlignment="1" applyFont="1">
      <alignment vertical="bottom"/>
    </xf>
    <xf borderId="0" fillId="9" fontId="30" numFmtId="164" xfId="0" applyAlignment="1" applyFont="1" applyNumberFormat="1">
      <alignment horizontal="right" vertical="bottom"/>
    </xf>
    <xf borderId="0" fillId="9" fontId="32" numFmtId="164" xfId="0" applyAlignment="1" applyFont="1" applyNumberFormat="1">
      <alignment horizontal="right" vertical="bottom"/>
    </xf>
    <xf borderId="0" fillId="9" fontId="30" numFmtId="164" xfId="0" applyAlignment="1" applyFont="1" applyNumberFormat="1">
      <alignment horizontal="right" readingOrder="0" vertical="bottom"/>
    </xf>
    <xf borderId="0" fillId="9" fontId="33" numFmtId="164" xfId="0" applyAlignment="1" applyFont="1" applyNumberFormat="1">
      <alignment horizontal="right" vertical="bottom"/>
    </xf>
    <xf borderId="0" fillId="9" fontId="27" numFmtId="164" xfId="0" applyAlignment="1" applyFont="1" applyNumberFormat="1">
      <alignment readingOrder="0" vertical="bottom"/>
    </xf>
    <xf borderId="0" fillId="0" fontId="13" numFmtId="0" xfId="0" applyAlignment="1" applyFont="1">
      <alignment vertical="bottom"/>
    </xf>
    <xf borderId="0" fillId="13" fontId="34" numFmtId="0" xfId="0" applyAlignment="1" applyFill="1" applyFont="1">
      <alignment horizontal="center"/>
    </xf>
    <xf borderId="0" fillId="13" fontId="35" numFmtId="164" xfId="0" applyAlignment="1" applyFont="1" applyNumberFormat="1">
      <alignment horizontal="center"/>
    </xf>
    <xf borderId="0" fillId="13" fontId="34" numFmtId="164" xfId="0" applyAlignment="1" applyFont="1" applyNumberFormat="1">
      <alignment horizontal="center"/>
    </xf>
    <xf borderId="0" fillId="13" fontId="34" numFmtId="10" xfId="0" applyAlignment="1" applyFont="1" applyNumberFormat="1">
      <alignment horizontal="center" readingOrder="0"/>
    </xf>
    <xf borderId="0" fillId="13" fontId="34" numFmtId="0" xfId="0" applyAlignment="1" applyFont="1">
      <alignment horizontal="center" readingOrder="0"/>
    </xf>
    <xf borderId="0" fillId="13" fontId="34" numFmtId="164" xfId="0" applyAlignment="1" applyFont="1" applyNumberFormat="1">
      <alignment horizontal="center" readingOrder="0"/>
    </xf>
    <xf borderId="0" fillId="5" fontId="36" numFmtId="0" xfId="0" applyAlignment="1" applyFont="1">
      <alignment horizontal="right" vertical="bottom"/>
    </xf>
    <xf borderId="0" fillId="0" fontId="27" numFmtId="164" xfId="0" applyAlignment="1" applyFont="1" applyNumberFormat="1">
      <alignment horizontal="right" readingOrder="0" vertical="bottom"/>
    </xf>
    <xf borderId="0" fillId="0" fontId="27" numFmtId="164" xfId="0" applyAlignment="1" applyFont="1" applyNumberFormat="1">
      <alignment horizontal="right" vertical="bottom"/>
    </xf>
    <xf borderId="0" fillId="0" fontId="27" numFmtId="10" xfId="0" applyAlignment="1" applyFont="1" applyNumberFormat="1">
      <alignment horizontal="right" readingOrder="0" vertical="bottom"/>
    </xf>
    <xf borderId="0" fillId="0" fontId="27" numFmtId="164" xfId="0" applyAlignment="1" applyFont="1" applyNumberFormat="1">
      <alignment readingOrder="0" vertical="bottom"/>
    </xf>
    <xf borderId="0" fillId="0" fontId="27" numFmtId="10" xfId="0" applyAlignment="1" applyFont="1" applyNumberFormat="1">
      <alignment horizontal="right" vertical="bottom"/>
    </xf>
    <xf borderId="0" fillId="0" fontId="1" numFmtId="164" xfId="0" applyFont="1" applyNumberFormat="1"/>
    <xf borderId="0" fillId="0" fontId="1" numFmtId="10" xfId="0" applyAlignment="1" applyFont="1" applyNumberFormat="1">
      <alignment readingOrder="0"/>
    </xf>
    <xf borderId="0" fillId="0" fontId="1" numFmtId="0" xfId="0" applyAlignment="1" applyFont="1">
      <alignment horizontal="center" readingOrder="0"/>
    </xf>
    <xf borderId="0" fillId="14" fontId="1" numFmtId="164" xfId="0" applyFill="1" applyFont="1" applyNumberFormat="1"/>
    <xf borderId="0" fillId="15" fontId="1" numFmtId="164" xfId="0" applyFill="1" applyFont="1" applyNumberFormat="1"/>
    <xf borderId="0" fillId="16" fontId="1" numFmtId="164" xfId="0" applyFill="1" applyFont="1" applyNumberFormat="1"/>
    <xf borderId="3" fillId="17" fontId="37" numFmtId="0" xfId="0" applyAlignment="1" applyBorder="1" applyFill="1" applyFont="1">
      <alignment horizontal="center" shrinkToFit="0" vertical="center" wrapText="1"/>
    </xf>
    <xf borderId="4" fillId="17" fontId="37" numFmtId="0" xfId="0" applyAlignment="1" applyBorder="1" applyFont="1">
      <alignment horizontal="center" shrinkToFit="0" vertical="center" wrapText="1"/>
    </xf>
    <xf borderId="3" fillId="14" fontId="15" numFmtId="0" xfId="0" applyBorder="1" applyFont="1"/>
    <xf borderId="3" fillId="0" fontId="15" numFmtId="0" xfId="0" applyAlignment="1" applyBorder="1" applyFont="1">
      <alignment horizontal="left"/>
    </xf>
    <xf borderId="3" fillId="0" fontId="15" numFmtId="0" xfId="0" applyBorder="1" applyFont="1"/>
    <xf borderId="0" fillId="0" fontId="38" numFmtId="0" xfId="0" applyFont="1"/>
    <xf borderId="5" fillId="18" fontId="15" numFmtId="0" xfId="0" applyBorder="1" applyFill="1" applyFont="1"/>
    <xf borderId="3" fillId="19" fontId="15" numFmtId="0" xfId="0" applyBorder="1" applyFill="1" applyFont="1"/>
    <xf borderId="3" fillId="0" fontId="15" numFmtId="0" xfId="0" applyAlignment="1" applyBorder="1" applyFont="1">
      <alignment shrinkToFit="0" vertical="center" wrapText="1"/>
    </xf>
    <xf borderId="3" fillId="18" fontId="15" numFmtId="0" xfId="0" applyAlignment="1" applyBorder="1" applyFont="1">
      <alignment shrinkToFit="0" vertical="center" wrapText="1"/>
    </xf>
    <xf borderId="3" fillId="18" fontId="15" numFmtId="0" xfId="0" applyAlignment="1" applyBorder="1" applyFont="1">
      <alignment horizontal="center" shrinkToFit="0" vertical="center" wrapText="1"/>
    </xf>
    <xf borderId="3" fillId="18" fontId="15" numFmtId="0" xfId="0" applyBorder="1" applyFont="1"/>
    <xf borderId="3" fillId="14" fontId="15" numFmtId="0" xfId="0" applyAlignment="1" applyBorder="1" applyFont="1">
      <alignment horizontal="left"/>
    </xf>
    <xf borderId="3" fillId="20" fontId="15" numFmtId="0" xfId="0" applyBorder="1" applyFill="1" applyFont="1"/>
    <xf borderId="3" fillId="21" fontId="15" numFmtId="0" xfId="0" applyBorder="1" applyFill="1" applyFont="1"/>
    <xf borderId="3" fillId="22" fontId="15" numFmtId="0" xfId="0" applyBorder="1" applyFill="1" applyFont="1"/>
    <xf borderId="0" fillId="0" fontId="15" numFmtId="0" xfId="0" applyFont="1"/>
    <xf borderId="0" fillId="0" fontId="15" numFmtId="0" xfId="0" applyAlignment="1" applyFont="1">
      <alignment horizontal="left"/>
    </xf>
    <xf borderId="5" fillId="14" fontId="39" numFmtId="0" xfId="0" applyBorder="1" applyFont="1"/>
    <xf borderId="5" fillId="14" fontId="15" numFmtId="0" xfId="0" applyBorder="1" applyFont="1"/>
    <xf borderId="0" fillId="0" fontId="39" numFmtId="0" xfId="0" applyFont="1"/>
    <xf borderId="5" fillId="23" fontId="39" numFmtId="0" xfId="0" applyBorder="1" applyFill="1" applyFont="1"/>
    <xf borderId="5" fillId="24" fontId="39" numFmtId="0" xfId="0" applyBorder="1" applyFill="1" applyFont="1"/>
    <xf borderId="5" fillId="23" fontId="15" numFmtId="0" xfId="0" applyBorder="1" applyFont="1"/>
    <xf borderId="5" fillId="24" fontId="15" numFmtId="0" xfId="0" applyBorder="1" applyFont="1"/>
    <xf borderId="5" fillId="25" fontId="39" numFmtId="0" xfId="0" applyBorder="1" applyFill="1" applyFont="1"/>
    <xf borderId="5" fillId="25" fontId="15" numFmtId="0" xfId="0" applyBorder="1" applyFont="1"/>
    <xf borderId="5" fillId="26" fontId="39" numFmtId="0" xfId="0" applyBorder="1" applyFill="1" applyFont="1"/>
    <xf borderId="5" fillId="26" fontId="15" numFmtId="0" xfId="0" applyBorder="1" applyFont="1"/>
    <xf borderId="0" fillId="0" fontId="40" numFmtId="0" xfId="0" applyAlignment="1" applyFont="1">
      <alignment shrinkToFit="0" wrapText="1"/>
    </xf>
    <xf borderId="0" fillId="0" fontId="15" numFmtId="0" xfId="0" applyAlignment="1" applyFont="1">
      <alignment shrinkToFit="0" wrapText="1"/>
    </xf>
    <xf borderId="0" fillId="0" fontId="41" numFmtId="0" xfId="0" applyAlignment="1" applyFont="1">
      <alignment horizontal="left" readingOrder="0" vertical="center"/>
    </xf>
    <xf borderId="3" fillId="4" fontId="42" numFmtId="0" xfId="0" applyBorder="1" applyFont="1"/>
    <xf borderId="3" fillId="4" fontId="42" numFmtId="164" xfId="0" applyBorder="1" applyFont="1" applyNumberFormat="1"/>
    <xf borderId="3" fillId="4" fontId="42" numFmtId="0" xfId="0" applyAlignment="1" applyBorder="1" applyFont="1">
      <alignment readingOrder="0"/>
    </xf>
    <xf borderId="0" fillId="4" fontId="42" numFmtId="0" xfId="0" applyAlignment="1" applyFont="1">
      <alignment horizontal="center" readingOrder="0" vertical="center"/>
    </xf>
    <xf borderId="0" fillId="4" fontId="42" numFmtId="0" xfId="0" applyAlignment="1" applyFont="1">
      <alignment readingOrder="0"/>
    </xf>
    <xf borderId="3" fillId="27" fontId="42" numFmtId="10" xfId="0" applyAlignment="1" applyBorder="1" applyFill="1" applyFont="1" applyNumberFormat="1">
      <alignment readingOrder="0"/>
    </xf>
    <xf borderId="0" fillId="0" fontId="41" numFmtId="0" xfId="0" applyAlignment="1" applyFont="1">
      <alignment readingOrder="0" vertical="bottom"/>
    </xf>
    <xf borderId="3" fillId="0" fontId="43" numFmtId="0" xfId="0" applyBorder="1" applyFont="1"/>
    <xf borderId="3" fillId="0" fontId="43" numFmtId="0" xfId="0" applyAlignment="1" applyBorder="1" applyFont="1">
      <alignment readingOrder="0"/>
    </xf>
    <xf borderId="3" fillId="6" fontId="41" numFmtId="164" xfId="0" applyAlignment="1" applyBorder="1" applyFont="1" applyNumberFormat="1">
      <alignment readingOrder="0"/>
    </xf>
    <xf borderId="3" fillId="0" fontId="43" numFmtId="10" xfId="0" applyBorder="1" applyFont="1" applyNumberFormat="1"/>
    <xf borderId="3" fillId="0" fontId="43" numFmtId="164" xfId="0" applyAlignment="1" applyBorder="1" applyFont="1" applyNumberFormat="1">
      <alignment readingOrder="0"/>
    </xf>
    <xf borderId="3" fillId="0" fontId="43" numFmtId="164" xfId="0" applyBorder="1" applyFont="1" applyNumberFormat="1"/>
    <xf borderId="3" fillId="0" fontId="43" numFmtId="10" xfId="0" applyAlignment="1" applyBorder="1" applyFont="1" applyNumberFormat="1">
      <alignment readingOrder="0"/>
    </xf>
    <xf borderId="3" fillId="0" fontId="41" numFmtId="164" xfId="0" applyBorder="1" applyFont="1" applyNumberFormat="1"/>
    <xf borderId="3" fillId="6" fontId="43" numFmtId="10" xfId="0" applyBorder="1" applyFont="1" applyNumberFormat="1"/>
    <xf borderId="3" fillId="6" fontId="43" numFmtId="164" xfId="0" applyAlignment="1" applyBorder="1" applyFont="1" applyNumberFormat="1">
      <alignment readingOrder="0"/>
    </xf>
    <xf borderId="3" fillId="5" fontId="43" numFmtId="164" xfId="0" applyAlignment="1" applyBorder="1" applyFont="1" applyNumberFormat="1">
      <alignment readingOrder="0"/>
    </xf>
    <xf borderId="3" fillId="0" fontId="43" numFmtId="0" xfId="0" applyAlignment="1" applyBorder="1" applyFont="1">
      <alignment horizontal="center" readingOrder="0"/>
    </xf>
    <xf borderId="3" fillId="5" fontId="44" numFmtId="0" xfId="0" applyAlignment="1" applyBorder="1" applyFont="1">
      <alignment horizontal="center" readingOrder="0"/>
    </xf>
    <xf borderId="3" fillId="7" fontId="43" numFmtId="164" xfId="0" applyAlignment="1" applyBorder="1" applyFont="1" applyNumberFormat="1">
      <alignment readingOrder="0"/>
    </xf>
    <xf borderId="3" fillId="0" fontId="43" numFmtId="9" xfId="0" applyAlignment="1" applyBorder="1" applyFont="1" applyNumberFormat="1">
      <alignment readingOrder="0"/>
    </xf>
    <xf borderId="3" fillId="0" fontId="41" numFmtId="164" xfId="0" applyAlignment="1" applyBorder="1" applyFont="1" applyNumberFormat="1">
      <alignment horizontal="right"/>
    </xf>
    <xf borderId="3" fillId="0" fontId="43" numFmtId="164" xfId="0" applyAlignment="1" applyBorder="1" applyFont="1" applyNumberFormat="1">
      <alignment readingOrder="0"/>
    </xf>
    <xf borderId="3" fillId="0" fontId="41" numFmtId="0" xfId="0" applyAlignment="1" applyBorder="1" applyFont="1">
      <alignment horizontal="right" vertical="bottom"/>
    </xf>
    <xf borderId="3" fillId="0" fontId="43" numFmtId="0" xfId="0" applyAlignment="1" applyBorder="1" applyFont="1">
      <alignment readingOrder="0" shrinkToFit="0" vertical="bottom" wrapText="0"/>
    </xf>
    <xf borderId="3" fillId="0" fontId="41" numFmtId="164" xfId="0" applyAlignment="1" applyBorder="1" applyFont="1" applyNumberFormat="1">
      <alignment readingOrder="0"/>
    </xf>
    <xf borderId="3" fillId="0" fontId="43" numFmtId="164" xfId="0" applyAlignment="1" applyBorder="1" applyFont="1" applyNumberFormat="1">
      <alignment horizontal="right" readingOrder="0" shrinkToFit="0" vertical="bottom" wrapText="0"/>
    </xf>
    <xf borderId="3" fillId="0" fontId="41" numFmtId="0" xfId="0" applyAlignment="1" applyBorder="1" applyFont="1">
      <alignment readingOrder="0"/>
    </xf>
    <xf borderId="3" fillId="0" fontId="41" numFmtId="164" xfId="0" applyAlignment="1" applyBorder="1" applyFont="1" applyNumberFormat="1">
      <alignment readingOrder="0"/>
    </xf>
    <xf borderId="3" fillId="0" fontId="41" numFmtId="164" xfId="0" applyAlignment="1" applyBorder="1" applyFont="1" applyNumberFormat="1">
      <alignment horizontal="center" readingOrder="0"/>
    </xf>
    <xf borderId="3" fillId="0" fontId="41" numFmtId="0" xfId="0" applyAlignment="1" applyBorder="1" applyFont="1">
      <alignment horizontal="right" vertical="bottom"/>
    </xf>
    <xf borderId="3" fillId="0" fontId="41" numFmtId="0" xfId="0" applyBorder="1" applyFont="1"/>
    <xf borderId="3" fillId="0" fontId="41" numFmtId="0" xfId="0" applyBorder="1" applyFont="1"/>
    <xf borderId="3" fillId="28" fontId="45" numFmtId="164" xfId="0" applyAlignment="1" applyBorder="1" applyFill="1" applyFont="1" applyNumberFormat="1">
      <alignment horizontal="right" readingOrder="0" vertical="center"/>
    </xf>
    <xf borderId="3" fillId="0" fontId="41" numFmtId="164" xfId="0" applyAlignment="1" applyBorder="1" applyFont="1" applyNumberFormat="1">
      <alignment horizontal="right" readingOrder="0"/>
    </xf>
    <xf borderId="3" fillId="5" fontId="43" numFmtId="0" xfId="0" applyAlignment="1" applyBorder="1" applyFont="1">
      <alignment readingOrder="0"/>
    </xf>
    <xf borderId="3" fillId="0" fontId="41" numFmtId="0" xfId="0" applyAlignment="1" applyBorder="1" applyFont="1">
      <alignment horizontal="left" readingOrder="0"/>
    </xf>
    <xf borderId="3" fillId="5" fontId="43" numFmtId="0" xfId="0" applyAlignment="1" applyBorder="1" applyFont="1">
      <alignment horizontal="left" readingOrder="0"/>
    </xf>
    <xf borderId="3" fillId="5" fontId="41" numFmtId="164" xfId="0" applyAlignment="1" applyBorder="1" applyFont="1" applyNumberFormat="1">
      <alignment readingOrder="0"/>
    </xf>
    <xf borderId="0" fillId="0" fontId="41" numFmtId="0" xfId="0" applyAlignment="1" applyFont="1">
      <alignment readingOrder="0"/>
    </xf>
    <xf borderId="3" fillId="0" fontId="41" numFmtId="164" xfId="0" applyAlignment="1" applyBorder="1" applyFont="1" applyNumberFormat="1">
      <alignment horizontal="center"/>
    </xf>
    <xf borderId="3" fillId="5" fontId="41" numFmtId="164" xfId="0" applyAlignment="1" applyBorder="1" applyFont="1" applyNumberFormat="1">
      <alignment horizontal="right" readingOrder="0" vertical="bottom"/>
    </xf>
    <xf borderId="0" fillId="0" fontId="43" numFmtId="164" xfId="0" applyAlignment="1" applyFont="1" applyNumberFormat="1">
      <alignment readingOrder="0" shrinkToFit="0" vertical="bottom" wrapText="0"/>
    </xf>
    <xf borderId="0" fillId="0" fontId="41" numFmtId="0" xfId="0" applyFont="1"/>
    <xf borderId="0" fillId="0" fontId="43" numFmtId="0" xfId="0" applyAlignment="1" applyFont="1">
      <alignment readingOrder="0"/>
    </xf>
    <xf borderId="0" fillId="0" fontId="43" numFmtId="10" xfId="0" applyFont="1" applyNumberFormat="1"/>
    <xf borderId="0" fillId="0" fontId="43" numFmtId="0" xfId="0" applyFont="1"/>
    <xf borderId="0" fillId="0" fontId="41" numFmtId="164" xfId="0" applyAlignment="1" applyFont="1" applyNumberFormat="1">
      <alignment horizontal="center" readingOrder="0"/>
    </xf>
    <xf borderId="0" fillId="0" fontId="43" numFmtId="164" xfId="0" applyFont="1" applyNumberFormat="1"/>
    <xf borderId="0" fillId="0" fontId="43" numFmtId="9" xfId="0" applyAlignment="1" applyFont="1" applyNumberFormat="1">
      <alignment readingOrder="0"/>
    </xf>
    <xf borderId="0" fillId="0" fontId="41" numFmtId="164" xfId="0" applyFont="1" applyNumberFormat="1"/>
    <xf borderId="0" fillId="6" fontId="43" numFmtId="10" xfId="0" applyFont="1" applyNumberFormat="1"/>
    <xf borderId="3" fillId="0" fontId="41" numFmtId="0" xfId="0" applyAlignment="1" applyBorder="1" applyFont="1">
      <alignment horizontal="left" readingOrder="0" vertical="center"/>
    </xf>
    <xf borderId="3" fillId="0" fontId="41" numFmtId="0" xfId="0" applyAlignment="1" applyBorder="1" applyFont="1">
      <alignment horizontal="left" vertical="center"/>
    </xf>
    <xf borderId="3" fillId="0" fontId="43" numFmtId="164" xfId="0" applyAlignment="1" applyBorder="1" applyFont="1" applyNumberFormat="1">
      <alignment horizontal="right" readingOrder="0" shrinkToFit="0" vertical="bottom" wrapText="0"/>
    </xf>
    <xf borderId="3" fillId="0" fontId="41" numFmtId="0" xfId="0" applyAlignment="1" applyBorder="1" applyFont="1">
      <alignment vertical="bottom"/>
    </xf>
    <xf borderId="3" fillId="0" fontId="43" numFmtId="0" xfId="0" applyAlignment="1" applyBorder="1" applyFont="1">
      <alignment horizontal="left" readingOrder="0" shrinkToFit="0" vertical="bottom" wrapText="0"/>
    </xf>
    <xf borderId="3" fillId="0" fontId="41" numFmtId="0" xfId="0" applyAlignment="1" applyBorder="1" applyFont="1">
      <alignment readingOrder="0"/>
    </xf>
    <xf borderId="3" fillId="5" fontId="46" numFmtId="0" xfId="0" applyAlignment="1" applyBorder="1" applyFont="1">
      <alignment readingOrder="0"/>
    </xf>
    <xf borderId="3" fillId="28" fontId="41" numFmtId="0" xfId="0" applyBorder="1" applyFont="1"/>
    <xf borderId="3" fillId="0" fontId="43" numFmtId="164" xfId="0" applyAlignment="1" applyBorder="1" applyFont="1" applyNumberFormat="1">
      <alignment readingOrder="0" shrinkToFit="0" vertical="bottom" wrapText="0"/>
    </xf>
    <xf borderId="0" fillId="0" fontId="41" numFmtId="0" xfId="0" applyAlignment="1" applyFont="1">
      <alignment vertical="bottom"/>
    </xf>
    <xf borderId="3" fillId="0" fontId="41" numFmtId="0" xfId="0" applyAlignment="1" applyBorder="1" applyFont="1">
      <alignment vertical="bottom"/>
    </xf>
    <xf borderId="3" fillId="0" fontId="41" numFmtId="0" xfId="0" applyAlignment="1" applyBorder="1" applyFont="1">
      <alignment horizontal="right" vertical="bottom"/>
    </xf>
    <xf borderId="3" fillId="0" fontId="41" numFmtId="0" xfId="0" applyAlignment="1" applyBorder="1" applyFont="1">
      <alignment readingOrder="0" vertical="bottom"/>
    </xf>
    <xf borderId="3" fillId="0" fontId="41" numFmtId="164" xfId="0" applyAlignment="1" applyBorder="1" applyFont="1" applyNumberFormat="1">
      <alignment horizontal="right" readingOrder="0" vertical="bottom"/>
    </xf>
    <xf borderId="3" fillId="0" fontId="41" numFmtId="10" xfId="0" applyAlignment="1" applyBorder="1" applyFont="1" applyNumberFormat="1">
      <alignment horizontal="right" vertical="bottom"/>
    </xf>
    <xf borderId="3" fillId="0" fontId="41" numFmtId="164" xfId="0" applyAlignment="1" applyBorder="1" applyFont="1" applyNumberFormat="1">
      <alignment horizontal="right" vertical="bottom"/>
    </xf>
    <xf borderId="3" fillId="0" fontId="41" numFmtId="164" xfId="0" applyAlignment="1" applyBorder="1" applyFont="1" applyNumberFormat="1">
      <alignment horizontal="center" vertical="bottom"/>
    </xf>
    <xf borderId="3" fillId="6" fontId="41" numFmtId="10" xfId="0" applyAlignment="1" applyBorder="1" applyFont="1" applyNumberFormat="1">
      <alignment horizontal="center" vertical="bottom"/>
    </xf>
    <xf borderId="3" fillId="0" fontId="41" numFmtId="0" xfId="0" applyAlignment="1" applyBorder="1" applyFont="1">
      <alignment horizontal="left" readingOrder="0" vertical="center"/>
    </xf>
    <xf borderId="0" fillId="0" fontId="41" numFmtId="164" xfId="0" applyAlignment="1" applyFont="1" applyNumberFormat="1">
      <alignment readingOrder="0"/>
    </xf>
    <xf borderId="0" fillId="0" fontId="41" numFmtId="0" xfId="0" applyAlignment="1" applyFont="1">
      <alignment horizontal="center" readingOrder="0"/>
    </xf>
    <xf borderId="0" fillId="0" fontId="41" numFmtId="164" xfId="0" applyAlignment="1" applyFont="1" applyNumberFormat="1">
      <alignment horizontal="right" vertical="bottom"/>
    </xf>
    <xf borderId="0" fillId="0" fontId="41" numFmtId="9" xfId="0" applyAlignment="1" applyFont="1" applyNumberFormat="1">
      <alignment horizontal="right" vertical="bottom"/>
    </xf>
    <xf borderId="0" fillId="0" fontId="41" numFmtId="0" xfId="0" applyAlignment="1" applyFont="1">
      <alignment horizontal="right" vertical="bottom"/>
    </xf>
    <xf borderId="0" fillId="0" fontId="47" numFmtId="0" xfId="0" applyAlignment="1" applyFont="1">
      <alignment readingOrder="0"/>
    </xf>
    <xf borderId="0" fillId="0" fontId="47" numFmtId="0" xfId="0" applyFont="1"/>
    <xf borderId="0" fillId="5" fontId="48" numFmtId="0" xfId="0" applyAlignment="1" applyFont="1">
      <alignment readingOrder="0"/>
    </xf>
    <xf borderId="0" fillId="0" fontId="49" numFmtId="0" xfId="0" applyFont="1"/>
    <xf borderId="0" fillId="0" fontId="41" numFmtId="164" xfId="0" applyAlignment="1" applyFont="1" applyNumberFormat="1">
      <alignment readingOrder="0"/>
    </xf>
    <xf borderId="0" fillId="0" fontId="49" numFmtId="0" xfId="0" applyAlignment="1" applyFont="1">
      <alignment readingOrder="0"/>
    </xf>
    <xf borderId="3" fillId="14" fontId="43" numFmtId="164" xfId="0" applyAlignment="1" applyBorder="1" applyFont="1" applyNumberFormat="1">
      <alignment horizontal="right" vertical="bottom"/>
    </xf>
    <xf borderId="0" fillId="0" fontId="41" numFmtId="164" xfId="0" applyAlignment="1" applyFont="1" applyNumberFormat="1">
      <alignment horizontal="center"/>
    </xf>
    <xf borderId="0" fillId="0" fontId="15" numFmtId="0" xfId="0" applyAlignment="1" applyFont="1">
      <alignment vertical="bottom"/>
    </xf>
    <xf borderId="0" fillId="0" fontId="47" numFmtId="0" xfId="0" applyAlignment="1" applyFont="1">
      <alignment vertical="bottom"/>
    </xf>
    <xf borderId="0" fillId="0" fontId="41" numFmtId="10" xfId="0" applyFont="1" applyNumberFormat="1"/>
  </cellXfs>
  <cellStyles count="1">
    <cellStyle xfId="0" name="Normal" builtinId="0"/>
  </cellStyles>
  <dxfs count="4">
    <dxf>
      <font/>
      <fill>
        <patternFill patternType="none"/>
      </fill>
      <border/>
    </dxf>
    <dxf>
      <font/>
      <fill>
        <patternFill patternType="solid">
          <fgColor rgb="FFFF9999"/>
          <bgColor rgb="FFFF9999"/>
        </patternFill>
      </fill>
      <border/>
    </dxf>
    <dxf>
      <font/>
      <fill>
        <patternFill patternType="solid">
          <fgColor rgb="FFDEEAF6"/>
          <bgColor rgb="FFDEEAF6"/>
        </patternFill>
      </fill>
      <border/>
    </dxf>
    <dxf>
      <font/>
      <fill>
        <patternFill patternType="solid">
          <fgColor theme="1"/>
          <bgColor them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47750" cy="1047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2000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mercadolibre.com.mx/apple-watch-series-6-gps-caja-de-aluminio-productred-de-44-mm-correa-deportiva-productred/p/MLM16172589/s?pdp_filters=category:MLM126793" TargetMode="External"/><Relationship Id="rId42" Type="http://schemas.openxmlformats.org/officeDocument/2006/relationships/hyperlink" Target="https://www.mercadolibre.com.mx/apple-watch-series-6-gpscellular-caja-de-aluminio-productred-de-44-mm-correa-deportiva-productred/p/MLM16164063?pdp_filters=category:MLM1051" TargetMode="External"/><Relationship Id="rId41" Type="http://schemas.openxmlformats.org/officeDocument/2006/relationships/hyperlink" Target="https://www.mercadolibre.com.mx/publicaciones/MLM1325868037/modificar/764991400-update-b51dd4ca6d59/product_detail" TargetMode="External"/><Relationship Id="rId44" Type="http://schemas.openxmlformats.org/officeDocument/2006/relationships/hyperlink" Target="https://www.mercadolibre.com.mx/publicaciones/MLM1325998574/modificar/764991400-update-28bf4d1d9d40/detail" TargetMode="External"/><Relationship Id="rId43" Type="http://schemas.openxmlformats.org/officeDocument/2006/relationships/hyperlink" Target="https://www.mercadolibre.com.mx/publicaciones/listado?filters=channel_only_marketplace%7Cchannel_marketplace_mshops&amp;page=1&amp;search=oculus&amp;sort=default" TargetMode="External"/><Relationship Id="rId46" Type="http://schemas.openxmlformats.org/officeDocument/2006/relationships/hyperlink" Target="https://www.mercadolibre.com.mx/publicaciones/MLM1400806060/modificar/764991400-update-306ae35d7b76/product_detail" TargetMode="External"/><Relationship Id="rId45" Type="http://schemas.openxmlformats.org/officeDocument/2006/relationships/hyperlink" Target="https://www.mercadolibre.com.mx/publicaciones/MLM1379511873/modificar/764991400-update-a565c2856131/detail" TargetMode="External"/><Relationship Id="rId107" Type="http://schemas.openxmlformats.org/officeDocument/2006/relationships/drawing" Target="../drawings/drawing2.xml"/><Relationship Id="rId106" Type="http://schemas.openxmlformats.org/officeDocument/2006/relationships/hyperlink" Target="https://www.mercadolibre.com.mx/eos-r50-rf-s-18-45mm-f45-63-is-color-negro/p/MLM26144905?pdp_filters=item_id%3AMLM1979245645&amp;from=gshop&amp;matt_tool=23496835&amp;matt_word=&amp;matt_source=google&amp;matt_campaign_id=23459163732&amp;matt_ad_group_id=192406233315&amp;matt_match_type=&amp;matt_network=g&amp;matt_device=c&amp;matt_creative=793141849574&amp;matt_keyword=&amp;matt_ad_position=&amp;matt_ad_type=pla&amp;matt_merchant_id=735088283&amp;matt_product_id=MLM26144905-product&amp;matt_product_partition_id=2387571483576&amp;matt_target_id=pla-2387571483576&amp;cq_src=google_ads&amp;cq_cmp=23459163732&amp;cq_net=g&amp;cq_plt=gp&amp;cq_med=pla&amp;gad_source=1&amp;gad_campaignid=23459163732&amp;gbraid=0AAAAAoTLPrJLmPuemyMK8HbxPJO83wIZR&amp;gclid=Cj0KCQjwk_bPBhDXARIsACiq8R3u_nCQHglJEXZpzIZBhkf7SX5i9jjXUwrJ89UQGXThW0lnruU1sXkaApSmEALw_wcB" TargetMode="External"/><Relationship Id="rId105" Type="http://schemas.openxmlformats.org/officeDocument/2006/relationships/hyperlink" Target="https://www.mercadolibre.com.mx/syi/core/modify?itemId=MLM2426731769&amp;callback_url=https%3A%2F%2Fwww.mercadolibre.com.mx%2Fpublicaciones%2Flistado%3Ffilters%3DOMNI_ACTIVE%257COMNI_INACTIVE%257CCHANNEL_NO_PROXIMITY_AND_NO_MP_MERCHANTS%26page%3D1%26search%3D2426731769%26sort%3DDEFAULT" TargetMode="External"/><Relationship Id="rId104" Type="http://schemas.openxmlformats.org/officeDocument/2006/relationships/hyperlink" Target="https://www.mercadolibre.com.mx/syi/core/modify?itemId=MLM1919780865&amp;callback_url=https%3A%2F%2Fwww.mercadolibre.com.mx%2Fpublicaciones%2Flistado%3Ffilters%3DCHANNEL_MARKETPLACE_MSHOPS%257CCHANNEL_ONLY_MARKETPLACE%257CCHANNEL_NO_PROXIMITY_AND_NO_MP_MERCHANTS%26page%3D1%26search%3D1919780865%26sort%3DDEFAULT" TargetMode="External"/><Relationship Id="rId48" Type="http://schemas.openxmlformats.org/officeDocument/2006/relationships/hyperlink" Target="https://www.mercadolibre.com.mx/publicaciones/MLM1400848064/modificar/764991400-update-d820948379ee/product_detail" TargetMode="External"/><Relationship Id="rId47" Type="http://schemas.openxmlformats.org/officeDocument/2006/relationships/hyperlink" Target="https://www.mercadolibre.com.mx/audifonos-in-ear-inalambricos-lenovo-livepods-lp40-negro/p/MLM18055304" TargetMode="External"/><Relationship Id="rId49" Type="http://schemas.openxmlformats.org/officeDocument/2006/relationships/hyperlink" Target="https://www.mercadolibre.com.mx/audifonos-in-ear-gamer-inalambricos-lenovo-xg01-gris-con-luz-led/p/MLM18517956?product_trigger_id=MLM18517954&amp;quantity=1" TargetMode="External"/><Relationship Id="rId103" Type="http://schemas.openxmlformats.org/officeDocument/2006/relationships/hyperlink" Target="https://www.mercadolibre.com.mx/publicaciones/MLM1976324961/modificar/omni?callback_url=https%3A%2F%2Fwww.mercadolibre.com.mx%2Fpublicaciones%2Flistado%3Ffilters%3DOMNI_ACTIVE%257COMNI_INACTIVE%257CCHANNEL_NO_PROXIMITY_AND_NO_MP_MERCHANTS%26page%3D1%26sort%3DDEFAULT" TargetMode="External"/><Relationship Id="rId102" Type="http://schemas.openxmlformats.org/officeDocument/2006/relationships/hyperlink" Target="https://www.mercadolibre.com.mx/publicaciones/MLM1945666421/modificar/omni?callback_url=https%3A%2F%2Fwww.mercadolibre.com.mx%2Fpublicaciones%2Flistado%3Ffilters%3DOMNI_ACTIVE%257COMNI_INACTIVE%257CCHANNEL_NO_PROXIMITY_AND_NO_MP_MERCHANTS%26page%3D1%26sort%3DDEFAULT" TargetMode="External"/><Relationship Id="rId101" Type="http://schemas.openxmlformats.org/officeDocument/2006/relationships/hyperlink" Target="https://www.mercadolibre.com.mx/bascula-digital-xiaomi-mi-smart-scale-2-blanca-hasta-150-kg/p/MLM15274416" TargetMode="External"/><Relationship Id="rId100" Type="http://schemas.openxmlformats.org/officeDocument/2006/relationships/hyperlink" Target="https://www.mercadolibre.com.mx/audifonos-in-ear-gamer-inalambricos-xiaomi-redmi-buds-3-lite-blanco/p/MLM19031224?pdp_filters=category:MLM5072" TargetMode="External"/><Relationship Id="rId31" Type="http://schemas.openxmlformats.org/officeDocument/2006/relationships/hyperlink" Target="https://www.mercadolibre.com.mx/publicaciones/MLM907154652/modificar/764991400-update-77184cbf9df1/product_detail" TargetMode="External"/><Relationship Id="rId30" Type="http://schemas.openxmlformats.org/officeDocument/2006/relationships/hyperlink" Target="https://www.mercadolibre.com.mx/publicaciones/MLM1383712901/modificar/764991400-update-c4f868a6474f/product_detail" TargetMode="External"/><Relationship Id="rId33" Type="http://schemas.openxmlformats.org/officeDocument/2006/relationships/hyperlink" Target="https://www.mercadolibre.com.mx/publicaciones/MLM1325920238/modificar/764991400-update-b3f50cd34d3e/product_detail" TargetMode="External"/><Relationship Id="rId32" Type="http://schemas.openxmlformats.org/officeDocument/2006/relationships/hyperlink" Target="https://www.mercadolibre.com.mx/amazon-echo-studio-con-asistente-virtual-alexa-charcoal-110v240v/p/MLM15545995/s?pdp_filters=category:MLM187752" TargetMode="External"/><Relationship Id="rId35" Type="http://schemas.openxmlformats.org/officeDocument/2006/relationships/hyperlink" Target="https://www.mercadolibre.com.mx/publicaciones/MLM1364825803/modificar/764991400-update-8b7f426b6bc6/product_detail" TargetMode="External"/><Relationship Id="rId34" Type="http://schemas.openxmlformats.org/officeDocument/2006/relationships/hyperlink" Target="https://www.mercadolibre.com.mx/roku-streambar-9102eu-de-voz-4k-negro-con-1gb-de-memoria-ram/p/MLM16479773/s?pdp_filters=category:MLM1000" TargetMode="External"/><Relationship Id="rId37" Type="http://schemas.openxmlformats.org/officeDocument/2006/relationships/hyperlink" Target="https://www.mercadolibre.com.mx/publicaciones/MLM1367956900/modificar/764991400-update-a38642c18b9d/product_detail" TargetMode="External"/><Relationship Id="rId36" Type="http://schemas.openxmlformats.org/officeDocument/2006/relationships/hyperlink" Target="https://www.mercadolibre.com.mx/apple-airpods-3-generacion-con-caja-de-carga-magsafe/p/MLM18639900/s" TargetMode="External"/><Relationship Id="rId39" Type="http://schemas.openxmlformats.org/officeDocument/2006/relationships/hyperlink" Target="https://www.mercadolibre.com.mx/publicaciones/listado?page=1&amp;search=1362959852&amp;sort=default" TargetMode="External"/><Relationship Id="rId38" Type="http://schemas.openxmlformats.org/officeDocument/2006/relationships/hyperlink" Target="https://www.mercadolibre.com.mx/apple-watch-series-6-gps-caja-de-aluminio-productred-de-40-mm-correa-deportiva-productred/p/MLM16205850?pdp_filters=category:MLM126793" TargetMode="External"/><Relationship Id="rId20" Type="http://schemas.openxmlformats.org/officeDocument/2006/relationships/hyperlink" Target="https://www.mercadolibre.com.mx/audifonos-in-ear-inalambricos-xiaomi-mi-earphones-2-basic-blanco/p/MLM16175292/s" TargetMode="External"/><Relationship Id="rId22" Type="http://schemas.openxmlformats.org/officeDocument/2006/relationships/hyperlink" Target="https://www.mercadolibre.com.mx/apple-airpods-pro-blanco/p/MLM15306525/s?pdp_filters=category:MLM5072" TargetMode="External"/><Relationship Id="rId21" Type="http://schemas.openxmlformats.org/officeDocument/2006/relationships/hyperlink" Target="https://www.mercadolibre.com.mx/publicaciones/MLM1330452732/modificar/764991400-update-15cc8e3e4e78/product_detail" TargetMode="External"/><Relationship Id="rId24" Type="http://schemas.openxmlformats.org/officeDocument/2006/relationships/hyperlink" Target="https://www.mercadolibre.com.mx/aspiradora-trapeadora-robot-xiaomi-mi-robot-vacuum-mop-essential-blanca-100v240v/p/MLM16997890/s" TargetMode="External"/><Relationship Id="rId23" Type="http://schemas.openxmlformats.org/officeDocument/2006/relationships/hyperlink" Target="https://www.mercadolibre.com.mx/publicaciones/MLM927019108/modificar/764991400-update-a2fa297b05cc/product_detail" TargetMode="External"/><Relationship Id="rId26" Type="http://schemas.openxmlformats.org/officeDocument/2006/relationships/hyperlink" Target="https://www.mercadolibre.com.mx/camara-de-seguridad-xiaomi-mi-home-security-camera-360-1080-p-con-resolucion-de-2mp-vision-nocturna-incluida-blanca/p/MLM18637782/s" TargetMode="External"/><Relationship Id="rId25" Type="http://schemas.openxmlformats.org/officeDocument/2006/relationships/hyperlink" Target="https://www.mercadolibre.com.mx/publicaciones/listado?filters=CHANNEL_ONLY_MARKETPLACE%7CCHANNEL_MARKETPLACE_MSHOPS&amp;page=1&amp;search=1375071912&amp;sort=DEFAULT" TargetMode="External"/><Relationship Id="rId28" Type="http://schemas.openxmlformats.org/officeDocument/2006/relationships/hyperlink" Target="https://www.mercadolibre.com.mx/publicaciones/MLM1372871257/modificar/764991400-update-219d6b327f88/product_detail" TargetMode="External"/><Relationship Id="rId27" Type="http://schemas.openxmlformats.org/officeDocument/2006/relationships/hyperlink" Target="https://www.mercadolibre.com.mx/audifonos-in-ear-inalambricos-jbl-under-armour-ua-project-rock-black/p/MLM15313313" TargetMode="External"/><Relationship Id="rId29" Type="http://schemas.openxmlformats.org/officeDocument/2006/relationships/hyperlink" Target="https://www.mercadolibre.com.mx/router-xiaomi-mi-4a-blanco-110v240v/p/MLM15314790/s?pdp_filters=category:MLM5015" TargetMode="External"/><Relationship Id="rId95" Type="http://schemas.openxmlformats.org/officeDocument/2006/relationships/hyperlink" Target="https://www.mercadolibre.com.mx/amazon-echo-dot-4th-gen-kids-con-asistente-virtual-alexa-tiger-110v240v/p/MLM18328230?pdp_filters=category:MLM187752" TargetMode="External"/><Relationship Id="rId94" Type="http://schemas.openxmlformats.org/officeDocument/2006/relationships/hyperlink" Target="https://www.mercadolibre.com.mx/bocina-xiaomi-mi-portable-bluetooth-speaker-xmyx04wm-portatil-gris/p/MLM18375791" TargetMode="External"/><Relationship Id="rId97" Type="http://schemas.openxmlformats.org/officeDocument/2006/relationships/hyperlink" Target="https://www.mercadolibre.com.mx/xiaomi-redmi-smart-band-pro-147-caja-de-nailon-reforzado-con-fibra-de-vidrio-negra-malla-negra-de-tpu/p/MLM19146618/s" TargetMode="External"/><Relationship Id="rId96" Type="http://schemas.openxmlformats.org/officeDocument/2006/relationships/hyperlink" Target="https://www.mercadolibre.com.mx/amazon-echo-show-8-con-asistente-virtual-alexa-pantalla-integrada-de-8-sandstone-110v240v/p/MLM15541913?pdp_filters=category:MLM187752" TargetMode="External"/><Relationship Id="rId11" Type="http://schemas.openxmlformats.org/officeDocument/2006/relationships/hyperlink" Target="https://www.mercadolibre.com.mx/publicaciones/MLM960650439/modificar/764991400-update-244722e406aa/product_detail" TargetMode="External"/><Relationship Id="rId99" Type="http://schemas.openxmlformats.org/officeDocument/2006/relationships/hyperlink" Target="https://www.mercadolibre.com.mx/apple-earpods-con-conector-lightning-blanco/p/MLM6347967?pdp_filters=category:MLM5072" TargetMode="External"/><Relationship Id="rId10" Type="http://schemas.openxmlformats.org/officeDocument/2006/relationships/hyperlink" Target="https://www.mercadolibre.com.mx/bocina-inteligente-xiaomi-mi-smart-speaker-l09g-con-asistente-virtual-google-assistant-blanca-100v240v/p/MLM16263608/s?pdp_filters=category:MLM438078" TargetMode="External"/><Relationship Id="rId98" Type="http://schemas.openxmlformats.org/officeDocument/2006/relationships/hyperlink" Target="https://www.mercadolibre.com.mx/audifonos-gamer-razer-kraken-razer-green/p/MLM15276047" TargetMode="External"/><Relationship Id="rId13" Type="http://schemas.openxmlformats.org/officeDocument/2006/relationships/hyperlink" Target="https://www.mercadolibre.com.mx/publicaciones/listado?page=1&amp;search=937333053&amp;sort=default" TargetMode="External"/><Relationship Id="rId12" Type="http://schemas.openxmlformats.org/officeDocument/2006/relationships/hyperlink" Target="https://www.mercadolibre.com.mx/audifonos-in-ear-inalambricos-xiaomi-redmi-airdots-2-negro/p/MLM16141900/s" TargetMode="External"/><Relationship Id="rId91" Type="http://schemas.openxmlformats.org/officeDocument/2006/relationships/hyperlink" Target="https://www.mercadolibre.com.mx/camara-de-seguridad-xiaomi-mi-360-home-security-camera-2k-pro-con-resolucion-de-4mp-vision-nocturna-incluida-blanca/p/MLM18597187?pdp_filters=category:MLM437575" TargetMode="External"/><Relationship Id="rId90" Type="http://schemas.openxmlformats.org/officeDocument/2006/relationships/hyperlink" Target="https://www.mercadolibre.com.mx/xiaomi-mi-box-s-mdz-22-ab-de-voz-4k-8gb-negro-con-2gb-de-memoria-ram/p/MLM13877783/s?pdp_filters=category:MLM126075" TargetMode="External"/><Relationship Id="rId93" Type="http://schemas.openxmlformats.org/officeDocument/2006/relationships/hyperlink" Target="https://www.mercadolibre.com.mx/publicaciones/MLM1449889675/modificar/764991400-update-0c9df4f76ac6/detail" TargetMode="External"/><Relationship Id="rId92" Type="http://schemas.openxmlformats.org/officeDocument/2006/relationships/hyperlink" Target="https://www.mercadolibre.com.mx/e-reader-kindle-10-gen-4gb-negro-con-pantalla-de-6-167ppp/p/MLM15395182?pdp_filters=category:MLM188942" TargetMode="External"/><Relationship Id="rId15" Type="http://schemas.openxmlformats.org/officeDocument/2006/relationships/hyperlink" Target="https://www.mercadolibre.com.mx/control-joystick-razer-wolverine-ultimate-negro/p/MLM15153208/s?pdp_filters=category:MLM1144" TargetMode="External"/><Relationship Id="rId14" Type="http://schemas.openxmlformats.org/officeDocument/2006/relationships/hyperlink" Target="https://www.mercadolibre.com.mx/publicaciones/MLM963461182/modificar/764991400-update-fc51fd491061/product_detail" TargetMode="External"/><Relationship Id="rId17" Type="http://schemas.openxmlformats.org/officeDocument/2006/relationships/hyperlink" Target="https://www.mercadolibre.com.mx/publicaciones/MLM956690848/modificar/764991400-update-51bad645d77f/product_detail" TargetMode="External"/><Relationship Id="rId16" Type="http://schemas.openxmlformats.org/officeDocument/2006/relationships/hyperlink" Target="https://www.mercadolibre.com.mx/xiaomi-mi-watch-139-caja-de-polimero-reforzado-con-fibra-de-vidrio-black-malla-black-de-tpu-xmwtcl02/p/MLM17361872/s?pdp_filters=category:MLM194341" TargetMode="External"/><Relationship Id="rId19" Type="http://schemas.openxmlformats.org/officeDocument/2006/relationships/hyperlink" Target="https://www.mercadolibre.com.mx/publicaciones/listado?filters=CHANNEL_MARKETPLACE&amp;page=1&amp;search=earphones" TargetMode="External"/><Relationship Id="rId18" Type="http://schemas.openxmlformats.org/officeDocument/2006/relationships/hyperlink" Target="https://www.mercadolibre.com.mx/xiaomi-mi-watch-lite-14-caja-navy-blue-malla-navy-blue-de-tpu-redmiwt02/p/MLM16929985/s" TargetMode="External"/><Relationship Id="rId84" Type="http://schemas.openxmlformats.org/officeDocument/2006/relationships/hyperlink" Target="https://www.mercadolibre.com.mx/publicaciones/MLM1431626038/modificar/764991400-update-d2b6c6b3c69b/product_detail" TargetMode="External"/><Relationship Id="rId83" Type="http://schemas.openxmlformats.org/officeDocument/2006/relationships/hyperlink" Target="https://www.mercadolibre.com.mx/microfono-razer-seiren-mini-condensador-supercardioide-rosa-cuarzo/p/MLM16650277/s" TargetMode="External"/><Relationship Id="rId86" Type="http://schemas.openxmlformats.org/officeDocument/2006/relationships/hyperlink" Target="https://www.mercadolibre.com.mx/apple-earpods-con-conector-de-35-mm-blanco/p/MLM15542339/?pdp_filters=category%3AMLM5072" TargetMode="External"/><Relationship Id="rId85" Type="http://schemas.openxmlformats.org/officeDocument/2006/relationships/hyperlink" Target="https://www.mercadolibre.com.mx/audifonos-gamer-razer-kraken-x-lite-black/p/MLM15469053/s" TargetMode="External"/><Relationship Id="rId88" Type="http://schemas.openxmlformats.org/officeDocument/2006/relationships/hyperlink" Target="https://www.mercadolibre.com.mx/audifonos-in-ear-gamer-inalambricos-xiaomi-redmi-airdots-3-pro-gris-glaciar/p/MLM18446994" TargetMode="External"/><Relationship Id="rId87" Type="http://schemas.openxmlformats.org/officeDocument/2006/relationships/hyperlink" Target="https://www.mercadolibre.com.mx/audifonos-in-ear-inalambricos-xiaomi-redmi-buds-3-blanco/p/MLM19088986" TargetMode="External"/><Relationship Id="rId89" Type="http://schemas.openxmlformats.org/officeDocument/2006/relationships/hyperlink" Target="https://www.mercadolibre.com.mx/audifonos-in-ear-gamer-inalambricos-xiaomi-redmi-airdots-3-pro-gris-glaciar/p/MLM18446994" TargetMode="External"/><Relationship Id="rId80" Type="http://schemas.openxmlformats.org/officeDocument/2006/relationships/hyperlink" Target="https://www.mercadolibre.com.mx/apple-tv-hd-a1625-4-generacion-2015-de-voz-full-hd-32gb-negro-con-2gb-de-memoria-ram/p/MLM6253544?pdp_filters=category:MLM126075" TargetMode="External"/><Relationship Id="rId82" Type="http://schemas.openxmlformats.org/officeDocument/2006/relationships/hyperlink" Target="https://www.mercadolibre.com.mx/teclado-gamer-razer-ornata-v2-qwerty-mecha-membrane-espanol-color-negro-con-luz-rgb/p/MLM16155428/s" TargetMode="External"/><Relationship Id="rId81" Type="http://schemas.openxmlformats.org/officeDocument/2006/relationships/hyperlink" Target="https://www.mercadolibre.com.mx/teclado-gamer-razer-cynosa-v2-qwerty-espanol-color-negro-con-luz-rgb/p/MLM16219190?pdp_filters=category:MLM418451" TargetMode="External"/><Relationship Id="rId1" Type="http://schemas.openxmlformats.org/officeDocument/2006/relationships/hyperlink" Target="https://www.mercadolibre.com.mx/publicaciones/MLM608098925/modificar/764991400-update-aa78281672a0/detail" TargetMode="External"/><Relationship Id="rId2" Type="http://schemas.openxmlformats.org/officeDocument/2006/relationships/hyperlink" Target="https://www.mercadolibre.com.mx/publicaciones/MLM682638186/modificar/764991400-update-14835c6eb051/detail" TargetMode="External"/><Relationship Id="rId3" Type="http://schemas.openxmlformats.org/officeDocument/2006/relationships/hyperlink" Target="https://www.mercadolibre.com.mx/publicaciones/MLM648656572/modificar/?callback_url=https%3A%2F%2Fwww.mercadolibre.com.mx%2Fpublicaciones%2Flistado%3Ffilters%253DCHANNEL_ONLY_MARKETPLACE%257CCHANNEL_MARKETPLACE_MSHOPS%257CEXCLUSIVE_CHANNEL_NOPROXIMITY%2526search%253D648656572%2526sort%253DDEFAULT%2526page%253D1&amp;from_subview=marketplace" TargetMode="External"/><Relationship Id="rId4" Type="http://schemas.openxmlformats.org/officeDocument/2006/relationships/hyperlink" Target="https://www.mercadolibre.com.mx/publicaciones/MLM741040525/modificar/764991400-update-f2c96cea7fb8/detail" TargetMode="External"/><Relationship Id="rId9" Type="http://schemas.openxmlformats.org/officeDocument/2006/relationships/hyperlink" Target="https://www.mercadolibre.com.mx/publicaciones/MLM659287446/modificar/764991400-update-fa7d60b348bd/detail" TargetMode="External"/><Relationship Id="rId5" Type="http://schemas.openxmlformats.org/officeDocument/2006/relationships/hyperlink" Target="https://www.mercadolibre.com.mx/publicaciones/MLM612395579/modificar/764991400-update-37662b346320/detail" TargetMode="External"/><Relationship Id="rId6" Type="http://schemas.openxmlformats.org/officeDocument/2006/relationships/hyperlink" Target="https://www.mercadolibre.com.mx/publicaciones/listado?filters=channel_only_marketplace%7Cchannel_marketplace_mshops&amp;page=1&amp;search=1347125652&amp;sort=default" TargetMode="External"/><Relationship Id="rId7" Type="http://schemas.openxmlformats.org/officeDocument/2006/relationships/hyperlink" Target="https://www.mercadolibre.com.mx/bocina-xiaomi-mi-compact-bluetooth-speaker-2-portatil-white/p/MLM15453885/s?pdp_filters=category:MLM438078" TargetMode="External"/><Relationship Id="rId8" Type="http://schemas.openxmlformats.org/officeDocument/2006/relationships/hyperlink" Target="https://www.mercadolibre.com.mx/publicaciones/MLM663293921/modificar/764991400-update-eaf910ab78a3/detail" TargetMode="External"/><Relationship Id="rId73" Type="http://schemas.openxmlformats.org/officeDocument/2006/relationships/hyperlink" Target="https://www.mercadolibre.com.mx/publicaciones/MLM1419045776/modificar/764991400-update-f56d1ed8a3b0/product_detail" TargetMode="External"/><Relationship Id="rId72" Type="http://schemas.openxmlformats.org/officeDocument/2006/relationships/hyperlink" Target="https://www.mercadolibre.com.mx/publicaciones/MLM963489127/modificar/764991400-update-855cac1544e6/detail" TargetMode="External"/><Relationship Id="rId75" Type="http://schemas.openxmlformats.org/officeDocument/2006/relationships/hyperlink" Target="https://www.mercadolibre.com.mx/xiaomi-mi-tv-stick-mdz-24-aa-de-voz-full-hd-8gb-negro-con-1gb-de-memoria-ram/p/MLM15984003?pdp_filters=category:MLM126075" TargetMode="External"/><Relationship Id="rId74" Type="http://schemas.openxmlformats.org/officeDocument/2006/relationships/hyperlink" Target="https://www.mercadolibre.com.mx/xiaomi-mi-smart-band-6-156-caja-de-plastico-pc-black-malla-black-de-tpu-y-aleacion-de-aluminio-xmsh15hm/p/MLM17796174?pdp_filters=category:MLM126793" TargetMode="External"/><Relationship Id="rId77" Type="http://schemas.openxmlformats.org/officeDocument/2006/relationships/hyperlink" Target="https://www.mercadolibre.com.mx/router-xiaomi-mi-router-4c-blanco/p/MLM15356706" TargetMode="External"/><Relationship Id="rId76" Type="http://schemas.openxmlformats.org/officeDocument/2006/relationships/hyperlink" Target="https://www.mercadolibre.com.mx/router-xiaomi-mi-router-4c-blanco/p/MLM15356706" TargetMode="External"/><Relationship Id="rId79" Type="http://schemas.openxmlformats.org/officeDocument/2006/relationships/hyperlink" Target="https://www.mercadolibre.com.mx/bocina-xiaomi-mi-portable-bluetooth-speaker-16w-mdz-36-db-azul/p/MLM17341619?pdp_filters=category:MLM438078" TargetMode="External"/><Relationship Id="rId78" Type="http://schemas.openxmlformats.org/officeDocument/2006/relationships/hyperlink" Target="https://www.mercadolibre.com.mx/aspiradora-trapeadora-robot-xiaomi-mi-robot-vacuum-mop-1c-blanca-100v240v/p/MLM15833096?pdp_filters=category:MLM438286" TargetMode="External"/><Relationship Id="rId71" Type="http://schemas.openxmlformats.org/officeDocument/2006/relationships/hyperlink" Target="https://www.mercadolibre.com.mx/publicaciones/listado?page=1&amp;search=905167527&amp;sort=DEFAULT" TargetMode="External"/><Relationship Id="rId70" Type="http://schemas.openxmlformats.org/officeDocument/2006/relationships/hyperlink" Target="https://www.mercadolibre.com.mx/publicaciones/MLM1416256466/modificar/764991400-update-35944d8e6d66/product_detail" TargetMode="External"/><Relationship Id="rId62" Type="http://schemas.openxmlformats.org/officeDocument/2006/relationships/hyperlink" Target="https://www.mercadolibre.com.mx/publicaciones/MLM1404918760/modificar/764991400-update-b3fcf3d25fe9/detail" TargetMode="External"/><Relationship Id="rId61" Type="http://schemas.openxmlformats.org/officeDocument/2006/relationships/hyperlink" Target="https://www.mercadolibre.com.mx/audifonos-gamer-inalambricos-hyperx-cloud-flight-s-shadow-gray/p/MLM16136010?pdp_filters=category:MLM6777" TargetMode="External"/><Relationship Id="rId64" Type="http://schemas.openxmlformats.org/officeDocument/2006/relationships/hyperlink" Target="https://www.mercadolibre.com.mx/publicaciones/MLM1404952116/modificar/764991400-update-639bb5ecbaba/detail" TargetMode="External"/><Relationship Id="rId63" Type="http://schemas.openxmlformats.org/officeDocument/2006/relationships/hyperlink" Target="https://articulo.mercadolibre.com.mx/MLM-1404918760-adaptador-de-corriente-clavija-universal-internacional-viaje-_JM" TargetMode="External"/><Relationship Id="rId66" Type="http://schemas.openxmlformats.org/officeDocument/2006/relationships/hyperlink" Target="https://www.mercadolibre.com.mx/audifonos-in-ear-gamer-inalambricos-haylou-gt-series-gt7-negro/p/MLM19031160/s?pdp_filters=item_id:MLM1415608811" TargetMode="External"/><Relationship Id="rId65" Type="http://schemas.openxmlformats.org/officeDocument/2006/relationships/hyperlink" Target="https://articulo.mercadolibre.com.mx/MLM-1404952116-tv-stick-xiaomi-mi-4k-con-chromecast-integrado-para-android-_JM" TargetMode="External"/><Relationship Id="rId68" Type="http://schemas.openxmlformats.org/officeDocument/2006/relationships/hyperlink" Target="https://www.mercadolibre.com.mx/publicaciones/MLM1385992873/modificar/764991400-update-3ee58e2b99cc/product_detail" TargetMode="External"/><Relationship Id="rId67" Type="http://schemas.openxmlformats.org/officeDocument/2006/relationships/hyperlink" Target="https://www.mercadolibre.com.mx/audifonos-in-ear-gamer-inalambricos-xiaomi-redmi-buds-3-lite-negro/p/MLM19031223?product_trigger_id=MLM19031224&amp;pdp_filters=category%3AMLM5072&amp;applied_product_filters=MLM19031224&amp;quantity=1" TargetMode="External"/><Relationship Id="rId60" Type="http://schemas.openxmlformats.org/officeDocument/2006/relationships/hyperlink" Target="https://www.mercadolibre.com.mx/publicaciones/MLM1404254755/modificar/764991400-update-3c9763edd822/product_detail" TargetMode="External"/><Relationship Id="rId69" Type="http://schemas.openxmlformats.org/officeDocument/2006/relationships/hyperlink" Target="https://www.mercadolibre.com.mx/publicaciones/MLM1385992873/modificar/764991400-update-3ee58e2b99cc/product_detail" TargetMode="External"/><Relationship Id="rId51" Type="http://schemas.openxmlformats.org/officeDocument/2006/relationships/hyperlink" Target="https://www.mercadolibre.com.mx/tablet-amazon-fire-hd-10-2021-kftrwi-101-32gb-lavander-3gb-de-memoria-ram/p/MLM18477992?pdp_filters=category:MLM82070" TargetMode="External"/><Relationship Id="rId50" Type="http://schemas.openxmlformats.org/officeDocument/2006/relationships/hyperlink" Target="https://www.mercadolibre.com.mx/publicaciones/MLM1401274995/modificar/764991400-update-905b475aaa78/product_detail" TargetMode="External"/><Relationship Id="rId53" Type="http://schemas.openxmlformats.org/officeDocument/2006/relationships/hyperlink" Target="https://www.mercadolibre.com.mx/tablet-amazon-fire-hd-10-2021-kftrwi-101-32gb-olive-3gb-de-memoria-ram/p/MLM18477993" TargetMode="External"/><Relationship Id="rId52" Type="http://schemas.openxmlformats.org/officeDocument/2006/relationships/hyperlink" Target="https://www.mercadolibre.com.mx/publicaciones/MLM1401318947/modificar/764991400-update-f8cd414c333a/product_detail" TargetMode="External"/><Relationship Id="rId55" Type="http://schemas.openxmlformats.org/officeDocument/2006/relationships/hyperlink" Target="https://www.mercadolibre.com.mx/tablet-amazon-fire-hd-10-2021-kftrwi-101-32gb-lavander-3gb-de-memoria-ram/p/MLM18477992?product_trigger_id=MLM18477993&amp;quantity=1" TargetMode="External"/><Relationship Id="rId54" Type="http://schemas.openxmlformats.org/officeDocument/2006/relationships/hyperlink" Target="https://www.mercadolibre.com.mx/publicaciones/MLM1401343631/modificar/764991400-update-b3c4bd3ff7bd/product_detail" TargetMode="External"/><Relationship Id="rId57" Type="http://schemas.openxmlformats.org/officeDocument/2006/relationships/hyperlink" Target="https://www.mercadolibre.com.mx/tablet-amazon-fire-hd-10-2021-kftrwi-101-32gb-lavander-3gb-de-memoria-ram/p/MLM18477992?product_trigger_id=MLM18477993&amp;quantity=1" TargetMode="External"/><Relationship Id="rId56" Type="http://schemas.openxmlformats.org/officeDocument/2006/relationships/hyperlink" Target="https://www.mercadolibre.com.mx/publicaciones/MLM1401343734/modificar/764991400-update-dc8ff2a07465/product_detail" TargetMode="External"/><Relationship Id="rId59" Type="http://schemas.openxmlformats.org/officeDocument/2006/relationships/hyperlink" Target="https://www.mercadolibre.com.mx/smartwatch-fitbit-sense-159-caja-de-aluminio-anodizado-graphite-stainless-steel-malla-carbon-de-elastomero-y-aluminio-anodizado-fb512/p/MLM18601046?pdp_filters=category:MLM126793" TargetMode="External"/><Relationship Id="rId58" Type="http://schemas.openxmlformats.org/officeDocument/2006/relationships/hyperlink" Target="https://www.mercadolibre.com.mx/publicaciones/MLM1404241750/modificar/764991400-update-f194c9c67ed6/product_detail"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amazon.com.mx/Xiaomi-Router-Amplificador-WiFi-Blanco/dp/B09HSV3JZ5" TargetMode="External"/><Relationship Id="rId10" Type="http://schemas.openxmlformats.org/officeDocument/2006/relationships/hyperlink" Target="https://www.amazon.com.mx/dp/B085G5CDY7?ref=myi_title_dp" TargetMode="External"/><Relationship Id="rId13" Type="http://schemas.openxmlformats.org/officeDocument/2006/relationships/hyperlink" Target="https://www.amazon.com.mx/dp/B07RD3FNTN?ref=myi_title_dp" TargetMode="External"/><Relationship Id="rId12" Type="http://schemas.openxmlformats.org/officeDocument/2006/relationships/hyperlink" Target="https://www.amazon.com.mx/dp/B09FBZ4D9T?ref=myi_title_dp" TargetMode="External"/><Relationship Id="rId15" Type="http://schemas.openxmlformats.org/officeDocument/2006/relationships/hyperlink" Target="https://www.amazon.com.mx/dp/B085BP7ZC5?ref=myi_title_dp" TargetMode="External"/><Relationship Id="rId14" Type="http://schemas.openxmlformats.org/officeDocument/2006/relationships/hyperlink" Target="https://www.amazon.com.mx/dp/B075M47H3H?ref=myi_title_dp" TargetMode="External"/><Relationship Id="rId17" Type="http://schemas.openxmlformats.org/officeDocument/2006/relationships/hyperlink" Target="https://www.amazon.com.mx/Xiaomi-Seguridad-Wireless-Outdoor-Camera/dp/B09DQ21SBC/ref=sr_1_8?__mk_es_MX=%C3%85M%C3%85%C5%BD%C3%95%C3%91&amp;keywords=Xiaomi+C%C3%A1mara+De+Seguridad+Inal%C3%A1mbrica+Para+Exterior+1080p&amp;qid=1664910297&amp;sr=8-8" TargetMode="External"/><Relationship Id="rId16" Type="http://schemas.openxmlformats.org/officeDocument/2006/relationships/hyperlink" Target="https://www.amazon.com.mx/Xiaomi-seguridad-inal%C3%A1mbrica-exteriores-resistente/dp/B09DQ24TGX/ref=sr_1_4?__mk_es_MX=%C3%85M%C3%85%C5%BD%C3%95%C3%91&amp;keywords=Xiaomi+C%C3%A1mara+De+Seguridad+Inal%C3%A1mbrica+Para+Exterior+1080p&amp;qid=1664910297&amp;sr=8-4" TargetMode="External"/><Relationship Id="rId18" Type="http://schemas.openxmlformats.org/officeDocument/2006/relationships/drawing" Target="../drawings/drawing3.xml"/><Relationship Id="rId1" Type="http://schemas.openxmlformats.org/officeDocument/2006/relationships/hyperlink" Target="https://www.amazon.com.mx/dp/B07KB1KLYN?ref=myi_title_dp" TargetMode="External"/><Relationship Id="rId2" Type="http://schemas.openxmlformats.org/officeDocument/2006/relationships/hyperlink" Target="https://www.amazon.com.mx/dp/B089NS9JW2?ref=myi_title_dp" TargetMode="External"/><Relationship Id="rId3" Type="http://schemas.openxmlformats.org/officeDocument/2006/relationships/hyperlink" Target="https://www.amazon.com.mx/dp/B08RMX5XVR?ref=myi_title_dp" TargetMode="External"/><Relationship Id="rId4" Type="http://schemas.openxmlformats.org/officeDocument/2006/relationships/hyperlink" Target="https://www.amazon.com.mx/dp/B0916TKFF2?ref=myi_title_dp" TargetMode="External"/><Relationship Id="rId9" Type="http://schemas.openxmlformats.org/officeDocument/2006/relationships/hyperlink" Target="https://www.amazon.com.mx/dp/B09C3W56FC?ref=myi_title_dp" TargetMode="External"/><Relationship Id="rId5" Type="http://schemas.openxmlformats.org/officeDocument/2006/relationships/hyperlink" Target="https://www.amazon.com.mx/dp/B089NR5WZ8?ref=myi_title_dp" TargetMode="External"/><Relationship Id="rId6" Type="http://schemas.openxmlformats.org/officeDocument/2006/relationships/hyperlink" Target="https://www.amazon.com.mx/dp/B091V6V2CL?ref=myi_title_dp&amp;th=1" TargetMode="External"/><Relationship Id="rId7" Type="http://schemas.openxmlformats.org/officeDocument/2006/relationships/hyperlink" Target="https://www.amazon.com.mx/dp/B086W5Y1CG?ref=myi_title_dp" TargetMode="External"/><Relationship Id="rId8" Type="http://schemas.openxmlformats.org/officeDocument/2006/relationships/hyperlink" Target="https://www.amazon.com.mx/dp/B08BRGH7S3?ref=myi_title_d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amazon.com.mx/Xiaomi-Router-Amplificador-WiFi-Blanco/dp/B09HSV3JZ5" TargetMode="External"/><Relationship Id="rId10" Type="http://schemas.openxmlformats.org/officeDocument/2006/relationships/hyperlink" Target="https://www.amazon.com.mx/dp/B085G5CDY7?ref=myi_title_dp" TargetMode="External"/><Relationship Id="rId13" Type="http://schemas.openxmlformats.org/officeDocument/2006/relationships/hyperlink" Target="https://www.amazon.com.mx/dp/B07RD3FNTN?ref=myi_title_dp" TargetMode="External"/><Relationship Id="rId12" Type="http://schemas.openxmlformats.org/officeDocument/2006/relationships/hyperlink" Target="https://www.amazon.com.mx/dp/B09FBZ4D9T?ref=myi_title_dp" TargetMode="External"/><Relationship Id="rId15" Type="http://schemas.openxmlformats.org/officeDocument/2006/relationships/hyperlink" Target="https://www.amazon.com.mx/dp/B085BP7ZC5?ref=myi_title_dp" TargetMode="External"/><Relationship Id="rId14" Type="http://schemas.openxmlformats.org/officeDocument/2006/relationships/hyperlink" Target="https://www.amazon.com.mx/dp/B075M47H3H?ref=myi_title_dp" TargetMode="External"/><Relationship Id="rId17" Type="http://schemas.openxmlformats.org/officeDocument/2006/relationships/hyperlink" Target="https://www.amazon.com.mx/Xiaomi-Seguridad-Wireless-Outdoor-Camera/dp/B09DQ21SBC/ref=sr_1_8?__mk_es_MX=%C3%85M%C3%85%C5%BD%C3%95%C3%91&amp;keywords=Xiaomi+C%C3%A1mara+De+Seguridad+Inal%C3%A1mbrica+Para+Exterior+1080p&amp;qid=1664910297&amp;sr=8-8" TargetMode="External"/><Relationship Id="rId16" Type="http://schemas.openxmlformats.org/officeDocument/2006/relationships/hyperlink" Target="https://www.amazon.com.mx/Xiaomi-seguridad-inal%C3%A1mbrica-exteriores-resistente/dp/B09DQ24TGX/ref=sr_1_4?__mk_es_MX=%C3%85M%C3%85%C5%BD%C3%95%C3%91&amp;keywords=Xiaomi+C%C3%A1mara+De+Seguridad+Inal%C3%A1mbrica+Para+Exterior+1080p&amp;qid=1664910297&amp;sr=8-4" TargetMode="External"/><Relationship Id="rId18" Type="http://schemas.openxmlformats.org/officeDocument/2006/relationships/drawing" Target="../drawings/drawing5.xml"/><Relationship Id="rId1" Type="http://schemas.openxmlformats.org/officeDocument/2006/relationships/hyperlink" Target="https://www.amazon.com.mx/dp/B07KB1KLYN?ref=myi_title_dp" TargetMode="External"/><Relationship Id="rId2" Type="http://schemas.openxmlformats.org/officeDocument/2006/relationships/hyperlink" Target="https://www.amazon.com.mx/dp/B089NS9JW2?ref=myi_title_dp" TargetMode="External"/><Relationship Id="rId3" Type="http://schemas.openxmlformats.org/officeDocument/2006/relationships/hyperlink" Target="https://www.amazon.com.mx/dp/B08RMX5XVR?ref=myi_title_dp" TargetMode="External"/><Relationship Id="rId4" Type="http://schemas.openxmlformats.org/officeDocument/2006/relationships/hyperlink" Target="https://www.amazon.com.mx/dp/B0916TKFF2?ref=myi_title_dp" TargetMode="External"/><Relationship Id="rId9" Type="http://schemas.openxmlformats.org/officeDocument/2006/relationships/hyperlink" Target="https://www.amazon.com.mx/dp/B09C3W56FC?ref=myi_title_dp" TargetMode="External"/><Relationship Id="rId5" Type="http://schemas.openxmlformats.org/officeDocument/2006/relationships/hyperlink" Target="https://www.amazon.com.mx/dp/B089NR5WZ8?ref=myi_title_dp" TargetMode="External"/><Relationship Id="rId6" Type="http://schemas.openxmlformats.org/officeDocument/2006/relationships/hyperlink" Target="https://www.amazon.com.mx/dp/B091V6V2CL?ref=myi_title_dp&amp;th=1" TargetMode="External"/><Relationship Id="rId7" Type="http://schemas.openxmlformats.org/officeDocument/2006/relationships/hyperlink" Target="https://www.amazon.com.mx/dp/B086W5Y1CG?ref=myi_title_dp" TargetMode="External"/><Relationship Id="rId8" Type="http://schemas.openxmlformats.org/officeDocument/2006/relationships/hyperlink" Target="https://www.amazon.com.mx/dp/B08BRGH7S3?ref=myi_title_dp"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0"/>
    <col customWidth="1" min="4" max="4" width="11.71"/>
    <col customWidth="1" min="5" max="5" width="10.14"/>
    <col customWidth="1" min="6" max="6" width="10.86"/>
    <col customWidth="1" min="7" max="7" width="9.57"/>
  </cols>
  <sheetData>
    <row r="1">
      <c r="A1" s="1">
        <v>2.970684658E9</v>
      </c>
      <c r="B1" s="1" t="s">
        <v>0</v>
      </c>
      <c r="I1" s="2"/>
    </row>
    <row r="2">
      <c r="A2" s="1" t="s">
        <v>1</v>
      </c>
      <c r="B2" s="1">
        <v>699.0</v>
      </c>
    </row>
    <row r="3">
      <c r="A3" s="1" t="s">
        <v>2</v>
      </c>
      <c r="B3" s="1">
        <v>490.0</v>
      </c>
    </row>
    <row r="4">
      <c r="A4" s="1" t="s">
        <v>3</v>
      </c>
      <c r="B4" s="1">
        <v>170.0</v>
      </c>
    </row>
    <row r="5">
      <c r="A5" s="1" t="s">
        <v>4</v>
      </c>
      <c r="B5" s="1">
        <v>799.0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75"/>
  <cols>
    <col customWidth="1" min="1" max="1" width="17.29"/>
    <col customWidth="1" min="2" max="2" width="21.43"/>
    <col customWidth="1" min="3" max="3" width="39.86"/>
    <col customWidth="1" min="4" max="4" width="16.43"/>
    <col customWidth="1" min="5" max="5" width="18.14"/>
    <col customWidth="1" min="6" max="6" width="17.57"/>
    <col customWidth="1" min="7" max="7" width="14.57"/>
    <col customWidth="1" min="8" max="9" width="12.43"/>
    <col customWidth="1" min="10" max="10" width="8.71"/>
    <col customWidth="1" min="11" max="11" width="11.29"/>
    <col customWidth="1" min="12" max="12" width="8.57"/>
    <col customWidth="1" min="13" max="13" width="19.57"/>
    <col customWidth="1" min="14" max="14" width="31.0"/>
  </cols>
  <sheetData>
    <row r="1" ht="79.5" customHeight="1">
      <c r="A1" s="3"/>
    </row>
    <row r="2">
      <c r="A2" s="4" t="s">
        <v>5</v>
      </c>
    </row>
    <row r="3">
      <c r="A3" s="5"/>
      <c r="B3" s="5"/>
      <c r="C3" s="6"/>
      <c r="D3" s="7"/>
      <c r="E3" s="8" t="s">
        <v>6</v>
      </c>
      <c r="G3" s="9"/>
      <c r="H3" s="10"/>
      <c r="I3" s="11"/>
      <c r="J3" s="7"/>
      <c r="K3" s="7"/>
      <c r="L3" s="10"/>
      <c r="M3" s="11"/>
      <c r="N3" s="12"/>
    </row>
    <row r="4">
      <c r="A4" s="5" t="s">
        <v>7</v>
      </c>
      <c r="B4" s="5" t="s">
        <v>8</v>
      </c>
      <c r="C4" s="6" t="s">
        <v>9</v>
      </c>
      <c r="D4" s="7" t="s">
        <v>10</v>
      </c>
      <c r="E4" s="11" t="s">
        <v>11</v>
      </c>
      <c r="F4" s="11" t="s">
        <v>12</v>
      </c>
      <c r="G4" s="9" t="s">
        <v>13</v>
      </c>
      <c r="H4" s="10" t="s">
        <v>14</v>
      </c>
      <c r="I4" s="11" t="s">
        <v>14</v>
      </c>
      <c r="J4" s="7" t="s">
        <v>15</v>
      </c>
      <c r="K4" s="7" t="s">
        <v>16</v>
      </c>
      <c r="L4" s="10" t="s">
        <v>17</v>
      </c>
      <c r="M4" s="11" t="s">
        <v>18</v>
      </c>
      <c r="N4" s="12"/>
    </row>
    <row r="5">
      <c r="A5" s="13"/>
      <c r="B5" s="14" t="s">
        <v>19</v>
      </c>
      <c r="C5" s="15" t="s">
        <v>20</v>
      </c>
      <c r="D5" s="16">
        <v>399.0</v>
      </c>
      <c r="E5" s="16">
        <f t="shared" ref="E5:E1746" si="1">D5*0.069</f>
        <v>27.531</v>
      </c>
      <c r="F5" s="16">
        <f t="shared" ref="F5:F1143" si="2">D5*0.0215</f>
        <v>8.5785</v>
      </c>
      <c r="G5" s="17">
        <v>273.43</v>
      </c>
      <c r="H5" s="18">
        <v>0.1</v>
      </c>
      <c r="I5" s="16">
        <f t="shared" ref="I5:I19" si="3">H5*D5</f>
        <v>39.9</v>
      </c>
      <c r="J5" s="16">
        <v>67.5</v>
      </c>
      <c r="K5" s="16">
        <f t="shared" ref="K5:K1483" si="4">D5-G5-I5-J5-E5-F5</f>
        <v>-17.9395</v>
      </c>
      <c r="L5" s="19">
        <f t="shared" ref="L5:L1483" si="5">K5/G5</f>
        <v>-0.06560911385</v>
      </c>
      <c r="M5" s="16">
        <f t="shared" ref="M5:M1654" si="6">D5-E5-F5-I5-J5</f>
        <v>255.4905</v>
      </c>
      <c r="N5" s="20"/>
    </row>
    <row r="6">
      <c r="A6" s="21"/>
      <c r="B6" s="21" t="s">
        <v>21</v>
      </c>
      <c r="C6" s="15" t="s">
        <v>22</v>
      </c>
      <c r="D6" s="16">
        <v>269.0</v>
      </c>
      <c r="E6" s="16">
        <f t="shared" si="1"/>
        <v>18.561</v>
      </c>
      <c r="F6" s="16">
        <f t="shared" si="2"/>
        <v>5.7835</v>
      </c>
      <c r="G6" s="17">
        <v>92.61</v>
      </c>
      <c r="H6" s="18">
        <v>0.1</v>
      </c>
      <c r="I6" s="16">
        <f t="shared" si="3"/>
        <v>26.9</v>
      </c>
      <c r="J6" s="16"/>
      <c r="K6" s="16">
        <f t="shared" si="4"/>
        <v>125.1455</v>
      </c>
      <c r="L6" s="19">
        <f t="shared" si="5"/>
        <v>1.351317352</v>
      </c>
      <c r="M6" s="16">
        <f t="shared" si="6"/>
        <v>217.7555</v>
      </c>
      <c r="N6" s="20"/>
    </row>
    <row r="7">
      <c r="A7" s="22"/>
      <c r="B7" s="23" t="s">
        <v>23</v>
      </c>
      <c r="C7" s="24"/>
      <c r="D7" s="25">
        <v>4299.0</v>
      </c>
      <c r="E7" s="16">
        <f t="shared" si="1"/>
        <v>296.631</v>
      </c>
      <c r="F7" s="16">
        <f t="shared" si="2"/>
        <v>92.4285</v>
      </c>
      <c r="G7" s="26">
        <v>3305.02</v>
      </c>
      <c r="H7" s="27">
        <v>0.145</v>
      </c>
      <c r="I7" s="28">
        <f t="shared" si="3"/>
        <v>623.355</v>
      </c>
      <c r="J7" s="25">
        <v>65.0</v>
      </c>
      <c r="K7" s="16">
        <f t="shared" si="4"/>
        <v>-83.4345</v>
      </c>
      <c r="L7" s="19">
        <f t="shared" si="5"/>
        <v>-0.02524477915</v>
      </c>
      <c r="M7" s="16">
        <f t="shared" si="6"/>
        <v>3221.5855</v>
      </c>
      <c r="N7" s="20"/>
    </row>
    <row r="8">
      <c r="A8" s="21"/>
      <c r="B8" s="21" t="s">
        <v>24</v>
      </c>
      <c r="C8" s="15" t="s">
        <v>22</v>
      </c>
      <c r="D8" s="29">
        <v>159.0</v>
      </c>
      <c r="E8" s="16">
        <f t="shared" si="1"/>
        <v>10.971</v>
      </c>
      <c r="F8" s="16">
        <f t="shared" si="2"/>
        <v>3.4185</v>
      </c>
      <c r="G8" s="17">
        <v>92.61</v>
      </c>
      <c r="H8" s="18">
        <v>0.15</v>
      </c>
      <c r="I8" s="16">
        <f t="shared" si="3"/>
        <v>23.85</v>
      </c>
      <c r="J8" s="29">
        <v>30.0</v>
      </c>
      <c r="K8" s="16">
        <f t="shared" si="4"/>
        <v>-1.8495</v>
      </c>
      <c r="L8" s="19">
        <f t="shared" si="5"/>
        <v>-0.01997084548</v>
      </c>
      <c r="M8" s="16">
        <f t="shared" si="6"/>
        <v>90.7605</v>
      </c>
      <c r="N8" s="20"/>
    </row>
    <row r="9">
      <c r="A9" s="21"/>
      <c r="B9" s="21" t="s">
        <v>25</v>
      </c>
      <c r="C9" s="15" t="s">
        <v>26</v>
      </c>
      <c r="D9" s="16">
        <v>290.0</v>
      </c>
      <c r="E9" s="16">
        <f t="shared" si="1"/>
        <v>20.01</v>
      </c>
      <c r="F9" s="16">
        <f t="shared" si="2"/>
        <v>6.235</v>
      </c>
      <c r="G9" s="17">
        <v>84.13</v>
      </c>
      <c r="H9" s="18">
        <v>0.1</v>
      </c>
      <c r="I9" s="16">
        <f t="shared" si="3"/>
        <v>29</v>
      </c>
      <c r="J9" s="16">
        <v>62.5</v>
      </c>
      <c r="K9" s="16">
        <f t="shared" si="4"/>
        <v>88.125</v>
      </c>
      <c r="L9" s="19">
        <f t="shared" si="5"/>
        <v>1.047486034</v>
      </c>
      <c r="M9" s="16">
        <f t="shared" si="6"/>
        <v>172.255</v>
      </c>
      <c r="N9" s="20"/>
    </row>
    <row r="10">
      <c r="A10" s="21"/>
      <c r="B10" s="21" t="s">
        <v>27</v>
      </c>
      <c r="C10" s="15" t="s">
        <v>28</v>
      </c>
      <c r="D10" s="29">
        <v>199.0</v>
      </c>
      <c r="E10" s="16">
        <f t="shared" si="1"/>
        <v>13.731</v>
      </c>
      <c r="F10" s="16">
        <f t="shared" si="2"/>
        <v>4.2785</v>
      </c>
      <c r="G10" s="17">
        <v>99.0</v>
      </c>
      <c r="H10" s="18">
        <v>0.19</v>
      </c>
      <c r="I10" s="16">
        <f t="shared" si="3"/>
        <v>37.81</v>
      </c>
      <c r="J10" s="29">
        <v>37.0</v>
      </c>
      <c r="K10" s="16">
        <f t="shared" si="4"/>
        <v>7.1805</v>
      </c>
      <c r="L10" s="19">
        <f t="shared" si="5"/>
        <v>0.07253030303</v>
      </c>
      <c r="M10" s="16">
        <f t="shared" si="6"/>
        <v>106.1805</v>
      </c>
      <c r="N10" s="20"/>
    </row>
    <row r="11">
      <c r="A11" s="21"/>
      <c r="B11" s="21" t="s">
        <v>29</v>
      </c>
      <c r="C11" s="15" t="s">
        <v>30</v>
      </c>
      <c r="D11" s="16">
        <v>799.0</v>
      </c>
      <c r="E11" s="16">
        <f t="shared" si="1"/>
        <v>55.131</v>
      </c>
      <c r="F11" s="16">
        <f t="shared" si="2"/>
        <v>17.1785</v>
      </c>
      <c r="G11" s="17">
        <v>370.08</v>
      </c>
      <c r="H11" s="18">
        <v>0.1</v>
      </c>
      <c r="I11" s="16">
        <f t="shared" si="3"/>
        <v>79.9</v>
      </c>
      <c r="J11" s="16">
        <v>102.5</v>
      </c>
      <c r="K11" s="16">
        <f t="shared" si="4"/>
        <v>174.2105</v>
      </c>
      <c r="L11" s="19">
        <f t="shared" si="5"/>
        <v>0.4707374081</v>
      </c>
      <c r="M11" s="16">
        <f t="shared" si="6"/>
        <v>544.2905</v>
      </c>
      <c r="N11" s="20"/>
    </row>
    <row r="12">
      <c r="A12" s="30"/>
      <c r="B12" s="30" t="s">
        <v>31</v>
      </c>
      <c r="C12" s="15" t="s">
        <v>32</v>
      </c>
      <c r="D12" s="16">
        <v>199.0</v>
      </c>
      <c r="E12" s="16">
        <f t="shared" si="1"/>
        <v>13.731</v>
      </c>
      <c r="F12" s="16">
        <f t="shared" si="2"/>
        <v>4.2785</v>
      </c>
      <c r="G12" s="17">
        <v>123.47</v>
      </c>
      <c r="H12" s="18">
        <v>0.1</v>
      </c>
      <c r="I12" s="16">
        <f t="shared" si="3"/>
        <v>19.9</v>
      </c>
      <c r="J12" s="16"/>
      <c r="K12" s="16">
        <f t="shared" si="4"/>
        <v>37.6205</v>
      </c>
      <c r="L12" s="19">
        <f t="shared" si="5"/>
        <v>0.3046934478</v>
      </c>
      <c r="M12" s="16">
        <f t="shared" si="6"/>
        <v>161.0905</v>
      </c>
      <c r="N12" s="20"/>
    </row>
    <row r="13">
      <c r="A13" s="21"/>
      <c r="B13" s="21" t="s">
        <v>33</v>
      </c>
      <c r="C13" s="31" t="s">
        <v>34</v>
      </c>
      <c r="D13" s="16">
        <v>201.0</v>
      </c>
      <c r="E13" s="16">
        <f t="shared" si="1"/>
        <v>13.869</v>
      </c>
      <c r="F13" s="16">
        <f t="shared" si="2"/>
        <v>4.3215</v>
      </c>
      <c r="G13" s="17">
        <v>120.87</v>
      </c>
      <c r="H13" s="18">
        <v>0.1</v>
      </c>
      <c r="I13" s="16">
        <f t="shared" si="3"/>
        <v>20.1</v>
      </c>
      <c r="J13" s="16"/>
      <c r="K13" s="16">
        <f t="shared" si="4"/>
        <v>41.8395</v>
      </c>
      <c r="L13" s="19">
        <f t="shared" si="5"/>
        <v>0.3461528915</v>
      </c>
      <c r="M13" s="16">
        <f t="shared" si="6"/>
        <v>162.7095</v>
      </c>
      <c r="N13" s="20"/>
    </row>
    <row r="14">
      <c r="A14" s="21"/>
      <c r="B14" s="21" t="s">
        <v>35</v>
      </c>
      <c r="C14" s="15" t="s">
        <v>36</v>
      </c>
      <c r="D14" s="16">
        <v>157.0</v>
      </c>
      <c r="E14" s="16">
        <f t="shared" si="1"/>
        <v>10.833</v>
      </c>
      <c r="F14" s="16">
        <f t="shared" si="2"/>
        <v>3.3755</v>
      </c>
      <c r="G14" s="17">
        <v>99.43</v>
      </c>
      <c r="H14" s="18">
        <v>0.1</v>
      </c>
      <c r="I14" s="16">
        <f t="shared" si="3"/>
        <v>15.7</v>
      </c>
      <c r="J14" s="16"/>
      <c r="K14" s="16">
        <f t="shared" si="4"/>
        <v>27.6615</v>
      </c>
      <c r="L14" s="19">
        <f t="shared" si="5"/>
        <v>0.2782007442</v>
      </c>
      <c r="M14" s="16">
        <f t="shared" si="6"/>
        <v>127.0915</v>
      </c>
      <c r="N14" s="20"/>
    </row>
    <row r="15">
      <c r="A15" s="30"/>
      <c r="B15" s="30" t="s">
        <v>37</v>
      </c>
      <c r="C15" s="15" t="s">
        <v>38</v>
      </c>
      <c r="D15" s="16">
        <v>43.64</v>
      </c>
      <c r="E15" s="16">
        <f t="shared" si="1"/>
        <v>3.01116</v>
      </c>
      <c r="F15" s="16">
        <f t="shared" si="2"/>
        <v>0.93826</v>
      </c>
      <c r="G15" s="32">
        <v>10.0</v>
      </c>
      <c r="H15" s="18">
        <v>0.1</v>
      </c>
      <c r="I15" s="16">
        <f t="shared" si="3"/>
        <v>4.364</v>
      </c>
      <c r="J15" s="16"/>
      <c r="K15" s="16">
        <f t="shared" si="4"/>
        <v>25.32658</v>
      </c>
      <c r="L15" s="19">
        <f t="shared" si="5"/>
        <v>2.532658</v>
      </c>
      <c r="M15" s="16">
        <f t="shared" si="6"/>
        <v>35.32658</v>
      </c>
      <c r="N15" s="20"/>
    </row>
    <row r="16">
      <c r="A16" s="21"/>
      <c r="B16" s="21" t="s">
        <v>39</v>
      </c>
      <c r="C16" s="15" t="s">
        <v>40</v>
      </c>
      <c r="D16" s="16">
        <v>482.0</v>
      </c>
      <c r="E16" s="16">
        <f t="shared" si="1"/>
        <v>33.258</v>
      </c>
      <c r="F16" s="16">
        <f t="shared" si="2"/>
        <v>10.363</v>
      </c>
      <c r="G16" s="17">
        <v>402.33</v>
      </c>
      <c r="H16" s="18">
        <v>0.1</v>
      </c>
      <c r="I16" s="16">
        <f t="shared" si="3"/>
        <v>48.2</v>
      </c>
      <c r="J16" s="16">
        <v>84.0</v>
      </c>
      <c r="K16" s="16">
        <f t="shared" si="4"/>
        <v>-96.151</v>
      </c>
      <c r="L16" s="19">
        <f t="shared" si="5"/>
        <v>-0.23898541</v>
      </c>
      <c r="M16" s="16">
        <f t="shared" si="6"/>
        <v>306.179</v>
      </c>
      <c r="N16" s="20"/>
    </row>
    <row r="17">
      <c r="A17" s="21"/>
      <c r="B17" s="21" t="s">
        <v>41</v>
      </c>
      <c r="C17" s="31" t="s">
        <v>42</v>
      </c>
      <c r="D17" s="16">
        <v>707.0</v>
      </c>
      <c r="E17" s="16">
        <f t="shared" si="1"/>
        <v>48.783</v>
      </c>
      <c r="F17" s="16">
        <f t="shared" si="2"/>
        <v>15.2005</v>
      </c>
      <c r="G17" s="17">
        <v>428.26</v>
      </c>
      <c r="H17" s="18">
        <v>0.1</v>
      </c>
      <c r="I17" s="16">
        <f t="shared" si="3"/>
        <v>70.7</v>
      </c>
      <c r="J17" s="16">
        <v>75.0</v>
      </c>
      <c r="K17" s="16">
        <f t="shared" si="4"/>
        <v>69.0565</v>
      </c>
      <c r="L17" s="19">
        <f t="shared" si="5"/>
        <v>0.1612490076</v>
      </c>
      <c r="M17" s="16">
        <f t="shared" si="6"/>
        <v>497.3165</v>
      </c>
      <c r="N17" s="20"/>
    </row>
    <row r="18">
      <c r="A18" s="30"/>
      <c r="B18" s="30" t="s">
        <v>43</v>
      </c>
      <c r="C18" s="15" t="s">
        <v>44</v>
      </c>
      <c r="D18" s="16">
        <v>623.0</v>
      </c>
      <c r="E18" s="16">
        <f t="shared" si="1"/>
        <v>42.987</v>
      </c>
      <c r="F18" s="16">
        <f t="shared" si="2"/>
        <v>13.3945</v>
      </c>
      <c r="G18" s="17">
        <v>410.8</v>
      </c>
      <c r="H18" s="18">
        <v>0.1</v>
      </c>
      <c r="I18" s="16">
        <f t="shared" si="3"/>
        <v>62.3</v>
      </c>
      <c r="J18" s="16">
        <v>91.5</v>
      </c>
      <c r="K18" s="16">
        <f t="shared" si="4"/>
        <v>2.0185</v>
      </c>
      <c r="L18" s="19">
        <f t="shared" si="5"/>
        <v>0.004913583252</v>
      </c>
      <c r="M18" s="16">
        <f t="shared" si="6"/>
        <v>412.8185</v>
      </c>
      <c r="N18" s="20"/>
    </row>
    <row r="19">
      <c r="A19" s="30"/>
      <c r="B19" s="30" t="s">
        <v>45</v>
      </c>
      <c r="C19" s="15" t="s">
        <v>46</v>
      </c>
      <c r="D19" s="16">
        <v>329.0</v>
      </c>
      <c r="E19" s="16">
        <f t="shared" si="1"/>
        <v>22.701</v>
      </c>
      <c r="F19" s="16">
        <f t="shared" si="2"/>
        <v>7.0735</v>
      </c>
      <c r="G19" s="17">
        <v>115.0</v>
      </c>
      <c r="H19" s="18">
        <v>0.1</v>
      </c>
      <c r="I19" s="16">
        <f t="shared" si="3"/>
        <v>32.9</v>
      </c>
      <c r="J19" s="16">
        <v>62.5</v>
      </c>
      <c r="K19" s="16">
        <f t="shared" si="4"/>
        <v>88.8255</v>
      </c>
      <c r="L19" s="19">
        <f t="shared" si="5"/>
        <v>0.7723956522</v>
      </c>
      <c r="M19" s="16">
        <f t="shared" si="6"/>
        <v>203.8255</v>
      </c>
      <c r="N19" s="20"/>
    </row>
    <row r="20">
      <c r="A20" s="21"/>
      <c r="B20" s="21" t="s">
        <v>47</v>
      </c>
      <c r="C20" s="31" t="s">
        <v>48</v>
      </c>
      <c r="D20" s="16">
        <v>279.0</v>
      </c>
      <c r="E20" s="16">
        <f t="shared" si="1"/>
        <v>19.251</v>
      </c>
      <c r="F20" s="16">
        <f t="shared" si="2"/>
        <v>5.9985</v>
      </c>
      <c r="G20" s="17">
        <v>73.67</v>
      </c>
      <c r="H20" s="18">
        <v>0.15</v>
      </c>
      <c r="I20" s="16">
        <f>H20*D20+30</f>
        <v>71.85</v>
      </c>
      <c r="J20" s="16"/>
      <c r="K20" s="16">
        <f t="shared" si="4"/>
        <v>108.2305</v>
      </c>
      <c r="L20" s="19">
        <f t="shared" si="5"/>
        <v>1.469125831</v>
      </c>
      <c r="M20" s="16">
        <f t="shared" si="6"/>
        <v>181.9005</v>
      </c>
      <c r="N20" s="20"/>
    </row>
    <row r="21">
      <c r="A21" s="23"/>
      <c r="B21" s="21" t="s">
        <v>49</v>
      </c>
      <c r="C21" s="15" t="s">
        <v>50</v>
      </c>
      <c r="D21" s="16">
        <v>499.0</v>
      </c>
      <c r="E21" s="16">
        <f t="shared" si="1"/>
        <v>34.431</v>
      </c>
      <c r="F21" s="16">
        <f t="shared" si="2"/>
        <v>10.7285</v>
      </c>
      <c r="G21" s="17">
        <v>236.9</v>
      </c>
      <c r="H21" s="18">
        <v>0.1</v>
      </c>
      <c r="I21" s="16">
        <f t="shared" ref="I21:I57" si="7">H21*D21</f>
        <v>49.9</v>
      </c>
      <c r="J21" s="16">
        <v>102.5</v>
      </c>
      <c r="K21" s="16">
        <f t="shared" si="4"/>
        <v>64.5405</v>
      </c>
      <c r="L21" s="19">
        <f t="shared" si="5"/>
        <v>0.2724377374</v>
      </c>
      <c r="M21" s="16">
        <f t="shared" si="6"/>
        <v>301.4405</v>
      </c>
      <c r="N21" s="20"/>
    </row>
    <row r="22">
      <c r="A22" s="30"/>
      <c r="B22" s="30" t="s">
        <v>51</v>
      </c>
      <c r="C22" s="15" t="s">
        <v>52</v>
      </c>
      <c r="D22" s="29">
        <v>379.0</v>
      </c>
      <c r="E22" s="16">
        <f t="shared" si="1"/>
        <v>26.151</v>
      </c>
      <c r="F22" s="16">
        <f t="shared" si="2"/>
        <v>8.1485</v>
      </c>
      <c r="G22" s="17">
        <v>294.92</v>
      </c>
      <c r="H22" s="18">
        <v>0.1</v>
      </c>
      <c r="I22" s="16">
        <f t="shared" si="7"/>
        <v>37.9</v>
      </c>
      <c r="J22" s="16">
        <v>72.5</v>
      </c>
      <c r="K22" s="16">
        <f t="shared" si="4"/>
        <v>-60.6195</v>
      </c>
      <c r="L22" s="19">
        <f t="shared" si="5"/>
        <v>-0.2055455717</v>
      </c>
      <c r="M22" s="16">
        <f t="shared" si="6"/>
        <v>234.3005</v>
      </c>
      <c r="N22" s="20"/>
    </row>
    <row r="23">
      <c r="A23" s="30"/>
      <c r="B23" s="30" t="s">
        <v>53</v>
      </c>
      <c r="C23" s="15" t="s">
        <v>54</v>
      </c>
      <c r="D23" s="16">
        <v>549.0</v>
      </c>
      <c r="E23" s="16">
        <f t="shared" si="1"/>
        <v>37.881</v>
      </c>
      <c r="F23" s="16">
        <f t="shared" si="2"/>
        <v>11.8035</v>
      </c>
      <c r="G23" s="17">
        <v>382.0</v>
      </c>
      <c r="H23" s="18">
        <v>0.1</v>
      </c>
      <c r="I23" s="16">
        <f t="shared" si="7"/>
        <v>54.9</v>
      </c>
      <c r="J23" s="16">
        <v>67.5</v>
      </c>
      <c r="K23" s="16">
        <f t="shared" si="4"/>
        <v>-5.0845</v>
      </c>
      <c r="L23" s="19">
        <f t="shared" si="5"/>
        <v>-0.01331020942</v>
      </c>
      <c r="M23" s="16">
        <f t="shared" si="6"/>
        <v>376.9155</v>
      </c>
      <c r="N23" s="20"/>
    </row>
    <row r="24">
      <c r="A24" s="30"/>
      <c r="B24" s="30" t="s">
        <v>55</v>
      </c>
      <c r="C24" s="15" t="s">
        <v>56</v>
      </c>
      <c r="D24" s="16">
        <v>469.0</v>
      </c>
      <c r="E24" s="16">
        <f t="shared" si="1"/>
        <v>32.361</v>
      </c>
      <c r="F24" s="16">
        <f t="shared" si="2"/>
        <v>10.0835</v>
      </c>
      <c r="G24" s="17">
        <v>290.0</v>
      </c>
      <c r="H24" s="18">
        <v>0.1</v>
      </c>
      <c r="I24" s="16">
        <f t="shared" si="7"/>
        <v>46.9</v>
      </c>
      <c r="J24" s="16">
        <v>78.0</v>
      </c>
      <c r="K24" s="16">
        <f t="shared" si="4"/>
        <v>11.6555</v>
      </c>
      <c r="L24" s="19">
        <f t="shared" si="5"/>
        <v>0.04019137931</v>
      </c>
      <c r="M24" s="16">
        <f t="shared" si="6"/>
        <v>301.6555</v>
      </c>
      <c r="N24" s="20"/>
    </row>
    <row r="25">
      <c r="A25" s="30"/>
      <c r="B25" s="30" t="s">
        <v>57</v>
      </c>
      <c r="C25" s="15" t="s">
        <v>58</v>
      </c>
      <c r="D25" s="16">
        <v>899.0</v>
      </c>
      <c r="E25" s="16">
        <f t="shared" si="1"/>
        <v>62.031</v>
      </c>
      <c r="F25" s="16">
        <f t="shared" si="2"/>
        <v>19.3285</v>
      </c>
      <c r="G25" s="17">
        <v>450.0</v>
      </c>
      <c r="H25" s="18">
        <v>0.1</v>
      </c>
      <c r="I25" s="16">
        <f t="shared" si="7"/>
        <v>89.9</v>
      </c>
      <c r="J25" s="16">
        <v>151.0</v>
      </c>
      <c r="K25" s="16">
        <f t="shared" si="4"/>
        <v>126.7405</v>
      </c>
      <c r="L25" s="19">
        <f t="shared" si="5"/>
        <v>0.2816455556</v>
      </c>
      <c r="M25" s="16">
        <f t="shared" si="6"/>
        <v>576.7405</v>
      </c>
      <c r="N25" s="20"/>
    </row>
    <row r="26">
      <c r="A26" s="30"/>
      <c r="B26" s="30" t="s">
        <v>59</v>
      </c>
      <c r="C26" s="15" t="s">
        <v>60</v>
      </c>
      <c r="D26" s="16">
        <v>299.0</v>
      </c>
      <c r="E26" s="16">
        <f t="shared" si="1"/>
        <v>20.631</v>
      </c>
      <c r="F26" s="16">
        <f t="shared" si="2"/>
        <v>6.4285</v>
      </c>
      <c r="G26" s="17">
        <v>175.0</v>
      </c>
      <c r="H26" s="18">
        <v>0.1</v>
      </c>
      <c r="I26" s="16">
        <f t="shared" si="7"/>
        <v>29.9</v>
      </c>
      <c r="J26" s="16">
        <v>78.0</v>
      </c>
      <c r="K26" s="16">
        <f t="shared" si="4"/>
        <v>-10.9595</v>
      </c>
      <c r="L26" s="19">
        <f t="shared" si="5"/>
        <v>-0.06262571429</v>
      </c>
      <c r="M26" s="16">
        <f t="shared" si="6"/>
        <v>164.0405</v>
      </c>
      <c r="N26" s="20"/>
    </row>
    <row r="27">
      <c r="A27" s="30"/>
      <c r="B27" s="30" t="s">
        <v>61</v>
      </c>
      <c r="C27" s="15" t="s">
        <v>62</v>
      </c>
      <c r="D27" s="16">
        <v>399.0</v>
      </c>
      <c r="E27" s="16">
        <f t="shared" si="1"/>
        <v>27.531</v>
      </c>
      <c r="F27" s="16">
        <f t="shared" si="2"/>
        <v>8.5785</v>
      </c>
      <c r="G27" s="17">
        <v>239.0</v>
      </c>
      <c r="H27" s="18">
        <v>0.1</v>
      </c>
      <c r="I27" s="16">
        <f t="shared" si="7"/>
        <v>39.9</v>
      </c>
      <c r="J27" s="16">
        <v>72.0</v>
      </c>
      <c r="K27" s="16">
        <f t="shared" si="4"/>
        <v>11.9905</v>
      </c>
      <c r="L27" s="19">
        <f t="shared" si="5"/>
        <v>0.05016945607</v>
      </c>
      <c r="M27" s="16">
        <f t="shared" si="6"/>
        <v>250.9905</v>
      </c>
      <c r="N27" s="20"/>
    </row>
    <row r="28">
      <c r="A28" s="30"/>
      <c r="B28" s="30" t="s">
        <v>63</v>
      </c>
      <c r="C28" s="15" t="s">
        <v>64</v>
      </c>
      <c r="D28" s="16">
        <v>299.0</v>
      </c>
      <c r="E28" s="16">
        <f t="shared" si="1"/>
        <v>20.631</v>
      </c>
      <c r="F28" s="16">
        <f t="shared" si="2"/>
        <v>6.4285</v>
      </c>
      <c r="G28" s="17">
        <v>123.0</v>
      </c>
      <c r="H28" s="18">
        <v>0.1</v>
      </c>
      <c r="I28" s="16">
        <f t="shared" si="7"/>
        <v>29.9</v>
      </c>
      <c r="J28" s="16">
        <v>78.0</v>
      </c>
      <c r="K28" s="16">
        <f t="shared" si="4"/>
        <v>41.0405</v>
      </c>
      <c r="L28" s="19">
        <f t="shared" si="5"/>
        <v>0.3336626016</v>
      </c>
      <c r="M28" s="16">
        <f t="shared" si="6"/>
        <v>164.0405</v>
      </c>
      <c r="N28" s="20"/>
    </row>
    <row r="29">
      <c r="A29" s="30"/>
      <c r="B29" s="30" t="s">
        <v>65</v>
      </c>
      <c r="C29" s="15" t="s">
        <v>66</v>
      </c>
      <c r="D29" s="16">
        <v>499.0</v>
      </c>
      <c r="E29" s="16">
        <f t="shared" si="1"/>
        <v>34.431</v>
      </c>
      <c r="F29" s="16">
        <f t="shared" si="2"/>
        <v>10.7285</v>
      </c>
      <c r="G29" s="17"/>
      <c r="H29" s="18">
        <v>0.1</v>
      </c>
      <c r="I29" s="16">
        <f t="shared" si="7"/>
        <v>49.9</v>
      </c>
      <c r="J29" s="16">
        <v>116.0</v>
      </c>
      <c r="K29" s="16">
        <f t="shared" si="4"/>
        <v>287.9405</v>
      </c>
      <c r="L29" s="19" t="str">
        <f t="shared" si="5"/>
        <v>#DIV/0!</v>
      </c>
      <c r="M29" s="16">
        <f t="shared" si="6"/>
        <v>287.9405</v>
      </c>
      <c r="N29" s="20"/>
    </row>
    <row r="30">
      <c r="A30" s="21"/>
      <c r="B30" s="21" t="s">
        <v>67</v>
      </c>
      <c r="C30" s="31" t="s">
        <v>68</v>
      </c>
      <c r="D30" s="16">
        <v>1955.0</v>
      </c>
      <c r="E30" s="16">
        <f t="shared" si="1"/>
        <v>134.895</v>
      </c>
      <c r="F30" s="16">
        <f t="shared" si="2"/>
        <v>42.0325</v>
      </c>
      <c r="G30" s="17">
        <v>1296.4</v>
      </c>
      <c r="H30" s="18">
        <v>0.1</v>
      </c>
      <c r="I30" s="16">
        <f t="shared" si="7"/>
        <v>195.5</v>
      </c>
      <c r="J30" s="16">
        <v>62.5</v>
      </c>
      <c r="K30" s="16">
        <f t="shared" si="4"/>
        <v>223.6725</v>
      </c>
      <c r="L30" s="19">
        <f t="shared" si="5"/>
        <v>0.1725335545</v>
      </c>
      <c r="M30" s="16">
        <f t="shared" si="6"/>
        <v>1520.0725</v>
      </c>
      <c r="N30" s="20"/>
    </row>
    <row r="31">
      <c r="A31" s="21"/>
      <c r="B31" s="21" t="s">
        <v>69</v>
      </c>
      <c r="C31" s="31" t="s">
        <v>70</v>
      </c>
      <c r="D31" s="16">
        <v>2599.0</v>
      </c>
      <c r="E31" s="16">
        <f t="shared" si="1"/>
        <v>179.331</v>
      </c>
      <c r="F31" s="16">
        <f t="shared" si="2"/>
        <v>55.8785</v>
      </c>
      <c r="G31" s="17">
        <v>1800.0</v>
      </c>
      <c r="H31" s="18">
        <v>0.1</v>
      </c>
      <c r="I31" s="16">
        <f t="shared" si="7"/>
        <v>259.9</v>
      </c>
      <c r="J31" s="16">
        <v>62.5</v>
      </c>
      <c r="K31" s="16">
        <f t="shared" si="4"/>
        <v>241.3905</v>
      </c>
      <c r="L31" s="19">
        <f t="shared" si="5"/>
        <v>0.1341058333</v>
      </c>
      <c r="M31" s="16">
        <f t="shared" si="6"/>
        <v>2041.3905</v>
      </c>
      <c r="N31" s="20"/>
    </row>
    <row r="32">
      <c r="A32" s="21"/>
      <c r="B32" s="21" t="s">
        <v>71</v>
      </c>
      <c r="C32" s="31" t="s">
        <v>72</v>
      </c>
      <c r="D32" s="16">
        <v>784.0</v>
      </c>
      <c r="E32" s="16">
        <f t="shared" si="1"/>
        <v>54.096</v>
      </c>
      <c r="F32" s="16">
        <f t="shared" si="2"/>
        <v>16.856</v>
      </c>
      <c r="G32" s="17">
        <v>611.91</v>
      </c>
      <c r="H32" s="18">
        <v>0.1</v>
      </c>
      <c r="I32" s="16">
        <f t="shared" si="7"/>
        <v>78.4</v>
      </c>
      <c r="J32" s="16">
        <v>62.0</v>
      </c>
      <c r="K32" s="16">
        <f t="shared" si="4"/>
        <v>-39.262</v>
      </c>
      <c r="L32" s="19">
        <f t="shared" si="5"/>
        <v>-0.06416303051</v>
      </c>
      <c r="M32" s="16">
        <f t="shared" si="6"/>
        <v>572.648</v>
      </c>
      <c r="N32" s="20"/>
    </row>
    <row r="33">
      <c r="A33" s="21"/>
      <c r="B33" s="21" t="s">
        <v>73</v>
      </c>
      <c r="C33" s="31" t="s">
        <v>74</v>
      </c>
      <c r="D33" s="16">
        <v>412.0</v>
      </c>
      <c r="E33" s="16">
        <f t="shared" si="1"/>
        <v>28.428</v>
      </c>
      <c r="F33" s="16">
        <f t="shared" si="2"/>
        <v>8.858</v>
      </c>
      <c r="G33" s="17">
        <v>274.26</v>
      </c>
      <c r="H33" s="18">
        <v>0.1</v>
      </c>
      <c r="I33" s="16">
        <f t="shared" si="7"/>
        <v>41.2</v>
      </c>
      <c r="J33" s="16">
        <v>67.5</v>
      </c>
      <c r="K33" s="16">
        <f t="shared" si="4"/>
        <v>-8.246</v>
      </c>
      <c r="L33" s="19">
        <f t="shared" si="5"/>
        <v>-0.03006636039</v>
      </c>
      <c r="M33" s="16">
        <f t="shared" si="6"/>
        <v>266.014</v>
      </c>
      <c r="N33" s="20"/>
    </row>
    <row r="34">
      <c r="A34" s="30"/>
      <c r="B34" s="30" t="s">
        <v>75</v>
      </c>
      <c r="C34" s="15" t="s">
        <v>76</v>
      </c>
      <c r="D34" s="16">
        <v>499.0</v>
      </c>
      <c r="E34" s="16">
        <f t="shared" si="1"/>
        <v>34.431</v>
      </c>
      <c r="F34" s="16">
        <f t="shared" si="2"/>
        <v>10.7285</v>
      </c>
      <c r="G34" s="17">
        <v>127.0</v>
      </c>
      <c r="H34" s="18">
        <v>0.1</v>
      </c>
      <c r="I34" s="16">
        <f t="shared" si="7"/>
        <v>49.9</v>
      </c>
      <c r="J34" s="16">
        <v>116.0</v>
      </c>
      <c r="K34" s="16">
        <f t="shared" si="4"/>
        <v>160.9405</v>
      </c>
      <c r="L34" s="19">
        <f t="shared" si="5"/>
        <v>1.267248031</v>
      </c>
      <c r="M34" s="16">
        <f t="shared" si="6"/>
        <v>287.9405</v>
      </c>
      <c r="N34" s="20"/>
    </row>
    <row r="35">
      <c r="A35" s="21"/>
      <c r="B35" s="21" t="s">
        <v>77</v>
      </c>
      <c r="C35" s="31" t="s">
        <v>78</v>
      </c>
      <c r="D35" s="16">
        <v>5999.0</v>
      </c>
      <c r="E35" s="16">
        <f t="shared" si="1"/>
        <v>413.931</v>
      </c>
      <c r="F35" s="16">
        <f t="shared" si="2"/>
        <v>128.9785</v>
      </c>
      <c r="G35" s="17">
        <v>627.34</v>
      </c>
      <c r="H35" s="18">
        <v>0.1</v>
      </c>
      <c r="I35" s="16">
        <f t="shared" si="7"/>
        <v>599.9</v>
      </c>
      <c r="J35" s="16">
        <v>57.0</v>
      </c>
      <c r="K35" s="16">
        <f t="shared" si="4"/>
        <v>4171.8505</v>
      </c>
      <c r="L35" s="19">
        <f t="shared" si="5"/>
        <v>6.650062964</v>
      </c>
      <c r="M35" s="16">
        <f t="shared" si="6"/>
        <v>4799.1905</v>
      </c>
      <c r="N35" s="20"/>
    </row>
    <row r="36">
      <c r="A36" s="21"/>
      <c r="B36" s="21" t="s">
        <v>79</v>
      </c>
      <c r="C36" s="31" t="s">
        <v>80</v>
      </c>
      <c r="D36" s="16">
        <v>3700.0</v>
      </c>
      <c r="E36" s="16">
        <f t="shared" si="1"/>
        <v>255.3</v>
      </c>
      <c r="F36" s="16">
        <f t="shared" si="2"/>
        <v>79.55</v>
      </c>
      <c r="G36" s="17">
        <v>2800.0</v>
      </c>
      <c r="H36" s="18">
        <v>0.1</v>
      </c>
      <c r="I36" s="16">
        <f t="shared" si="7"/>
        <v>370</v>
      </c>
      <c r="J36" s="16">
        <v>130.0</v>
      </c>
      <c r="K36" s="16">
        <f t="shared" si="4"/>
        <v>65.15</v>
      </c>
      <c r="L36" s="19">
        <f t="shared" si="5"/>
        <v>0.02326785714</v>
      </c>
      <c r="M36" s="16">
        <f t="shared" si="6"/>
        <v>2865.15</v>
      </c>
      <c r="N36" s="20"/>
    </row>
    <row r="37">
      <c r="A37" s="21"/>
      <c r="B37" s="21" t="s">
        <v>81</v>
      </c>
      <c r="C37" s="31" t="s">
        <v>82</v>
      </c>
      <c r="D37" s="16">
        <v>539.0</v>
      </c>
      <c r="E37" s="16">
        <f t="shared" si="1"/>
        <v>37.191</v>
      </c>
      <c r="F37" s="16">
        <f t="shared" si="2"/>
        <v>11.5885</v>
      </c>
      <c r="G37" s="17">
        <v>317.24</v>
      </c>
      <c r="H37" s="18">
        <v>0.1</v>
      </c>
      <c r="I37" s="16">
        <f t="shared" si="7"/>
        <v>53.9</v>
      </c>
      <c r="J37" s="16">
        <v>91.5</v>
      </c>
      <c r="K37" s="16">
        <f t="shared" si="4"/>
        <v>27.5805</v>
      </c>
      <c r="L37" s="19">
        <f t="shared" si="5"/>
        <v>0.0869389106</v>
      </c>
      <c r="M37" s="16">
        <f t="shared" si="6"/>
        <v>344.8205</v>
      </c>
      <c r="N37" s="20"/>
    </row>
    <row r="38">
      <c r="A38" s="21"/>
      <c r="B38" s="21" t="s">
        <v>83</v>
      </c>
      <c r="C38" s="31" t="s">
        <v>84</v>
      </c>
      <c r="D38" s="16">
        <v>1199.0</v>
      </c>
      <c r="E38" s="16">
        <f t="shared" si="1"/>
        <v>82.731</v>
      </c>
      <c r="F38" s="16">
        <f t="shared" si="2"/>
        <v>25.7785</v>
      </c>
      <c r="G38" s="17">
        <v>566.17</v>
      </c>
      <c r="H38" s="18">
        <v>0.1</v>
      </c>
      <c r="I38" s="16">
        <f t="shared" si="7"/>
        <v>119.9</v>
      </c>
      <c r="J38" s="16">
        <v>60.0</v>
      </c>
      <c r="K38" s="16">
        <f t="shared" si="4"/>
        <v>344.4205</v>
      </c>
      <c r="L38" s="19">
        <f t="shared" si="5"/>
        <v>0.6083340693</v>
      </c>
      <c r="M38" s="16">
        <f t="shared" si="6"/>
        <v>910.5905</v>
      </c>
      <c r="N38" s="20"/>
    </row>
    <row r="39">
      <c r="A39" s="30"/>
      <c r="B39" s="30" t="s">
        <v>85</v>
      </c>
      <c r="C39" s="15" t="s">
        <v>86</v>
      </c>
      <c r="D39" s="16">
        <v>99.0</v>
      </c>
      <c r="E39" s="16">
        <f t="shared" si="1"/>
        <v>6.831</v>
      </c>
      <c r="F39" s="16">
        <f t="shared" si="2"/>
        <v>2.1285</v>
      </c>
      <c r="G39" s="17">
        <v>62.0</v>
      </c>
      <c r="H39" s="18">
        <v>0.1</v>
      </c>
      <c r="I39" s="16">
        <f t="shared" si="7"/>
        <v>9.9</v>
      </c>
      <c r="J39" s="16"/>
      <c r="K39" s="16">
        <f t="shared" si="4"/>
        <v>18.1405</v>
      </c>
      <c r="L39" s="19">
        <f t="shared" si="5"/>
        <v>0.2925887097</v>
      </c>
      <c r="M39" s="16">
        <f t="shared" si="6"/>
        <v>80.1405</v>
      </c>
      <c r="N39" s="20"/>
    </row>
    <row r="40">
      <c r="A40" s="33" t="s">
        <v>87</v>
      </c>
      <c r="B40" s="21" t="s">
        <v>88</v>
      </c>
      <c r="C40" s="31" t="s">
        <v>89</v>
      </c>
      <c r="D40" s="29">
        <v>399.0</v>
      </c>
      <c r="E40" s="16">
        <f t="shared" si="1"/>
        <v>27.531</v>
      </c>
      <c r="F40" s="16">
        <f t="shared" si="2"/>
        <v>8.5785</v>
      </c>
      <c r="G40" s="32">
        <v>250.0</v>
      </c>
      <c r="H40" s="18">
        <v>0.1</v>
      </c>
      <c r="I40" s="16">
        <f t="shared" si="7"/>
        <v>39.9</v>
      </c>
      <c r="J40" s="29">
        <v>58.4</v>
      </c>
      <c r="K40" s="16">
        <f t="shared" si="4"/>
        <v>14.5905</v>
      </c>
      <c r="L40" s="19">
        <f t="shared" si="5"/>
        <v>0.058362</v>
      </c>
      <c r="M40" s="16">
        <f t="shared" si="6"/>
        <v>264.5905</v>
      </c>
      <c r="N40" s="20"/>
    </row>
    <row r="41">
      <c r="A41" s="30"/>
      <c r="B41" s="30" t="s">
        <v>90</v>
      </c>
      <c r="C41" s="15" t="s">
        <v>91</v>
      </c>
      <c r="D41" s="16">
        <v>989.0</v>
      </c>
      <c r="E41" s="16">
        <f t="shared" si="1"/>
        <v>68.241</v>
      </c>
      <c r="F41" s="16">
        <f t="shared" si="2"/>
        <v>21.2635</v>
      </c>
      <c r="G41" s="17">
        <v>692.02</v>
      </c>
      <c r="H41" s="18">
        <v>0.1</v>
      </c>
      <c r="I41" s="16">
        <f t="shared" si="7"/>
        <v>98.9</v>
      </c>
      <c r="J41" s="16">
        <v>102.0</v>
      </c>
      <c r="K41" s="16">
        <f t="shared" si="4"/>
        <v>6.5755</v>
      </c>
      <c r="L41" s="19">
        <f t="shared" si="5"/>
        <v>0.009501893009</v>
      </c>
      <c r="M41" s="16">
        <f t="shared" si="6"/>
        <v>698.5955</v>
      </c>
      <c r="N41" s="20"/>
    </row>
    <row r="42">
      <c r="A42" s="21"/>
      <c r="B42" s="21" t="s">
        <v>92</v>
      </c>
      <c r="C42" s="15" t="s">
        <v>93</v>
      </c>
      <c r="D42" s="16">
        <v>1099.0</v>
      </c>
      <c r="E42" s="16">
        <f t="shared" si="1"/>
        <v>75.831</v>
      </c>
      <c r="F42" s="16">
        <f t="shared" si="2"/>
        <v>23.6285</v>
      </c>
      <c r="G42" s="17">
        <v>815.4</v>
      </c>
      <c r="H42" s="18">
        <v>0.1</v>
      </c>
      <c r="I42" s="16">
        <f t="shared" si="7"/>
        <v>109.9</v>
      </c>
      <c r="J42" s="16">
        <v>60.0</v>
      </c>
      <c r="K42" s="16">
        <f t="shared" si="4"/>
        <v>14.2405</v>
      </c>
      <c r="L42" s="19">
        <f t="shared" si="5"/>
        <v>0.01746443463</v>
      </c>
      <c r="M42" s="16">
        <f t="shared" si="6"/>
        <v>829.6405</v>
      </c>
      <c r="N42" s="20"/>
    </row>
    <row r="43">
      <c r="A43" s="21"/>
      <c r="B43" s="21" t="s">
        <v>94</v>
      </c>
      <c r="C43" s="31" t="s">
        <v>95</v>
      </c>
      <c r="D43" s="16">
        <v>5499.0</v>
      </c>
      <c r="E43" s="16">
        <f t="shared" si="1"/>
        <v>379.431</v>
      </c>
      <c r="F43" s="16">
        <f t="shared" si="2"/>
        <v>118.2285</v>
      </c>
      <c r="G43" s="17">
        <v>3704.46</v>
      </c>
      <c r="H43" s="18">
        <v>0.1</v>
      </c>
      <c r="I43" s="16">
        <f t="shared" si="7"/>
        <v>549.9</v>
      </c>
      <c r="J43" s="16">
        <v>84.0</v>
      </c>
      <c r="K43" s="16">
        <f t="shared" si="4"/>
        <v>662.9805</v>
      </c>
      <c r="L43" s="19">
        <f t="shared" si="5"/>
        <v>0.1789681897</v>
      </c>
      <c r="M43" s="16">
        <f t="shared" si="6"/>
        <v>4367.4405</v>
      </c>
      <c r="N43" s="20"/>
    </row>
    <row r="44">
      <c r="A44" s="30"/>
      <c r="B44" s="30" t="s">
        <v>96</v>
      </c>
      <c r="C44" s="15" t="s">
        <v>97</v>
      </c>
      <c r="D44" s="16">
        <v>251.0</v>
      </c>
      <c r="E44" s="16">
        <f t="shared" si="1"/>
        <v>17.319</v>
      </c>
      <c r="F44" s="16">
        <f t="shared" si="2"/>
        <v>5.3965</v>
      </c>
      <c r="G44" s="17">
        <v>205.28</v>
      </c>
      <c r="H44" s="18">
        <v>0.1</v>
      </c>
      <c r="I44" s="16">
        <f t="shared" si="7"/>
        <v>25.1</v>
      </c>
      <c r="J44" s="16">
        <v>60.0</v>
      </c>
      <c r="K44" s="16">
        <f t="shared" si="4"/>
        <v>-62.0955</v>
      </c>
      <c r="L44" s="19">
        <f t="shared" si="5"/>
        <v>-0.3024917186</v>
      </c>
      <c r="M44" s="16">
        <f t="shared" si="6"/>
        <v>143.1845</v>
      </c>
      <c r="N44" s="20"/>
    </row>
    <row r="45">
      <c r="A45" s="30"/>
      <c r="B45" s="30" t="s">
        <v>98</v>
      </c>
      <c r="C45" s="15" t="s">
        <v>99</v>
      </c>
      <c r="D45" s="16">
        <v>1799.0</v>
      </c>
      <c r="E45" s="16">
        <f t="shared" si="1"/>
        <v>124.131</v>
      </c>
      <c r="F45" s="16">
        <f t="shared" si="2"/>
        <v>38.6785</v>
      </c>
      <c r="G45" s="17"/>
      <c r="H45" s="18">
        <v>0.1</v>
      </c>
      <c r="I45" s="16">
        <f t="shared" si="7"/>
        <v>179.9</v>
      </c>
      <c r="J45" s="16">
        <v>175.0</v>
      </c>
      <c r="K45" s="16">
        <f t="shared" si="4"/>
        <v>1281.2905</v>
      </c>
      <c r="L45" s="19" t="str">
        <f t="shared" si="5"/>
        <v>#DIV/0!</v>
      </c>
      <c r="M45" s="16">
        <f t="shared" si="6"/>
        <v>1281.2905</v>
      </c>
      <c r="N45" s="20"/>
    </row>
    <row r="46">
      <c r="A46" s="30"/>
      <c r="B46" s="30" t="s">
        <v>100</v>
      </c>
      <c r="C46" s="15" t="s">
        <v>101</v>
      </c>
      <c r="D46" s="16">
        <v>39.0</v>
      </c>
      <c r="E46" s="16">
        <f t="shared" si="1"/>
        <v>2.691</v>
      </c>
      <c r="F46" s="16">
        <f t="shared" si="2"/>
        <v>0.8385</v>
      </c>
      <c r="G46" s="17">
        <v>5.0</v>
      </c>
      <c r="H46" s="18">
        <v>0.1</v>
      </c>
      <c r="I46" s="16">
        <f t="shared" si="7"/>
        <v>3.9</v>
      </c>
      <c r="J46" s="16"/>
      <c r="K46" s="16">
        <f t="shared" si="4"/>
        <v>26.5705</v>
      </c>
      <c r="L46" s="19">
        <f t="shared" si="5"/>
        <v>5.3141</v>
      </c>
      <c r="M46" s="16">
        <f t="shared" si="6"/>
        <v>31.5705</v>
      </c>
      <c r="N46" s="20"/>
    </row>
    <row r="47">
      <c r="A47" s="30"/>
      <c r="B47" s="30" t="s">
        <v>102</v>
      </c>
      <c r="C47" s="15" t="s">
        <v>103</v>
      </c>
      <c r="D47" s="16">
        <v>999.0</v>
      </c>
      <c r="E47" s="16">
        <f t="shared" si="1"/>
        <v>68.931</v>
      </c>
      <c r="F47" s="16">
        <f t="shared" si="2"/>
        <v>21.4785</v>
      </c>
      <c r="G47" s="17">
        <v>701.25</v>
      </c>
      <c r="H47" s="18">
        <v>0.1</v>
      </c>
      <c r="I47" s="16">
        <f t="shared" si="7"/>
        <v>99.9</v>
      </c>
      <c r="J47" s="16">
        <v>62.5</v>
      </c>
      <c r="K47" s="16">
        <f t="shared" si="4"/>
        <v>44.9405</v>
      </c>
      <c r="L47" s="19">
        <f t="shared" si="5"/>
        <v>0.06408627451</v>
      </c>
      <c r="M47" s="16">
        <f t="shared" si="6"/>
        <v>746.1905</v>
      </c>
      <c r="N47" s="20"/>
    </row>
    <row r="48">
      <c r="A48" s="30"/>
      <c r="B48" s="30" t="s">
        <v>104</v>
      </c>
      <c r="C48" s="15" t="s">
        <v>105</v>
      </c>
      <c r="D48" s="16">
        <v>999.0</v>
      </c>
      <c r="E48" s="16">
        <f t="shared" si="1"/>
        <v>68.931</v>
      </c>
      <c r="F48" s="16">
        <f t="shared" si="2"/>
        <v>21.4785</v>
      </c>
      <c r="G48" s="17"/>
      <c r="H48" s="18">
        <v>0.1</v>
      </c>
      <c r="I48" s="16">
        <f t="shared" si="7"/>
        <v>99.9</v>
      </c>
      <c r="J48" s="16">
        <v>116.0</v>
      </c>
      <c r="K48" s="16">
        <f t="shared" si="4"/>
        <v>692.6905</v>
      </c>
      <c r="L48" s="19" t="str">
        <f t="shared" si="5"/>
        <v>#DIV/0!</v>
      </c>
      <c r="M48" s="16">
        <f t="shared" si="6"/>
        <v>692.6905</v>
      </c>
      <c r="N48" s="20"/>
    </row>
    <row r="49">
      <c r="A49" s="30"/>
      <c r="B49" s="30" t="s">
        <v>106</v>
      </c>
      <c r="C49" s="15" t="s">
        <v>107</v>
      </c>
      <c r="D49" s="16">
        <v>4999.0</v>
      </c>
      <c r="E49" s="16">
        <f t="shared" si="1"/>
        <v>344.931</v>
      </c>
      <c r="F49" s="16">
        <f t="shared" si="2"/>
        <v>107.4785</v>
      </c>
      <c r="G49" s="17">
        <v>4299.0</v>
      </c>
      <c r="H49" s="18">
        <v>0.1</v>
      </c>
      <c r="I49" s="16">
        <f t="shared" si="7"/>
        <v>499.9</v>
      </c>
      <c r="J49" s="16">
        <v>84.0</v>
      </c>
      <c r="K49" s="16">
        <f t="shared" si="4"/>
        <v>-336.3095</v>
      </c>
      <c r="L49" s="19">
        <f t="shared" si="5"/>
        <v>-0.07822970458</v>
      </c>
      <c r="M49" s="16">
        <f t="shared" si="6"/>
        <v>3962.6905</v>
      </c>
      <c r="N49" s="20"/>
    </row>
    <row r="50">
      <c r="A50" s="30"/>
      <c r="B50" s="30" t="s">
        <v>108</v>
      </c>
      <c r="C50" s="15" t="s">
        <v>109</v>
      </c>
      <c r="D50" s="16">
        <v>5399.0</v>
      </c>
      <c r="E50" s="16">
        <f t="shared" si="1"/>
        <v>372.531</v>
      </c>
      <c r="F50" s="16">
        <f t="shared" si="2"/>
        <v>116.0785</v>
      </c>
      <c r="G50" s="17">
        <v>4699.0</v>
      </c>
      <c r="H50" s="18">
        <v>0.1</v>
      </c>
      <c r="I50" s="16">
        <f t="shared" si="7"/>
        <v>539.9</v>
      </c>
      <c r="J50" s="16">
        <v>78.0</v>
      </c>
      <c r="K50" s="16">
        <f t="shared" si="4"/>
        <v>-406.5095</v>
      </c>
      <c r="L50" s="19">
        <f t="shared" si="5"/>
        <v>-0.08650978932</v>
      </c>
      <c r="M50" s="16">
        <f t="shared" si="6"/>
        <v>4292.4905</v>
      </c>
      <c r="N50" s="20"/>
    </row>
    <row r="51">
      <c r="A51" s="30"/>
      <c r="B51" s="30" t="s">
        <v>110</v>
      </c>
      <c r="C51" s="15" t="s">
        <v>111</v>
      </c>
      <c r="D51" s="16">
        <v>1070.0</v>
      </c>
      <c r="E51" s="16">
        <f t="shared" si="1"/>
        <v>73.83</v>
      </c>
      <c r="F51" s="16">
        <f t="shared" si="2"/>
        <v>23.005</v>
      </c>
      <c r="G51" s="17">
        <v>692.02</v>
      </c>
      <c r="H51" s="18">
        <v>0.1</v>
      </c>
      <c r="I51" s="16">
        <f t="shared" si="7"/>
        <v>107</v>
      </c>
      <c r="J51" s="16">
        <v>102.0</v>
      </c>
      <c r="K51" s="16">
        <f t="shared" si="4"/>
        <v>72.145</v>
      </c>
      <c r="L51" s="19">
        <f t="shared" si="5"/>
        <v>0.1042527673</v>
      </c>
      <c r="M51" s="16">
        <f t="shared" si="6"/>
        <v>764.165</v>
      </c>
      <c r="N51" s="20"/>
    </row>
    <row r="52">
      <c r="A52" s="30"/>
      <c r="B52" s="30" t="s">
        <v>112</v>
      </c>
      <c r="C52" s="15" t="s">
        <v>113</v>
      </c>
      <c r="D52" s="16">
        <v>1699.0</v>
      </c>
      <c r="E52" s="16">
        <f t="shared" si="1"/>
        <v>117.231</v>
      </c>
      <c r="F52" s="16">
        <f t="shared" si="2"/>
        <v>36.5285</v>
      </c>
      <c r="G52" s="17">
        <v>1329.87</v>
      </c>
      <c r="H52" s="18">
        <v>0.1</v>
      </c>
      <c r="I52" s="16">
        <f t="shared" si="7"/>
        <v>169.9</v>
      </c>
      <c r="J52" s="16">
        <v>125.0</v>
      </c>
      <c r="K52" s="16">
        <f t="shared" si="4"/>
        <v>-79.5295</v>
      </c>
      <c r="L52" s="19">
        <f t="shared" si="5"/>
        <v>-0.05980246189</v>
      </c>
      <c r="M52" s="16">
        <f t="shared" si="6"/>
        <v>1250.3405</v>
      </c>
      <c r="N52" s="20"/>
    </row>
    <row r="53">
      <c r="A53" s="30"/>
      <c r="B53" s="30" t="s">
        <v>114</v>
      </c>
      <c r="C53" s="15" t="s">
        <v>115</v>
      </c>
      <c r="D53" s="16">
        <v>6999.0</v>
      </c>
      <c r="E53" s="16">
        <f t="shared" si="1"/>
        <v>482.931</v>
      </c>
      <c r="F53" s="16">
        <f t="shared" si="2"/>
        <v>150.4785</v>
      </c>
      <c r="G53" s="17"/>
      <c r="H53" s="18">
        <v>0.1</v>
      </c>
      <c r="I53" s="16">
        <f t="shared" si="7"/>
        <v>699.9</v>
      </c>
      <c r="J53" s="16">
        <v>84.0</v>
      </c>
      <c r="K53" s="16">
        <f t="shared" si="4"/>
        <v>5581.6905</v>
      </c>
      <c r="L53" s="19" t="str">
        <f t="shared" si="5"/>
        <v>#DIV/0!</v>
      </c>
      <c r="M53" s="16">
        <f t="shared" si="6"/>
        <v>5581.6905</v>
      </c>
      <c r="N53" s="20"/>
    </row>
    <row r="54">
      <c r="A54" s="21"/>
      <c r="B54" s="21" t="s">
        <v>116</v>
      </c>
      <c r="C54" s="31" t="s">
        <v>117</v>
      </c>
      <c r="D54" s="16">
        <v>2999.0</v>
      </c>
      <c r="E54" s="16">
        <f t="shared" si="1"/>
        <v>206.931</v>
      </c>
      <c r="F54" s="16">
        <f t="shared" si="2"/>
        <v>64.4785</v>
      </c>
      <c r="G54" s="17">
        <v>2528.36</v>
      </c>
      <c r="H54" s="18">
        <v>0.1</v>
      </c>
      <c r="I54" s="16">
        <f t="shared" si="7"/>
        <v>299.9</v>
      </c>
      <c r="J54" s="16">
        <v>116.0</v>
      </c>
      <c r="K54" s="16">
        <f t="shared" si="4"/>
        <v>-216.6695</v>
      </c>
      <c r="L54" s="19">
        <f t="shared" si="5"/>
        <v>-0.08569566834</v>
      </c>
      <c r="M54" s="16">
        <f t="shared" si="6"/>
        <v>2311.6905</v>
      </c>
      <c r="N54" s="20"/>
    </row>
    <row r="55">
      <c r="A55" s="21"/>
      <c r="B55" s="21" t="s">
        <v>118</v>
      </c>
      <c r="C55" s="31" t="s">
        <v>119</v>
      </c>
      <c r="D55" s="16">
        <v>5999.0</v>
      </c>
      <c r="E55" s="16">
        <f t="shared" si="1"/>
        <v>413.931</v>
      </c>
      <c r="F55" s="16">
        <f t="shared" si="2"/>
        <v>128.9785</v>
      </c>
      <c r="G55" s="17">
        <v>629.34</v>
      </c>
      <c r="H55" s="18">
        <v>0.1</v>
      </c>
      <c r="I55" s="16">
        <f t="shared" si="7"/>
        <v>599.9</v>
      </c>
      <c r="J55" s="16">
        <v>57.0</v>
      </c>
      <c r="K55" s="16">
        <f t="shared" si="4"/>
        <v>4169.8505</v>
      </c>
      <c r="L55" s="19">
        <f t="shared" si="5"/>
        <v>6.625751581</v>
      </c>
      <c r="M55" s="16">
        <f t="shared" si="6"/>
        <v>4799.1905</v>
      </c>
      <c r="N55" s="20"/>
    </row>
    <row r="56">
      <c r="A56" s="30"/>
      <c r="B56" s="30" t="s">
        <v>120</v>
      </c>
      <c r="C56" s="15" t="s">
        <v>121</v>
      </c>
      <c r="D56" s="16">
        <v>2899.0</v>
      </c>
      <c r="E56" s="16">
        <f t="shared" si="1"/>
        <v>200.031</v>
      </c>
      <c r="F56" s="16">
        <f t="shared" si="2"/>
        <v>62.3285</v>
      </c>
      <c r="G56" s="17">
        <v>2005.79</v>
      </c>
      <c r="H56" s="18">
        <v>0.1</v>
      </c>
      <c r="I56" s="16">
        <f t="shared" si="7"/>
        <v>289.9</v>
      </c>
      <c r="J56" s="16">
        <v>78.0</v>
      </c>
      <c r="K56" s="16">
        <f t="shared" si="4"/>
        <v>262.9505</v>
      </c>
      <c r="L56" s="19">
        <f t="shared" si="5"/>
        <v>0.1310957279</v>
      </c>
      <c r="M56" s="16">
        <f t="shared" si="6"/>
        <v>2268.7405</v>
      </c>
      <c r="N56" s="20"/>
    </row>
    <row r="57">
      <c r="A57" s="30"/>
      <c r="B57" s="30" t="s">
        <v>122</v>
      </c>
      <c r="C57" s="15" t="s">
        <v>123</v>
      </c>
      <c r="D57" s="16">
        <v>821.0</v>
      </c>
      <c r="E57" s="16">
        <f t="shared" si="1"/>
        <v>56.649</v>
      </c>
      <c r="F57" s="16">
        <f t="shared" si="2"/>
        <v>17.6515</v>
      </c>
      <c r="G57" s="17">
        <v>674.42</v>
      </c>
      <c r="H57" s="18">
        <v>0.1</v>
      </c>
      <c r="I57" s="16">
        <f t="shared" si="7"/>
        <v>82.1</v>
      </c>
      <c r="J57" s="16">
        <v>60.0</v>
      </c>
      <c r="K57" s="16">
        <f t="shared" si="4"/>
        <v>-69.8205</v>
      </c>
      <c r="L57" s="19">
        <f t="shared" si="5"/>
        <v>-0.1035267341</v>
      </c>
      <c r="M57" s="16">
        <f t="shared" si="6"/>
        <v>604.5995</v>
      </c>
      <c r="N57" s="20"/>
    </row>
    <row r="58">
      <c r="A58" s="30"/>
      <c r="B58" s="30" t="s">
        <v>124</v>
      </c>
      <c r="C58" s="15" t="s">
        <v>125</v>
      </c>
      <c r="D58" s="16">
        <v>399.0</v>
      </c>
      <c r="E58" s="16">
        <f t="shared" si="1"/>
        <v>27.531</v>
      </c>
      <c r="F58" s="16">
        <f t="shared" si="2"/>
        <v>8.5785</v>
      </c>
      <c r="G58" s="17">
        <v>252.74</v>
      </c>
      <c r="H58" s="18">
        <v>0.15</v>
      </c>
      <c r="I58" s="16">
        <f>H58*D58+30</f>
        <v>89.85</v>
      </c>
      <c r="J58" s="16"/>
      <c r="K58" s="16">
        <f t="shared" si="4"/>
        <v>20.3005</v>
      </c>
      <c r="L58" s="19">
        <f t="shared" si="5"/>
        <v>0.08032167445</v>
      </c>
      <c r="M58" s="16">
        <f t="shared" si="6"/>
        <v>273.0405</v>
      </c>
      <c r="N58" s="20"/>
    </row>
    <row r="59">
      <c r="A59" s="30"/>
      <c r="B59" s="30" t="s">
        <v>126</v>
      </c>
      <c r="C59" s="15" t="s">
        <v>127</v>
      </c>
      <c r="D59" s="16">
        <v>6999.0</v>
      </c>
      <c r="E59" s="16">
        <f t="shared" si="1"/>
        <v>482.931</v>
      </c>
      <c r="F59" s="16">
        <f t="shared" si="2"/>
        <v>150.4785</v>
      </c>
      <c r="G59" s="17">
        <v>5527.89</v>
      </c>
      <c r="H59" s="18">
        <v>0.1</v>
      </c>
      <c r="I59" s="16">
        <f t="shared" ref="I59:I75" si="8">H59*D59</f>
        <v>699.9</v>
      </c>
      <c r="J59" s="16">
        <v>78.0</v>
      </c>
      <c r="K59" s="16">
        <f t="shared" si="4"/>
        <v>59.8005</v>
      </c>
      <c r="L59" s="19">
        <f t="shared" si="5"/>
        <v>0.01081796128</v>
      </c>
      <c r="M59" s="16">
        <f t="shared" si="6"/>
        <v>5587.6905</v>
      </c>
      <c r="N59" s="20"/>
    </row>
    <row r="60">
      <c r="A60" s="30"/>
      <c r="B60" s="30" t="s">
        <v>128</v>
      </c>
      <c r="C60" s="15" t="s">
        <v>129</v>
      </c>
      <c r="D60" s="16">
        <v>4999.0</v>
      </c>
      <c r="E60" s="16">
        <f t="shared" si="1"/>
        <v>344.931</v>
      </c>
      <c r="F60" s="16">
        <f t="shared" si="2"/>
        <v>107.4785</v>
      </c>
      <c r="G60" s="17">
        <v>4100.9</v>
      </c>
      <c r="H60" s="18">
        <v>0.1</v>
      </c>
      <c r="I60" s="16">
        <f t="shared" si="8"/>
        <v>499.9</v>
      </c>
      <c r="J60" s="16">
        <v>78.0</v>
      </c>
      <c r="K60" s="16">
        <f t="shared" si="4"/>
        <v>-132.2095</v>
      </c>
      <c r="L60" s="19">
        <f t="shared" si="5"/>
        <v>-0.03223914263</v>
      </c>
      <c r="M60" s="16">
        <f t="shared" si="6"/>
        <v>3968.6905</v>
      </c>
      <c r="N60" s="20"/>
    </row>
    <row r="61">
      <c r="A61" s="21"/>
      <c r="B61" s="21" t="s">
        <v>130</v>
      </c>
      <c r="C61" s="31" t="s">
        <v>131</v>
      </c>
      <c r="D61" s="16">
        <v>7799.0</v>
      </c>
      <c r="E61" s="16">
        <f t="shared" si="1"/>
        <v>538.131</v>
      </c>
      <c r="F61" s="16">
        <f t="shared" si="2"/>
        <v>167.6785</v>
      </c>
      <c r="G61" s="17">
        <v>6090.72</v>
      </c>
      <c r="H61" s="18">
        <v>0.1</v>
      </c>
      <c r="I61" s="16">
        <f t="shared" si="8"/>
        <v>779.9</v>
      </c>
      <c r="J61" s="16">
        <v>62.5</v>
      </c>
      <c r="K61" s="16">
        <f t="shared" si="4"/>
        <v>160.0705</v>
      </c>
      <c r="L61" s="19">
        <f t="shared" si="5"/>
        <v>0.02628104723</v>
      </c>
      <c r="M61" s="16">
        <f t="shared" si="6"/>
        <v>6250.7905</v>
      </c>
      <c r="N61" s="20"/>
    </row>
    <row r="62">
      <c r="A62" s="30"/>
      <c r="B62" s="30" t="s">
        <v>132</v>
      </c>
      <c r="C62" s="15" t="s">
        <v>133</v>
      </c>
      <c r="D62" s="16">
        <v>199.0</v>
      </c>
      <c r="E62" s="16">
        <f t="shared" si="1"/>
        <v>13.731</v>
      </c>
      <c r="F62" s="16">
        <f t="shared" si="2"/>
        <v>4.2785</v>
      </c>
      <c r="G62" s="17">
        <v>99.0</v>
      </c>
      <c r="H62" s="18">
        <v>0.1</v>
      </c>
      <c r="I62" s="16">
        <f t="shared" si="8"/>
        <v>19.9</v>
      </c>
      <c r="J62" s="16"/>
      <c r="K62" s="16">
        <f t="shared" si="4"/>
        <v>62.0905</v>
      </c>
      <c r="L62" s="19">
        <f t="shared" si="5"/>
        <v>0.6271767677</v>
      </c>
      <c r="M62" s="16">
        <f t="shared" si="6"/>
        <v>161.0905</v>
      </c>
      <c r="N62" s="20"/>
    </row>
    <row r="63">
      <c r="A63" s="21"/>
      <c r="B63" s="21" t="s">
        <v>134</v>
      </c>
      <c r="C63" s="31" t="s">
        <v>135</v>
      </c>
      <c r="D63" s="16">
        <v>9499.0</v>
      </c>
      <c r="E63" s="16">
        <f t="shared" si="1"/>
        <v>655.431</v>
      </c>
      <c r="F63" s="16">
        <f t="shared" si="2"/>
        <v>204.2285</v>
      </c>
      <c r="G63" s="17">
        <v>7173.15</v>
      </c>
      <c r="H63" s="18">
        <v>0.1</v>
      </c>
      <c r="I63" s="16">
        <f t="shared" si="8"/>
        <v>949.9</v>
      </c>
      <c r="J63" s="16">
        <v>62.5</v>
      </c>
      <c r="K63" s="16">
        <f t="shared" si="4"/>
        <v>453.7905</v>
      </c>
      <c r="L63" s="19">
        <f t="shared" si="5"/>
        <v>0.06326237427</v>
      </c>
      <c r="M63" s="16">
        <f t="shared" si="6"/>
        <v>7626.9405</v>
      </c>
      <c r="N63" s="20"/>
    </row>
    <row r="64">
      <c r="A64" s="30"/>
      <c r="B64" s="30" t="s">
        <v>136</v>
      </c>
      <c r="C64" s="15" t="s">
        <v>137</v>
      </c>
      <c r="D64" s="16">
        <v>359.0</v>
      </c>
      <c r="E64" s="16">
        <f t="shared" si="1"/>
        <v>24.771</v>
      </c>
      <c r="F64" s="16">
        <f t="shared" si="2"/>
        <v>7.7185</v>
      </c>
      <c r="G64" s="17">
        <v>171.07</v>
      </c>
      <c r="H64" s="18">
        <v>0.1</v>
      </c>
      <c r="I64" s="16">
        <f t="shared" si="8"/>
        <v>35.9</v>
      </c>
      <c r="J64" s="16">
        <v>78.0</v>
      </c>
      <c r="K64" s="16">
        <f t="shared" si="4"/>
        <v>41.5405</v>
      </c>
      <c r="L64" s="19">
        <f t="shared" si="5"/>
        <v>0.2428274975</v>
      </c>
      <c r="M64" s="16">
        <f t="shared" si="6"/>
        <v>212.6105</v>
      </c>
      <c r="N64" s="20"/>
    </row>
    <row r="65">
      <c r="A65" s="30"/>
      <c r="B65" s="30" t="s">
        <v>138</v>
      </c>
      <c r="C65" s="15" t="s">
        <v>139</v>
      </c>
      <c r="D65" s="16">
        <v>2899.0</v>
      </c>
      <c r="E65" s="16">
        <f t="shared" si="1"/>
        <v>200.031</v>
      </c>
      <c r="F65" s="16">
        <f t="shared" si="2"/>
        <v>62.3285</v>
      </c>
      <c r="G65" s="17">
        <v>1829.1</v>
      </c>
      <c r="H65" s="18">
        <v>0.1</v>
      </c>
      <c r="I65" s="16">
        <f t="shared" si="8"/>
        <v>289.9</v>
      </c>
      <c r="J65" s="16">
        <v>62.5</v>
      </c>
      <c r="K65" s="16">
        <f t="shared" si="4"/>
        <v>455.1405</v>
      </c>
      <c r="L65" s="19">
        <f t="shared" si="5"/>
        <v>0.2488330326</v>
      </c>
      <c r="M65" s="16">
        <f t="shared" si="6"/>
        <v>2284.2405</v>
      </c>
      <c r="N65" s="20"/>
    </row>
    <row r="66">
      <c r="A66" s="30"/>
      <c r="B66" s="30" t="s">
        <v>140</v>
      </c>
      <c r="C66" s="15" t="s">
        <v>141</v>
      </c>
      <c r="D66" s="16">
        <v>899.0</v>
      </c>
      <c r="E66" s="16">
        <f t="shared" si="1"/>
        <v>62.031</v>
      </c>
      <c r="F66" s="16">
        <f t="shared" si="2"/>
        <v>19.3285</v>
      </c>
      <c r="G66" s="17">
        <v>627.34</v>
      </c>
      <c r="H66" s="18">
        <v>0.1</v>
      </c>
      <c r="I66" s="16">
        <f t="shared" si="8"/>
        <v>89.9</v>
      </c>
      <c r="J66" s="16">
        <v>67.5</v>
      </c>
      <c r="K66" s="16">
        <f t="shared" si="4"/>
        <v>32.9005</v>
      </c>
      <c r="L66" s="19">
        <f t="shared" si="5"/>
        <v>0.05244444799</v>
      </c>
      <c r="M66" s="16">
        <f t="shared" si="6"/>
        <v>660.2405</v>
      </c>
      <c r="N66" s="20"/>
    </row>
    <row r="67">
      <c r="A67" s="30"/>
      <c r="B67" s="30" t="s">
        <v>142</v>
      </c>
      <c r="C67" s="15" t="s">
        <v>143</v>
      </c>
      <c r="D67" s="16">
        <v>8199.0</v>
      </c>
      <c r="E67" s="16">
        <f t="shared" si="1"/>
        <v>565.731</v>
      </c>
      <c r="F67" s="16">
        <f t="shared" si="2"/>
        <v>176.2785</v>
      </c>
      <c r="G67" s="17"/>
      <c r="H67" s="18">
        <v>0.1</v>
      </c>
      <c r="I67" s="16">
        <f t="shared" si="8"/>
        <v>819.9</v>
      </c>
      <c r="J67" s="16">
        <v>64.0</v>
      </c>
      <c r="K67" s="16">
        <f t="shared" si="4"/>
        <v>6573.0905</v>
      </c>
      <c r="L67" s="19" t="str">
        <f t="shared" si="5"/>
        <v>#DIV/0!</v>
      </c>
      <c r="M67" s="16">
        <f t="shared" si="6"/>
        <v>6573.0905</v>
      </c>
      <c r="N67" s="20"/>
    </row>
    <row r="68">
      <c r="A68" s="30"/>
      <c r="B68" s="30" t="s">
        <v>144</v>
      </c>
      <c r="C68" s="15" t="s">
        <v>145</v>
      </c>
      <c r="D68" s="16">
        <v>8999.0</v>
      </c>
      <c r="E68" s="16">
        <f t="shared" si="1"/>
        <v>620.931</v>
      </c>
      <c r="F68" s="16">
        <f t="shared" si="2"/>
        <v>193.4785</v>
      </c>
      <c r="G68" s="17"/>
      <c r="H68" s="18">
        <v>0.1</v>
      </c>
      <c r="I68" s="16">
        <f t="shared" si="8"/>
        <v>899.9</v>
      </c>
      <c r="J68" s="16">
        <v>130.0</v>
      </c>
      <c r="K68" s="16">
        <f t="shared" si="4"/>
        <v>7154.6905</v>
      </c>
      <c r="L68" s="19" t="str">
        <f t="shared" si="5"/>
        <v>#DIV/0!</v>
      </c>
      <c r="M68" s="16">
        <f t="shared" si="6"/>
        <v>7154.6905</v>
      </c>
      <c r="N68" s="20"/>
    </row>
    <row r="69">
      <c r="A69" s="21"/>
      <c r="B69" s="21" t="s">
        <v>146</v>
      </c>
      <c r="C69" s="31" t="s">
        <v>147</v>
      </c>
      <c r="D69" s="16">
        <v>12999.0</v>
      </c>
      <c r="E69" s="16">
        <f t="shared" si="1"/>
        <v>896.931</v>
      </c>
      <c r="F69" s="16">
        <f t="shared" si="2"/>
        <v>279.4785</v>
      </c>
      <c r="G69" s="17">
        <v>10376.43</v>
      </c>
      <c r="H69" s="18">
        <v>0.1</v>
      </c>
      <c r="I69" s="16">
        <f t="shared" si="8"/>
        <v>1299.9</v>
      </c>
      <c r="J69" s="16">
        <v>62.5</v>
      </c>
      <c r="K69" s="16">
        <f t="shared" si="4"/>
        <v>83.7605</v>
      </c>
      <c r="L69" s="19">
        <f t="shared" si="5"/>
        <v>0.008072188604</v>
      </c>
      <c r="M69" s="16">
        <f t="shared" si="6"/>
        <v>10460.1905</v>
      </c>
      <c r="N69" s="20"/>
    </row>
    <row r="70">
      <c r="A70" s="30"/>
      <c r="B70" s="30" t="s">
        <v>148</v>
      </c>
      <c r="C70" s="15" t="s">
        <v>149</v>
      </c>
      <c r="D70" s="16">
        <v>6942.0</v>
      </c>
      <c r="E70" s="16">
        <f t="shared" si="1"/>
        <v>478.998</v>
      </c>
      <c r="F70" s="16">
        <f t="shared" si="2"/>
        <v>149.253</v>
      </c>
      <c r="G70" s="17"/>
      <c r="H70" s="18">
        <v>0.1</v>
      </c>
      <c r="I70" s="16">
        <f t="shared" si="8"/>
        <v>694.2</v>
      </c>
      <c r="J70" s="16">
        <v>78.0</v>
      </c>
      <c r="K70" s="16">
        <f t="shared" si="4"/>
        <v>5541.549</v>
      </c>
      <c r="L70" s="19" t="str">
        <f t="shared" si="5"/>
        <v>#DIV/0!</v>
      </c>
      <c r="M70" s="16">
        <f t="shared" si="6"/>
        <v>5541.549</v>
      </c>
      <c r="N70" s="20"/>
    </row>
    <row r="71">
      <c r="A71" s="30"/>
      <c r="B71" s="30" t="s">
        <v>37</v>
      </c>
      <c r="C71" s="15" t="s">
        <v>150</v>
      </c>
      <c r="D71" s="16">
        <v>41.84</v>
      </c>
      <c r="E71" s="16">
        <f t="shared" si="1"/>
        <v>2.88696</v>
      </c>
      <c r="F71" s="16">
        <f t="shared" si="2"/>
        <v>0.89956</v>
      </c>
      <c r="G71" s="17" t="str">
        <f>4.2*2</f>
        <v>#ERROR!</v>
      </c>
      <c r="H71" s="18">
        <v>0.1</v>
      </c>
      <c r="I71" s="16">
        <f t="shared" si="8"/>
        <v>4.184</v>
      </c>
      <c r="J71" s="16"/>
      <c r="K71" s="16" t="str">
        <f t="shared" si="4"/>
        <v>#ERROR!</v>
      </c>
      <c r="L71" s="19" t="str">
        <f t="shared" si="5"/>
        <v>#ERROR!</v>
      </c>
      <c r="M71" s="16">
        <f t="shared" si="6"/>
        <v>33.86948</v>
      </c>
      <c r="N71" s="20"/>
    </row>
    <row r="72">
      <c r="A72" s="30"/>
      <c r="B72" s="30" t="s">
        <v>151</v>
      </c>
      <c r="C72" s="15" t="s">
        <v>152</v>
      </c>
      <c r="D72" s="16">
        <v>549.0</v>
      </c>
      <c r="E72" s="16">
        <f t="shared" si="1"/>
        <v>37.881</v>
      </c>
      <c r="F72" s="16">
        <f t="shared" si="2"/>
        <v>11.8035</v>
      </c>
      <c r="G72" s="17">
        <v>384.93</v>
      </c>
      <c r="H72" s="18">
        <v>0.1</v>
      </c>
      <c r="I72" s="16">
        <f t="shared" si="8"/>
        <v>54.9</v>
      </c>
      <c r="J72" s="16">
        <v>60.0</v>
      </c>
      <c r="K72" s="16">
        <f t="shared" si="4"/>
        <v>-0.5145</v>
      </c>
      <c r="L72" s="19">
        <f t="shared" si="5"/>
        <v>-0.001336606656</v>
      </c>
      <c r="M72" s="16">
        <f t="shared" si="6"/>
        <v>384.4155</v>
      </c>
      <c r="N72" s="20"/>
    </row>
    <row r="73">
      <c r="A73" s="21"/>
      <c r="B73" s="21" t="s">
        <v>153</v>
      </c>
      <c r="C73" s="15" t="s">
        <v>154</v>
      </c>
      <c r="D73" s="16">
        <v>7299.0</v>
      </c>
      <c r="E73" s="16">
        <f t="shared" si="1"/>
        <v>503.631</v>
      </c>
      <c r="F73" s="16">
        <f t="shared" si="2"/>
        <v>156.9285</v>
      </c>
      <c r="G73" s="17">
        <v>5157.41</v>
      </c>
      <c r="H73" s="18">
        <v>0.1</v>
      </c>
      <c r="I73" s="16">
        <f t="shared" si="8"/>
        <v>729.9</v>
      </c>
      <c r="J73" s="16">
        <v>102.5</v>
      </c>
      <c r="K73" s="16">
        <f t="shared" si="4"/>
        <v>648.6305</v>
      </c>
      <c r="L73" s="19">
        <f t="shared" si="5"/>
        <v>0.1257667124</v>
      </c>
      <c r="M73" s="16">
        <f t="shared" si="6"/>
        <v>5806.0405</v>
      </c>
      <c r="N73" s="20"/>
    </row>
    <row r="74">
      <c r="A74" s="21"/>
      <c r="B74" s="21" t="s">
        <v>155</v>
      </c>
      <c r="C74" s="15" t="s">
        <v>156</v>
      </c>
      <c r="D74" s="16">
        <v>6089.0</v>
      </c>
      <c r="E74" s="16">
        <f t="shared" si="1"/>
        <v>420.141</v>
      </c>
      <c r="F74" s="16">
        <f t="shared" si="2"/>
        <v>130.9135</v>
      </c>
      <c r="G74" s="17">
        <v>4345.97</v>
      </c>
      <c r="H74" s="18">
        <v>0.195</v>
      </c>
      <c r="I74" s="16">
        <f t="shared" si="8"/>
        <v>1187.355</v>
      </c>
      <c r="J74" s="29">
        <v>110.0</v>
      </c>
      <c r="K74" s="16">
        <f t="shared" si="4"/>
        <v>-105.3795</v>
      </c>
      <c r="L74" s="19">
        <f t="shared" si="5"/>
        <v>-0.02424763632</v>
      </c>
      <c r="M74" s="16">
        <f t="shared" si="6"/>
        <v>4240.5905</v>
      </c>
      <c r="N74" s="20"/>
    </row>
    <row r="75">
      <c r="A75" s="21"/>
      <c r="B75" s="21" t="s">
        <v>157</v>
      </c>
      <c r="C75" s="15" t="s">
        <v>158</v>
      </c>
      <c r="D75" s="16">
        <v>6999.0</v>
      </c>
      <c r="E75" s="16">
        <f t="shared" si="1"/>
        <v>482.931</v>
      </c>
      <c r="F75" s="16">
        <f t="shared" si="2"/>
        <v>150.4785</v>
      </c>
      <c r="G75" s="17">
        <v>5441.76</v>
      </c>
      <c r="H75" s="18">
        <v>0.1</v>
      </c>
      <c r="I75" s="16">
        <f t="shared" si="8"/>
        <v>699.9</v>
      </c>
      <c r="J75" s="16">
        <v>102.5</v>
      </c>
      <c r="K75" s="16">
        <f t="shared" si="4"/>
        <v>121.4305</v>
      </c>
      <c r="L75" s="19">
        <f t="shared" si="5"/>
        <v>0.02231456367</v>
      </c>
      <c r="M75" s="16">
        <f t="shared" si="6"/>
        <v>5563.1905</v>
      </c>
      <c r="N75" s="20"/>
    </row>
    <row r="76">
      <c r="A76" s="21"/>
      <c r="B76" s="21" t="s">
        <v>159</v>
      </c>
      <c r="C76" s="15" t="s">
        <v>160</v>
      </c>
      <c r="D76" s="16">
        <v>199.0</v>
      </c>
      <c r="E76" s="16">
        <f t="shared" si="1"/>
        <v>13.731</v>
      </c>
      <c r="F76" s="16">
        <f t="shared" si="2"/>
        <v>4.2785</v>
      </c>
      <c r="G76" s="17">
        <v>123.11</v>
      </c>
      <c r="H76" s="18">
        <v>0.15</v>
      </c>
      <c r="I76" s="16">
        <f>H76*D76+30</f>
        <v>59.85</v>
      </c>
      <c r="J76" s="16"/>
      <c r="K76" s="16">
        <f t="shared" si="4"/>
        <v>-1.9695</v>
      </c>
      <c r="L76" s="19">
        <f t="shared" si="5"/>
        <v>-0.01599788807</v>
      </c>
      <c r="M76" s="16">
        <f t="shared" si="6"/>
        <v>121.1405</v>
      </c>
      <c r="N76" s="20"/>
    </row>
    <row r="77">
      <c r="A77" s="30"/>
      <c r="B77" s="30" t="s">
        <v>161</v>
      </c>
      <c r="C77" s="15" t="s">
        <v>162</v>
      </c>
      <c r="D77" s="16"/>
      <c r="E77" s="16">
        <f t="shared" si="1"/>
        <v>0</v>
      </c>
      <c r="F77" s="16">
        <f t="shared" si="2"/>
        <v>0</v>
      </c>
      <c r="G77" s="17"/>
      <c r="H77" s="18">
        <v>0.1</v>
      </c>
      <c r="I77" s="16">
        <f t="shared" ref="I77:I309" si="9">H77*D77</f>
        <v>0</v>
      </c>
      <c r="J77" s="16">
        <v>78.0</v>
      </c>
      <c r="K77" s="16">
        <f t="shared" si="4"/>
        <v>-78</v>
      </c>
      <c r="L77" s="19" t="str">
        <f t="shared" si="5"/>
        <v>#DIV/0!</v>
      </c>
      <c r="M77" s="16">
        <f t="shared" si="6"/>
        <v>-78</v>
      </c>
      <c r="N77" s="20"/>
    </row>
    <row r="78">
      <c r="A78" s="21"/>
      <c r="B78" s="21" t="s">
        <v>163</v>
      </c>
      <c r="C78" s="31" t="s">
        <v>164</v>
      </c>
      <c r="D78" s="16">
        <v>290.0</v>
      </c>
      <c r="E78" s="16">
        <f t="shared" si="1"/>
        <v>20.01</v>
      </c>
      <c r="F78" s="16">
        <f t="shared" si="2"/>
        <v>6.235</v>
      </c>
      <c r="G78" s="17">
        <v>168.47</v>
      </c>
      <c r="H78" s="18">
        <v>0.1</v>
      </c>
      <c r="I78" s="16">
        <f t="shared" si="9"/>
        <v>29</v>
      </c>
      <c r="J78" s="16">
        <v>57.0</v>
      </c>
      <c r="K78" s="16">
        <f t="shared" si="4"/>
        <v>9.285</v>
      </c>
      <c r="L78" s="19">
        <f t="shared" si="5"/>
        <v>0.05511367009</v>
      </c>
      <c r="M78" s="16">
        <f t="shared" si="6"/>
        <v>177.755</v>
      </c>
      <c r="N78" s="20"/>
    </row>
    <row r="79">
      <c r="A79" s="21"/>
      <c r="B79" s="21" t="s">
        <v>165</v>
      </c>
      <c r="C79" s="31" t="s">
        <v>166</v>
      </c>
      <c r="D79" s="16">
        <v>496.0</v>
      </c>
      <c r="E79" s="16">
        <f t="shared" si="1"/>
        <v>34.224</v>
      </c>
      <c r="F79" s="16">
        <f t="shared" si="2"/>
        <v>10.664</v>
      </c>
      <c r="G79" s="17">
        <v>328.1</v>
      </c>
      <c r="H79" s="18">
        <v>0.1</v>
      </c>
      <c r="I79" s="16">
        <f t="shared" si="9"/>
        <v>49.6</v>
      </c>
      <c r="J79" s="16">
        <v>57.0</v>
      </c>
      <c r="K79" s="16">
        <f t="shared" si="4"/>
        <v>16.412</v>
      </c>
      <c r="L79" s="19">
        <f t="shared" si="5"/>
        <v>0.05002133496</v>
      </c>
      <c r="M79" s="16">
        <f t="shared" si="6"/>
        <v>344.512</v>
      </c>
      <c r="N79" s="20"/>
    </row>
    <row r="80">
      <c r="A80" s="21"/>
      <c r="B80" s="21" t="s">
        <v>167</v>
      </c>
      <c r="C80" s="31" t="s">
        <v>168</v>
      </c>
      <c r="D80" s="16">
        <v>2461.0</v>
      </c>
      <c r="E80" s="16">
        <f t="shared" si="1"/>
        <v>169.809</v>
      </c>
      <c r="F80" s="16">
        <f t="shared" si="2"/>
        <v>52.9115</v>
      </c>
      <c r="G80" s="17">
        <v>2047.68</v>
      </c>
      <c r="H80" s="18">
        <v>0.1</v>
      </c>
      <c r="I80" s="16">
        <f t="shared" si="9"/>
        <v>246.1</v>
      </c>
      <c r="J80" s="16">
        <v>67.5</v>
      </c>
      <c r="K80" s="16">
        <f t="shared" si="4"/>
        <v>-123.0005</v>
      </c>
      <c r="L80" s="19">
        <f t="shared" si="5"/>
        <v>-0.06006822355</v>
      </c>
      <c r="M80" s="16">
        <f t="shared" si="6"/>
        <v>1924.6795</v>
      </c>
      <c r="N80" s="20"/>
    </row>
    <row r="81">
      <c r="A81" s="21"/>
      <c r="B81" s="21" t="s">
        <v>169</v>
      </c>
      <c r="C81" s="31" t="s">
        <v>170</v>
      </c>
      <c r="D81" s="16">
        <v>2777.0</v>
      </c>
      <c r="E81" s="16">
        <f t="shared" si="1"/>
        <v>191.613</v>
      </c>
      <c r="F81" s="16">
        <f t="shared" si="2"/>
        <v>59.7055</v>
      </c>
      <c r="G81" s="17">
        <v>2047.68</v>
      </c>
      <c r="H81" s="18">
        <v>0.1</v>
      </c>
      <c r="I81" s="16">
        <f t="shared" si="9"/>
        <v>277.7</v>
      </c>
      <c r="J81" s="16">
        <v>67.5</v>
      </c>
      <c r="K81" s="16">
        <f t="shared" si="4"/>
        <v>132.8015</v>
      </c>
      <c r="L81" s="19">
        <f t="shared" si="5"/>
        <v>0.06485461596</v>
      </c>
      <c r="M81" s="16">
        <f t="shared" si="6"/>
        <v>2180.4815</v>
      </c>
      <c r="N81" s="20"/>
    </row>
    <row r="82">
      <c r="A82" s="21"/>
      <c r="B82" s="21" t="s">
        <v>171</v>
      </c>
      <c r="C82" s="31" t="s">
        <v>172</v>
      </c>
      <c r="D82" s="16">
        <v>2650.0</v>
      </c>
      <c r="E82" s="16">
        <f t="shared" si="1"/>
        <v>182.85</v>
      </c>
      <c r="F82" s="16">
        <f t="shared" si="2"/>
        <v>56.975</v>
      </c>
      <c r="G82" s="17">
        <v>2047.68</v>
      </c>
      <c r="H82" s="18">
        <v>0.1</v>
      </c>
      <c r="I82" s="16">
        <f t="shared" si="9"/>
        <v>265</v>
      </c>
      <c r="J82" s="16">
        <v>67.5</v>
      </c>
      <c r="K82" s="16">
        <f t="shared" si="4"/>
        <v>29.995</v>
      </c>
      <c r="L82" s="19">
        <f t="shared" si="5"/>
        <v>0.01464828489</v>
      </c>
      <c r="M82" s="16">
        <f t="shared" si="6"/>
        <v>2077.675</v>
      </c>
      <c r="N82" s="20"/>
    </row>
    <row r="83">
      <c r="A83" s="21"/>
      <c r="B83" s="21" t="s">
        <v>173</v>
      </c>
      <c r="C83" s="31" t="s">
        <v>174</v>
      </c>
      <c r="D83" s="16">
        <v>2800.0</v>
      </c>
      <c r="E83" s="16">
        <f t="shared" si="1"/>
        <v>193.2</v>
      </c>
      <c r="F83" s="16">
        <f t="shared" si="2"/>
        <v>60.2</v>
      </c>
      <c r="G83" s="17">
        <v>2047.68</v>
      </c>
      <c r="H83" s="18">
        <v>0.1</v>
      </c>
      <c r="I83" s="16">
        <f t="shared" si="9"/>
        <v>280</v>
      </c>
      <c r="J83" s="16">
        <v>67.5</v>
      </c>
      <c r="K83" s="16">
        <f t="shared" si="4"/>
        <v>151.42</v>
      </c>
      <c r="L83" s="19">
        <f t="shared" si="5"/>
        <v>0.07394710111</v>
      </c>
      <c r="M83" s="16">
        <f t="shared" si="6"/>
        <v>2199.1</v>
      </c>
      <c r="N83" s="20"/>
    </row>
    <row r="84">
      <c r="A84" s="21"/>
      <c r="B84" s="21" t="s">
        <v>175</v>
      </c>
      <c r="C84" s="31" t="s">
        <v>176</v>
      </c>
      <c r="D84" s="16">
        <v>5399.0</v>
      </c>
      <c r="E84" s="16">
        <f t="shared" si="1"/>
        <v>372.531</v>
      </c>
      <c r="F84" s="16">
        <f t="shared" si="2"/>
        <v>116.0785</v>
      </c>
      <c r="G84" s="17">
        <v>4358.93</v>
      </c>
      <c r="H84" s="18">
        <v>0.1</v>
      </c>
      <c r="I84" s="16">
        <f t="shared" si="9"/>
        <v>539.9</v>
      </c>
      <c r="J84" s="16">
        <v>62.5</v>
      </c>
      <c r="K84" s="16">
        <f t="shared" si="4"/>
        <v>-50.9395</v>
      </c>
      <c r="L84" s="19">
        <f t="shared" si="5"/>
        <v>-0.01168623951</v>
      </c>
      <c r="M84" s="16">
        <f t="shared" si="6"/>
        <v>4307.9905</v>
      </c>
      <c r="N84" s="20"/>
    </row>
    <row r="85">
      <c r="A85" s="21"/>
      <c r="B85" s="21" t="s">
        <v>177</v>
      </c>
      <c r="C85" s="31" t="s">
        <v>178</v>
      </c>
      <c r="D85" s="16">
        <v>3099.0</v>
      </c>
      <c r="E85" s="16">
        <f t="shared" si="1"/>
        <v>213.831</v>
      </c>
      <c r="F85" s="16">
        <f t="shared" si="2"/>
        <v>66.6285</v>
      </c>
      <c r="G85" s="17">
        <v>2471.56</v>
      </c>
      <c r="H85" s="18">
        <v>0.1</v>
      </c>
      <c r="I85" s="16">
        <f t="shared" si="9"/>
        <v>309.9</v>
      </c>
      <c r="J85" s="16">
        <v>62.5</v>
      </c>
      <c r="K85" s="16">
        <f t="shared" si="4"/>
        <v>-25.4195</v>
      </c>
      <c r="L85" s="19">
        <f t="shared" si="5"/>
        <v>-0.01028479988</v>
      </c>
      <c r="M85" s="16">
        <f t="shared" si="6"/>
        <v>2446.1405</v>
      </c>
      <c r="N85" s="20"/>
    </row>
    <row r="86">
      <c r="A86" s="21"/>
      <c r="B86" s="21" t="s">
        <v>179</v>
      </c>
      <c r="C86" s="31" t="s">
        <v>180</v>
      </c>
      <c r="D86" s="16">
        <v>49.99</v>
      </c>
      <c r="E86" s="16">
        <f t="shared" si="1"/>
        <v>3.44931</v>
      </c>
      <c r="F86" s="16">
        <f t="shared" si="2"/>
        <v>1.074785</v>
      </c>
      <c r="G86" s="17">
        <v>10.17</v>
      </c>
      <c r="H86" s="18">
        <v>0.1</v>
      </c>
      <c r="I86" s="16">
        <f t="shared" si="9"/>
        <v>4.999</v>
      </c>
      <c r="J86" s="16"/>
      <c r="K86" s="16">
        <f t="shared" si="4"/>
        <v>30.296905</v>
      </c>
      <c r="L86" s="19">
        <f t="shared" si="5"/>
        <v>2.979046706</v>
      </c>
      <c r="M86" s="16">
        <f t="shared" si="6"/>
        <v>40.466905</v>
      </c>
      <c r="N86" s="20"/>
    </row>
    <row r="87">
      <c r="A87" s="21"/>
      <c r="B87" s="21" t="s">
        <v>181</v>
      </c>
      <c r="C87" s="31" t="s">
        <v>182</v>
      </c>
      <c r="D87" s="16">
        <v>1199.0</v>
      </c>
      <c r="E87" s="16">
        <f t="shared" si="1"/>
        <v>82.731</v>
      </c>
      <c r="F87" s="16">
        <f t="shared" si="2"/>
        <v>25.7785</v>
      </c>
      <c r="G87" s="17">
        <v>924.83</v>
      </c>
      <c r="H87" s="18">
        <v>0.1</v>
      </c>
      <c r="I87" s="16">
        <f t="shared" si="9"/>
        <v>119.9</v>
      </c>
      <c r="J87" s="16">
        <v>68.0</v>
      </c>
      <c r="K87" s="16">
        <f t="shared" si="4"/>
        <v>-22.2395</v>
      </c>
      <c r="L87" s="19">
        <f t="shared" si="5"/>
        <v>-0.02404712217</v>
      </c>
      <c r="M87" s="16">
        <f t="shared" si="6"/>
        <v>902.5905</v>
      </c>
      <c r="N87" s="20"/>
    </row>
    <row r="88">
      <c r="A88" s="30"/>
      <c r="B88" s="30" t="s">
        <v>122</v>
      </c>
      <c r="C88" s="15" t="s">
        <v>183</v>
      </c>
      <c r="D88" s="16">
        <v>1314.0</v>
      </c>
      <c r="E88" s="16">
        <f t="shared" si="1"/>
        <v>90.666</v>
      </c>
      <c r="F88" s="16">
        <f t="shared" si="2"/>
        <v>28.251</v>
      </c>
      <c r="G88" s="17">
        <v>989.55</v>
      </c>
      <c r="H88" s="18">
        <v>0.1</v>
      </c>
      <c r="I88" s="16">
        <f t="shared" si="9"/>
        <v>131.4</v>
      </c>
      <c r="J88" s="16">
        <v>62.5</v>
      </c>
      <c r="K88" s="16">
        <f t="shared" si="4"/>
        <v>11.633</v>
      </c>
      <c r="L88" s="19">
        <f t="shared" si="5"/>
        <v>0.01175584862</v>
      </c>
      <c r="M88" s="16">
        <f t="shared" si="6"/>
        <v>1001.183</v>
      </c>
      <c r="N88" s="20"/>
    </row>
    <row r="89">
      <c r="A89" s="30"/>
      <c r="B89" s="30"/>
      <c r="C89" s="15" t="s">
        <v>184</v>
      </c>
      <c r="D89" s="16">
        <v>189.0</v>
      </c>
      <c r="E89" s="16">
        <f t="shared" si="1"/>
        <v>13.041</v>
      </c>
      <c r="F89" s="16">
        <f t="shared" si="2"/>
        <v>4.0635</v>
      </c>
      <c r="G89" s="17">
        <v>102.8</v>
      </c>
      <c r="H89" s="18">
        <v>0.1</v>
      </c>
      <c r="I89" s="16">
        <f t="shared" si="9"/>
        <v>18.9</v>
      </c>
      <c r="J89" s="16"/>
      <c r="K89" s="16">
        <f t="shared" si="4"/>
        <v>50.1955</v>
      </c>
      <c r="L89" s="19">
        <f t="shared" si="5"/>
        <v>0.4882830739</v>
      </c>
      <c r="M89" s="16">
        <f t="shared" si="6"/>
        <v>152.9955</v>
      </c>
      <c r="N89" s="20"/>
    </row>
    <row r="90">
      <c r="A90" s="30"/>
      <c r="B90" s="30" t="s">
        <v>185</v>
      </c>
      <c r="C90" s="15" t="s">
        <v>186</v>
      </c>
      <c r="D90" s="16">
        <v>782.0</v>
      </c>
      <c r="E90" s="16">
        <f t="shared" si="1"/>
        <v>53.958</v>
      </c>
      <c r="F90" s="16">
        <f t="shared" si="2"/>
        <v>16.813</v>
      </c>
      <c r="G90" s="17">
        <v>544.38</v>
      </c>
      <c r="H90" s="18">
        <v>0.1</v>
      </c>
      <c r="I90" s="16">
        <f t="shared" si="9"/>
        <v>78.2</v>
      </c>
      <c r="J90" s="16">
        <v>78.0</v>
      </c>
      <c r="K90" s="16">
        <f t="shared" si="4"/>
        <v>10.649</v>
      </c>
      <c r="L90" s="19">
        <f t="shared" si="5"/>
        <v>0.01956170322</v>
      </c>
      <c r="M90" s="16">
        <f t="shared" si="6"/>
        <v>555.029</v>
      </c>
      <c r="N90" s="20"/>
    </row>
    <row r="91">
      <c r="A91" s="30"/>
      <c r="B91" s="30" t="s">
        <v>187</v>
      </c>
      <c r="C91" s="31" t="s">
        <v>188</v>
      </c>
      <c r="D91" s="16">
        <v>442.0</v>
      </c>
      <c r="E91" s="16">
        <f t="shared" si="1"/>
        <v>30.498</v>
      </c>
      <c r="F91" s="16">
        <f t="shared" si="2"/>
        <v>9.503</v>
      </c>
      <c r="G91" s="17">
        <v>320.13</v>
      </c>
      <c r="H91" s="18">
        <v>0.1</v>
      </c>
      <c r="I91" s="16">
        <f t="shared" si="9"/>
        <v>44.2</v>
      </c>
      <c r="J91" s="16">
        <v>84.0</v>
      </c>
      <c r="K91" s="16">
        <f t="shared" si="4"/>
        <v>-46.331</v>
      </c>
      <c r="L91" s="19">
        <f t="shared" si="5"/>
        <v>-0.1447255802</v>
      </c>
      <c r="M91" s="16">
        <f t="shared" si="6"/>
        <v>273.799</v>
      </c>
      <c r="N91" s="20"/>
    </row>
    <row r="92">
      <c r="A92" s="21"/>
      <c r="B92" s="21" t="s">
        <v>189</v>
      </c>
      <c r="C92" s="31" t="s">
        <v>190</v>
      </c>
      <c r="D92" s="16">
        <v>190.0</v>
      </c>
      <c r="E92" s="16">
        <f t="shared" si="1"/>
        <v>13.11</v>
      </c>
      <c r="F92" s="16">
        <f t="shared" si="2"/>
        <v>4.085</v>
      </c>
      <c r="G92" s="17">
        <v>163.64</v>
      </c>
      <c r="H92" s="18">
        <v>0.1</v>
      </c>
      <c r="I92" s="16">
        <f t="shared" si="9"/>
        <v>19</v>
      </c>
      <c r="J92" s="16"/>
      <c r="K92" s="16">
        <f t="shared" si="4"/>
        <v>-9.835</v>
      </c>
      <c r="L92" s="19">
        <f t="shared" si="5"/>
        <v>-0.06010144219</v>
      </c>
      <c r="M92" s="16">
        <f t="shared" si="6"/>
        <v>153.805</v>
      </c>
      <c r="N92" s="20"/>
    </row>
    <row r="93">
      <c r="A93" s="21"/>
      <c r="B93" s="21" t="s">
        <v>148</v>
      </c>
      <c r="C93" s="31" t="s">
        <v>191</v>
      </c>
      <c r="D93" s="16">
        <v>5259.0</v>
      </c>
      <c r="E93" s="16">
        <f t="shared" si="1"/>
        <v>362.871</v>
      </c>
      <c r="F93" s="16">
        <f t="shared" si="2"/>
        <v>113.0685</v>
      </c>
      <c r="G93" s="17">
        <v>3907.81</v>
      </c>
      <c r="H93" s="18">
        <v>0.1</v>
      </c>
      <c r="I93" s="16">
        <f t="shared" si="9"/>
        <v>525.9</v>
      </c>
      <c r="J93" s="16">
        <v>78.0</v>
      </c>
      <c r="K93" s="16">
        <f t="shared" si="4"/>
        <v>271.3505</v>
      </c>
      <c r="L93" s="19">
        <f t="shared" si="5"/>
        <v>0.06943799724</v>
      </c>
      <c r="M93" s="16">
        <f t="shared" si="6"/>
        <v>4179.1605</v>
      </c>
      <c r="N93" s="20"/>
    </row>
    <row r="94">
      <c r="A94" s="21"/>
      <c r="B94" s="21" t="s">
        <v>192</v>
      </c>
      <c r="C94" s="15" t="s">
        <v>193</v>
      </c>
      <c r="D94" s="16">
        <v>1980.0</v>
      </c>
      <c r="E94" s="16">
        <f t="shared" si="1"/>
        <v>136.62</v>
      </c>
      <c r="F94" s="16">
        <f t="shared" si="2"/>
        <v>42.57</v>
      </c>
      <c r="G94" s="17">
        <v>1588.13</v>
      </c>
      <c r="H94" s="18">
        <v>0.1</v>
      </c>
      <c r="I94" s="16">
        <f t="shared" si="9"/>
        <v>198</v>
      </c>
      <c r="J94" s="16">
        <v>67.0</v>
      </c>
      <c r="K94" s="16">
        <f t="shared" si="4"/>
        <v>-52.32</v>
      </c>
      <c r="L94" s="19">
        <f t="shared" si="5"/>
        <v>-0.03294440631</v>
      </c>
      <c r="M94" s="16">
        <f t="shared" si="6"/>
        <v>1535.81</v>
      </c>
      <c r="N94" s="20"/>
    </row>
    <row r="95">
      <c r="A95" s="30"/>
      <c r="B95" s="30" t="s">
        <v>194</v>
      </c>
      <c r="C95" s="15" t="s">
        <v>195</v>
      </c>
      <c r="D95" s="16">
        <v>42.99</v>
      </c>
      <c r="E95" s="16">
        <f t="shared" si="1"/>
        <v>2.96631</v>
      </c>
      <c r="F95" s="16">
        <f t="shared" si="2"/>
        <v>0.924285</v>
      </c>
      <c r="G95" s="32">
        <v>8.5</v>
      </c>
      <c r="H95" s="18">
        <v>0.1</v>
      </c>
      <c r="I95" s="16">
        <f t="shared" si="9"/>
        <v>4.299</v>
      </c>
      <c r="J95" s="16"/>
      <c r="K95" s="16">
        <f t="shared" si="4"/>
        <v>26.300405</v>
      </c>
      <c r="L95" s="19">
        <f t="shared" si="5"/>
        <v>3.094165294</v>
      </c>
      <c r="M95" s="16">
        <f t="shared" si="6"/>
        <v>34.800405</v>
      </c>
      <c r="N95" s="20"/>
    </row>
    <row r="96">
      <c r="A96" s="21"/>
      <c r="B96" s="21" t="s">
        <v>196</v>
      </c>
      <c r="C96" s="15" t="s">
        <v>197</v>
      </c>
      <c r="D96" s="16">
        <v>6299.0</v>
      </c>
      <c r="E96" s="16">
        <f t="shared" si="1"/>
        <v>434.631</v>
      </c>
      <c r="F96" s="16">
        <f t="shared" si="2"/>
        <v>135.4285</v>
      </c>
      <c r="G96" s="17">
        <v>4648.06</v>
      </c>
      <c r="H96" s="18">
        <v>0.1</v>
      </c>
      <c r="I96" s="16">
        <f t="shared" si="9"/>
        <v>629.9</v>
      </c>
      <c r="J96" s="16">
        <v>84.0</v>
      </c>
      <c r="K96" s="16">
        <f t="shared" si="4"/>
        <v>366.9805</v>
      </c>
      <c r="L96" s="19">
        <f t="shared" si="5"/>
        <v>0.07895347736</v>
      </c>
      <c r="M96" s="16">
        <f t="shared" si="6"/>
        <v>5015.0405</v>
      </c>
      <c r="N96" s="20"/>
    </row>
    <row r="97">
      <c r="A97" s="21"/>
      <c r="B97" s="21" t="s">
        <v>198</v>
      </c>
      <c r="C97" s="15" t="s">
        <v>199</v>
      </c>
      <c r="D97" s="16">
        <v>4999.0</v>
      </c>
      <c r="E97" s="16">
        <f t="shared" si="1"/>
        <v>344.931</v>
      </c>
      <c r="F97" s="16">
        <f t="shared" si="2"/>
        <v>107.4785</v>
      </c>
      <c r="G97" s="17">
        <v>3631.37</v>
      </c>
      <c r="H97" s="18">
        <v>0.1</v>
      </c>
      <c r="I97" s="16">
        <f t="shared" si="9"/>
        <v>499.9</v>
      </c>
      <c r="J97" s="16">
        <v>84.0</v>
      </c>
      <c r="K97" s="16">
        <f t="shared" si="4"/>
        <v>331.3205</v>
      </c>
      <c r="L97" s="19">
        <f t="shared" si="5"/>
        <v>0.09123843067</v>
      </c>
      <c r="M97" s="16">
        <f t="shared" si="6"/>
        <v>3962.6905</v>
      </c>
      <c r="N97" s="20"/>
    </row>
    <row r="98">
      <c r="A98" s="21"/>
      <c r="B98" s="21" t="s">
        <v>200</v>
      </c>
      <c r="C98" s="31" t="s">
        <v>201</v>
      </c>
      <c r="D98" s="16">
        <v>688.0</v>
      </c>
      <c r="E98" s="16">
        <f t="shared" si="1"/>
        <v>47.472</v>
      </c>
      <c r="F98" s="16">
        <f t="shared" si="2"/>
        <v>14.792</v>
      </c>
      <c r="G98" s="17">
        <v>519.0</v>
      </c>
      <c r="H98" s="18">
        <v>0.1</v>
      </c>
      <c r="I98" s="16">
        <f t="shared" si="9"/>
        <v>68.8</v>
      </c>
      <c r="J98" s="16">
        <v>66.5</v>
      </c>
      <c r="K98" s="16">
        <f t="shared" si="4"/>
        <v>-28.564</v>
      </c>
      <c r="L98" s="19">
        <f t="shared" si="5"/>
        <v>-0.05503660886</v>
      </c>
      <c r="M98" s="16">
        <f t="shared" si="6"/>
        <v>490.436</v>
      </c>
      <c r="N98" s="20"/>
    </row>
    <row r="99">
      <c r="A99" s="30"/>
      <c r="B99" s="30" t="s">
        <v>202</v>
      </c>
      <c r="C99" s="31" t="s">
        <v>203</v>
      </c>
      <c r="D99" s="16">
        <v>710.0</v>
      </c>
      <c r="E99" s="16">
        <f t="shared" si="1"/>
        <v>48.99</v>
      </c>
      <c r="F99" s="16">
        <f t="shared" si="2"/>
        <v>15.265</v>
      </c>
      <c r="G99" s="17">
        <v>516.44</v>
      </c>
      <c r="H99" s="18">
        <v>0.15</v>
      </c>
      <c r="I99" s="16">
        <f t="shared" si="9"/>
        <v>106.5</v>
      </c>
      <c r="J99" s="16"/>
      <c r="K99" s="16">
        <f t="shared" si="4"/>
        <v>22.805</v>
      </c>
      <c r="L99" s="19">
        <f t="shared" si="5"/>
        <v>0.04415808226</v>
      </c>
      <c r="M99" s="16">
        <f t="shared" si="6"/>
        <v>539.245</v>
      </c>
      <c r="N99" s="20"/>
    </row>
    <row r="100">
      <c r="A100" s="34" t="s">
        <v>204</v>
      </c>
      <c r="B100" s="30" t="s">
        <v>205</v>
      </c>
      <c r="C100" s="31" t="s">
        <v>206</v>
      </c>
      <c r="D100" s="29">
        <v>284.0</v>
      </c>
      <c r="E100" s="16">
        <f t="shared" si="1"/>
        <v>19.596</v>
      </c>
      <c r="F100" s="16">
        <f t="shared" si="2"/>
        <v>6.106</v>
      </c>
      <c r="G100" s="32">
        <v>200.0</v>
      </c>
      <c r="H100" s="18">
        <v>0.1</v>
      </c>
      <c r="I100" s="16">
        <f t="shared" si="9"/>
        <v>28.4</v>
      </c>
      <c r="J100" s="29">
        <v>35.0</v>
      </c>
      <c r="K100" s="16">
        <f t="shared" si="4"/>
        <v>-5.102</v>
      </c>
      <c r="L100" s="19">
        <f t="shared" si="5"/>
        <v>-0.02551</v>
      </c>
      <c r="M100" s="16">
        <f t="shared" si="6"/>
        <v>194.898</v>
      </c>
      <c r="N100" s="20"/>
    </row>
    <row r="101">
      <c r="A101" s="30"/>
      <c r="B101" s="34" t="s">
        <v>204</v>
      </c>
      <c r="C101" s="31" t="s">
        <v>206</v>
      </c>
      <c r="D101" s="29">
        <v>266.0</v>
      </c>
      <c r="E101" s="16">
        <f t="shared" si="1"/>
        <v>18.354</v>
      </c>
      <c r="F101" s="16">
        <f t="shared" si="2"/>
        <v>5.719</v>
      </c>
      <c r="G101" s="32">
        <v>200.0</v>
      </c>
      <c r="H101" s="18">
        <v>0.1</v>
      </c>
      <c r="I101" s="16">
        <f t="shared" si="9"/>
        <v>26.6</v>
      </c>
      <c r="J101" s="29">
        <v>35.0</v>
      </c>
      <c r="K101" s="16">
        <f t="shared" si="4"/>
        <v>-19.673</v>
      </c>
      <c r="L101" s="19">
        <f t="shared" si="5"/>
        <v>-0.098365</v>
      </c>
      <c r="M101" s="16">
        <f t="shared" si="6"/>
        <v>180.327</v>
      </c>
      <c r="N101" s="20"/>
    </row>
    <row r="102">
      <c r="A102" s="30"/>
      <c r="B102" s="30" t="s">
        <v>207</v>
      </c>
      <c r="C102" s="31" t="s">
        <v>208</v>
      </c>
      <c r="D102" s="16">
        <v>5865.0</v>
      </c>
      <c r="E102" s="16">
        <f t="shared" si="1"/>
        <v>404.685</v>
      </c>
      <c r="F102" s="16">
        <f t="shared" si="2"/>
        <v>126.0975</v>
      </c>
      <c r="G102" s="17">
        <v>4324.97</v>
      </c>
      <c r="H102" s="18">
        <v>0.1</v>
      </c>
      <c r="I102" s="16">
        <f t="shared" si="9"/>
        <v>586.5</v>
      </c>
      <c r="J102" s="16">
        <v>231.0</v>
      </c>
      <c r="K102" s="16">
        <f t="shared" si="4"/>
        <v>191.7475</v>
      </c>
      <c r="L102" s="19">
        <f t="shared" si="5"/>
        <v>0.04433498961</v>
      </c>
      <c r="M102" s="16">
        <f t="shared" si="6"/>
        <v>4516.7175</v>
      </c>
      <c r="N102" s="20"/>
    </row>
    <row r="103">
      <c r="A103" s="30"/>
      <c r="B103" s="30" t="s">
        <v>209</v>
      </c>
      <c r="C103" s="15" t="s">
        <v>210</v>
      </c>
      <c r="D103" s="16">
        <v>369.0</v>
      </c>
      <c r="E103" s="16">
        <f t="shared" si="1"/>
        <v>25.461</v>
      </c>
      <c r="F103" s="16">
        <f t="shared" si="2"/>
        <v>7.9335</v>
      </c>
      <c r="G103" s="17">
        <v>217.24</v>
      </c>
      <c r="H103" s="18">
        <v>0.1</v>
      </c>
      <c r="I103" s="16">
        <f t="shared" si="9"/>
        <v>36.9</v>
      </c>
      <c r="J103" s="16">
        <v>85.0</v>
      </c>
      <c r="K103" s="16">
        <f t="shared" si="4"/>
        <v>-3.5345</v>
      </c>
      <c r="L103" s="19">
        <f t="shared" si="5"/>
        <v>-0.01627002394</v>
      </c>
      <c r="M103" s="16">
        <f t="shared" si="6"/>
        <v>213.7055</v>
      </c>
      <c r="N103" s="20"/>
    </row>
    <row r="104">
      <c r="A104" s="30"/>
      <c r="B104" s="30" t="s">
        <v>211</v>
      </c>
      <c r="C104" s="31" t="s">
        <v>212</v>
      </c>
      <c r="D104" s="29">
        <v>699.0</v>
      </c>
      <c r="E104" s="16">
        <f t="shared" si="1"/>
        <v>48.231</v>
      </c>
      <c r="F104" s="16">
        <f t="shared" si="2"/>
        <v>15.0285</v>
      </c>
      <c r="G104" s="32">
        <v>430.0</v>
      </c>
      <c r="H104" s="18">
        <v>0.1</v>
      </c>
      <c r="I104" s="16">
        <f t="shared" si="9"/>
        <v>69.9</v>
      </c>
      <c r="J104" s="16">
        <v>66.5</v>
      </c>
      <c r="K104" s="16">
        <f t="shared" si="4"/>
        <v>69.3405</v>
      </c>
      <c r="L104" s="19">
        <f t="shared" si="5"/>
        <v>0.1612569767</v>
      </c>
      <c r="M104" s="16">
        <f t="shared" si="6"/>
        <v>499.3405</v>
      </c>
      <c r="N104" s="20"/>
    </row>
    <row r="105">
      <c r="A105" s="30"/>
      <c r="B105" s="30" t="s">
        <v>213</v>
      </c>
      <c r="C105" s="15" t="s">
        <v>214</v>
      </c>
      <c r="D105" s="16">
        <v>4499.0</v>
      </c>
      <c r="E105" s="16">
        <f t="shared" si="1"/>
        <v>310.431</v>
      </c>
      <c r="F105" s="16">
        <f t="shared" si="2"/>
        <v>96.7285</v>
      </c>
      <c r="G105" s="17">
        <v>3472.92</v>
      </c>
      <c r="H105" s="18">
        <v>0.1</v>
      </c>
      <c r="I105" s="16">
        <f t="shared" si="9"/>
        <v>449.9</v>
      </c>
      <c r="J105" s="16">
        <v>102.0</v>
      </c>
      <c r="K105" s="16">
        <f t="shared" si="4"/>
        <v>67.0205</v>
      </c>
      <c r="L105" s="19">
        <f t="shared" si="5"/>
        <v>0.01929802587</v>
      </c>
      <c r="M105" s="16">
        <f t="shared" si="6"/>
        <v>3539.9405</v>
      </c>
      <c r="N105" s="20"/>
    </row>
    <row r="106">
      <c r="A106" s="30"/>
      <c r="B106" s="30" t="s">
        <v>215</v>
      </c>
      <c r="C106" s="15" t="s">
        <v>216</v>
      </c>
      <c r="D106" s="16">
        <v>363.0</v>
      </c>
      <c r="E106" s="16">
        <f t="shared" si="1"/>
        <v>25.047</v>
      </c>
      <c r="F106" s="16">
        <f t="shared" si="2"/>
        <v>7.8045</v>
      </c>
      <c r="G106" s="17">
        <v>254.0</v>
      </c>
      <c r="H106" s="18">
        <v>0.1</v>
      </c>
      <c r="I106" s="16">
        <f t="shared" si="9"/>
        <v>36.3</v>
      </c>
      <c r="J106" s="16">
        <v>72.0</v>
      </c>
      <c r="K106" s="16">
        <f t="shared" si="4"/>
        <v>-32.1515</v>
      </c>
      <c r="L106" s="19">
        <f t="shared" si="5"/>
        <v>-0.1265807087</v>
      </c>
      <c r="M106" s="16">
        <f t="shared" si="6"/>
        <v>221.8485</v>
      </c>
      <c r="N106" s="20"/>
    </row>
    <row r="107">
      <c r="A107" s="30"/>
      <c r="B107" s="30" t="s">
        <v>217</v>
      </c>
      <c r="C107" s="31" t="s">
        <v>218</v>
      </c>
      <c r="D107" s="16">
        <v>3099.0</v>
      </c>
      <c r="E107" s="16">
        <f t="shared" si="1"/>
        <v>213.831</v>
      </c>
      <c r="F107" s="16">
        <f t="shared" si="2"/>
        <v>66.6285</v>
      </c>
      <c r="G107" s="17">
        <v>2287.42</v>
      </c>
      <c r="H107" s="18">
        <v>0.1</v>
      </c>
      <c r="I107" s="16">
        <f t="shared" si="9"/>
        <v>309.9</v>
      </c>
      <c r="J107" s="16">
        <v>62.5</v>
      </c>
      <c r="K107" s="16">
        <f t="shared" si="4"/>
        <v>158.7205</v>
      </c>
      <c r="L107" s="19">
        <f t="shared" si="5"/>
        <v>0.06938843763</v>
      </c>
      <c r="M107" s="16">
        <f t="shared" si="6"/>
        <v>2446.1405</v>
      </c>
      <c r="N107" s="20"/>
    </row>
    <row r="108">
      <c r="A108" s="30"/>
      <c r="B108" s="30" t="s">
        <v>219</v>
      </c>
      <c r="C108" s="15" t="s">
        <v>220</v>
      </c>
      <c r="D108" s="16">
        <v>1299.0</v>
      </c>
      <c r="E108" s="16">
        <f t="shared" si="1"/>
        <v>89.631</v>
      </c>
      <c r="F108" s="16">
        <f t="shared" si="2"/>
        <v>27.9285</v>
      </c>
      <c r="G108" s="17">
        <v>659.79</v>
      </c>
      <c r="H108" s="18">
        <v>0.1</v>
      </c>
      <c r="I108" s="16">
        <f t="shared" si="9"/>
        <v>129.9</v>
      </c>
      <c r="J108" s="16">
        <v>84.0</v>
      </c>
      <c r="K108" s="16">
        <f t="shared" si="4"/>
        <v>307.7505</v>
      </c>
      <c r="L108" s="19">
        <f t="shared" si="5"/>
        <v>0.4664370482</v>
      </c>
      <c r="M108" s="16">
        <f t="shared" si="6"/>
        <v>967.5405</v>
      </c>
      <c r="N108" s="20"/>
    </row>
    <row r="109">
      <c r="A109" s="30"/>
      <c r="B109" s="30" t="s">
        <v>221</v>
      </c>
      <c r="C109" s="15" t="s">
        <v>222</v>
      </c>
      <c r="D109" s="16">
        <v>6999.0</v>
      </c>
      <c r="E109" s="16">
        <f t="shared" si="1"/>
        <v>482.931</v>
      </c>
      <c r="F109" s="16">
        <f t="shared" si="2"/>
        <v>150.4785</v>
      </c>
      <c r="G109" s="17">
        <v>5206.61</v>
      </c>
      <c r="H109" s="18">
        <v>0.1</v>
      </c>
      <c r="I109" s="16">
        <f t="shared" si="9"/>
        <v>699.9</v>
      </c>
      <c r="J109" s="16">
        <v>67.5</v>
      </c>
      <c r="K109" s="16">
        <f t="shared" si="4"/>
        <v>391.5805</v>
      </c>
      <c r="L109" s="19">
        <f t="shared" si="5"/>
        <v>0.07520834094</v>
      </c>
      <c r="M109" s="16">
        <f t="shared" si="6"/>
        <v>5598.1905</v>
      </c>
      <c r="N109" s="20"/>
    </row>
    <row r="110">
      <c r="A110" s="30"/>
      <c r="B110" s="30" t="s">
        <v>223</v>
      </c>
      <c r="C110" s="31" t="s">
        <v>224</v>
      </c>
      <c r="D110" s="16">
        <v>1119.0</v>
      </c>
      <c r="E110" s="16">
        <f t="shared" si="1"/>
        <v>77.211</v>
      </c>
      <c r="F110" s="16">
        <f t="shared" si="2"/>
        <v>24.0585</v>
      </c>
      <c r="G110" s="17">
        <v>845.2339999999999</v>
      </c>
      <c r="H110" s="18">
        <v>0.1</v>
      </c>
      <c r="I110" s="16">
        <f t="shared" si="9"/>
        <v>111.9</v>
      </c>
      <c r="J110" s="16">
        <v>72.5</v>
      </c>
      <c r="K110" s="16">
        <f t="shared" si="4"/>
        <v>-11.9035</v>
      </c>
      <c r="L110" s="19">
        <f t="shared" si="5"/>
        <v>-0.01408308232</v>
      </c>
      <c r="M110" s="16">
        <f t="shared" si="6"/>
        <v>833.3305</v>
      </c>
      <c r="N110" s="20"/>
    </row>
    <row r="111">
      <c r="A111" s="30"/>
      <c r="B111" s="30" t="s">
        <v>225</v>
      </c>
      <c r="C111" s="15" t="s">
        <v>226</v>
      </c>
      <c r="D111" s="16">
        <v>1399.0</v>
      </c>
      <c r="E111" s="16">
        <f t="shared" si="1"/>
        <v>96.531</v>
      </c>
      <c r="F111" s="16">
        <f t="shared" si="2"/>
        <v>30.0785</v>
      </c>
      <c r="G111" s="17">
        <v>981.19</v>
      </c>
      <c r="H111" s="18">
        <v>0.1</v>
      </c>
      <c r="I111" s="16">
        <f t="shared" si="9"/>
        <v>139.9</v>
      </c>
      <c r="J111" s="16">
        <v>67.5</v>
      </c>
      <c r="K111" s="16">
        <f t="shared" si="4"/>
        <v>83.8005</v>
      </c>
      <c r="L111" s="19">
        <f t="shared" si="5"/>
        <v>0.08540700578</v>
      </c>
      <c r="M111" s="16">
        <f t="shared" si="6"/>
        <v>1064.9905</v>
      </c>
      <c r="N111" s="20"/>
    </row>
    <row r="112">
      <c r="A112" s="30"/>
      <c r="B112" s="30" t="s">
        <v>227</v>
      </c>
      <c r="C112" s="31" t="s">
        <v>228</v>
      </c>
      <c r="D112" s="16">
        <v>1799.0</v>
      </c>
      <c r="E112" s="16">
        <f t="shared" si="1"/>
        <v>124.131</v>
      </c>
      <c r="F112" s="16">
        <f t="shared" si="2"/>
        <v>38.6785</v>
      </c>
      <c r="G112" s="17">
        <v>1305.3711999999998</v>
      </c>
      <c r="H112" s="18">
        <v>0.1</v>
      </c>
      <c r="I112" s="16">
        <f t="shared" si="9"/>
        <v>179.9</v>
      </c>
      <c r="J112" s="16">
        <v>78.0</v>
      </c>
      <c r="K112" s="16">
        <f t="shared" si="4"/>
        <v>72.9193</v>
      </c>
      <c r="L112" s="19">
        <f t="shared" si="5"/>
        <v>0.0558609689</v>
      </c>
      <c r="M112" s="16">
        <f t="shared" si="6"/>
        <v>1378.2905</v>
      </c>
      <c r="N112" s="20"/>
    </row>
    <row r="113">
      <c r="A113" s="30"/>
      <c r="B113" s="30" t="s">
        <v>229</v>
      </c>
      <c r="C113" s="31" t="s">
        <v>230</v>
      </c>
      <c r="D113" s="16">
        <v>758.0</v>
      </c>
      <c r="E113" s="16">
        <f t="shared" si="1"/>
        <v>52.302</v>
      </c>
      <c r="F113" s="16">
        <f t="shared" si="2"/>
        <v>16.297</v>
      </c>
      <c r="G113" s="17">
        <v>553.32</v>
      </c>
      <c r="H113" s="18">
        <v>0.1</v>
      </c>
      <c r="I113" s="16">
        <f t="shared" si="9"/>
        <v>75.8</v>
      </c>
      <c r="J113" s="16">
        <v>91.5</v>
      </c>
      <c r="K113" s="16">
        <f t="shared" si="4"/>
        <v>-31.219</v>
      </c>
      <c r="L113" s="19">
        <f t="shared" si="5"/>
        <v>-0.05642123907</v>
      </c>
      <c r="M113" s="16">
        <f t="shared" si="6"/>
        <v>522.101</v>
      </c>
      <c r="N113" s="20"/>
    </row>
    <row r="114">
      <c r="A114" s="21"/>
      <c r="B114" s="21" t="s">
        <v>231</v>
      </c>
      <c r="C114" s="31" t="s">
        <v>232</v>
      </c>
      <c r="D114" s="16">
        <v>549.0</v>
      </c>
      <c r="E114" s="16">
        <f t="shared" si="1"/>
        <v>37.881</v>
      </c>
      <c r="F114" s="16">
        <f t="shared" si="2"/>
        <v>11.8035</v>
      </c>
      <c r="G114" s="17">
        <v>382.8</v>
      </c>
      <c r="H114" s="18">
        <v>0.1</v>
      </c>
      <c r="I114" s="16">
        <f t="shared" si="9"/>
        <v>54.9</v>
      </c>
      <c r="J114" s="16">
        <v>72.5</v>
      </c>
      <c r="K114" s="16">
        <f t="shared" si="4"/>
        <v>-10.8845</v>
      </c>
      <c r="L114" s="19">
        <f t="shared" si="5"/>
        <v>-0.02843390805</v>
      </c>
      <c r="M114" s="16">
        <f t="shared" si="6"/>
        <v>371.9155</v>
      </c>
      <c r="N114" s="20"/>
    </row>
    <row r="115">
      <c r="A115" s="30"/>
      <c r="B115" s="30" t="s">
        <v>233</v>
      </c>
      <c r="C115" s="31" t="s">
        <v>234</v>
      </c>
      <c r="D115" s="16">
        <v>299.0</v>
      </c>
      <c r="E115" s="16">
        <f t="shared" si="1"/>
        <v>20.631</v>
      </c>
      <c r="F115" s="16">
        <f t="shared" si="2"/>
        <v>6.4285</v>
      </c>
      <c r="G115" s="17">
        <v>136.01</v>
      </c>
      <c r="H115" s="18">
        <v>0.1</v>
      </c>
      <c r="I115" s="16">
        <f t="shared" si="9"/>
        <v>29.9</v>
      </c>
      <c r="J115" s="16">
        <v>57.0</v>
      </c>
      <c r="K115" s="16">
        <f t="shared" si="4"/>
        <v>49.0305</v>
      </c>
      <c r="L115" s="19">
        <f t="shared" si="5"/>
        <v>0.3604918756</v>
      </c>
      <c r="M115" s="16">
        <f t="shared" si="6"/>
        <v>185.0405</v>
      </c>
      <c r="N115" s="20"/>
    </row>
    <row r="116">
      <c r="A116" s="30"/>
      <c r="B116" s="30" t="s">
        <v>235</v>
      </c>
      <c r="C116" s="15" t="s">
        <v>236</v>
      </c>
      <c r="D116" s="29">
        <v>299.0</v>
      </c>
      <c r="E116" s="16">
        <f t="shared" si="1"/>
        <v>20.631</v>
      </c>
      <c r="F116" s="16">
        <f t="shared" si="2"/>
        <v>6.4285</v>
      </c>
      <c r="G116" s="17">
        <v>137.5</v>
      </c>
      <c r="H116" s="18">
        <v>0.15</v>
      </c>
      <c r="I116" s="16">
        <f t="shared" si="9"/>
        <v>44.85</v>
      </c>
      <c r="J116" s="29">
        <v>59.0</v>
      </c>
      <c r="K116" s="16">
        <f t="shared" si="4"/>
        <v>30.5905</v>
      </c>
      <c r="L116" s="19">
        <f t="shared" si="5"/>
        <v>0.2224763636</v>
      </c>
      <c r="M116" s="16">
        <f t="shared" si="6"/>
        <v>168.0905</v>
      </c>
      <c r="N116" s="20" t="s">
        <v>237</v>
      </c>
    </row>
    <row r="117">
      <c r="A117" s="30"/>
      <c r="B117" s="30" t="s">
        <v>238</v>
      </c>
      <c r="C117" s="15" t="s">
        <v>239</v>
      </c>
      <c r="D117" s="16">
        <v>1949.0</v>
      </c>
      <c r="E117" s="16">
        <f t="shared" si="1"/>
        <v>134.481</v>
      </c>
      <c r="F117" s="16">
        <f t="shared" si="2"/>
        <v>41.9035</v>
      </c>
      <c r="G117" s="17">
        <v>1318.41</v>
      </c>
      <c r="H117" s="18">
        <v>0.1</v>
      </c>
      <c r="I117" s="16">
        <f t="shared" si="9"/>
        <v>194.9</v>
      </c>
      <c r="J117" s="16">
        <v>102.0</v>
      </c>
      <c r="K117" s="16">
        <f t="shared" si="4"/>
        <v>157.3055</v>
      </c>
      <c r="L117" s="19">
        <f t="shared" si="5"/>
        <v>0.1193145531</v>
      </c>
      <c r="M117" s="16">
        <f t="shared" si="6"/>
        <v>1475.7155</v>
      </c>
      <c r="N117" s="20"/>
    </row>
    <row r="118">
      <c r="A118" s="30"/>
      <c r="B118" s="30" t="s">
        <v>240</v>
      </c>
      <c r="C118" s="15" t="s">
        <v>241</v>
      </c>
      <c r="D118" s="16">
        <v>1899.0</v>
      </c>
      <c r="E118" s="16">
        <f t="shared" si="1"/>
        <v>131.031</v>
      </c>
      <c r="F118" s="16">
        <f t="shared" si="2"/>
        <v>40.8285</v>
      </c>
      <c r="G118" s="17">
        <v>1296.400687918146</v>
      </c>
      <c r="H118" s="18">
        <v>0.1</v>
      </c>
      <c r="I118" s="16">
        <f t="shared" si="9"/>
        <v>189.9</v>
      </c>
      <c r="J118" s="16">
        <v>156.0</v>
      </c>
      <c r="K118" s="16">
        <f t="shared" si="4"/>
        <v>84.83981208</v>
      </c>
      <c r="L118" s="19">
        <f t="shared" si="5"/>
        <v>0.0654425849</v>
      </c>
      <c r="M118" s="16">
        <f t="shared" si="6"/>
        <v>1381.2405</v>
      </c>
      <c r="N118" s="20"/>
    </row>
    <row r="119">
      <c r="A119" s="30"/>
      <c r="B119" s="30" t="s">
        <v>242</v>
      </c>
      <c r="C119" s="15" t="s">
        <v>243</v>
      </c>
      <c r="D119" s="16">
        <v>1093.0</v>
      </c>
      <c r="E119" s="16">
        <f t="shared" si="1"/>
        <v>75.417</v>
      </c>
      <c r="F119" s="16">
        <f t="shared" si="2"/>
        <v>23.4995</v>
      </c>
      <c r="G119" s="17">
        <v>691.65</v>
      </c>
      <c r="H119" s="18">
        <v>0.1</v>
      </c>
      <c r="I119" s="16">
        <f t="shared" si="9"/>
        <v>109.3</v>
      </c>
      <c r="J119" s="16">
        <v>86.0</v>
      </c>
      <c r="K119" s="16">
        <f t="shared" si="4"/>
        <v>107.1335</v>
      </c>
      <c r="L119" s="19">
        <f t="shared" si="5"/>
        <v>0.1548955397</v>
      </c>
      <c r="M119" s="16">
        <f t="shared" si="6"/>
        <v>798.7835</v>
      </c>
      <c r="N119" s="20"/>
    </row>
    <row r="120">
      <c r="A120" s="30"/>
      <c r="B120" s="30" t="s">
        <v>244</v>
      </c>
      <c r="C120" s="31" t="s">
        <v>245</v>
      </c>
      <c r="D120" s="16">
        <v>359.0</v>
      </c>
      <c r="E120" s="16">
        <f t="shared" si="1"/>
        <v>24.771</v>
      </c>
      <c r="F120" s="16">
        <f t="shared" si="2"/>
        <v>7.7185</v>
      </c>
      <c r="G120" s="17">
        <v>207.99</v>
      </c>
      <c r="H120" s="18">
        <v>0.1</v>
      </c>
      <c r="I120" s="16">
        <f t="shared" si="9"/>
        <v>35.9</v>
      </c>
      <c r="J120" s="16">
        <v>91.5</v>
      </c>
      <c r="K120" s="16">
        <f t="shared" si="4"/>
        <v>-8.8795</v>
      </c>
      <c r="L120" s="19">
        <f t="shared" si="5"/>
        <v>-0.04269195634</v>
      </c>
      <c r="M120" s="16">
        <f t="shared" si="6"/>
        <v>199.1105</v>
      </c>
      <c r="N120" s="20"/>
    </row>
    <row r="121">
      <c r="A121" s="30"/>
      <c r="B121" s="30" t="s">
        <v>246</v>
      </c>
      <c r="C121" s="31" t="s">
        <v>247</v>
      </c>
      <c r="D121" s="16">
        <v>524.0</v>
      </c>
      <c r="E121" s="16">
        <f t="shared" si="1"/>
        <v>36.156</v>
      </c>
      <c r="F121" s="16">
        <f t="shared" si="2"/>
        <v>11.266</v>
      </c>
      <c r="G121" s="17">
        <v>307.9</v>
      </c>
      <c r="H121" s="18">
        <v>0.1</v>
      </c>
      <c r="I121" s="16">
        <f t="shared" si="9"/>
        <v>52.4</v>
      </c>
      <c r="J121" s="16">
        <v>62.0</v>
      </c>
      <c r="K121" s="16">
        <f t="shared" si="4"/>
        <v>54.278</v>
      </c>
      <c r="L121" s="19">
        <f t="shared" si="5"/>
        <v>0.176284508</v>
      </c>
      <c r="M121" s="16">
        <f t="shared" si="6"/>
        <v>362.178</v>
      </c>
      <c r="N121" s="20"/>
    </row>
    <row r="122">
      <c r="A122" s="30"/>
      <c r="B122" s="30" t="s">
        <v>122</v>
      </c>
      <c r="C122" s="31" t="s">
        <v>248</v>
      </c>
      <c r="D122" s="16">
        <v>821.0</v>
      </c>
      <c r="E122" s="16">
        <f t="shared" si="1"/>
        <v>56.649</v>
      </c>
      <c r="F122" s="16">
        <f t="shared" si="2"/>
        <v>17.6515</v>
      </c>
      <c r="G122" s="17">
        <v>590.0</v>
      </c>
      <c r="H122" s="18">
        <v>0.1</v>
      </c>
      <c r="I122" s="16">
        <f t="shared" si="9"/>
        <v>82.1</v>
      </c>
      <c r="J122" s="16">
        <v>91.5</v>
      </c>
      <c r="K122" s="16">
        <f t="shared" si="4"/>
        <v>-16.9005</v>
      </c>
      <c r="L122" s="19">
        <f t="shared" si="5"/>
        <v>-0.02864491525</v>
      </c>
      <c r="M122" s="16">
        <f t="shared" si="6"/>
        <v>573.0995</v>
      </c>
      <c r="N122" s="20"/>
    </row>
    <row r="123">
      <c r="A123" s="30"/>
      <c r="B123" s="30" t="s">
        <v>249</v>
      </c>
      <c r="C123" s="15" t="s">
        <v>250</v>
      </c>
      <c r="D123" s="16">
        <v>799.0</v>
      </c>
      <c r="E123" s="16">
        <f t="shared" si="1"/>
        <v>55.131</v>
      </c>
      <c r="F123" s="16">
        <f t="shared" si="2"/>
        <v>17.1785</v>
      </c>
      <c r="G123" s="17">
        <v>760.33</v>
      </c>
      <c r="H123" s="18">
        <v>0.15</v>
      </c>
      <c r="I123" s="16">
        <f t="shared" si="9"/>
        <v>119.85</v>
      </c>
      <c r="J123" s="16"/>
      <c r="K123" s="16">
        <f t="shared" si="4"/>
        <v>-153.4895</v>
      </c>
      <c r="L123" s="19">
        <f t="shared" si="5"/>
        <v>-0.2018722134</v>
      </c>
      <c r="M123" s="16">
        <f t="shared" si="6"/>
        <v>606.8405</v>
      </c>
      <c r="N123" s="20"/>
    </row>
    <row r="124">
      <c r="A124" s="30"/>
      <c r="B124" s="30" t="s">
        <v>251</v>
      </c>
      <c r="C124" s="31" t="s">
        <v>252</v>
      </c>
      <c r="D124" s="29">
        <v>1059.0</v>
      </c>
      <c r="E124" s="16">
        <f t="shared" si="1"/>
        <v>73.071</v>
      </c>
      <c r="F124" s="16">
        <f t="shared" si="2"/>
        <v>22.7685</v>
      </c>
      <c r="G124" s="32">
        <v>800.63</v>
      </c>
      <c r="H124" s="18">
        <v>0.1</v>
      </c>
      <c r="I124" s="16">
        <f t="shared" si="9"/>
        <v>105.9</v>
      </c>
      <c r="J124" s="29">
        <v>65.0</v>
      </c>
      <c r="K124" s="16">
        <f t="shared" si="4"/>
        <v>-8.3695</v>
      </c>
      <c r="L124" s="19">
        <f t="shared" si="5"/>
        <v>-0.01045364276</v>
      </c>
      <c r="M124" s="16">
        <f t="shared" si="6"/>
        <v>792.2605</v>
      </c>
      <c r="N124" s="20"/>
    </row>
    <row r="125">
      <c r="A125" s="30"/>
      <c r="B125" s="30" t="s">
        <v>253</v>
      </c>
      <c r="C125" s="31" t="s">
        <v>254</v>
      </c>
      <c r="D125" s="16">
        <v>1005.0</v>
      </c>
      <c r="E125" s="16">
        <f t="shared" si="1"/>
        <v>69.345</v>
      </c>
      <c r="F125" s="16">
        <f t="shared" si="2"/>
        <v>21.6075</v>
      </c>
      <c r="G125" s="17">
        <v>622.84</v>
      </c>
      <c r="H125" s="18">
        <v>0.1</v>
      </c>
      <c r="I125" s="16">
        <f t="shared" si="9"/>
        <v>100.5</v>
      </c>
      <c r="J125" s="16">
        <v>67.0</v>
      </c>
      <c r="K125" s="16">
        <f t="shared" si="4"/>
        <v>123.7075</v>
      </c>
      <c r="L125" s="19">
        <f t="shared" si="5"/>
        <v>0.1986184253</v>
      </c>
      <c r="M125" s="16">
        <f t="shared" si="6"/>
        <v>746.5475</v>
      </c>
      <c r="N125" s="20"/>
    </row>
    <row r="126">
      <c r="A126" s="30"/>
      <c r="B126" s="30" t="s">
        <v>255</v>
      </c>
      <c r="C126" s="31" t="s">
        <v>256</v>
      </c>
      <c r="D126" s="16">
        <v>1809.0</v>
      </c>
      <c r="E126" s="16">
        <f t="shared" si="1"/>
        <v>124.821</v>
      </c>
      <c r="F126" s="16">
        <f t="shared" si="2"/>
        <v>38.8935</v>
      </c>
      <c r="G126" s="17">
        <v>1212.93</v>
      </c>
      <c r="H126" s="18">
        <v>0.1</v>
      </c>
      <c r="I126" s="16">
        <f t="shared" si="9"/>
        <v>180.9</v>
      </c>
      <c r="J126" s="16">
        <v>62.0</v>
      </c>
      <c r="K126" s="16">
        <f t="shared" si="4"/>
        <v>189.4555</v>
      </c>
      <c r="L126" s="19">
        <f t="shared" si="5"/>
        <v>0.1561965653</v>
      </c>
      <c r="M126" s="16">
        <f t="shared" si="6"/>
        <v>1402.3855</v>
      </c>
      <c r="N126" s="20"/>
    </row>
    <row r="127">
      <c r="A127" s="21"/>
      <c r="B127" s="21" t="s">
        <v>257</v>
      </c>
      <c r="C127" s="15" t="s">
        <v>258</v>
      </c>
      <c r="D127" s="16">
        <v>1699.0</v>
      </c>
      <c r="E127" s="16">
        <f t="shared" si="1"/>
        <v>117.231</v>
      </c>
      <c r="F127" s="16">
        <f t="shared" si="2"/>
        <v>36.5285</v>
      </c>
      <c r="G127" s="17">
        <v>1183.46</v>
      </c>
      <c r="H127" s="18">
        <v>0.1</v>
      </c>
      <c r="I127" s="16">
        <f t="shared" si="9"/>
        <v>169.9</v>
      </c>
      <c r="J127" s="16">
        <v>62.5</v>
      </c>
      <c r="K127" s="16">
        <f t="shared" si="4"/>
        <v>129.3805</v>
      </c>
      <c r="L127" s="19">
        <f t="shared" si="5"/>
        <v>0.1093239315</v>
      </c>
      <c r="M127" s="16">
        <f t="shared" si="6"/>
        <v>1312.8405</v>
      </c>
      <c r="N127" s="20"/>
    </row>
    <row r="128">
      <c r="A128" s="30"/>
      <c r="B128" s="30" t="s">
        <v>259</v>
      </c>
      <c r="C128" s="15" t="s">
        <v>260</v>
      </c>
      <c r="D128" s="16">
        <v>1252.0</v>
      </c>
      <c r="E128" s="16">
        <f t="shared" si="1"/>
        <v>86.388</v>
      </c>
      <c r="F128" s="16">
        <f t="shared" si="2"/>
        <v>26.918</v>
      </c>
      <c r="G128" s="17">
        <v>929.62</v>
      </c>
      <c r="H128" s="18">
        <v>0.1</v>
      </c>
      <c r="I128" s="16">
        <f t="shared" si="9"/>
        <v>125.2</v>
      </c>
      <c r="J128" s="16">
        <v>57.0</v>
      </c>
      <c r="K128" s="16">
        <f t="shared" si="4"/>
        <v>26.874</v>
      </c>
      <c r="L128" s="19">
        <f t="shared" si="5"/>
        <v>0.0289085863</v>
      </c>
      <c r="M128" s="16">
        <f t="shared" si="6"/>
        <v>956.494</v>
      </c>
      <c r="N128" s="20"/>
    </row>
    <row r="129">
      <c r="A129" s="30"/>
      <c r="B129" s="30" t="s">
        <v>261</v>
      </c>
      <c r="C129" s="31" t="s">
        <v>262</v>
      </c>
      <c r="D129" s="29">
        <v>519.0</v>
      </c>
      <c r="E129" s="16">
        <f t="shared" si="1"/>
        <v>35.811</v>
      </c>
      <c r="F129" s="16">
        <f t="shared" si="2"/>
        <v>11.1585</v>
      </c>
      <c r="G129" s="32">
        <v>359.0</v>
      </c>
      <c r="H129" s="18">
        <v>0.1</v>
      </c>
      <c r="I129" s="16">
        <f t="shared" si="9"/>
        <v>51.9</v>
      </c>
      <c r="J129" s="16">
        <v>120.0</v>
      </c>
      <c r="K129" s="16">
        <f t="shared" si="4"/>
        <v>-58.8695</v>
      </c>
      <c r="L129" s="19">
        <f t="shared" si="5"/>
        <v>-0.1639818942</v>
      </c>
      <c r="M129" s="16">
        <f t="shared" si="6"/>
        <v>300.1305</v>
      </c>
      <c r="N129" s="20"/>
    </row>
    <row r="130">
      <c r="A130" s="30"/>
      <c r="B130" s="30" t="s">
        <v>215</v>
      </c>
      <c r="C130" s="15" t="s">
        <v>263</v>
      </c>
      <c r="D130" s="16">
        <v>480.0</v>
      </c>
      <c r="E130" s="16">
        <f t="shared" si="1"/>
        <v>33.12</v>
      </c>
      <c r="F130" s="16">
        <f t="shared" si="2"/>
        <v>10.32</v>
      </c>
      <c r="G130" s="17">
        <v>266.05</v>
      </c>
      <c r="H130" s="18">
        <v>0.1</v>
      </c>
      <c r="I130" s="16">
        <f t="shared" si="9"/>
        <v>48</v>
      </c>
      <c r="J130" s="16">
        <v>91.5</v>
      </c>
      <c r="K130" s="16">
        <f t="shared" si="4"/>
        <v>31.01</v>
      </c>
      <c r="L130" s="19">
        <f t="shared" si="5"/>
        <v>0.1165570382</v>
      </c>
      <c r="M130" s="16">
        <f t="shared" si="6"/>
        <v>297.06</v>
      </c>
      <c r="N130" s="20"/>
    </row>
    <row r="131">
      <c r="A131" s="30"/>
      <c r="B131" s="30" t="s">
        <v>264</v>
      </c>
      <c r="C131" s="15" t="s">
        <v>265</v>
      </c>
      <c r="D131" s="16">
        <v>154.0</v>
      </c>
      <c r="E131" s="16">
        <f t="shared" si="1"/>
        <v>10.626</v>
      </c>
      <c r="F131" s="16">
        <f t="shared" si="2"/>
        <v>3.311</v>
      </c>
      <c r="G131" s="17">
        <v>92.13</v>
      </c>
      <c r="H131" s="18">
        <v>0.1</v>
      </c>
      <c r="I131" s="16">
        <f t="shared" si="9"/>
        <v>15.4</v>
      </c>
      <c r="J131" s="16"/>
      <c r="K131" s="16">
        <f t="shared" si="4"/>
        <v>32.533</v>
      </c>
      <c r="L131" s="19">
        <f t="shared" si="5"/>
        <v>0.3531205905</v>
      </c>
      <c r="M131" s="16">
        <f t="shared" si="6"/>
        <v>124.663</v>
      </c>
      <c r="N131" s="20"/>
    </row>
    <row r="132">
      <c r="A132" s="30"/>
      <c r="B132" s="30" t="s">
        <v>266</v>
      </c>
      <c r="C132" s="15" t="s">
        <v>267</v>
      </c>
      <c r="D132" s="16">
        <v>5299.0</v>
      </c>
      <c r="E132" s="16">
        <f t="shared" si="1"/>
        <v>365.631</v>
      </c>
      <c r="F132" s="16">
        <f t="shared" si="2"/>
        <v>113.9285</v>
      </c>
      <c r="G132" s="17">
        <v>3967.57</v>
      </c>
      <c r="H132" s="18">
        <v>0.1</v>
      </c>
      <c r="I132" s="16">
        <f t="shared" si="9"/>
        <v>529.9</v>
      </c>
      <c r="J132" s="15">
        <v>102.5</v>
      </c>
      <c r="K132" s="16">
        <f t="shared" si="4"/>
        <v>219.4705</v>
      </c>
      <c r="L132" s="19">
        <f t="shared" si="5"/>
        <v>0.05531610028</v>
      </c>
      <c r="M132" s="16">
        <f t="shared" si="6"/>
        <v>4187.0405</v>
      </c>
      <c r="N132" s="20"/>
    </row>
    <row r="133">
      <c r="A133" s="30"/>
      <c r="B133" s="30" t="s">
        <v>268</v>
      </c>
      <c r="C133" s="15" t="s">
        <v>269</v>
      </c>
      <c r="D133" s="16">
        <v>349.0</v>
      </c>
      <c r="E133" s="16">
        <f t="shared" si="1"/>
        <v>24.081</v>
      </c>
      <c r="F133" s="16">
        <f t="shared" si="2"/>
        <v>7.5035</v>
      </c>
      <c r="G133" s="17">
        <v>192.88</v>
      </c>
      <c r="H133" s="18">
        <v>0.1</v>
      </c>
      <c r="I133" s="16">
        <f t="shared" si="9"/>
        <v>34.9</v>
      </c>
      <c r="J133" s="16">
        <v>62.5</v>
      </c>
      <c r="K133" s="16">
        <f t="shared" si="4"/>
        <v>27.1355</v>
      </c>
      <c r="L133" s="19">
        <f t="shared" si="5"/>
        <v>0.1406859187</v>
      </c>
      <c r="M133" s="16">
        <f t="shared" si="6"/>
        <v>220.0155</v>
      </c>
      <c r="N133" s="20"/>
    </row>
    <row r="134">
      <c r="A134" s="30"/>
      <c r="B134" s="30" t="s">
        <v>270</v>
      </c>
      <c r="C134" s="15" t="s">
        <v>271</v>
      </c>
      <c r="D134" s="16"/>
      <c r="E134" s="16">
        <f t="shared" si="1"/>
        <v>0</v>
      </c>
      <c r="F134" s="16">
        <f t="shared" si="2"/>
        <v>0</v>
      </c>
      <c r="G134" s="17">
        <v>194.7</v>
      </c>
      <c r="H134" s="18">
        <v>0.1</v>
      </c>
      <c r="I134" s="16">
        <f t="shared" si="9"/>
        <v>0</v>
      </c>
      <c r="J134" s="16"/>
      <c r="K134" s="16">
        <f t="shared" si="4"/>
        <v>-194.7</v>
      </c>
      <c r="L134" s="19">
        <f t="shared" si="5"/>
        <v>-1</v>
      </c>
      <c r="M134" s="16">
        <f t="shared" si="6"/>
        <v>0</v>
      </c>
      <c r="N134" s="20"/>
    </row>
    <row r="135">
      <c r="A135" s="30"/>
      <c r="B135" s="30" t="s">
        <v>272</v>
      </c>
      <c r="C135" s="15" t="s">
        <v>273</v>
      </c>
      <c r="D135" s="16">
        <v>6176.0</v>
      </c>
      <c r="E135" s="16">
        <f t="shared" si="1"/>
        <v>426.144</v>
      </c>
      <c r="F135" s="16">
        <f t="shared" si="2"/>
        <v>132.784</v>
      </c>
      <c r="G135" s="17">
        <v>4324.97</v>
      </c>
      <c r="H135" s="18">
        <v>0.1</v>
      </c>
      <c r="I135" s="16">
        <f t="shared" si="9"/>
        <v>617.6</v>
      </c>
      <c r="J135" s="16">
        <v>116.0</v>
      </c>
      <c r="K135" s="16">
        <f t="shared" si="4"/>
        <v>558.502</v>
      </c>
      <c r="L135" s="19">
        <f t="shared" si="5"/>
        <v>0.1291343061</v>
      </c>
      <c r="M135" s="16">
        <f t="shared" si="6"/>
        <v>4883.472</v>
      </c>
      <c r="N135" s="20"/>
    </row>
    <row r="136">
      <c r="A136" s="30"/>
      <c r="B136" s="30" t="s">
        <v>274</v>
      </c>
      <c r="C136" s="15" t="s">
        <v>275</v>
      </c>
      <c r="D136" s="16">
        <v>147.0</v>
      </c>
      <c r="E136" s="16">
        <f t="shared" si="1"/>
        <v>10.143</v>
      </c>
      <c r="F136" s="16">
        <f t="shared" si="2"/>
        <v>3.1605</v>
      </c>
      <c r="G136" s="17">
        <v>90.08</v>
      </c>
      <c r="H136" s="18">
        <v>0.1</v>
      </c>
      <c r="I136" s="16">
        <f t="shared" si="9"/>
        <v>14.7</v>
      </c>
      <c r="J136" s="16"/>
      <c r="K136" s="16">
        <f t="shared" si="4"/>
        <v>28.9165</v>
      </c>
      <c r="L136" s="19">
        <f t="shared" si="5"/>
        <v>0.321009103</v>
      </c>
      <c r="M136" s="16">
        <f t="shared" si="6"/>
        <v>118.9965</v>
      </c>
      <c r="N136" s="20"/>
    </row>
    <row r="137">
      <c r="A137" s="30"/>
      <c r="B137" s="30" t="s">
        <v>276</v>
      </c>
      <c r="C137" s="31" t="s">
        <v>277</v>
      </c>
      <c r="D137" s="16">
        <v>999.0</v>
      </c>
      <c r="E137" s="16">
        <f t="shared" si="1"/>
        <v>68.931</v>
      </c>
      <c r="F137" s="16">
        <f t="shared" si="2"/>
        <v>21.4785</v>
      </c>
      <c r="G137" s="17">
        <v>800.21</v>
      </c>
      <c r="H137" s="18">
        <v>0.1</v>
      </c>
      <c r="I137" s="16">
        <f t="shared" si="9"/>
        <v>99.9</v>
      </c>
      <c r="J137" s="16">
        <v>66.5</v>
      </c>
      <c r="K137" s="16">
        <f t="shared" si="4"/>
        <v>-58.0195</v>
      </c>
      <c r="L137" s="19">
        <f t="shared" si="5"/>
        <v>-0.07250534235</v>
      </c>
      <c r="M137" s="16">
        <f t="shared" si="6"/>
        <v>742.1905</v>
      </c>
      <c r="N137" s="20"/>
    </row>
    <row r="138">
      <c r="A138" s="30"/>
      <c r="B138" s="30" t="s">
        <v>278</v>
      </c>
      <c r="C138" s="15" t="s">
        <v>279</v>
      </c>
      <c r="D138" s="16">
        <v>799.0</v>
      </c>
      <c r="E138" s="16">
        <f t="shared" si="1"/>
        <v>55.131</v>
      </c>
      <c r="F138" s="16">
        <f t="shared" si="2"/>
        <v>17.1785</v>
      </c>
      <c r="G138" s="17">
        <v>526.81</v>
      </c>
      <c r="H138" s="18">
        <v>0.1</v>
      </c>
      <c r="I138" s="16">
        <f t="shared" si="9"/>
        <v>79.9</v>
      </c>
      <c r="J138" s="16">
        <v>91.0</v>
      </c>
      <c r="K138" s="16">
        <f t="shared" si="4"/>
        <v>28.9805</v>
      </c>
      <c r="L138" s="19">
        <f t="shared" si="5"/>
        <v>0.05501129439</v>
      </c>
      <c r="M138" s="16">
        <f t="shared" si="6"/>
        <v>555.7905</v>
      </c>
      <c r="N138" s="20"/>
    </row>
    <row r="139">
      <c r="A139" s="30"/>
      <c r="B139" s="30" t="s">
        <v>280</v>
      </c>
      <c r="C139" s="15" t="s">
        <v>281</v>
      </c>
      <c r="D139" s="16">
        <v>319.0</v>
      </c>
      <c r="E139" s="16">
        <f t="shared" si="1"/>
        <v>22.011</v>
      </c>
      <c r="F139" s="16">
        <f t="shared" si="2"/>
        <v>6.8585</v>
      </c>
      <c r="G139" s="17">
        <v>194.7</v>
      </c>
      <c r="H139" s="18">
        <v>0.1</v>
      </c>
      <c r="I139" s="16">
        <f t="shared" si="9"/>
        <v>31.9</v>
      </c>
      <c r="J139" s="16">
        <v>57.0</v>
      </c>
      <c r="K139" s="16">
        <f t="shared" si="4"/>
        <v>6.5305</v>
      </c>
      <c r="L139" s="19">
        <f t="shared" si="5"/>
        <v>0.03354134566</v>
      </c>
      <c r="M139" s="16">
        <f t="shared" si="6"/>
        <v>201.2305</v>
      </c>
      <c r="N139" s="20"/>
    </row>
    <row r="140">
      <c r="A140" s="30"/>
      <c r="B140" s="30" t="s">
        <v>282</v>
      </c>
      <c r="C140" s="15" t="s">
        <v>283</v>
      </c>
      <c r="D140" s="16">
        <v>4144.0</v>
      </c>
      <c r="E140" s="16">
        <f t="shared" si="1"/>
        <v>285.936</v>
      </c>
      <c r="F140" s="16">
        <f t="shared" si="2"/>
        <v>89.096</v>
      </c>
      <c r="G140" s="17">
        <v>3548.93</v>
      </c>
      <c r="H140" s="18">
        <v>0.1</v>
      </c>
      <c r="I140" s="16">
        <f t="shared" si="9"/>
        <v>414.4</v>
      </c>
      <c r="J140" s="16">
        <v>72.0</v>
      </c>
      <c r="K140" s="16">
        <f t="shared" si="4"/>
        <v>-266.362</v>
      </c>
      <c r="L140" s="19">
        <f t="shared" si="5"/>
        <v>-0.07505417126</v>
      </c>
      <c r="M140" s="16">
        <f t="shared" si="6"/>
        <v>3282.568</v>
      </c>
      <c r="N140" s="20"/>
    </row>
    <row r="141">
      <c r="A141" s="30"/>
      <c r="B141" s="30" t="s">
        <v>284</v>
      </c>
      <c r="C141" s="31" t="s">
        <v>285</v>
      </c>
      <c r="D141" s="16">
        <v>1999.0</v>
      </c>
      <c r="E141" s="16">
        <f t="shared" si="1"/>
        <v>137.931</v>
      </c>
      <c r="F141" s="16">
        <f t="shared" si="2"/>
        <v>42.9785</v>
      </c>
      <c r="G141" s="17">
        <v>1613.25</v>
      </c>
      <c r="H141" s="18">
        <v>0.1</v>
      </c>
      <c r="I141" s="16">
        <f t="shared" si="9"/>
        <v>199.9</v>
      </c>
      <c r="J141" s="16">
        <v>86.0</v>
      </c>
      <c r="K141" s="16">
        <f t="shared" si="4"/>
        <v>-81.0595</v>
      </c>
      <c r="L141" s="19">
        <f t="shared" si="5"/>
        <v>-0.05024608709</v>
      </c>
      <c r="M141" s="16">
        <f t="shared" si="6"/>
        <v>1532.1905</v>
      </c>
      <c r="N141" s="20"/>
    </row>
    <row r="142">
      <c r="A142" s="30"/>
      <c r="B142" s="30" t="s">
        <v>286</v>
      </c>
      <c r="C142" s="15" t="s">
        <v>287</v>
      </c>
      <c r="D142" s="16">
        <v>879.0</v>
      </c>
      <c r="E142" s="16">
        <f t="shared" si="1"/>
        <v>60.651</v>
      </c>
      <c r="F142" s="16">
        <f t="shared" si="2"/>
        <v>18.8985</v>
      </c>
      <c r="G142" s="17">
        <v>580.0</v>
      </c>
      <c r="H142" s="18">
        <v>0.1</v>
      </c>
      <c r="I142" s="16">
        <f t="shared" si="9"/>
        <v>87.9</v>
      </c>
      <c r="J142" s="16">
        <v>78.0</v>
      </c>
      <c r="K142" s="16">
        <f t="shared" si="4"/>
        <v>53.5505</v>
      </c>
      <c r="L142" s="19">
        <f t="shared" si="5"/>
        <v>0.09232844828</v>
      </c>
      <c r="M142" s="16">
        <f t="shared" si="6"/>
        <v>633.5505</v>
      </c>
      <c r="N142" s="20"/>
    </row>
    <row r="143">
      <c r="A143" s="30"/>
      <c r="B143" s="30" t="s">
        <v>288</v>
      </c>
      <c r="C143" s="15" t="s">
        <v>289</v>
      </c>
      <c r="D143" s="16">
        <v>899.0</v>
      </c>
      <c r="E143" s="16">
        <f t="shared" si="1"/>
        <v>62.031</v>
      </c>
      <c r="F143" s="16">
        <f t="shared" si="2"/>
        <v>19.3285</v>
      </c>
      <c r="G143" s="17">
        <v>591.55</v>
      </c>
      <c r="H143" s="18">
        <v>0.1</v>
      </c>
      <c r="I143" s="16">
        <f t="shared" si="9"/>
        <v>89.9</v>
      </c>
      <c r="J143" s="16">
        <v>66.0</v>
      </c>
      <c r="K143" s="16">
        <f t="shared" si="4"/>
        <v>70.1905</v>
      </c>
      <c r="L143" s="19">
        <f t="shared" si="5"/>
        <v>0.1186552278</v>
      </c>
      <c r="M143" s="16">
        <f t="shared" si="6"/>
        <v>661.7405</v>
      </c>
      <c r="N143" s="20"/>
    </row>
    <row r="144">
      <c r="A144" s="30"/>
      <c r="B144" s="30" t="s">
        <v>290</v>
      </c>
      <c r="C144" s="31" t="s">
        <v>291</v>
      </c>
      <c r="D144" s="16">
        <v>899.0</v>
      </c>
      <c r="E144" s="16">
        <f t="shared" si="1"/>
        <v>62.031</v>
      </c>
      <c r="F144" s="16">
        <f t="shared" si="2"/>
        <v>19.3285</v>
      </c>
      <c r="G144" s="17">
        <v>719.21</v>
      </c>
      <c r="H144" s="18">
        <v>0.1</v>
      </c>
      <c r="I144" s="16">
        <f t="shared" si="9"/>
        <v>89.9</v>
      </c>
      <c r="J144" s="16">
        <v>66.5</v>
      </c>
      <c r="K144" s="16">
        <f t="shared" si="4"/>
        <v>-57.9695</v>
      </c>
      <c r="L144" s="19">
        <f t="shared" si="5"/>
        <v>-0.08060163235</v>
      </c>
      <c r="M144" s="16">
        <f t="shared" si="6"/>
        <v>661.2405</v>
      </c>
      <c r="N144" s="20"/>
    </row>
    <row r="145">
      <c r="A145" s="30"/>
      <c r="B145" s="30" t="s">
        <v>292</v>
      </c>
      <c r="C145" s="15" t="s">
        <v>293</v>
      </c>
      <c r="D145" s="16">
        <v>799.0</v>
      </c>
      <c r="E145" s="16">
        <f t="shared" si="1"/>
        <v>55.131</v>
      </c>
      <c r="F145" s="16">
        <f t="shared" si="2"/>
        <v>17.1785</v>
      </c>
      <c r="G145" s="17">
        <v>700.0</v>
      </c>
      <c r="H145" s="18">
        <v>0.1</v>
      </c>
      <c r="I145" s="16">
        <f t="shared" si="9"/>
        <v>79.9</v>
      </c>
      <c r="J145" s="16">
        <v>91.0</v>
      </c>
      <c r="K145" s="16">
        <f t="shared" si="4"/>
        <v>-144.2095</v>
      </c>
      <c r="L145" s="19">
        <f t="shared" si="5"/>
        <v>-0.2060135714</v>
      </c>
      <c r="M145" s="16">
        <f t="shared" si="6"/>
        <v>555.7905</v>
      </c>
      <c r="N145" s="20"/>
    </row>
    <row r="146">
      <c r="A146" s="30"/>
      <c r="B146" s="30" t="s">
        <v>294</v>
      </c>
      <c r="C146" s="15" t="s">
        <v>295</v>
      </c>
      <c r="D146" s="16">
        <v>961.0</v>
      </c>
      <c r="E146" s="16">
        <f t="shared" si="1"/>
        <v>66.309</v>
      </c>
      <c r="F146" s="16">
        <f t="shared" si="2"/>
        <v>20.6615</v>
      </c>
      <c r="G146" s="17">
        <v>691.65</v>
      </c>
      <c r="H146" s="18">
        <v>0.1</v>
      </c>
      <c r="I146" s="16">
        <f t="shared" si="9"/>
        <v>96.1</v>
      </c>
      <c r="J146" s="16">
        <v>91.0</v>
      </c>
      <c r="K146" s="16">
        <f t="shared" si="4"/>
        <v>-4.7205</v>
      </c>
      <c r="L146" s="19">
        <f t="shared" si="5"/>
        <v>-0.006824983735</v>
      </c>
      <c r="M146" s="16">
        <f t="shared" si="6"/>
        <v>686.9295</v>
      </c>
      <c r="N146" s="20"/>
    </row>
    <row r="147">
      <c r="A147" s="30"/>
      <c r="B147" s="30" t="s">
        <v>296</v>
      </c>
      <c r="C147" s="31" t="s">
        <v>297</v>
      </c>
      <c r="D147" s="16">
        <v>813.0</v>
      </c>
      <c r="E147" s="16">
        <f t="shared" si="1"/>
        <v>56.097</v>
      </c>
      <c r="F147" s="16">
        <f t="shared" si="2"/>
        <v>17.4795</v>
      </c>
      <c r="G147" s="17">
        <v>550.0</v>
      </c>
      <c r="H147" s="18">
        <v>0.1</v>
      </c>
      <c r="I147" s="16">
        <f t="shared" si="9"/>
        <v>81.3</v>
      </c>
      <c r="J147" s="16">
        <v>66.0</v>
      </c>
      <c r="K147" s="16">
        <f t="shared" si="4"/>
        <v>42.1235</v>
      </c>
      <c r="L147" s="19">
        <f t="shared" si="5"/>
        <v>0.07658818182</v>
      </c>
      <c r="M147" s="16">
        <f t="shared" si="6"/>
        <v>592.1235</v>
      </c>
      <c r="N147" s="20"/>
    </row>
    <row r="148">
      <c r="A148" s="30"/>
      <c r="B148" s="30" t="s">
        <v>292</v>
      </c>
      <c r="C148" s="15" t="s">
        <v>298</v>
      </c>
      <c r="D148" s="16">
        <v>775.0</v>
      </c>
      <c r="E148" s="16">
        <f t="shared" si="1"/>
        <v>53.475</v>
      </c>
      <c r="F148" s="16">
        <f t="shared" si="2"/>
        <v>16.6625</v>
      </c>
      <c r="G148" s="17">
        <v>550.0</v>
      </c>
      <c r="H148" s="18">
        <v>0.1</v>
      </c>
      <c r="I148" s="16">
        <f t="shared" si="9"/>
        <v>77.5</v>
      </c>
      <c r="J148" s="16">
        <v>72.5</v>
      </c>
      <c r="K148" s="16">
        <f t="shared" si="4"/>
        <v>4.8625</v>
      </c>
      <c r="L148" s="19">
        <f t="shared" si="5"/>
        <v>0.008840909091</v>
      </c>
      <c r="M148" s="16">
        <f t="shared" si="6"/>
        <v>554.8625</v>
      </c>
      <c r="N148" s="20"/>
    </row>
    <row r="149">
      <c r="A149" s="30"/>
      <c r="B149" s="30" t="s">
        <v>299</v>
      </c>
      <c r="C149" s="15" t="s">
        <v>300</v>
      </c>
      <c r="D149" s="16">
        <v>219.0</v>
      </c>
      <c r="E149" s="16">
        <f t="shared" si="1"/>
        <v>15.111</v>
      </c>
      <c r="F149" s="16">
        <f t="shared" si="2"/>
        <v>4.7085</v>
      </c>
      <c r="G149" s="17">
        <v>151.0</v>
      </c>
      <c r="H149" s="18">
        <v>0.1</v>
      </c>
      <c r="I149" s="16">
        <f t="shared" si="9"/>
        <v>21.9</v>
      </c>
      <c r="J149" s="16"/>
      <c r="K149" s="16">
        <f t="shared" si="4"/>
        <v>26.2805</v>
      </c>
      <c r="L149" s="19">
        <f t="shared" si="5"/>
        <v>0.1740430464</v>
      </c>
      <c r="M149" s="16">
        <f t="shared" si="6"/>
        <v>177.2805</v>
      </c>
      <c r="N149" s="20"/>
    </row>
    <row r="150">
      <c r="A150" s="30"/>
      <c r="B150" s="30" t="s">
        <v>301</v>
      </c>
      <c r="C150" s="31" t="s">
        <v>302</v>
      </c>
      <c r="D150" s="16">
        <v>299.0</v>
      </c>
      <c r="E150" s="16">
        <f t="shared" si="1"/>
        <v>20.631</v>
      </c>
      <c r="F150" s="16">
        <f t="shared" si="2"/>
        <v>6.4285</v>
      </c>
      <c r="G150" s="17">
        <v>157.19</v>
      </c>
      <c r="H150" s="18">
        <v>0.1</v>
      </c>
      <c r="I150" s="16">
        <f t="shared" si="9"/>
        <v>29.9</v>
      </c>
      <c r="J150" s="16">
        <v>60.0</v>
      </c>
      <c r="K150" s="16">
        <f t="shared" si="4"/>
        <v>24.8505</v>
      </c>
      <c r="L150" s="19">
        <f t="shared" si="5"/>
        <v>0.1580921178</v>
      </c>
      <c r="M150" s="16">
        <f t="shared" si="6"/>
        <v>182.0405</v>
      </c>
      <c r="N150" s="20"/>
    </row>
    <row r="151">
      <c r="A151" s="30"/>
      <c r="B151" s="30" t="s">
        <v>303</v>
      </c>
      <c r="C151" s="15" t="s">
        <v>273</v>
      </c>
      <c r="D151" s="16">
        <v>5699.0</v>
      </c>
      <c r="E151" s="16">
        <f t="shared" si="1"/>
        <v>393.231</v>
      </c>
      <c r="F151" s="16">
        <f t="shared" si="2"/>
        <v>122.5285</v>
      </c>
      <c r="G151" s="17">
        <v>4324.97</v>
      </c>
      <c r="H151" s="18">
        <v>0.1</v>
      </c>
      <c r="I151" s="16">
        <f t="shared" si="9"/>
        <v>569.9</v>
      </c>
      <c r="J151" s="16">
        <v>121.0</v>
      </c>
      <c r="K151" s="16">
        <f t="shared" si="4"/>
        <v>167.3705</v>
      </c>
      <c r="L151" s="19">
        <f t="shared" si="5"/>
        <v>0.03869864993</v>
      </c>
      <c r="M151" s="16">
        <f t="shared" si="6"/>
        <v>4492.3405</v>
      </c>
      <c r="N151" s="20"/>
    </row>
    <row r="152">
      <c r="A152" s="30"/>
      <c r="B152" s="30" t="s">
        <v>304</v>
      </c>
      <c r="C152" s="15" t="s">
        <v>305</v>
      </c>
      <c r="D152" s="16">
        <v>1199.0</v>
      </c>
      <c r="E152" s="16">
        <f t="shared" si="1"/>
        <v>82.731</v>
      </c>
      <c r="F152" s="16">
        <f t="shared" si="2"/>
        <v>25.7785</v>
      </c>
      <c r="G152" s="17">
        <v>840.32</v>
      </c>
      <c r="H152" s="18">
        <v>0.1</v>
      </c>
      <c r="I152" s="16">
        <f t="shared" si="9"/>
        <v>119.9</v>
      </c>
      <c r="J152" s="16">
        <v>66.0</v>
      </c>
      <c r="K152" s="16">
        <f t="shared" si="4"/>
        <v>64.2705</v>
      </c>
      <c r="L152" s="19">
        <f t="shared" si="5"/>
        <v>0.07648336348</v>
      </c>
      <c r="M152" s="16">
        <f t="shared" si="6"/>
        <v>904.5905</v>
      </c>
      <c r="N152" s="20"/>
    </row>
    <row r="153">
      <c r="A153" s="30"/>
      <c r="B153" s="30" t="s">
        <v>306</v>
      </c>
      <c r="C153" s="15" t="s">
        <v>307</v>
      </c>
      <c r="D153" s="16">
        <v>469.0</v>
      </c>
      <c r="E153" s="16">
        <f t="shared" si="1"/>
        <v>32.361</v>
      </c>
      <c r="F153" s="16">
        <f t="shared" si="2"/>
        <v>10.0835</v>
      </c>
      <c r="G153" s="17">
        <v>296.04</v>
      </c>
      <c r="H153" s="18">
        <v>0.1</v>
      </c>
      <c r="I153" s="16">
        <f t="shared" si="9"/>
        <v>46.9</v>
      </c>
      <c r="J153" s="16">
        <v>72.0</v>
      </c>
      <c r="K153" s="16">
        <f t="shared" si="4"/>
        <v>11.6155</v>
      </c>
      <c r="L153" s="19">
        <f t="shared" si="5"/>
        <v>0.03923625186</v>
      </c>
      <c r="M153" s="16">
        <f t="shared" si="6"/>
        <v>307.6555</v>
      </c>
      <c r="N153" s="20"/>
    </row>
    <row r="154">
      <c r="A154" s="30"/>
      <c r="B154" s="30" t="s">
        <v>308</v>
      </c>
      <c r="C154" s="15" t="s">
        <v>309</v>
      </c>
      <c r="D154" s="16">
        <v>1844.0</v>
      </c>
      <c r="E154" s="16">
        <f t="shared" si="1"/>
        <v>127.236</v>
      </c>
      <c r="F154" s="16">
        <f t="shared" si="2"/>
        <v>39.646</v>
      </c>
      <c r="G154" s="17">
        <v>1374.0</v>
      </c>
      <c r="H154" s="18">
        <v>0.1</v>
      </c>
      <c r="I154" s="16">
        <f t="shared" si="9"/>
        <v>184.4</v>
      </c>
      <c r="J154" s="16">
        <v>72.0</v>
      </c>
      <c r="K154" s="16">
        <f t="shared" si="4"/>
        <v>46.718</v>
      </c>
      <c r="L154" s="19">
        <f t="shared" si="5"/>
        <v>0.0340014556</v>
      </c>
      <c r="M154" s="16">
        <f t="shared" si="6"/>
        <v>1420.718</v>
      </c>
      <c r="N154" s="20"/>
    </row>
    <row r="155">
      <c r="A155" s="30"/>
      <c r="B155" s="30" t="s">
        <v>310</v>
      </c>
      <c r="C155" s="15" t="s">
        <v>311</v>
      </c>
      <c r="D155" s="16">
        <v>1399.0</v>
      </c>
      <c r="E155" s="16">
        <f t="shared" si="1"/>
        <v>96.531</v>
      </c>
      <c r="F155" s="16">
        <f t="shared" si="2"/>
        <v>30.0785</v>
      </c>
      <c r="G155" s="17">
        <v>919.35</v>
      </c>
      <c r="H155" s="18">
        <v>0.15</v>
      </c>
      <c r="I155" s="16">
        <f t="shared" si="9"/>
        <v>209.85</v>
      </c>
      <c r="J155" s="29">
        <v>128.0</v>
      </c>
      <c r="K155" s="16">
        <f t="shared" si="4"/>
        <v>15.1905</v>
      </c>
      <c r="L155" s="19">
        <f t="shared" si="5"/>
        <v>0.01652308696</v>
      </c>
      <c r="M155" s="16">
        <f t="shared" si="6"/>
        <v>934.5405</v>
      </c>
      <c r="N155" s="20"/>
    </row>
    <row r="156">
      <c r="A156" s="30"/>
      <c r="B156" s="30" t="s">
        <v>312</v>
      </c>
      <c r="C156" s="15" t="s">
        <v>313</v>
      </c>
      <c r="D156" s="16">
        <v>1699.0</v>
      </c>
      <c r="E156" s="16">
        <f t="shared" si="1"/>
        <v>117.231</v>
      </c>
      <c r="F156" s="16">
        <f t="shared" si="2"/>
        <v>36.5285</v>
      </c>
      <c r="G156" s="17">
        <v>1220.05</v>
      </c>
      <c r="H156" s="18">
        <v>0.1</v>
      </c>
      <c r="I156" s="16">
        <f t="shared" si="9"/>
        <v>169.9</v>
      </c>
      <c r="J156" s="29">
        <v>76.0</v>
      </c>
      <c r="K156" s="16">
        <f t="shared" si="4"/>
        <v>79.2905</v>
      </c>
      <c r="L156" s="19">
        <f t="shared" si="5"/>
        <v>0.06498954961</v>
      </c>
      <c r="M156" s="16">
        <f t="shared" si="6"/>
        <v>1299.3405</v>
      </c>
      <c r="N156" s="20"/>
    </row>
    <row r="157">
      <c r="A157" s="30"/>
      <c r="B157" s="30" t="s">
        <v>314</v>
      </c>
      <c r="C157" s="15" t="s">
        <v>315</v>
      </c>
      <c r="D157" s="16">
        <v>1041.0</v>
      </c>
      <c r="E157" s="16">
        <f t="shared" si="1"/>
        <v>71.829</v>
      </c>
      <c r="F157" s="16">
        <f t="shared" si="2"/>
        <v>22.3815</v>
      </c>
      <c r="G157" s="17">
        <v>768.84</v>
      </c>
      <c r="H157" s="18">
        <v>0.1</v>
      </c>
      <c r="I157" s="16">
        <f t="shared" si="9"/>
        <v>104.1</v>
      </c>
      <c r="J157" s="16">
        <v>109.0</v>
      </c>
      <c r="K157" s="16">
        <f t="shared" si="4"/>
        <v>-35.1505</v>
      </c>
      <c r="L157" s="19">
        <f t="shared" si="5"/>
        <v>-0.04571887519</v>
      </c>
      <c r="M157" s="16">
        <f t="shared" si="6"/>
        <v>733.6895</v>
      </c>
      <c r="N157" s="20"/>
    </row>
    <row r="158">
      <c r="A158" s="30"/>
      <c r="B158" s="30" t="s">
        <v>316</v>
      </c>
      <c r="C158" s="31" t="s">
        <v>317</v>
      </c>
      <c r="D158" s="16">
        <v>317.0</v>
      </c>
      <c r="E158" s="16">
        <f t="shared" si="1"/>
        <v>21.873</v>
      </c>
      <c r="F158" s="16">
        <f t="shared" si="2"/>
        <v>6.8155</v>
      </c>
      <c r="G158" s="17">
        <v>163.47</v>
      </c>
      <c r="H158" s="18">
        <v>0.1</v>
      </c>
      <c r="I158" s="16">
        <f t="shared" si="9"/>
        <v>31.7</v>
      </c>
      <c r="J158" s="16">
        <v>66.5</v>
      </c>
      <c r="K158" s="16">
        <f t="shared" si="4"/>
        <v>26.6415</v>
      </c>
      <c r="L158" s="19">
        <f t="shared" si="5"/>
        <v>0.1629748578</v>
      </c>
      <c r="M158" s="16">
        <f t="shared" si="6"/>
        <v>190.1115</v>
      </c>
      <c r="N158" s="20"/>
    </row>
    <row r="159">
      <c r="A159" s="30"/>
      <c r="B159" s="30" t="s">
        <v>318</v>
      </c>
      <c r="C159" s="15" t="s">
        <v>319</v>
      </c>
      <c r="D159" s="29">
        <v>639.0</v>
      </c>
      <c r="E159" s="16">
        <f t="shared" si="1"/>
        <v>44.091</v>
      </c>
      <c r="F159" s="16">
        <f t="shared" si="2"/>
        <v>13.7385</v>
      </c>
      <c r="G159" s="32">
        <v>440.0</v>
      </c>
      <c r="H159" s="18">
        <v>0.1</v>
      </c>
      <c r="I159" s="16">
        <f t="shared" si="9"/>
        <v>63.9</v>
      </c>
      <c r="J159" s="29">
        <v>65.0</v>
      </c>
      <c r="K159" s="16">
        <f t="shared" si="4"/>
        <v>12.2705</v>
      </c>
      <c r="L159" s="19">
        <f t="shared" si="5"/>
        <v>0.0278875</v>
      </c>
      <c r="M159" s="16">
        <f t="shared" si="6"/>
        <v>452.2705</v>
      </c>
      <c r="N159" s="20"/>
    </row>
    <row r="160">
      <c r="A160" s="30"/>
      <c r="B160" s="30" t="s">
        <v>320</v>
      </c>
      <c r="C160" s="15" t="s">
        <v>321</v>
      </c>
      <c r="D160" s="16">
        <v>9471.0</v>
      </c>
      <c r="E160" s="16">
        <f t="shared" si="1"/>
        <v>653.499</v>
      </c>
      <c r="F160" s="16">
        <f t="shared" si="2"/>
        <v>203.6265</v>
      </c>
      <c r="G160" s="17">
        <v>6610.0</v>
      </c>
      <c r="H160" s="18">
        <v>0.1</v>
      </c>
      <c r="I160" s="16">
        <f t="shared" si="9"/>
        <v>947.1</v>
      </c>
      <c r="J160" s="16">
        <v>72.5</v>
      </c>
      <c r="K160" s="16">
        <f t="shared" si="4"/>
        <v>984.2745</v>
      </c>
      <c r="L160" s="19">
        <f t="shared" si="5"/>
        <v>0.1489068835</v>
      </c>
      <c r="M160" s="16">
        <f t="shared" si="6"/>
        <v>7594.2745</v>
      </c>
      <c r="N160" s="20"/>
    </row>
    <row r="161">
      <c r="A161" s="30"/>
      <c r="B161" s="30" t="s">
        <v>322</v>
      </c>
      <c r="C161" s="15" t="s">
        <v>323</v>
      </c>
      <c r="D161" s="16">
        <v>6373.0</v>
      </c>
      <c r="E161" s="16">
        <f t="shared" si="1"/>
        <v>439.737</v>
      </c>
      <c r="F161" s="16">
        <f t="shared" si="2"/>
        <v>137.0195</v>
      </c>
      <c r="G161" s="17">
        <v>4810.84</v>
      </c>
      <c r="H161" s="18">
        <v>0.15</v>
      </c>
      <c r="I161" s="16">
        <f t="shared" si="9"/>
        <v>955.95</v>
      </c>
      <c r="J161" s="29">
        <v>91.0</v>
      </c>
      <c r="K161" s="16">
        <f t="shared" si="4"/>
        <v>-61.5465</v>
      </c>
      <c r="L161" s="19">
        <f t="shared" si="5"/>
        <v>-0.01279329597</v>
      </c>
      <c r="M161" s="16">
        <f t="shared" si="6"/>
        <v>4749.2935</v>
      </c>
      <c r="N161" s="20"/>
    </row>
    <row r="162">
      <c r="A162" s="30"/>
      <c r="B162" s="30" t="s">
        <v>324</v>
      </c>
      <c r="C162" s="15" t="s">
        <v>323</v>
      </c>
      <c r="D162" s="16">
        <v>7158.0</v>
      </c>
      <c r="E162" s="16">
        <f t="shared" si="1"/>
        <v>493.902</v>
      </c>
      <c r="F162" s="16">
        <f t="shared" si="2"/>
        <v>153.897</v>
      </c>
      <c r="G162" s="17">
        <v>4810.84</v>
      </c>
      <c r="H162" s="18">
        <v>0.1</v>
      </c>
      <c r="I162" s="16">
        <f t="shared" si="9"/>
        <v>715.8</v>
      </c>
      <c r="J162" s="16">
        <v>103.0</v>
      </c>
      <c r="K162" s="16">
        <f t="shared" si="4"/>
        <v>880.561</v>
      </c>
      <c r="L162" s="19">
        <f t="shared" si="5"/>
        <v>0.1830368501</v>
      </c>
      <c r="M162" s="16">
        <f t="shared" si="6"/>
        <v>5691.401</v>
      </c>
      <c r="N162" s="20"/>
    </row>
    <row r="163">
      <c r="A163" s="30"/>
      <c r="B163" s="30" t="s">
        <v>325</v>
      </c>
      <c r="C163" s="15" t="s">
        <v>326</v>
      </c>
      <c r="D163" s="16">
        <v>1031.0</v>
      </c>
      <c r="E163" s="16">
        <f t="shared" si="1"/>
        <v>71.139</v>
      </c>
      <c r="F163" s="16">
        <f t="shared" si="2"/>
        <v>22.1665</v>
      </c>
      <c r="G163" s="17">
        <v>743.82</v>
      </c>
      <c r="H163" s="18">
        <v>0.1</v>
      </c>
      <c r="I163" s="16">
        <f t="shared" si="9"/>
        <v>103.1</v>
      </c>
      <c r="J163" s="16">
        <v>65.0</v>
      </c>
      <c r="K163" s="16">
        <f t="shared" si="4"/>
        <v>25.7745</v>
      </c>
      <c r="L163" s="19">
        <f t="shared" si="5"/>
        <v>0.0346515286</v>
      </c>
      <c r="M163" s="16">
        <f t="shared" si="6"/>
        <v>769.5945</v>
      </c>
      <c r="N163" s="20"/>
    </row>
    <row r="164">
      <c r="A164" s="30"/>
      <c r="B164" s="30" t="s">
        <v>327</v>
      </c>
      <c r="C164" s="15" t="s">
        <v>328</v>
      </c>
      <c r="D164" s="16">
        <v>989.0</v>
      </c>
      <c r="E164" s="16">
        <f t="shared" si="1"/>
        <v>68.241</v>
      </c>
      <c r="F164" s="16">
        <f t="shared" si="2"/>
        <v>21.2635</v>
      </c>
      <c r="G164" s="17">
        <v>646.43</v>
      </c>
      <c r="H164" s="18">
        <v>0.1</v>
      </c>
      <c r="I164" s="16">
        <f t="shared" si="9"/>
        <v>98.9</v>
      </c>
      <c r="J164" s="16">
        <v>103.0</v>
      </c>
      <c r="K164" s="16">
        <f t="shared" si="4"/>
        <v>51.1655</v>
      </c>
      <c r="L164" s="19">
        <f t="shared" si="5"/>
        <v>0.0791508748</v>
      </c>
      <c r="M164" s="16">
        <f t="shared" si="6"/>
        <v>697.5955</v>
      </c>
      <c r="N164" s="20"/>
    </row>
    <row r="165">
      <c r="A165" s="30"/>
      <c r="B165" s="30" t="s">
        <v>329</v>
      </c>
      <c r="C165" s="15" t="s">
        <v>330</v>
      </c>
      <c r="D165" s="16">
        <v>419.0</v>
      </c>
      <c r="E165" s="16">
        <f t="shared" si="1"/>
        <v>28.911</v>
      </c>
      <c r="F165" s="16">
        <f t="shared" si="2"/>
        <v>9.0085</v>
      </c>
      <c r="G165" s="17">
        <v>234.09</v>
      </c>
      <c r="H165" s="18">
        <v>0.1</v>
      </c>
      <c r="I165" s="16">
        <f t="shared" si="9"/>
        <v>41.9</v>
      </c>
      <c r="J165" s="16">
        <v>84.0</v>
      </c>
      <c r="K165" s="16">
        <f t="shared" si="4"/>
        <v>21.0905</v>
      </c>
      <c r="L165" s="19">
        <f t="shared" si="5"/>
        <v>0.09009568969</v>
      </c>
      <c r="M165" s="16">
        <f t="shared" si="6"/>
        <v>255.1805</v>
      </c>
      <c r="N165" s="20"/>
    </row>
    <row r="166">
      <c r="A166" s="30"/>
      <c r="B166" s="30" t="s">
        <v>163</v>
      </c>
      <c r="C166" s="15" t="s">
        <v>331</v>
      </c>
      <c r="D166" s="16">
        <v>201.0</v>
      </c>
      <c r="E166" s="16">
        <f t="shared" si="1"/>
        <v>13.869</v>
      </c>
      <c r="F166" s="16">
        <f t="shared" si="2"/>
        <v>4.3215</v>
      </c>
      <c r="G166" s="17">
        <v>120.32</v>
      </c>
      <c r="H166" s="18">
        <v>0.1</v>
      </c>
      <c r="I166" s="16">
        <f t="shared" si="9"/>
        <v>20.1</v>
      </c>
      <c r="J166" s="15"/>
      <c r="K166" s="16">
        <f t="shared" si="4"/>
        <v>42.3895</v>
      </c>
      <c r="L166" s="19">
        <f t="shared" si="5"/>
        <v>0.3523063497</v>
      </c>
      <c r="M166" s="16">
        <f t="shared" si="6"/>
        <v>162.7095</v>
      </c>
      <c r="N166" s="20"/>
    </row>
    <row r="167">
      <c r="A167" s="30"/>
      <c r="B167" s="30" t="s">
        <v>332</v>
      </c>
      <c r="C167" s="15" t="s">
        <v>333</v>
      </c>
      <c r="D167" s="16">
        <v>192.0</v>
      </c>
      <c r="E167" s="16">
        <f t="shared" si="1"/>
        <v>13.248</v>
      </c>
      <c r="F167" s="16">
        <f t="shared" si="2"/>
        <v>4.128</v>
      </c>
      <c r="G167" s="17">
        <v>120.32</v>
      </c>
      <c r="H167" s="18">
        <v>0.1</v>
      </c>
      <c r="I167" s="16">
        <f t="shared" si="9"/>
        <v>19.2</v>
      </c>
      <c r="J167" s="16"/>
      <c r="K167" s="16">
        <f t="shared" si="4"/>
        <v>35.104</v>
      </c>
      <c r="L167" s="19">
        <f t="shared" si="5"/>
        <v>0.2917553191</v>
      </c>
      <c r="M167" s="16">
        <f t="shared" si="6"/>
        <v>155.424</v>
      </c>
      <c r="N167" s="20"/>
    </row>
    <row r="168">
      <c r="A168" s="30"/>
      <c r="B168" s="30" t="s">
        <v>334</v>
      </c>
      <c r="C168" s="15" t="s">
        <v>256</v>
      </c>
      <c r="D168" s="16">
        <v>2940.0</v>
      </c>
      <c r="E168" s="16">
        <f t="shared" si="1"/>
        <v>202.86</v>
      </c>
      <c r="F168" s="16">
        <f t="shared" si="2"/>
        <v>63.21</v>
      </c>
      <c r="G168" s="17">
        <v>2289.66</v>
      </c>
      <c r="H168" s="18">
        <v>0.1</v>
      </c>
      <c r="I168" s="16">
        <f t="shared" si="9"/>
        <v>294</v>
      </c>
      <c r="J168" s="16">
        <v>91.5</v>
      </c>
      <c r="K168" s="16">
        <f t="shared" si="4"/>
        <v>-1.23</v>
      </c>
      <c r="L168" s="19">
        <f t="shared" si="5"/>
        <v>-0.0005371976625</v>
      </c>
      <c r="M168" s="16">
        <f t="shared" si="6"/>
        <v>2288.43</v>
      </c>
      <c r="N168" s="20"/>
    </row>
    <row r="169">
      <c r="A169" s="30"/>
      <c r="B169" s="30" t="s">
        <v>335</v>
      </c>
      <c r="C169" s="31" t="s">
        <v>336</v>
      </c>
      <c r="D169" s="29">
        <v>399.0</v>
      </c>
      <c r="E169" s="16">
        <f t="shared" si="1"/>
        <v>27.531</v>
      </c>
      <c r="F169" s="16">
        <f t="shared" si="2"/>
        <v>8.5785</v>
      </c>
      <c r="G169" s="35">
        <v>230.0</v>
      </c>
      <c r="H169" s="18">
        <v>0.1</v>
      </c>
      <c r="I169" s="16">
        <f t="shared" si="9"/>
        <v>39.9</v>
      </c>
      <c r="J169" s="16">
        <v>91.5</v>
      </c>
      <c r="K169" s="16">
        <f t="shared" si="4"/>
        <v>1.4905</v>
      </c>
      <c r="L169" s="19">
        <f t="shared" si="5"/>
        <v>0.006480434783</v>
      </c>
      <c r="M169" s="16">
        <f t="shared" si="6"/>
        <v>231.4905</v>
      </c>
      <c r="N169" s="20"/>
    </row>
    <row r="170">
      <c r="A170" s="30"/>
      <c r="B170" s="30" t="s">
        <v>337</v>
      </c>
      <c r="C170" s="15" t="s">
        <v>338</v>
      </c>
      <c r="D170" s="16">
        <v>2499.0</v>
      </c>
      <c r="E170" s="16">
        <f t="shared" si="1"/>
        <v>172.431</v>
      </c>
      <c r="F170" s="16">
        <f t="shared" si="2"/>
        <v>53.7285</v>
      </c>
      <c r="G170" s="17">
        <v>1792.08</v>
      </c>
      <c r="H170" s="18">
        <v>0.1</v>
      </c>
      <c r="I170" s="16">
        <f t="shared" si="9"/>
        <v>249.9</v>
      </c>
      <c r="J170" s="16">
        <v>94.0</v>
      </c>
      <c r="K170" s="16">
        <f t="shared" si="4"/>
        <v>136.8605</v>
      </c>
      <c r="L170" s="19">
        <f t="shared" si="5"/>
        <v>0.07636963752</v>
      </c>
      <c r="M170" s="16">
        <f t="shared" si="6"/>
        <v>1928.9405</v>
      </c>
      <c r="N170" s="20"/>
    </row>
    <row r="171">
      <c r="A171" s="30"/>
      <c r="B171" s="30" t="s">
        <v>339</v>
      </c>
      <c r="C171" s="15" t="s">
        <v>340</v>
      </c>
      <c r="D171" s="29">
        <v>449.0</v>
      </c>
      <c r="E171" s="16">
        <f t="shared" si="1"/>
        <v>30.981</v>
      </c>
      <c r="F171" s="16">
        <f t="shared" si="2"/>
        <v>9.6535</v>
      </c>
      <c r="G171" s="17">
        <v>229.36</v>
      </c>
      <c r="H171" s="18">
        <v>0.1</v>
      </c>
      <c r="I171" s="16">
        <f t="shared" si="9"/>
        <v>44.9</v>
      </c>
      <c r="J171" s="16">
        <v>84.0</v>
      </c>
      <c r="K171" s="16">
        <f t="shared" si="4"/>
        <v>50.1055</v>
      </c>
      <c r="L171" s="19">
        <f t="shared" si="5"/>
        <v>0.2184578828</v>
      </c>
      <c r="M171" s="16">
        <f t="shared" si="6"/>
        <v>279.4655</v>
      </c>
      <c r="N171" s="20"/>
    </row>
    <row r="172">
      <c r="A172" s="30"/>
      <c r="B172" s="30" t="s">
        <v>341</v>
      </c>
      <c r="C172" s="15" t="s">
        <v>342</v>
      </c>
      <c r="D172" s="16">
        <v>862.0</v>
      </c>
      <c r="E172" s="16">
        <f t="shared" si="1"/>
        <v>59.478</v>
      </c>
      <c r="F172" s="16">
        <f t="shared" si="2"/>
        <v>18.533</v>
      </c>
      <c r="G172" s="17">
        <v>683.5</v>
      </c>
      <c r="H172" s="18">
        <v>0.1</v>
      </c>
      <c r="I172" s="16">
        <f t="shared" si="9"/>
        <v>86.2</v>
      </c>
      <c r="J172" s="16">
        <v>91.0</v>
      </c>
      <c r="K172" s="16">
        <f t="shared" si="4"/>
        <v>-76.711</v>
      </c>
      <c r="L172" s="19">
        <f t="shared" si="5"/>
        <v>-0.1122326262</v>
      </c>
      <c r="M172" s="16">
        <f t="shared" si="6"/>
        <v>606.789</v>
      </c>
      <c r="N172" s="20"/>
    </row>
    <row r="173">
      <c r="A173" s="30"/>
      <c r="B173" s="30" t="s">
        <v>343</v>
      </c>
      <c r="C173" s="15" t="s">
        <v>344</v>
      </c>
      <c r="D173" s="29">
        <v>746.0</v>
      </c>
      <c r="E173" s="16">
        <f t="shared" si="1"/>
        <v>51.474</v>
      </c>
      <c r="F173" s="16">
        <f t="shared" si="2"/>
        <v>16.039</v>
      </c>
      <c r="G173" s="32">
        <v>628.0</v>
      </c>
      <c r="H173" s="18">
        <v>0.1</v>
      </c>
      <c r="I173" s="16">
        <f t="shared" si="9"/>
        <v>74.6</v>
      </c>
      <c r="J173" s="29">
        <v>95.0</v>
      </c>
      <c r="K173" s="16">
        <f t="shared" si="4"/>
        <v>-119.113</v>
      </c>
      <c r="L173" s="19">
        <f t="shared" si="5"/>
        <v>-0.1896703822</v>
      </c>
      <c r="M173" s="16">
        <f t="shared" si="6"/>
        <v>508.887</v>
      </c>
      <c r="N173" s="20"/>
    </row>
    <row r="174">
      <c r="A174" s="30"/>
      <c r="B174" s="30" t="s">
        <v>345</v>
      </c>
      <c r="C174" s="15" t="s">
        <v>346</v>
      </c>
      <c r="D174" s="16">
        <v>999.0</v>
      </c>
      <c r="E174" s="16">
        <f t="shared" si="1"/>
        <v>68.931</v>
      </c>
      <c r="F174" s="16">
        <f t="shared" si="2"/>
        <v>21.4785</v>
      </c>
      <c r="G174" s="17">
        <v>822.15</v>
      </c>
      <c r="H174" s="18">
        <v>0.1</v>
      </c>
      <c r="I174" s="16">
        <f t="shared" si="9"/>
        <v>99.9</v>
      </c>
      <c r="J174" s="16">
        <v>60.0</v>
      </c>
      <c r="K174" s="16">
        <f t="shared" si="4"/>
        <v>-73.4595</v>
      </c>
      <c r="L174" s="19">
        <f t="shared" si="5"/>
        <v>-0.08935048349</v>
      </c>
      <c r="M174" s="16">
        <f t="shared" si="6"/>
        <v>748.6905</v>
      </c>
      <c r="N174" s="20"/>
    </row>
    <row r="175">
      <c r="A175" s="30"/>
      <c r="B175" s="30" t="s">
        <v>347</v>
      </c>
      <c r="C175" s="15" t="s">
        <v>348</v>
      </c>
      <c r="D175" s="16">
        <v>999.0</v>
      </c>
      <c r="E175" s="16">
        <f t="shared" si="1"/>
        <v>68.931</v>
      </c>
      <c r="F175" s="16">
        <f t="shared" si="2"/>
        <v>21.4785</v>
      </c>
      <c r="G175" s="17">
        <v>699.87</v>
      </c>
      <c r="H175" s="18">
        <v>0.1</v>
      </c>
      <c r="I175" s="16">
        <f t="shared" si="9"/>
        <v>99.9</v>
      </c>
      <c r="J175" s="16">
        <v>60.0</v>
      </c>
      <c r="K175" s="16">
        <f t="shared" si="4"/>
        <v>48.8205</v>
      </c>
      <c r="L175" s="19">
        <f t="shared" si="5"/>
        <v>0.06975652621</v>
      </c>
      <c r="M175" s="16">
        <f t="shared" si="6"/>
        <v>748.6905</v>
      </c>
      <c r="N175" s="20"/>
    </row>
    <row r="176">
      <c r="A176" s="30"/>
      <c r="B176" s="30" t="s">
        <v>349</v>
      </c>
      <c r="C176" s="15" t="s">
        <v>350</v>
      </c>
      <c r="D176" s="16">
        <v>1399.0</v>
      </c>
      <c r="E176" s="16">
        <f t="shared" si="1"/>
        <v>96.531</v>
      </c>
      <c r="F176" s="16">
        <f t="shared" si="2"/>
        <v>30.0785</v>
      </c>
      <c r="G176" s="17">
        <v>1044.48</v>
      </c>
      <c r="H176" s="18">
        <v>0.1</v>
      </c>
      <c r="I176" s="16">
        <f t="shared" si="9"/>
        <v>139.9</v>
      </c>
      <c r="J176" s="16">
        <v>91.0</v>
      </c>
      <c r="K176" s="16">
        <f t="shared" si="4"/>
        <v>-2.9895</v>
      </c>
      <c r="L176" s="19">
        <f t="shared" si="5"/>
        <v>-0.002862189798</v>
      </c>
      <c r="M176" s="16">
        <f t="shared" si="6"/>
        <v>1041.4905</v>
      </c>
      <c r="N176" s="20"/>
    </row>
    <row r="177">
      <c r="A177" s="30"/>
      <c r="B177" s="30" t="s">
        <v>351</v>
      </c>
      <c r="C177" s="15" t="s">
        <v>352</v>
      </c>
      <c r="D177" s="16">
        <v>2852.0</v>
      </c>
      <c r="E177" s="16">
        <f t="shared" si="1"/>
        <v>196.788</v>
      </c>
      <c r="F177" s="16">
        <f t="shared" si="2"/>
        <v>61.318</v>
      </c>
      <c r="G177" s="17">
        <v>2758.51</v>
      </c>
      <c r="H177" s="18">
        <v>0.1</v>
      </c>
      <c r="I177" s="16">
        <f t="shared" si="9"/>
        <v>285.2</v>
      </c>
      <c r="J177" s="16">
        <v>91.0</v>
      </c>
      <c r="K177" s="16">
        <f t="shared" si="4"/>
        <v>-540.816</v>
      </c>
      <c r="L177" s="19">
        <f t="shared" si="5"/>
        <v>-0.1960536667</v>
      </c>
      <c r="M177" s="16">
        <f t="shared" si="6"/>
        <v>2217.694</v>
      </c>
      <c r="N177" s="20"/>
    </row>
    <row r="178">
      <c r="A178" s="30"/>
      <c r="B178" s="30" t="s">
        <v>353</v>
      </c>
      <c r="C178" s="15" t="s">
        <v>354</v>
      </c>
      <c r="D178" s="16">
        <v>1920.0</v>
      </c>
      <c r="E178" s="16">
        <f t="shared" si="1"/>
        <v>132.48</v>
      </c>
      <c r="F178" s="16">
        <f t="shared" si="2"/>
        <v>41.28</v>
      </c>
      <c r="G178" s="17">
        <v>1810.43</v>
      </c>
      <c r="H178" s="18">
        <v>0.1</v>
      </c>
      <c r="I178" s="16">
        <f t="shared" si="9"/>
        <v>192</v>
      </c>
      <c r="J178" s="16">
        <v>72.5</v>
      </c>
      <c r="K178" s="16">
        <f t="shared" si="4"/>
        <v>-328.69</v>
      </c>
      <c r="L178" s="19">
        <f t="shared" si="5"/>
        <v>-0.1815535536</v>
      </c>
      <c r="M178" s="16">
        <f t="shared" si="6"/>
        <v>1481.74</v>
      </c>
      <c r="N178" s="20"/>
    </row>
    <row r="179">
      <c r="A179" s="30"/>
      <c r="B179" s="30" t="s">
        <v>355</v>
      </c>
      <c r="C179" s="15" t="s">
        <v>356</v>
      </c>
      <c r="D179" s="16">
        <v>2386.0</v>
      </c>
      <c r="E179" s="16">
        <f t="shared" si="1"/>
        <v>164.634</v>
      </c>
      <c r="F179" s="16">
        <f t="shared" si="2"/>
        <v>51.299</v>
      </c>
      <c r="G179" s="17">
        <v>1634.92</v>
      </c>
      <c r="H179" s="18">
        <v>0.1</v>
      </c>
      <c r="I179" s="16">
        <f t="shared" si="9"/>
        <v>238.6</v>
      </c>
      <c r="J179" s="16">
        <v>72.5</v>
      </c>
      <c r="K179" s="16">
        <f t="shared" si="4"/>
        <v>224.047</v>
      </c>
      <c r="L179" s="19">
        <f t="shared" si="5"/>
        <v>0.1370385095</v>
      </c>
      <c r="M179" s="16">
        <f t="shared" si="6"/>
        <v>1858.967</v>
      </c>
      <c r="N179" s="20"/>
    </row>
    <row r="180">
      <c r="A180" s="30"/>
      <c r="B180" s="30" t="s">
        <v>357</v>
      </c>
      <c r="C180" s="15" t="s">
        <v>358</v>
      </c>
      <c r="D180" s="16">
        <v>619.0</v>
      </c>
      <c r="E180" s="16">
        <f t="shared" si="1"/>
        <v>42.711</v>
      </c>
      <c r="F180" s="16">
        <f t="shared" si="2"/>
        <v>13.3085</v>
      </c>
      <c r="G180" s="17">
        <v>416.23</v>
      </c>
      <c r="H180" s="18">
        <v>0.1</v>
      </c>
      <c r="I180" s="16">
        <f t="shared" si="9"/>
        <v>61.9</v>
      </c>
      <c r="J180" s="16">
        <v>91.0</v>
      </c>
      <c r="K180" s="16">
        <f t="shared" si="4"/>
        <v>-6.1495</v>
      </c>
      <c r="L180" s="19">
        <f t="shared" si="5"/>
        <v>-0.01477428345</v>
      </c>
      <c r="M180" s="16">
        <f t="shared" si="6"/>
        <v>410.0805</v>
      </c>
      <c r="N180" s="20"/>
    </row>
    <row r="181">
      <c r="A181" s="30"/>
      <c r="B181" s="30" t="s">
        <v>359</v>
      </c>
      <c r="C181" s="15" t="s">
        <v>360</v>
      </c>
      <c r="D181" s="16">
        <v>904.0</v>
      </c>
      <c r="E181" s="16">
        <f t="shared" si="1"/>
        <v>62.376</v>
      </c>
      <c r="F181" s="16">
        <f t="shared" si="2"/>
        <v>19.436</v>
      </c>
      <c r="G181" s="17">
        <v>755.61</v>
      </c>
      <c r="H181" s="18">
        <v>0.1</v>
      </c>
      <c r="I181" s="16">
        <f t="shared" si="9"/>
        <v>90.4</v>
      </c>
      <c r="J181" s="16">
        <v>60.0</v>
      </c>
      <c r="K181" s="16">
        <f t="shared" si="4"/>
        <v>-83.822</v>
      </c>
      <c r="L181" s="19">
        <f t="shared" si="5"/>
        <v>-0.1109328887</v>
      </c>
      <c r="M181" s="16">
        <f t="shared" si="6"/>
        <v>671.788</v>
      </c>
      <c r="N181" s="20"/>
    </row>
    <row r="182">
      <c r="A182" s="30"/>
      <c r="B182" s="30" t="s">
        <v>361</v>
      </c>
      <c r="C182" s="15" t="s">
        <v>362</v>
      </c>
      <c r="D182" s="16">
        <v>2299.0</v>
      </c>
      <c r="E182" s="16">
        <f t="shared" si="1"/>
        <v>158.631</v>
      </c>
      <c r="F182" s="16">
        <f t="shared" si="2"/>
        <v>49.4285</v>
      </c>
      <c r="G182" s="17">
        <v>1612.63</v>
      </c>
      <c r="H182" s="18">
        <v>0.1</v>
      </c>
      <c r="I182" s="16">
        <f t="shared" si="9"/>
        <v>229.9</v>
      </c>
      <c r="J182" s="16">
        <v>65.0</v>
      </c>
      <c r="K182" s="16">
        <f t="shared" si="4"/>
        <v>183.4105</v>
      </c>
      <c r="L182" s="19">
        <f t="shared" si="5"/>
        <v>0.1137337765</v>
      </c>
      <c r="M182" s="16">
        <f t="shared" si="6"/>
        <v>1796.0405</v>
      </c>
      <c r="N182" s="20"/>
    </row>
    <row r="183">
      <c r="A183" s="30"/>
      <c r="B183" s="30" t="s">
        <v>363</v>
      </c>
      <c r="C183" s="15" t="s">
        <v>364</v>
      </c>
      <c r="D183" s="16">
        <v>895.0</v>
      </c>
      <c r="E183" s="16">
        <f t="shared" si="1"/>
        <v>61.755</v>
      </c>
      <c r="F183" s="16">
        <f t="shared" si="2"/>
        <v>19.2425</v>
      </c>
      <c r="G183" s="17">
        <v>569.95</v>
      </c>
      <c r="H183" s="18">
        <v>0.1</v>
      </c>
      <c r="I183" s="16">
        <f t="shared" si="9"/>
        <v>89.5</v>
      </c>
      <c r="J183" s="16">
        <v>90.0</v>
      </c>
      <c r="K183" s="16">
        <f t="shared" si="4"/>
        <v>64.5525</v>
      </c>
      <c r="L183" s="19">
        <f t="shared" si="5"/>
        <v>0.1132599351</v>
      </c>
      <c r="M183" s="16">
        <f t="shared" si="6"/>
        <v>634.5025</v>
      </c>
      <c r="N183" s="20"/>
    </row>
    <row r="184">
      <c r="A184" s="30"/>
      <c r="B184" s="30" t="s">
        <v>365</v>
      </c>
      <c r="C184" s="15"/>
      <c r="D184" s="16">
        <v>2599.0</v>
      </c>
      <c r="E184" s="16">
        <f t="shared" si="1"/>
        <v>179.331</v>
      </c>
      <c r="F184" s="16">
        <f t="shared" si="2"/>
        <v>55.8785</v>
      </c>
      <c r="G184" s="17">
        <v>2078.69</v>
      </c>
      <c r="H184" s="18">
        <v>0.1</v>
      </c>
      <c r="I184" s="16">
        <f t="shared" si="9"/>
        <v>259.9</v>
      </c>
      <c r="J184" s="16">
        <v>72.5</v>
      </c>
      <c r="K184" s="16">
        <f t="shared" si="4"/>
        <v>-47.2995</v>
      </c>
      <c r="L184" s="19">
        <f t="shared" si="5"/>
        <v>-0.02275447517</v>
      </c>
      <c r="M184" s="16">
        <f t="shared" si="6"/>
        <v>2031.3905</v>
      </c>
      <c r="N184" s="20"/>
    </row>
    <row r="185">
      <c r="A185" s="30"/>
      <c r="B185" s="30" t="s">
        <v>366</v>
      </c>
      <c r="C185" s="15" t="s">
        <v>367</v>
      </c>
      <c r="D185" s="16">
        <v>799.0</v>
      </c>
      <c r="E185" s="16">
        <f t="shared" si="1"/>
        <v>55.131</v>
      </c>
      <c r="F185" s="16">
        <f t="shared" si="2"/>
        <v>17.1785</v>
      </c>
      <c r="G185" s="17">
        <v>526.81</v>
      </c>
      <c r="H185" s="18">
        <v>0.1</v>
      </c>
      <c r="I185" s="16">
        <f t="shared" si="9"/>
        <v>79.9</v>
      </c>
      <c r="J185" s="16">
        <v>95.0</v>
      </c>
      <c r="K185" s="16">
        <f t="shared" si="4"/>
        <v>24.9805</v>
      </c>
      <c r="L185" s="19">
        <f t="shared" si="5"/>
        <v>0.0474184241</v>
      </c>
      <c r="M185" s="16">
        <f t="shared" si="6"/>
        <v>551.7905</v>
      </c>
      <c r="N185" s="20"/>
    </row>
    <row r="186">
      <c r="A186" s="30"/>
      <c r="B186" s="30" t="s">
        <v>368</v>
      </c>
      <c r="C186" s="15" t="s">
        <v>369</v>
      </c>
      <c r="D186" s="16">
        <v>1499.0</v>
      </c>
      <c r="E186" s="16">
        <f t="shared" si="1"/>
        <v>103.431</v>
      </c>
      <c r="F186" s="16">
        <f t="shared" si="2"/>
        <v>32.2285</v>
      </c>
      <c r="G186" s="17">
        <v>1564.86</v>
      </c>
      <c r="H186" s="18">
        <v>0.15</v>
      </c>
      <c r="I186" s="16">
        <f t="shared" si="9"/>
        <v>224.85</v>
      </c>
      <c r="J186" s="29">
        <v>95.0</v>
      </c>
      <c r="K186" s="16">
        <f t="shared" si="4"/>
        <v>-521.3695</v>
      </c>
      <c r="L186" s="19">
        <f t="shared" si="5"/>
        <v>-0.3331732551</v>
      </c>
      <c r="M186" s="16">
        <f t="shared" si="6"/>
        <v>1043.4905</v>
      </c>
      <c r="N186" s="20"/>
    </row>
    <row r="187">
      <c r="A187" s="30"/>
      <c r="B187" s="30" t="s">
        <v>370</v>
      </c>
      <c r="C187" s="15" t="s">
        <v>371</v>
      </c>
      <c r="D187" s="16">
        <v>847.0</v>
      </c>
      <c r="E187" s="16">
        <f t="shared" si="1"/>
        <v>58.443</v>
      </c>
      <c r="F187" s="16">
        <f t="shared" si="2"/>
        <v>18.2105</v>
      </c>
      <c r="G187" s="17">
        <v>632.24</v>
      </c>
      <c r="H187" s="18">
        <v>0.1</v>
      </c>
      <c r="I187" s="16">
        <f t="shared" si="9"/>
        <v>84.7</v>
      </c>
      <c r="J187" s="16">
        <v>95.0</v>
      </c>
      <c r="K187" s="16">
        <f t="shared" si="4"/>
        <v>-41.5935</v>
      </c>
      <c r="L187" s="19">
        <f t="shared" si="5"/>
        <v>-0.0657875174</v>
      </c>
      <c r="M187" s="16">
        <f t="shared" si="6"/>
        <v>590.6465</v>
      </c>
      <c r="N187" s="20"/>
    </row>
    <row r="188">
      <c r="A188" s="30"/>
      <c r="B188" s="30" t="s">
        <v>372</v>
      </c>
      <c r="C188" s="15" t="s">
        <v>373</v>
      </c>
      <c r="D188" s="16">
        <v>1999.0</v>
      </c>
      <c r="E188" s="16">
        <f t="shared" si="1"/>
        <v>137.931</v>
      </c>
      <c r="F188" s="16">
        <f t="shared" si="2"/>
        <v>42.9785</v>
      </c>
      <c r="G188" s="17">
        <v>1603.0</v>
      </c>
      <c r="H188" s="18">
        <v>0.1</v>
      </c>
      <c r="I188" s="16">
        <f t="shared" si="9"/>
        <v>199.9</v>
      </c>
      <c r="J188" s="16">
        <v>72.0</v>
      </c>
      <c r="K188" s="16">
        <f t="shared" si="4"/>
        <v>-56.8095</v>
      </c>
      <c r="L188" s="19">
        <f t="shared" si="5"/>
        <v>-0.03543948846</v>
      </c>
      <c r="M188" s="16">
        <f t="shared" si="6"/>
        <v>1546.1905</v>
      </c>
      <c r="N188" s="20"/>
    </row>
    <row r="189">
      <c r="A189" s="30"/>
      <c r="B189" s="30" t="s">
        <v>215</v>
      </c>
      <c r="C189" s="15" t="s">
        <v>374</v>
      </c>
      <c r="D189" s="16">
        <v>999.0</v>
      </c>
      <c r="E189" s="16">
        <f t="shared" si="1"/>
        <v>68.931</v>
      </c>
      <c r="F189" s="16">
        <f t="shared" si="2"/>
        <v>21.4785</v>
      </c>
      <c r="G189" s="17">
        <v>795.84</v>
      </c>
      <c r="H189" s="18">
        <v>0.1</v>
      </c>
      <c r="I189" s="16">
        <f t="shared" si="9"/>
        <v>99.9</v>
      </c>
      <c r="J189" s="16">
        <v>72.0</v>
      </c>
      <c r="K189" s="16">
        <f t="shared" si="4"/>
        <v>-59.1495</v>
      </c>
      <c r="L189" s="19">
        <f t="shared" si="5"/>
        <v>-0.07432335645</v>
      </c>
      <c r="M189" s="16">
        <f t="shared" si="6"/>
        <v>736.6905</v>
      </c>
      <c r="N189" s="20"/>
    </row>
    <row r="190">
      <c r="A190" s="30"/>
      <c r="B190" s="30" t="s">
        <v>375</v>
      </c>
      <c r="C190" s="15" t="s">
        <v>376</v>
      </c>
      <c r="D190" s="29">
        <v>8199.0</v>
      </c>
      <c r="E190" s="16">
        <f t="shared" si="1"/>
        <v>565.731</v>
      </c>
      <c r="F190" s="16">
        <f t="shared" si="2"/>
        <v>176.2785</v>
      </c>
      <c r="G190" s="17">
        <v>6694.39</v>
      </c>
      <c r="H190" s="18">
        <v>0.195</v>
      </c>
      <c r="I190" s="16">
        <f t="shared" si="9"/>
        <v>1598.805</v>
      </c>
      <c r="J190" s="29">
        <v>95.0</v>
      </c>
      <c r="K190" s="16">
        <f t="shared" si="4"/>
        <v>-931.2045</v>
      </c>
      <c r="L190" s="19">
        <f t="shared" si="5"/>
        <v>-0.1391022184</v>
      </c>
      <c r="M190" s="16">
        <f t="shared" si="6"/>
        <v>5763.1855</v>
      </c>
      <c r="N190" s="20"/>
    </row>
    <row r="191">
      <c r="A191" s="30"/>
      <c r="B191" s="30" t="s">
        <v>377</v>
      </c>
      <c r="C191" s="15" t="s">
        <v>378</v>
      </c>
      <c r="D191" s="16">
        <v>819.0</v>
      </c>
      <c r="E191" s="16">
        <f t="shared" si="1"/>
        <v>56.511</v>
      </c>
      <c r="F191" s="16">
        <f t="shared" si="2"/>
        <v>17.6085</v>
      </c>
      <c r="G191" s="17">
        <v>584.01</v>
      </c>
      <c r="H191" s="18">
        <v>0.1</v>
      </c>
      <c r="I191" s="16">
        <f t="shared" si="9"/>
        <v>81.9</v>
      </c>
      <c r="J191" s="16">
        <v>91.5</v>
      </c>
      <c r="K191" s="16">
        <f t="shared" si="4"/>
        <v>-12.5295</v>
      </c>
      <c r="L191" s="19">
        <f t="shared" si="5"/>
        <v>-0.02145425592</v>
      </c>
      <c r="M191" s="16">
        <f t="shared" si="6"/>
        <v>571.4805</v>
      </c>
      <c r="N191" s="20"/>
    </row>
    <row r="192">
      <c r="A192" s="30"/>
      <c r="B192" s="30" t="s">
        <v>379</v>
      </c>
      <c r="C192" s="15" t="s">
        <v>380</v>
      </c>
      <c r="D192" s="16">
        <v>1227.0</v>
      </c>
      <c r="E192" s="16">
        <f t="shared" si="1"/>
        <v>84.663</v>
      </c>
      <c r="F192" s="16">
        <f t="shared" si="2"/>
        <v>26.3805</v>
      </c>
      <c r="G192" s="17">
        <v>895.0</v>
      </c>
      <c r="H192" s="18">
        <v>0.1</v>
      </c>
      <c r="I192" s="16">
        <f t="shared" si="9"/>
        <v>122.7</v>
      </c>
      <c r="J192" s="16">
        <v>60.0</v>
      </c>
      <c r="K192" s="16">
        <f t="shared" si="4"/>
        <v>38.2565</v>
      </c>
      <c r="L192" s="19">
        <f t="shared" si="5"/>
        <v>0.04274469274</v>
      </c>
      <c r="M192" s="16">
        <f t="shared" si="6"/>
        <v>933.2565</v>
      </c>
      <c r="N192" s="20"/>
    </row>
    <row r="193">
      <c r="A193" s="30"/>
      <c r="B193" s="30" t="s">
        <v>381</v>
      </c>
      <c r="C193" s="15" t="s">
        <v>382</v>
      </c>
      <c r="D193" s="16">
        <v>599.0</v>
      </c>
      <c r="E193" s="16">
        <f t="shared" si="1"/>
        <v>41.331</v>
      </c>
      <c r="F193" s="16">
        <f t="shared" si="2"/>
        <v>12.8785</v>
      </c>
      <c r="G193" s="17">
        <v>436.19</v>
      </c>
      <c r="H193" s="18">
        <v>0.1</v>
      </c>
      <c r="I193" s="16">
        <f t="shared" si="9"/>
        <v>59.9</v>
      </c>
      <c r="J193" s="16">
        <v>60.0</v>
      </c>
      <c r="K193" s="16">
        <f t="shared" si="4"/>
        <v>-11.2995</v>
      </c>
      <c r="L193" s="19">
        <f t="shared" si="5"/>
        <v>-0.02590499553</v>
      </c>
      <c r="M193" s="16">
        <f t="shared" si="6"/>
        <v>424.8905</v>
      </c>
      <c r="N193" s="20"/>
    </row>
    <row r="194">
      <c r="A194" s="30"/>
      <c r="B194" s="30" t="s">
        <v>383</v>
      </c>
      <c r="C194" s="15" t="s">
        <v>384</v>
      </c>
      <c r="D194" s="16">
        <v>1719.0</v>
      </c>
      <c r="E194" s="16">
        <f t="shared" si="1"/>
        <v>118.611</v>
      </c>
      <c r="F194" s="16">
        <f t="shared" si="2"/>
        <v>36.9585</v>
      </c>
      <c r="G194" s="17">
        <v>1255.59</v>
      </c>
      <c r="H194" s="18">
        <v>0.1</v>
      </c>
      <c r="I194" s="16">
        <f t="shared" si="9"/>
        <v>171.9</v>
      </c>
      <c r="J194" s="16">
        <v>66.5</v>
      </c>
      <c r="K194" s="16">
        <f t="shared" si="4"/>
        <v>69.4405</v>
      </c>
      <c r="L194" s="19">
        <f t="shared" si="5"/>
        <v>0.0553050757</v>
      </c>
      <c r="M194" s="16">
        <f t="shared" si="6"/>
        <v>1325.0305</v>
      </c>
      <c r="N194" s="20"/>
    </row>
    <row r="195">
      <c r="A195" s="30"/>
      <c r="B195" s="30" t="s">
        <v>385</v>
      </c>
      <c r="C195" s="15" t="s">
        <v>386</v>
      </c>
      <c r="D195" s="16">
        <v>781.0</v>
      </c>
      <c r="E195" s="16">
        <f t="shared" si="1"/>
        <v>53.889</v>
      </c>
      <c r="F195" s="16">
        <f t="shared" si="2"/>
        <v>16.7915</v>
      </c>
      <c r="G195" s="17">
        <v>560.84</v>
      </c>
      <c r="H195" s="18">
        <v>0.1</v>
      </c>
      <c r="I195" s="16">
        <f t="shared" si="9"/>
        <v>78.1</v>
      </c>
      <c r="J195" s="16">
        <v>91.5</v>
      </c>
      <c r="K195" s="16">
        <f t="shared" si="4"/>
        <v>-20.1205</v>
      </c>
      <c r="L195" s="19">
        <f t="shared" si="5"/>
        <v>-0.03587565081</v>
      </c>
      <c r="M195" s="16">
        <f t="shared" si="6"/>
        <v>540.7195</v>
      </c>
      <c r="N195" s="20"/>
    </row>
    <row r="196">
      <c r="A196" s="30"/>
      <c r="B196" s="30" t="s">
        <v>387</v>
      </c>
      <c r="C196" s="15" t="s">
        <v>388</v>
      </c>
      <c r="D196" s="16">
        <v>537.0</v>
      </c>
      <c r="E196" s="16">
        <f t="shared" si="1"/>
        <v>37.053</v>
      </c>
      <c r="F196" s="16">
        <f t="shared" si="2"/>
        <v>11.5455</v>
      </c>
      <c r="G196" s="17">
        <v>308.83</v>
      </c>
      <c r="H196" s="18">
        <v>0.15</v>
      </c>
      <c r="I196" s="16">
        <f t="shared" si="9"/>
        <v>80.55</v>
      </c>
      <c r="J196" s="16"/>
      <c r="K196" s="16">
        <f t="shared" si="4"/>
        <v>99.0215</v>
      </c>
      <c r="L196" s="19">
        <f t="shared" si="5"/>
        <v>0.3206343296</v>
      </c>
      <c r="M196" s="16">
        <f t="shared" si="6"/>
        <v>407.8515</v>
      </c>
      <c r="N196" s="20"/>
    </row>
    <row r="197">
      <c r="A197" s="30"/>
      <c r="B197" s="30" t="s">
        <v>389</v>
      </c>
      <c r="C197" s="15" t="s">
        <v>388</v>
      </c>
      <c r="D197" s="29">
        <v>589.0</v>
      </c>
      <c r="E197" s="16">
        <f t="shared" si="1"/>
        <v>40.641</v>
      </c>
      <c r="F197" s="16">
        <f t="shared" si="2"/>
        <v>12.6635</v>
      </c>
      <c r="G197" s="32">
        <v>352.16</v>
      </c>
      <c r="H197" s="18">
        <v>0.1</v>
      </c>
      <c r="I197" s="16">
        <f t="shared" si="9"/>
        <v>58.9</v>
      </c>
      <c r="J197" s="29">
        <v>95.0</v>
      </c>
      <c r="K197" s="16">
        <f t="shared" si="4"/>
        <v>29.6355</v>
      </c>
      <c r="L197" s="19">
        <f t="shared" si="5"/>
        <v>0.08415350977</v>
      </c>
      <c r="M197" s="16">
        <f t="shared" si="6"/>
        <v>381.7955</v>
      </c>
      <c r="N197" s="20"/>
    </row>
    <row r="198">
      <c r="A198" s="30"/>
      <c r="B198" s="30" t="s">
        <v>390</v>
      </c>
      <c r="C198" s="15" t="s">
        <v>388</v>
      </c>
      <c r="D198" s="29">
        <v>499.0</v>
      </c>
      <c r="E198" s="16">
        <f t="shared" si="1"/>
        <v>34.431</v>
      </c>
      <c r="F198" s="16">
        <f t="shared" si="2"/>
        <v>10.7285</v>
      </c>
      <c r="G198" s="32">
        <v>350.52</v>
      </c>
      <c r="H198" s="18">
        <v>0.1</v>
      </c>
      <c r="I198" s="16">
        <f t="shared" si="9"/>
        <v>49.9</v>
      </c>
      <c r="J198" s="29">
        <v>65.5</v>
      </c>
      <c r="K198" s="16">
        <f t="shared" si="4"/>
        <v>-12.0795</v>
      </c>
      <c r="L198" s="19">
        <f t="shared" si="5"/>
        <v>-0.03446165697</v>
      </c>
      <c r="M198" s="16">
        <f t="shared" si="6"/>
        <v>338.4405</v>
      </c>
      <c r="N198" s="20"/>
    </row>
    <row r="199">
      <c r="A199" s="30"/>
      <c r="B199" s="30" t="s">
        <v>391</v>
      </c>
      <c r="C199" s="15" t="s">
        <v>392</v>
      </c>
      <c r="D199" s="16">
        <v>3200.0</v>
      </c>
      <c r="E199" s="16">
        <f t="shared" si="1"/>
        <v>220.8</v>
      </c>
      <c r="F199" s="16">
        <f t="shared" si="2"/>
        <v>68.8</v>
      </c>
      <c r="G199" s="17">
        <v>2699.52</v>
      </c>
      <c r="H199" s="18">
        <v>0.1</v>
      </c>
      <c r="I199" s="16">
        <f t="shared" si="9"/>
        <v>320</v>
      </c>
      <c r="J199" s="16">
        <v>91.0</v>
      </c>
      <c r="K199" s="16">
        <f t="shared" si="4"/>
        <v>-200.12</v>
      </c>
      <c r="L199" s="19">
        <f t="shared" si="5"/>
        <v>-0.07413169749</v>
      </c>
      <c r="M199" s="16">
        <f t="shared" si="6"/>
        <v>2499.4</v>
      </c>
      <c r="N199" s="20"/>
    </row>
    <row r="200">
      <c r="A200" s="30"/>
      <c r="B200" s="30" t="s">
        <v>393</v>
      </c>
      <c r="C200" s="15" t="s">
        <v>394</v>
      </c>
      <c r="D200" s="16">
        <v>1799.0</v>
      </c>
      <c r="E200" s="16">
        <f t="shared" si="1"/>
        <v>124.131</v>
      </c>
      <c r="F200" s="16">
        <f t="shared" si="2"/>
        <v>38.6785</v>
      </c>
      <c r="G200" s="17">
        <v>1513.5</v>
      </c>
      <c r="H200" s="18">
        <v>0.1</v>
      </c>
      <c r="I200" s="16">
        <f t="shared" si="9"/>
        <v>179.9</v>
      </c>
      <c r="J200" s="16">
        <v>86.0</v>
      </c>
      <c r="K200" s="16">
        <f t="shared" si="4"/>
        <v>-143.2095</v>
      </c>
      <c r="L200" s="19">
        <f t="shared" si="5"/>
        <v>-0.09462140733</v>
      </c>
      <c r="M200" s="16">
        <f t="shared" si="6"/>
        <v>1370.2905</v>
      </c>
      <c r="N200" s="20"/>
    </row>
    <row r="201">
      <c r="A201" s="30"/>
      <c r="B201" s="30" t="s">
        <v>395</v>
      </c>
      <c r="C201" s="15" t="s">
        <v>396</v>
      </c>
      <c r="D201" s="16">
        <v>2099.0</v>
      </c>
      <c r="E201" s="16">
        <f t="shared" si="1"/>
        <v>144.831</v>
      </c>
      <c r="F201" s="16">
        <f t="shared" si="2"/>
        <v>45.1285</v>
      </c>
      <c r="G201" s="17">
        <v>1509.38</v>
      </c>
      <c r="H201" s="18">
        <v>0.1</v>
      </c>
      <c r="I201" s="16">
        <f t="shared" si="9"/>
        <v>209.9</v>
      </c>
      <c r="J201" s="16">
        <v>73.0</v>
      </c>
      <c r="K201" s="16">
        <f t="shared" si="4"/>
        <v>116.7605</v>
      </c>
      <c r="L201" s="19">
        <f t="shared" si="5"/>
        <v>0.07735659675</v>
      </c>
      <c r="M201" s="16">
        <f t="shared" si="6"/>
        <v>1626.1405</v>
      </c>
      <c r="N201" s="20"/>
    </row>
    <row r="202">
      <c r="A202" s="30"/>
      <c r="B202" s="30" t="s">
        <v>397</v>
      </c>
      <c r="C202" s="15" t="s">
        <v>398</v>
      </c>
      <c r="D202" s="16">
        <v>1357.0</v>
      </c>
      <c r="E202" s="16">
        <f t="shared" si="1"/>
        <v>93.633</v>
      </c>
      <c r="F202" s="16">
        <f t="shared" si="2"/>
        <v>29.1755</v>
      </c>
      <c r="G202" s="17">
        <v>1038.2</v>
      </c>
      <c r="H202" s="18">
        <v>0.1</v>
      </c>
      <c r="I202" s="16">
        <f t="shared" si="9"/>
        <v>135.7</v>
      </c>
      <c r="J202" s="16">
        <v>72.0</v>
      </c>
      <c r="K202" s="16">
        <f t="shared" si="4"/>
        <v>-11.7085</v>
      </c>
      <c r="L202" s="19">
        <f t="shared" si="5"/>
        <v>-0.01127769216</v>
      </c>
      <c r="M202" s="16">
        <f t="shared" si="6"/>
        <v>1026.4915</v>
      </c>
      <c r="N202" s="20"/>
    </row>
    <row r="203">
      <c r="A203" s="30"/>
      <c r="B203" s="30" t="s">
        <v>399</v>
      </c>
      <c r="C203" s="15" t="s">
        <v>400</v>
      </c>
      <c r="D203" s="29">
        <v>1099.0</v>
      </c>
      <c r="E203" s="16">
        <f t="shared" si="1"/>
        <v>75.831</v>
      </c>
      <c r="F203" s="16">
        <f t="shared" si="2"/>
        <v>23.6285</v>
      </c>
      <c r="G203" s="32">
        <v>790.56</v>
      </c>
      <c r="H203" s="18">
        <v>0.1</v>
      </c>
      <c r="I203" s="16">
        <f t="shared" si="9"/>
        <v>109.9</v>
      </c>
      <c r="J203" s="29">
        <v>65.5</v>
      </c>
      <c r="K203" s="16">
        <f t="shared" si="4"/>
        <v>33.5805</v>
      </c>
      <c r="L203" s="19">
        <f t="shared" si="5"/>
        <v>0.04247685185</v>
      </c>
      <c r="M203" s="16">
        <f t="shared" si="6"/>
        <v>824.1405</v>
      </c>
      <c r="N203" s="20"/>
    </row>
    <row r="204">
      <c r="A204" s="30"/>
      <c r="B204" s="30" t="s">
        <v>401</v>
      </c>
      <c r="C204" s="15" t="s">
        <v>402</v>
      </c>
      <c r="D204" s="16">
        <v>949.0</v>
      </c>
      <c r="E204" s="16">
        <f t="shared" si="1"/>
        <v>65.481</v>
      </c>
      <c r="F204" s="16">
        <f t="shared" si="2"/>
        <v>20.4035</v>
      </c>
      <c r="G204" s="17" t="str">
        <f>647.92*1.1</f>
        <v>#ERROR!</v>
      </c>
      <c r="H204" s="18">
        <v>0.1</v>
      </c>
      <c r="I204" s="16">
        <f t="shared" si="9"/>
        <v>94.9</v>
      </c>
      <c r="J204" s="16">
        <v>86.0</v>
      </c>
      <c r="K204" s="16" t="str">
        <f t="shared" si="4"/>
        <v>#ERROR!</v>
      </c>
      <c r="L204" s="19" t="str">
        <f t="shared" si="5"/>
        <v>#ERROR!</v>
      </c>
      <c r="M204" s="16">
        <f t="shared" si="6"/>
        <v>682.2155</v>
      </c>
      <c r="N204" s="20"/>
    </row>
    <row r="205">
      <c r="A205" s="30"/>
      <c r="B205" s="30" t="s">
        <v>403</v>
      </c>
      <c r="C205" s="15" t="s">
        <v>404</v>
      </c>
      <c r="D205" s="16">
        <v>199.0</v>
      </c>
      <c r="E205" s="16">
        <f t="shared" si="1"/>
        <v>13.731</v>
      </c>
      <c r="F205" s="16">
        <f t="shared" si="2"/>
        <v>4.2785</v>
      </c>
      <c r="G205" s="17">
        <v>98.27</v>
      </c>
      <c r="H205" s="18">
        <v>0.1</v>
      </c>
      <c r="I205" s="16">
        <f t="shared" si="9"/>
        <v>19.9</v>
      </c>
      <c r="J205" s="16"/>
      <c r="K205" s="16">
        <f t="shared" si="4"/>
        <v>62.8205</v>
      </c>
      <c r="L205" s="19">
        <f t="shared" si="5"/>
        <v>0.6392642719</v>
      </c>
      <c r="M205" s="16">
        <f t="shared" si="6"/>
        <v>161.0905</v>
      </c>
      <c r="N205" s="20"/>
    </row>
    <row r="206">
      <c r="A206" s="30"/>
      <c r="B206" s="30" t="s">
        <v>405</v>
      </c>
      <c r="C206" s="15" t="s">
        <v>404</v>
      </c>
      <c r="D206" s="16">
        <v>159.0</v>
      </c>
      <c r="E206" s="16">
        <f t="shared" si="1"/>
        <v>10.971</v>
      </c>
      <c r="F206" s="16">
        <f t="shared" si="2"/>
        <v>3.4185</v>
      </c>
      <c r="G206" s="17">
        <v>98.27</v>
      </c>
      <c r="H206" s="18">
        <v>0.15</v>
      </c>
      <c r="I206" s="16">
        <f t="shared" si="9"/>
        <v>23.85</v>
      </c>
      <c r="J206" s="16"/>
      <c r="K206" s="16">
        <f t="shared" si="4"/>
        <v>22.4905</v>
      </c>
      <c r="L206" s="19">
        <f t="shared" si="5"/>
        <v>0.2288643533</v>
      </c>
      <c r="M206" s="16">
        <f t="shared" si="6"/>
        <v>120.7605</v>
      </c>
      <c r="N206" s="20"/>
    </row>
    <row r="207">
      <c r="A207" s="30"/>
      <c r="B207" s="30" t="s">
        <v>406</v>
      </c>
      <c r="C207" s="15" t="s">
        <v>407</v>
      </c>
      <c r="D207" s="16">
        <v>146.0</v>
      </c>
      <c r="E207" s="16">
        <f t="shared" si="1"/>
        <v>10.074</v>
      </c>
      <c r="F207" s="16">
        <f t="shared" si="2"/>
        <v>3.139</v>
      </c>
      <c r="G207" s="17">
        <v>96.19</v>
      </c>
      <c r="H207" s="18">
        <v>0.1</v>
      </c>
      <c r="I207" s="16">
        <f t="shared" si="9"/>
        <v>14.6</v>
      </c>
      <c r="J207" s="16"/>
      <c r="K207" s="16">
        <f t="shared" si="4"/>
        <v>21.997</v>
      </c>
      <c r="L207" s="19">
        <f t="shared" si="5"/>
        <v>0.2286828153</v>
      </c>
      <c r="M207" s="16">
        <f t="shared" si="6"/>
        <v>118.187</v>
      </c>
      <c r="N207" s="20"/>
    </row>
    <row r="208">
      <c r="A208" s="30"/>
      <c r="B208" s="30" t="s">
        <v>408</v>
      </c>
      <c r="C208" s="15" t="s">
        <v>409</v>
      </c>
      <c r="D208" s="16">
        <v>149.0</v>
      </c>
      <c r="E208" s="16">
        <f t="shared" si="1"/>
        <v>10.281</v>
      </c>
      <c r="F208" s="16">
        <f t="shared" si="2"/>
        <v>3.2035</v>
      </c>
      <c r="G208" s="17">
        <v>46.72</v>
      </c>
      <c r="H208" s="18">
        <v>0.1</v>
      </c>
      <c r="I208" s="16">
        <f t="shared" si="9"/>
        <v>14.9</v>
      </c>
      <c r="J208" s="16"/>
      <c r="K208" s="16">
        <f t="shared" si="4"/>
        <v>73.8955</v>
      </c>
      <c r="L208" s="19">
        <f t="shared" si="5"/>
        <v>1.58166738</v>
      </c>
      <c r="M208" s="16">
        <f t="shared" si="6"/>
        <v>120.6155</v>
      </c>
      <c r="N208" s="20"/>
    </row>
    <row r="209">
      <c r="A209" s="30"/>
      <c r="B209" s="30" t="s">
        <v>410</v>
      </c>
      <c r="C209" s="15" t="s">
        <v>411</v>
      </c>
      <c r="D209" s="16">
        <v>5399.0</v>
      </c>
      <c r="E209" s="16">
        <f t="shared" si="1"/>
        <v>372.531</v>
      </c>
      <c r="F209" s="16">
        <f t="shared" si="2"/>
        <v>116.0785</v>
      </c>
      <c r="G209" s="17">
        <v>4293.61</v>
      </c>
      <c r="H209" s="18">
        <v>0.1</v>
      </c>
      <c r="I209" s="16">
        <f t="shared" si="9"/>
        <v>539.9</v>
      </c>
      <c r="J209" s="16">
        <v>91.0</v>
      </c>
      <c r="K209" s="16">
        <f t="shared" si="4"/>
        <v>-14.1195</v>
      </c>
      <c r="L209" s="19">
        <f t="shared" si="5"/>
        <v>-0.003288491502</v>
      </c>
      <c r="M209" s="16">
        <f t="shared" si="6"/>
        <v>4279.4905</v>
      </c>
      <c r="N209" s="20"/>
    </row>
    <row r="210">
      <c r="A210" s="30"/>
      <c r="B210" s="30" t="s">
        <v>412</v>
      </c>
      <c r="C210" s="15" t="s">
        <v>413</v>
      </c>
      <c r="D210" s="16">
        <v>1174.0</v>
      </c>
      <c r="E210" s="16">
        <f t="shared" si="1"/>
        <v>81.006</v>
      </c>
      <c r="F210" s="16">
        <f t="shared" si="2"/>
        <v>25.241</v>
      </c>
      <c r="G210" s="17">
        <v>954.25</v>
      </c>
      <c r="H210" s="18">
        <v>0.1</v>
      </c>
      <c r="I210" s="16">
        <f t="shared" si="9"/>
        <v>117.4</v>
      </c>
      <c r="J210" s="16">
        <v>91.5</v>
      </c>
      <c r="K210" s="16">
        <f t="shared" si="4"/>
        <v>-95.397</v>
      </c>
      <c r="L210" s="19">
        <f t="shared" si="5"/>
        <v>-0.09997065758</v>
      </c>
      <c r="M210" s="16">
        <f t="shared" si="6"/>
        <v>858.853</v>
      </c>
      <c r="N210" s="20"/>
    </row>
    <row r="211">
      <c r="A211" s="30"/>
      <c r="B211" s="30" t="s">
        <v>414</v>
      </c>
      <c r="C211" s="15" t="s">
        <v>415</v>
      </c>
      <c r="D211" s="16">
        <v>399.0</v>
      </c>
      <c r="E211" s="16">
        <f t="shared" si="1"/>
        <v>27.531</v>
      </c>
      <c r="F211" s="16">
        <f t="shared" si="2"/>
        <v>8.5785</v>
      </c>
      <c r="G211" s="17">
        <v>218.87</v>
      </c>
      <c r="H211" s="18">
        <v>0.1</v>
      </c>
      <c r="I211" s="16">
        <f t="shared" si="9"/>
        <v>39.9</v>
      </c>
      <c r="J211" s="16">
        <v>91.0</v>
      </c>
      <c r="K211" s="16">
        <f t="shared" si="4"/>
        <v>13.1205</v>
      </c>
      <c r="L211" s="19">
        <f t="shared" si="5"/>
        <v>0.05994654361</v>
      </c>
      <c r="M211" s="16">
        <f t="shared" si="6"/>
        <v>231.9905</v>
      </c>
      <c r="N211" s="20"/>
    </row>
    <row r="212">
      <c r="A212" s="30"/>
      <c r="B212" s="30" t="s">
        <v>416</v>
      </c>
      <c r="C212" s="15" t="s">
        <v>417</v>
      </c>
      <c r="D212" s="16">
        <v>639.0</v>
      </c>
      <c r="E212" s="16">
        <f t="shared" si="1"/>
        <v>44.091</v>
      </c>
      <c r="F212" s="16">
        <f t="shared" si="2"/>
        <v>13.7385</v>
      </c>
      <c r="G212" s="17">
        <v>344.21</v>
      </c>
      <c r="H212" s="18">
        <v>0.1</v>
      </c>
      <c r="I212" s="16">
        <f t="shared" si="9"/>
        <v>63.9</v>
      </c>
      <c r="J212" s="16">
        <v>72.0</v>
      </c>
      <c r="K212" s="16">
        <f t="shared" si="4"/>
        <v>101.0605</v>
      </c>
      <c r="L212" s="19">
        <f t="shared" si="5"/>
        <v>0.2936012899</v>
      </c>
      <c r="M212" s="16">
        <f t="shared" si="6"/>
        <v>445.2705</v>
      </c>
      <c r="N212" s="20"/>
    </row>
    <row r="213">
      <c r="A213" s="30"/>
      <c r="B213" s="30" t="s">
        <v>418</v>
      </c>
      <c r="C213" s="15" t="s">
        <v>419</v>
      </c>
      <c r="D213" s="16">
        <v>614.0</v>
      </c>
      <c r="E213" s="16">
        <f t="shared" si="1"/>
        <v>42.366</v>
      </c>
      <c r="F213" s="16">
        <f t="shared" si="2"/>
        <v>13.201</v>
      </c>
      <c r="G213" s="17">
        <v>428.75</v>
      </c>
      <c r="H213" s="18">
        <v>0.1</v>
      </c>
      <c r="I213" s="16">
        <f t="shared" si="9"/>
        <v>61.4</v>
      </c>
      <c r="J213" s="16">
        <v>60.0</v>
      </c>
      <c r="K213" s="16">
        <f t="shared" si="4"/>
        <v>8.283</v>
      </c>
      <c r="L213" s="19">
        <f t="shared" si="5"/>
        <v>0.01931895044</v>
      </c>
      <c r="M213" s="16">
        <f t="shared" si="6"/>
        <v>437.033</v>
      </c>
      <c r="N213" s="20"/>
    </row>
    <row r="214">
      <c r="A214" s="30"/>
      <c r="B214" s="30" t="s">
        <v>420</v>
      </c>
      <c r="C214" s="15" t="s">
        <v>421</v>
      </c>
      <c r="D214" s="16">
        <v>699.0</v>
      </c>
      <c r="E214" s="16">
        <f t="shared" si="1"/>
        <v>48.231</v>
      </c>
      <c r="F214" s="16">
        <f t="shared" si="2"/>
        <v>15.0285</v>
      </c>
      <c r="G214" s="17">
        <v>470.0</v>
      </c>
      <c r="H214" s="18">
        <v>0.1</v>
      </c>
      <c r="I214" s="16">
        <f t="shared" si="9"/>
        <v>69.9</v>
      </c>
      <c r="J214" s="16">
        <v>91.5</v>
      </c>
      <c r="K214" s="16">
        <f t="shared" si="4"/>
        <v>4.3405</v>
      </c>
      <c r="L214" s="19">
        <f t="shared" si="5"/>
        <v>0.009235106383</v>
      </c>
      <c r="M214" s="16">
        <f t="shared" si="6"/>
        <v>474.3405</v>
      </c>
      <c r="N214" s="20"/>
    </row>
    <row r="215">
      <c r="A215" s="30"/>
      <c r="B215" s="30" t="s">
        <v>422</v>
      </c>
      <c r="C215" s="15" t="s">
        <v>423</v>
      </c>
      <c r="D215" s="16">
        <v>1939.0</v>
      </c>
      <c r="E215" s="16">
        <f t="shared" si="1"/>
        <v>133.791</v>
      </c>
      <c r="F215" s="16">
        <f t="shared" si="2"/>
        <v>41.6885</v>
      </c>
      <c r="G215" s="17">
        <v>611.91</v>
      </c>
      <c r="H215" s="18">
        <v>0.1</v>
      </c>
      <c r="I215" s="16">
        <f t="shared" si="9"/>
        <v>193.9</v>
      </c>
      <c r="J215" s="16">
        <v>66.0</v>
      </c>
      <c r="K215" s="16">
        <f t="shared" si="4"/>
        <v>891.7105</v>
      </c>
      <c r="L215" s="19">
        <f t="shared" si="5"/>
        <v>1.457257603</v>
      </c>
      <c r="M215" s="16">
        <f t="shared" si="6"/>
        <v>1503.6205</v>
      </c>
      <c r="N215" s="20"/>
    </row>
    <row r="216">
      <c r="A216" s="30"/>
      <c r="B216" s="30" t="s">
        <v>424</v>
      </c>
      <c r="C216" s="15" t="s">
        <v>425</v>
      </c>
      <c r="D216" s="16">
        <v>8699.0</v>
      </c>
      <c r="E216" s="16">
        <f t="shared" si="1"/>
        <v>600.231</v>
      </c>
      <c r="F216" s="16">
        <f t="shared" si="2"/>
        <v>187.0285</v>
      </c>
      <c r="G216" s="17">
        <v>6199.42</v>
      </c>
      <c r="H216" s="18">
        <v>0.1</v>
      </c>
      <c r="I216" s="16">
        <f t="shared" si="9"/>
        <v>869.9</v>
      </c>
      <c r="J216" s="16">
        <v>189.0</v>
      </c>
      <c r="K216" s="16">
        <f t="shared" si="4"/>
        <v>653.4205</v>
      </c>
      <c r="L216" s="19">
        <f t="shared" si="5"/>
        <v>0.1054002633</v>
      </c>
      <c r="M216" s="16">
        <f t="shared" si="6"/>
        <v>6852.8405</v>
      </c>
      <c r="N216" s="20"/>
    </row>
    <row r="217">
      <c r="A217" s="30"/>
      <c r="B217" s="30" t="s">
        <v>426</v>
      </c>
      <c r="C217" s="15" t="s">
        <v>427</v>
      </c>
      <c r="D217" s="16">
        <v>659.0</v>
      </c>
      <c r="E217" s="16">
        <f t="shared" si="1"/>
        <v>45.471</v>
      </c>
      <c r="F217" s="16">
        <f t="shared" si="2"/>
        <v>14.1685</v>
      </c>
      <c r="G217" s="17">
        <v>318.15</v>
      </c>
      <c r="H217" s="18">
        <v>0.1</v>
      </c>
      <c r="I217" s="16">
        <f t="shared" si="9"/>
        <v>65.9</v>
      </c>
      <c r="J217" s="16">
        <v>91.5</v>
      </c>
      <c r="K217" s="16">
        <f t="shared" si="4"/>
        <v>123.8105</v>
      </c>
      <c r="L217" s="19">
        <f t="shared" si="5"/>
        <v>0.38915763</v>
      </c>
      <c r="M217" s="16">
        <f t="shared" si="6"/>
        <v>441.9605</v>
      </c>
      <c r="N217" s="20"/>
    </row>
    <row r="218">
      <c r="A218" s="30"/>
      <c r="B218" s="30" t="s">
        <v>428</v>
      </c>
      <c r="C218" s="15" t="s">
        <v>429</v>
      </c>
      <c r="D218" s="16">
        <v>182.0</v>
      </c>
      <c r="E218" s="16">
        <f t="shared" si="1"/>
        <v>12.558</v>
      </c>
      <c r="F218" s="16">
        <f t="shared" si="2"/>
        <v>3.913</v>
      </c>
      <c r="G218" s="17">
        <v>114.62</v>
      </c>
      <c r="H218" s="18">
        <v>0.1</v>
      </c>
      <c r="I218" s="16">
        <f t="shared" si="9"/>
        <v>18.2</v>
      </c>
      <c r="J218" s="16"/>
      <c r="K218" s="16">
        <f t="shared" si="4"/>
        <v>32.709</v>
      </c>
      <c r="L218" s="19">
        <f t="shared" si="5"/>
        <v>0.2853690455</v>
      </c>
      <c r="M218" s="16">
        <f t="shared" si="6"/>
        <v>147.329</v>
      </c>
      <c r="N218" s="20"/>
    </row>
    <row r="219">
      <c r="A219" s="30"/>
      <c r="B219" s="30" t="s">
        <v>430</v>
      </c>
      <c r="C219" s="15" t="s">
        <v>431</v>
      </c>
      <c r="D219" s="16">
        <v>460.0</v>
      </c>
      <c r="E219" s="16">
        <f t="shared" si="1"/>
        <v>31.74</v>
      </c>
      <c r="F219" s="16">
        <f t="shared" si="2"/>
        <v>9.89</v>
      </c>
      <c r="G219" s="17">
        <v>287.69</v>
      </c>
      <c r="H219" s="18">
        <v>0.1</v>
      </c>
      <c r="I219" s="16">
        <f t="shared" si="9"/>
        <v>46</v>
      </c>
      <c r="J219" s="16">
        <v>95.0</v>
      </c>
      <c r="K219" s="16">
        <f t="shared" si="4"/>
        <v>-10.32</v>
      </c>
      <c r="L219" s="19">
        <f t="shared" si="5"/>
        <v>-0.0358719455</v>
      </c>
      <c r="M219" s="16">
        <f t="shared" si="6"/>
        <v>277.37</v>
      </c>
      <c r="N219" s="20"/>
    </row>
    <row r="220">
      <c r="A220" s="30"/>
      <c r="B220" s="30" t="s">
        <v>432</v>
      </c>
      <c r="C220" s="15" t="s">
        <v>433</v>
      </c>
      <c r="D220" s="16">
        <v>470.0</v>
      </c>
      <c r="E220" s="16">
        <f t="shared" si="1"/>
        <v>32.43</v>
      </c>
      <c r="F220" s="16">
        <f t="shared" si="2"/>
        <v>10.105</v>
      </c>
      <c r="G220" s="17">
        <v>310.46</v>
      </c>
      <c r="H220" s="18">
        <v>0.15</v>
      </c>
      <c r="I220" s="16">
        <f t="shared" si="9"/>
        <v>70.5</v>
      </c>
      <c r="J220" s="16"/>
      <c r="K220" s="16">
        <f t="shared" si="4"/>
        <v>46.505</v>
      </c>
      <c r="L220" s="19">
        <f t="shared" si="5"/>
        <v>0.1497938543</v>
      </c>
      <c r="M220" s="16">
        <f t="shared" si="6"/>
        <v>356.965</v>
      </c>
      <c r="N220" s="20"/>
    </row>
    <row r="221">
      <c r="A221" s="30"/>
      <c r="B221" s="30" t="s">
        <v>434</v>
      </c>
      <c r="C221" s="15" t="s">
        <v>435</v>
      </c>
      <c r="D221" s="16">
        <v>1329.0</v>
      </c>
      <c r="E221" s="16">
        <f t="shared" si="1"/>
        <v>91.701</v>
      </c>
      <c r="F221" s="16">
        <f t="shared" si="2"/>
        <v>28.5735</v>
      </c>
      <c r="G221" s="17">
        <v>954.25</v>
      </c>
      <c r="H221" s="18">
        <v>0.1</v>
      </c>
      <c r="I221" s="16">
        <f t="shared" si="9"/>
        <v>132.9</v>
      </c>
      <c r="J221" s="16">
        <v>66.5</v>
      </c>
      <c r="K221" s="16">
        <f t="shared" si="4"/>
        <v>55.0755</v>
      </c>
      <c r="L221" s="19">
        <f t="shared" si="5"/>
        <v>0.05771600734</v>
      </c>
      <c r="M221" s="16">
        <f t="shared" si="6"/>
        <v>1009.3255</v>
      </c>
      <c r="N221" s="20"/>
    </row>
    <row r="222">
      <c r="A222" s="30"/>
      <c r="B222" s="30" t="s">
        <v>436</v>
      </c>
      <c r="C222" s="15" t="s">
        <v>437</v>
      </c>
      <c r="D222" s="16">
        <v>1938.0</v>
      </c>
      <c r="E222" s="16">
        <f t="shared" si="1"/>
        <v>133.722</v>
      </c>
      <c r="F222" s="16">
        <f t="shared" si="2"/>
        <v>41.667</v>
      </c>
      <c r="G222" s="17">
        <v>1509.38</v>
      </c>
      <c r="H222" s="18">
        <v>0.1</v>
      </c>
      <c r="I222" s="16">
        <f t="shared" si="9"/>
        <v>193.8</v>
      </c>
      <c r="J222" s="16">
        <v>72.5</v>
      </c>
      <c r="K222" s="16">
        <f t="shared" si="4"/>
        <v>-13.069</v>
      </c>
      <c r="L222" s="19">
        <f t="shared" si="5"/>
        <v>-0.008658522042</v>
      </c>
      <c r="M222" s="16">
        <f t="shared" si="6"/>
        <v>1496.311</v>
      </c>
      <c r="N222" s="20"/>
    </row>
    <row r="223">
      <c r="A223" s="30"/>
      <c r="B223" s="30" t="s">
        <v>438</v>
      </c>
      <c r="C223" s="15" t="s">
        <v>439</v>
      </c>
      <c r="D223" s="16">
        <v>2138.0</v>
      </c>
      <c r="E223" s="16">
        <f t="shared" si="1"/>
        <v>147.522</v>
      </c>
      <c r="F223" s="16">
        <f t="shared" si="2"/>
        <v>45.967</v>
      </c>
      <c r="G223" s="17">
        <v>1469.16</v>
      </c>
      <c r="H223" s="18">
        <v>0.1</v>
      </c>
      <c r="I223" s="16">
        <f t="shared" si="9"/>
        <v>213.8</v>
      </c>
      <c r="J223" s="16">
        <v>163.0</v>
      </c>
      <c r="K223" s="16">
        <f t="shared" si="4"/>
        <v>98.551</v>
      </c>
      <c r="L223" s="19">
        <f t="shared" si="5"/>
        <v>0.06707982793</v>
      </c>
      <c r="M223" s="16">
        <f t="shared" si="6"/>
        <v>1567.711</v>
      </c>
      <c r="N223" s="20"/>
    </row>
    <row r="224">
      <c r="A224" s="30"/>
      <c r="B224" s="30" t="s">
        <v>440</v>
      </c>
      <c r="C224" s="15" t="s">
        <v>441</v>
      </c>
      <c r="D224" s="29">
        <v>1099.0</v>
      </c>
      <c r="E224" s="16">
        <f t="shared" si="1"/>
        <v>75.831</v>
      </c>
      <c r="F224" s="16">
        <f t="shared" si="2"/>
        <v>23.6285</v>
      </c>
      <c r="G224" s="32">
        <v>857.67</v>
      </c>
      <c r="H224" s="18">
        <v>0.1</v>
      </c>
      <c r="I224" s="16">
        <f t="shared" si="9"/>
        <v>109.9</v>
      </c>
      <c r="J224" s="29">
        <v>65.0</v>
      </c>
      <c r="K224" s="16">
        <f t="shared" si="4"/>
        <v>-33.0295</v>
      </c>
      <c r="L224" s="19">
        <f t="shared" si="5"/>
        <v>-0.03851073257</v>
      </c>
      <c r="M224" s="16">
        <f t="shared" si="6"/>
        <v>824.6405</v>
      </c>
      <c r="N224" s="20"/>
    </row>
    <row r="225">
      <c r="A225" s="30"/>
      <c r="B225" s="30" t="s">
        <v>442</v>
      </c>
      <c r="C225" s="15" t="s">
        <v>443</v>
      </c>
      <c r="D225" s="16">
        <v>499.0</v>
      </c>
      <c r="E225" s="16">
        <f t="shared" si="1"/>
        <v>34.431</v>
      </c>
      <c r="F225" s="16">
        <f t="shared" si="2"/>
        <v>10.7285</v>
      </c>
      <c r="G225" s="32">
        <v>260.0</v>
      </c>
      <c r="H225" s="18">
        <v>0.1</v>
      </c>
      <c r="I225" s="16">
        <f t="shared" si="9"/>
        <v>49.9</v>
      </c>
      <c r="J225" s="16">
        <v>72.5</v>
      </c>
      <c r="K225" s="16">
        <f t="shared" si="4"/>
        <v>71.4405</v>
      </c>
      <c r="L225" s="19">
        <f t="shared" si="5"/>
        <v>0.2747711538</v>
      </c>
      <c r="M225" s="16">
        <f t="shared" si="6"/>
        <v>331.4405</v>
      </c>
      <c r="N225" s="20"/>
    </row>
    <row r="226">
      <c r="A226" s="30"/>
      <c r="B226" s="30" t="s">
        <v>444</v>
      </c>
      <c r="C226" s="15" t="s">
        <v>445</v>
      </c>
      <c r="D226" s="16">
        <v>1899.0</v>
      </c>
      <c r="E226" s="16">
        <f t="shared" si="1"/>
        <v>131.031</v>
      </c>
      <c r="F226" s="16">
        <f t="shared" si="2"/>
        <v>40.8285</v>
      </c>
      <c r="G226" s="17">
        <v>1000.0</v>
      </c>
      <c r="H226" s="18">
        <v>0.1</v>
      </c>
      <c r="I226" s="16">
        <f t="shared" si="9"/>
        <v>189.9</v>
      </c>
      <c r="J226" s="16">
        <v>91.0</v>
      </c>
      <c r="K226" s="16">
        <f t="shared" si="4"/>
        <v>446.2405</v>
      </c>
      <c r="L226" s="19">
        <f t="shared" si="5"/>
        <v>0.4462405</v>
      </c>
      <c r="M226" s="16">
        <f t="shared" si="6"/>
        <v>1446.2405</v>
      </c>
      <c r="N226" s="20"/>
    </row>
    <row r="227">
      <c r="A227" s="34"/>
      <c r="B227" s="30" t="s">
        <v>446</v>
      </c>
      <c r="C227" s="15" t="s">
        <v>447</v>
      </c>
      <c r="D227" s="29">
        <v>469.0</v>
      </c>
      <c r="E227" s="16">
        <f t="shared" si="1"/>
        <v>32.361</v>
      </c>
      <c r="F227" s="16">
        <f t="shared" si="2"/>
        <v>10.0835</v>
      </c>
      <c r="G227" s="32">
        <v>262.96</v>
      </c>
      <c r="H227" s="18">
        <v>0.15</v>
      </c>
      <c r="I227" s="16">
        <f t="shared" si="9"/>
        <v>70.35</v>
      </c>
      <c r="J227" s="29">
        <v>52.4</v>
      </c>
      <c r="K227" s="16">
        <f t="shared" si="4"/>
        <v>40.8455</v>
      </c>
      <c r="L227" s="19">
        <f t="shared" si="5"/>
        <v>0.1553297079</v>
      </c>
      <c r="M227" s="16">
        <f t="shared" si="6"/>
        <v>303.8055</v>
      </c>
      <c r="N227" s="20" t="s">
        <v>237</v>
      </c>
    </row>
    <row r="228">
      <c r="A228" s="34"/>
      <c r="B228" s="34" t="s">
        <v>448</v>
      </c>
      <c r="C228" s="15" t="s">
        <v>447</v>
      </c>
      <c r="D228" s="29">
        <v>426.0</v>
      </c>
      <c r="E228" s="16">
        <f t="shared" si="1"/>
        <v>29.394</v>
      </c>
      <c r="F228" s="16">
        <f t="shared" si="2"/>
        <v>9.159</v>
      </c>
      <c r="G228" s="32">
        <v>262.96</v>
      </c>
      <c r="H228" s="18">
        <v>0.15</v>
      </c>
      <c r="I228" s="16">
        <f t="shared" si="9"/>
        <v>63.9</v>
      </c>
      <c r="J228" s="29">
        <v>65.0</v>
      </c>
      <c r="K228" s="16">
        <f t="shared" si="4"/>
        <v>-4.413</v>
      </c>
      <c r="L228" s="19">
        <f t="shared" si="5"/>
        <v>-0.01678202008</v>
      </c>
      <c r="M228" s="16">
        <f t="shared" si="6"/>
        <v>258.547</v>
      </c>
      <c r="N228" s="20"/>
    </row>
    <row r="229">
      <c r="A229" s="30"/>
      <c r="B229" s="30" t="s">
        <v>449</v>
      </c>
      <c r="C229" s="15" t="s">
        <v>450</v>
      </c>
      <c r="D229" s="16">
        <v>299.0</v>
      </c>
      <c r="E229" s="16">
        <f t="shared" si="1"/>
        <v>20.631</v>
      </c>
      <c r="F229" s="16">
        <f t="shared" si="2"/>
        <v>6.4285</v>
      </c>
      <c r="G229" s="17">
        <v>134.36</v>
      </c>
      <c r="H229" s="18">
        <v>0.1</v>
      </c>
      <c r="I229" s="16">
        <f t="shared" si="9"/>
        <v>29.9</v>
      </c>
      <c r="J229" s="16">
        <v>72.0</v>
      </c>
      <c r="K229" s="16">
        <f t="shared" si="4"/>
        <v>35.6805</v>
      </c>
      <c r="L229" s="19">
        <f t="shared" si="5"/>
        <v>0.2655589461</v>
      </c>
      <c r="M229" s="16">
        <f t="shared" si="6"/>
        <v>170.0405</v>
      </c>
      <c r="N229" s="20"/>
    </row>
    <row r="230">
      <c r="A230" s="30"/>
      <c r="B230" s="30" t="s">
        <v>451</v>
      </c>
      <c r="C230" s="15" t="s">
        <v>452</v>
      </c>
      <c r="D230" s="16">
        <v>1503.0</v>
      </c>
      <c r="E230" s="16">
        <f t="shared" si="1"/>
        <v>103.707</v>
      </c>
      <c r="F230" s="16">
        <f t="shared" si="2"/>
        <v>32.3145</v>
      </c>
      <c r="G230" s="17">
        <v>1137.93</v>
      </c>
      <c r="H230" s="18">
        <v>0.1</v>
      </c>
      <c r="I230" s="16">
        <f t="shared" si="9"/>
        <v>150.3</v>
      </c>
      <c r="J230" s="16">
        <v>95.0</v>
      </c>
      <c r="K230" s="16">
        <f t="shared" si="4"/>
        <v>-16.2515</v>
      </c>
      <c r="L230" s="19">
        <f t="shared" si="5"/>
        <v>-0.0142816342</v>
      </c>
      <c r="M230" s="16">
        <f t="shared" si="6"/>
        <v>1121.6785</v>
      </c>
      <c r="N230" s="20"/>
    </row>
    <row r="231">
      <c r="A231" s="30"/>
      <c r="B231" s="30" t="s">
        <v>453</v>
      </c>
      <c r="C231" s="15" t="s">
        <v>454</v>
      </c>
      <c r="D231" s="16">
        <v>971.0</v>
      </c>
      <c r="E231" s="16">
        <f t="shared" si="1"/>
        <v>66.999</v>
      </c>
      <c r="F231" s="16">
        <f t="shared" si="2"/>
        <v>20.8765</v>
      </c>
      <c r="G231" s="17">
        <v>713.23</v>
      </c>
      <c r="H231" s="18">
        <v>0.1</v>
      </c>
      <c r="I231" s="16">
        <f t="shared" si="9"/>
        <v>97.1</v>
      </c>
      <c r="J231" s="16">
        <v>60.0</v>
      </c>
      <c r="K231" s="16">
        <f t="shared" si="4"/>
        <v>12.7945</v>
      </c>
      <c r="L231" s="19">
        <f t="shared" si="5"/>
        <v>0.01793881357</v>
      </c>
      <c r="M231" s="16">
        <f t="shared" si="6"/>
        <v>726.0245</v>
      </c>
      <c r="N231" s="20"/>
    </row>
    <row r="232">
      <c r="A232" s="30"/>
      <c r="B232" s="30" t="s">
        <v>455</v>
      </c>
      <c r="C232" s="15" t="s">
        <v>456</v>
      </c>
      <c r="D232" s="29">
        <v>1002.0</v>
      </c>
      <c r="E232" s="16">
        <f t="shared" si="1"/>
        <v>69.138</v>
      </c>
      <c r="F232" s="16">
        <f t="shared" si="2"/>
        <v>21.543</v>
      </c>
      <c r="G232" s="17">
        <v>845.58</v>
      </c>
      <c r="H232" s="18">
        <v>0.1</v>
      </c>
      <c r="I232" s="16">
        <f t="shared" si="9"/>
        <v>100.2</v>
      </c>
      <c r="J232" s="16">
        <v>62.5</v>
      </c>
      <c r="K232" s="16">
        <f t="shared" si="4"/>
        <v>-96.961</v>
      </c>
      <c r="L232" s="19">
        <f t="shared" si="5"/>
        <v>-0.1146680385</v>
      </c>
      <c r="M232" s="16">
        <f t="shared" si="6"/>
        <v>748.619</v>
      </c>
      <c r="N232" s="20"/>
    </row>
    <row r="233">
      <c r="A233" s="30"/>
      <c r="B233" s="30" t="s">
        <v>457</v>
      </c>
      <c r="C233" s="15" t="s">
        <v>458</v>
      </c>
      <c r="D233" s="16">
        <v>1299.0</v>
      </c>
      <c r="E233" s="16">
        <f t="shared" si="1"/>
        <v>89.631</v>
      </c>
      <c r="F233" s="16">
        <f t="shared" si="2"/>
        <v>27.9285</v>
      </c>
      <c r="G233" s="17">
        <v>871.67</v>
      </c>
      <c r="H233" s="18">
        <v>0.1</v>
      </c>
      <c r="I233" s="16">
        <f t="shared" si="9"/>
        <v>129.9</v>
      </c>
      <c r="J233" s="16">
        <v>91.5</v>
      </c>
      <c r="K233" s="16">
        <f t="shared" si="4"/>
        <v>88.3705</v>
      </c>
      <c r="L233" s="19">
        <f t="shared" si="5"/>
        <v>0.1013806831</v>
      </c>
      <c r="M233" s="16">
        <f t="shared" si="6"/>
        <v>960.0405</v>
      </c>
      <c r="N233" s="20"/>
    </row>
    <row r="234">
      <c r="A234" s="30"/>
      <c r="B234" s="30" t="s">
        <v>459</v>
      </c>
      <c r="C234" s="15" t="s">
        <v>460</v>
      </c>
      <c r="D234" s="16">
        <v>785.0</v>
      </c>
      <c r="E234" s="16">
        <f t="shared" si="1"/>
        <v>54.165</v>
      </c>
      <c r="F234" s="16">
        <f t="shared" si="2"/>
        <v>16.8775</v>
      </c>
      <c r="G234" s="17">
        <v>585.6</v>
      </c>
      <c r="H234" s="18">
        <v>0.1</v>
      </c>
      <c r="I234" s="16">
        <f t="shared" si="9"/>
        <v>78.5</v>
      </c>
      <c r="J234" s="16">
        <v>95.0</v>
      </c>
      <c r="K234" s="16">
        <f t="shared" si="4"/>
        <v>-45.1425</v>
      </c>
      <c r="L234" s="19">
        <f t="shared" si="5"/>
        <v>-0.07708760246</v>
      </c>
      <c r="M234" s="16">
        <f t="shared" si="6"/>
        <v>540.4575</v>
      </c>
      <c r="N234" s="20"/>
    </row>
    <row r="235">
      <c r="A235" s="30"/>
      <c r="B235" s="30" t="s">
        <v>461</v>
      </c>
      <c r="C235" s="15" t="s">
        <v>462</v>
      </c>
      <c r="D235" s="16">
        <v>2529.0</v>
      </c>
      <c r="E235" s="16">
        <f t="shared" si="1"/>
        <v>174.501</v>
      </c>
      <c r="F235" s="16">
        <f t="shared" si="2"/>
        <v>54.3735</v>
      </c>
      <c r="G235" s="17">
        <v>2145.47</v>
      </c>
      <c r="H235" s="18">
        <v>0.1</v>
      </c>
      <c r="I235" s="16">
        <f t="shared" si="9"/>
        <v>252.9</v>
      </c>
      <c r="J235" s="16">
        <v>110.0</v>
      </c>
      <c r="K235" s="16">
        <f t="shared" si="4"/>
        <v>-208.2445</v>
      </c>
      <c r="L235" s="19">
        <f t="shared" si="5"/>
        <v>-0.09706241523</v>
      </c>
      <c r="M235" s="16">
        <f t="shared" si="6"/>
        <v>1937.2255</v>
      </c>
      <c r="N235" s="20"/>
    </row>
    <row r="236">
      <c r="A236" s="30"/>
      <c r="B236" s="30" t="s">
        <v>463</v>
      </c>
      <c r="C236" s="15" t="s">
        <v>464</v>
      </c>
      <c r="D236" s="16">
        <v>1343.0</v>
      </c>
      <c r="E236" s="16">
        <f t="shared" si="1"/>
        <v>92.667</v>
      </c>
      <c r="F236" s="16">
        <f t="shared" si="2"/>
        <v>28.8745</v>
      </c>
      <c r="G236" s="17">
        <v>996.3</v>
      </c>
      <c r="H236" s="18">
        <v>0.1</v>
      </c>
      <c r="I236" s="16">
        <f t="shared" si="9"/>
        <v>134.3</v>
      </c>
      <c r="J236" s="16">
        <v>60.0</v>
      </c>
      <c r="K236" s="16">
        <f t="shared" si="4"/>
        <v>30.8585</v>
      </c>
      <c r="L236" s="19">
        <f t="shared" si="5"/>
        <v>0.03097310047</v>
      </c>
      <c r="M236" s="16">
        <f t="shared" si="6"/>
        <v>1027.1585</v>
      </c>
      <c r="N236" s="20"/>
    </row>
    <row r="237">
      <c r="A237" s="30"/>
      <c r="B237" s="30" t="s">
        <v>465</v>
      </c>
      <c r="C237" s="15" t="s">
        <v>466</v>
      </c>
      <c r="D237" s="16">
        <v>514.0</v>
      </c>
      <c r="E237" s="16">
        <f t="shared" si="1"/>
        <v>35.466</v>
      </c>
      <c r="F237" s="16">
        <f t="shared" si="2"/>
        <v>11.051</v>
      </c>
      <c r="G237" s="17">
        <v>341.42</v>
      </c>
      <c r="H237" s="18">
        <v>0.1</v>
      </c>
      <c r="I237" s="16">
        <f t="shared" si="9"/>
        <v>51.4</v>
      </c>
      <c r="J237" s="16">
        <v>86.0</v>
      </c>
      <c r="K237" s="16">
        <f t="shared" si="4"/>
        <v>-11.337</v>
      </c>
      <c r="L237" s="19">
        <f t="shared" si="5"/>
        <v>-0.03320543612</v>
      </c>
      <c r="M237" s="16">
        <f t="shared" si="6"/>
        <v>330.083</v>
      </c>
      <c r="N237" s="20"/>
    </row>
    <row r="238">
      <c r="A238" s="30"/>
      <c r="B238" s="30" t="s">
        <v>467</v>
      </c>
      <c r="C238" s="15" t="s">
        <v>468</v>
      </c>
      <c r="D238" s="16">
        <v>629.0</v>
      </c>
      <c r="E238" s="16">
        <f t="shared" si="1"/>
        <v>43.401</v>
      </c>
      <c r="F238" s="16">
        <f t="shared" si="2"/>
        <v>13.5235</v>
      </c>
      <c r="G238" s="17">
        <v>426.72</v>
      </c>
      <c r="H238" s="18">
        <v>0.1</v>
      </c>
      <c r="I238" s="16">
        <f t="shared" si="9"/>
        <v>62.9</v>
      </c>
      <c r="J238" s="16">
        <v>86.0</v>
      </c>
      <c r="K238" s="16">
        <f t="shared" si="4"/>
        <v>-3.5445</v>
      </c>
      <c r="L238" s="19">
        <f t="shared" si="5"/>
        <v>-0.008306383577</v>
      </c>
      <c r="M238" s="16">
        <f t="shared" si="6"/>
        <v>423.1755</v>
      </c>
      <c r="N238" s="20"/>
    </row>
    <row r="239">
      <c r="A239" s="30"/>
      <c r="B239" s="30" t="s">
        <v>469</v>
      </c>
      <c r="C239" s="15" t="s">
        <v>470</v>
      </c>
      <c r="D239" s="29">
        <v>827.0</v>
      </c>
      <c r="E239" s="16">
        <f t="shared" si="1"/>
        <v>57.063</v>
      </c>
      <c r="F239" s="16">
        <f t="shared" si="2"/>
        <v>17.7805</v>
      </c>
      <c r="G239" s="32">
        <v>836.04</v>
      </c>
      <c r="H239" s="18">
        <v>0.1</v>
      </c>
      <c r="I239" s="16">
        <f t="shared" si="9"/>
        <v>82.7</v>
      </c>
      <c r="J239" s="29">
        <v>65.0</v>
      </c>
      <c r="K239" s="16">
        <f t="shared" si="4"/>
        <v>-231.5835</v>
      </c>
      <c r="L239" s="19">
        <f t="shared" si="5"/>
        <v>-0.2770005024</v>
      </c>
      <c r="M239" s="16">
        <f t="shared" si="6"/>
        <v>604.4565</v>
      </c>
      <c r="N239" s="20"/>
    </row>
    <row r="240">
      <c r="A240" s="30"/>
      <c r="B240" s="30" t="s">
        <v>471</v>
      </c>
      <c r="C240" s="15" t="s">
        <v>472</v>
      </c>
      <c r="D240" s="16">
        <v>827.0</v>
      </c>
      <c r="E240" s="16">
        <f t="shared" si="1"/>
        <v>57.063</v>
      </c>
      <c r="F240" s="16">
        <f t="shared" si="2"/>
        <v>17.7805</v>
      </c>
      <c r="G240" s="17">
        <v>513.16</v>
      </c>
      <c r="H240" s="18">
        <v>0.1</v>
      </c>
      <c r="I240" s="16">
        <f t="shared" si="9"/>
        <v>82.7</v>
      </c>
      <c r="J240" s="16">
        <v>91.5</v>
      </c>
      <c r="K240" s="16">
        <f t="shared" si="4"/>
        <v>64.7965</v>
      </c>
      <c r="L240" s="19">
        <f t="shared" si="5"/>
        <v>0.1262695845</v>
      </c>
      <c r="M240" s="16">
        <f t="shared" si="6"/>
        <v>577.9565</v>
      </c>
      <c r="N240" s="20"/>
    </row>
    <row r="241">
      <c r="A241" s="30"/>
      <c r="B241" s="30" t="s">
        <v>473</v>
      </c>
      <c r="C241" s="15" t="s">
        <v>474</v>
      </c>
      <c r="D241" s="16">
        <v>1559.0</v>
      </c>
      <c r="E241" s="16">
        <f t="shared" si="1"/>
        <v>107.571</v>
      </c>
      <c r="F241" s="16">
        <f t="shared" si="2"/>
        <v>33.5185</v>
      </c>
      <c r="G241" s="17">
        <v>1044.0</v>
      </c>
      <c r="H241" s="18">
        <v>0.1</v>
      </c>
      <c r="I241" s="16">
        <f t="shared" si="9"/>
        <v>155.9</v>
      </c>
      <c r="J241" s="16">
        <v>72.5</v>
      </c>
      <c r="K241" s="16">
        <f t="shared" si="4"/>
        <v>145.5105</v>
      </c>
      <c r="L241" s="19">
        <f t="shared" si="5"/>
        <v>0.1393778736</v>
      </c>
      <c r="M241" s="16">
        <f t="shared" si="6"/>
        <v>1189.5105</v>
      </c>
      <c r="N241" s="20"/>
    </row>
    <row r="242">
      <c r="A242" s="30"/>
      <c r="B242" s="30"/>
      <c r="C242" s="15"/>
      <c r="D242" s="16"/>
      <c r="E242" s="16">
        <f t="shared" si="1"/>
        <v>0</v>
      </c>
      <c r="F242" s="16">
        <f t="shared" si="2"/>
        <v>0</v>
      </c>
      <c r="G242" s="17"/>
      <c r="H242" s="18">
        <v>0.1</v>
      </c>
      <c r="I242" s="16">
        <f t="shared" si="9"/>
        <v>0</v>
      </c>
      <c r="J242" s="16"/>
      <c r="K242" s="16">
        <f t="shared" si="4"/>
        <v>0</v>
      </c>
      <c r="L242" s="19" t="str">
        <f t="shared" si="5"/>
        <v>#DIV/0!</v>
      </c>
      <c r="M242" s="16">
        <f t="shared" si="6"/>
        <v>0</v>
      </c>
      <c r="N242" s="20"/>
    </row>
    <row r="243">
      <c r="A243" s="30"/>
      <c r="B243" s="30"/>
      <c r="C243" s="15"/>
      <c r="D243" s="16"/>
      <c r="E243" s="16">
        <f t="shared" si="1"/>
        <v>0</v>
      </c>
      <c r="F243" s="16">
        <f t="shared" si="2"/>
        <v>0</v>
      </c>
      <c r="G243" s="17"/>
      <c r="H243" s="18">
        <v>0.1</v>
      </c>
      <c r="I243" s="16">
        <f t="shared" si="9"/>
        <v>0</v>
      </c>
      <c r="J243" s="16"/>
      <c r="K243" s="16">
        <f t="shared" si="4"/>
        <v>0</v>
      </c>
      <c r="L243" s="19" t="str">
        <f t="shared" si="5"/>
        <v>#DIV/0!</v>
      </c>
      <c r="M243" s="16">
        <f t="shared" si="6"/>
        <v>0</v>
      </c>
      <c r="N243" s="20"/>
    </row>
    <row r="244">
      <c r="A244" s="30"/>
      <c r="B244" s="30" t="s">
        <v>475</v>
      </c>
      <c r="C244" s="15" t="s">
        <v>476</v>
      </c>
      <c r="D244" s="16">
        <v>839.0</v>
      </c>
      <c r="E244" s="16">
        <f t="shared" si="1"/>
        <v>57.891</v>
      </c>
      <c r="F244" s="16">
        <f t="shared" si="2"/>
        <v>18.0385</v>
      </c>
      <c r="G244" s="17">
        <v>513.16</v>
      </c>
      <c r="H244" s="18">
        <v>0.1</v>
      </c>
      <c r="I244" s="16">
        <f t="shared" si="9"/>
        <v>83.9</v>
      </c>
      <c r="J244" s="16">
        <v>91.5</v>
      </c>
      <c r="K244" s="16">
        <f t="shared" si="4"/>
        <v>74.5105</v>
      </c>
      <c r="L244" s="19">
        <f t="shared" si="5"/>
        <v>0.145199353</v>
      </c>
      <c r="M244" s="16">
        <f t="shared" si="6"/>
        <v>587.6705</v>
      </c>
      <c r="N244" s="20"/>
    </row>
    <row r="245">
      <c r="A245" s="30"/>
      <c r="B245" s="30" t="s">
        <v>294</v>
      </c>
      <c r="C245" s="15" t="s">
        <v>295</v>
      </c>
      <c r="D245" s="16">
        <v>850.0</v>
      </c>
      <c r="E245" s="16">
        <f t="shared" si="1"/>
        <v>58.65</v>
      </c>
      <c r="F245" s="16">
        <f t="shared" si="2"/>
        <v>18.275</v>
      </c>
      <c r="G245" s="17">
        <v>513.16</v>
      </c>
      <c r="H245" s="18">
        <v>0.1</v>
      </c>
      <c r="I245" s="16">
        <f t="shared" si="9"/>
        <v>85</v>
      </c>
      <c r="J245" s="16">
        <v>91.5</v>
      </c>
      <c r="K245" s="16">
        <f t="shared" si="4"/>
        <v>83.415</v>
      </c>
      <c r="L245" s="19">
        <f t="shared" si="5"/>
        <v>0.1625516408</v>
      </c>
      <c r="M245" s="16">
        <f t="shared" si="6"/>
        <v>596.575</v>
      </c>
      <c r="N245" s="20"/>
    </row>
    <row r="246">
      <c r="A246" s="30"/>
      <c r="B246" s="30" t="s">
        <v>477</v>
      </c>
      <c r="C246" s="15" t="s">
        <v>478</v>
      </c>
      <c r="D246" s="16">
        <v>2919.0</v>
      </c>
      <c r="E246" s="16">
        <f t="shared" si="1"/>
        <v>201.411</v>
      </c>
      <c r="F246" s="16">
        <f t="shared" si="2"/>
        <v>62.7585</v>
      </c>
      <c r="G246" s="17">
        <v>1531.42</v>
      </c>
      <c r="H246" s="18">
        <v>0.1</v>
      </c>
      <c r="I246" s="16">
        <f t="shared" si="9"/>
        <v>291.9</v>
      </c>
      <c r="J246" s="16">
        <v>72.0</v>
      </c>
      <c r="K246" s="16">
        <f t="shared" si="4"/>
        <v>759.5105</v>
      </c>
      <c r="L246" s="19">
        <f t="shared" si="5"/>
        <v>0.4959517964</v>
      </c>
      <c r="M246" s="16">
        <f t="shared" si="6"/>
        <v>2290.9305</v>
      </c>
      <c r="N246" s="20"/>
    </row>
    <row r="247">
      <c r="A247" s="30"/>
      <c r="B247" s="30" t="s">
        <v>479</v>
      </c>
      <c r="C247" s="15"/>
      <c r="D247" s="16">
        <v>3899.0</v>
      </c>
      <c r="E247" s="16">
        <f t="shared" si="1"/>
        <v>269.031</v>
      </c>
      <c r="F247" s="16">
        <f t="shared" si="2"/>
        <v>83.8285</v>
      </c>
      <c r="G247" s="17">
        <v>3032.51</v>
      </c>
      <c r="H247" s="18">
        <v>0.1</v>
      </c>
      <c r="I247" s="16">
        <f t="shared" si="9"/>
        <v>389.9</v>
      </c>
      <c r="J247" s="16"/>
      <c r="K247" s="16">
        <f t="shared" si="4"/>
        <v>123.7305</v>
      </c>
      <c r="L247" s="19">
        <f t="shared" si="5"/>
        <v>0.04080134938</v>
      </c>
      <c r="M247" s="16">
        <f t="shared" si="6"/>
        <v>3156.2405</v>
      </c>
      <c r="N247" s="20"/>
    </row>
    <row r="248">
      <c r="A248" s="30"/>
      <c r="B248" s="30"/>
      <c r="C248" s="15" t="s">
        <v>480</v>
      </c>
      <c r="D248" s="16">
        <v>1999.0</v>
      </c>
      <c r="E248" s="16">
        <f t="shared" si="1"/>
        <v>137.931</v>
      </c>
      <c r="F248" s="16">
        <f t="shared" si="2"/>
        <v>42.9785</v>
      </c>
      <c r="G248" s="17">
        <v>1431.78</v>
      </c>
      <c r="H248" s="18">
        <v>0.1</v>
      </c>
      <c r="I248" s="16">
        <f t="shared" si="9"/>
        <v>199.9</v>
      </c>
      <c r="J248" s="16"/>
      <c r="K248" s="16">
        <f t="shared" si="4"/>
        <v>186.4105</v>
      </c>
      <c r="L248" s="19">
        <f t="shared" si="5"/>
        <v>0.1301949322</v>
      </c>
      <c r="M248" s="16">
        <f t="shared" si="6"/>
        <v>1618.1905</v>
      </c>
      <c r="N248" s="20"/>
    </row>
    <row r="249">
      <c r="A249" s="30"/>
      <c r="B249" s="30" t="s">
        <v>481</v>
      </c>
      <c r="C249" s="15" t="s">
        <v>482</v>
      </c>
      <c r="D249" s="16">
        <v>3799.0</v>
      </c>
      <c r="E249" s="16">
        <f t="shared" si="1"/>
        <v>262.131</v>
      </c>
      <c r="F249" s="16">
        <f t="shared" si="2"/>
        <v>81.6785</v>
      </c>
      <c r="G249" s="17">
        <v>2906.53</v>
      </c>
      <c r="H249" s="18">
        <v>0.145</v>
      </c>
      <c r="I249" s="16">
        <f t="shared" si="9"/>
        <v>550.855</v>
      </c>
      <c r="J249" s="29">
        <v>62.0</v>
      </c>
      <c r="K249" s="16">
        <f t="shared" si="4"/>
        <v>-64.1945</v>
      </c>
      <c r="L249" s="19">
        <f t="shared" si="5"/>
        <v>-0.02208630222</v>
      </c>
      <c r="M249" s="16">
        <f t="shared" si="6"/>
        <v>2842.3355</v>
      </c>
      <c r="N249" s="20"/>
    </row>
    <row r="250">
      <c r="A250" s="30"/>
      <c r="B250" s="30" t="s">
        <v>483</v>
      </c>
      <c r="C250" s="15" t="s">
        <v>484</v>
      </c>
      <c r="D250" s="29">
        <v>489.0</v>
      </c>
      <c r="E250" s="16">
        <f t="shared" si="1"/>
        <v>33.741</v>
      </c>
      <c r="F250" s="16">
        <f t="shared" si="2"/>
        <v>10.5135</v>
      </c>
      <c r="G250" s="32">
        <v>238.0</v>
      </c>
      <c r="H250" s="18">
        <v>0.15</v>
      </c>
      <c r="I250" s="16">
        <f t="shared" si="9"/>
        <v>73.35</v>
      </c>
      <c r="J250" s="16">
        <v>91.5</v>
      </c>
      <c r="K250" s="16">
        <f t="shared" si="4"/>
        <v>41.8955</v>
      </c>
      <c r="L250" s="19">
        <f t="shared" si="5"/>
        <v>0.1760315126</v>
      </c>
      <c r="M250" s="16">
        <f t="shared" si="6"/>
        <v>279.8955</v>
      </c>
      <c r="N250" s="20"/>
    </row>
    <row r="251">
      <c r="A251" s="30"/>
      <c r="B251" s="30"/>
      <c r="C251" s="15" t="s">
        <v>485</v>
      </c>
      <c r="D251" s="16">
        <v>659.0</v>
      </c>
      <c r="E251" s="16">
        <f t="shared" si="1"/>
        <v>45.471</v>
      </c>
      <c r="F251" s="16">
        <f t="shared" si="2"/>
        <v>14.1685</v>
      </c>
      <c r="G251" s="17">
        <v>436.19</v>
      </c>
      <c r="H251" s="18">
        <v>0.1</v>
      </c>
      <c r="I251" s="16">
        <f t="shared" si="9"/>
        <v>65.9</v>
      </c>
      <c r="J251" s="16">
        <v>86.0</v>
      </c>
      <c r="K251" s="16">
        <f t="shared" si="4"/>
        <v>11.2705</v>
      </c>
      <c r="L251" s="19">
        <f t="shared" si="5"/>
        <v>0.02583851074</v>
      </c>
      <c r="M251" s="16">
        <f t="shared" si="6"/>
        <v>447.4605</v>
      </c>
      <c r="N251" s="20"/>
    </row>
    <row r="252">
      <c r="A252" s="30"/>
      <c r="B252" s="30" t="s">
        <v>486</v>
      </c>
      <c r="C252" s="15" t="s">
        <v>487</v>
      </c>
      <c r="D252" s="16">
        <v>604.0</v>
      </c>
      <c r="E252" s="16">
        <f t="shared" si="1"/>
        <v>41.676</v>
      </c>
      <c r="F252" s="16">
        <f t="shared" si="2"/>
        <v>12.986</v>
      </c>
      <c r="G252" s="17">
        <v>426.72</v>
      </c>
      <c r="H252" s="18">
        <v>0.1</v>
      </c>
      <c r="I252" s="16">
        <f t="shared" si="9"/>
        <v>60.4</v>
      </c>
      <c r="J252" s="16">
        <v>66.5</v>
      </c>
      <c r="K252" s="16">
        <f t="shared" si="4"/>
        <v>-4.282</v>
      </c>
      <c r="L252" s="19">
        <f t="shared" si="5"/>
        <v>-0.01003468316</v>
      </c>
      <c r="M252" s="16">
        <f t="shared" si="6"/>
        <v>422.438</v>
      </c>
      <c r="N252" s="20"/>
    </row>
    <row r="253">
      <c r="A253" s="30"/>
      <c r="B253" s="30" t="s">
        <v>488</v>
      </c>
      <c r="C253" s="15" t="s">
        <v>489</v>
      </c>
      <c r="D253" s="16">
        <v>3999.0</v>
      </c>
      <c r="E253" s="16">
        <f t="shared" si="1"/>
        <v>275.931</v>
      </c>
      <c r="F253" s="16">
        <f t="shared" si="2"/>
        <v>85.9785</v>
      </c>
      <c r="G253" s="17">
        <v>4010.47</v>
      </c>
      <c r="H253" s="18">
        <v>0.195</v>
      </c>
      <c r="I253" s="16">
        <f t="shared" si="9"/>
        <v>779.805</v>
      </c>
      <c r="J253" s="29">
        <v>91.0</v>
      </c>
      <c r="K253" s="16">
        <f t="shared" si="4"/>
        <v>-1244.1845</v>
      </c>
      <c r="L253" s="19">
        <f t="shared" si="5"/>
        <v>-0.3102340873</v>
      </c>
      <c r="M253" s="16">
        <f t="shared" si="6"/>
        <v>2766.2855</v>
      </c>
      <c r="N253" s="20"/>
    </row>
    <row r="254">
      <c r="A254" s="30"/>
      <c r="B254" s="30" t="s">
        <v>490</v>
      </c>
      <c r="C254" s="15" t="s">
        <v>491</v>
      </c>
      <c r="D254" s="16">
        <v>2199.0</v>
      </c>
      <c r="E254" s="16">
        <f t="shared" si="1"/>
        <v>151.731</v>
      </c>
      <c r="F254" s="16">
        <f t="shared" si="2"/>
        <v>47.2785</v>
      </c>
      <c r="G254" s="17">
        <v>1561.82</v>
      </c>
      <c r="H254" s="18">
        <v>0.1</v>
      </c>
      <c r="I254" s="16">
        <f t="shared" si="9"/>
        <v>219.9</v>
      </c>
      <c r="J254" s="16">
        <v>66.5</v>
      </c>
      <c r="K254" s="16">
        <f t="shared" si="4"/>
        <v>151.7705</v>
      </c>
      <c r="L254" s="19">
        <f t="shared" si="5"/>
        <v>0.09717541074</v>
      </c>
      <c r="M254" s="16">
        <f t="shared" si="6"/>
        <v>1713.5905</v>
      </c>
      <c r="N254" s="20"/>
    </row>
    <row r="255">
      <c r="A255" s="30"/>
      <c r="B255" s="30" t="s">
        <v>492</v>
      </c>
      <c r="C255" s="15" t="s">
        <v>493</v>
      </c>
      <c r="D255" s="16">
        <v>2313.0</v>
      </c>
      <c r="E255" s="16">
        <f t="shared" si="1"/>
        <v>159.597</v>
      </c>
      <c r="F255" s="16">
        <f t="shared" si="2"/>
        <v>49.7295</v>
      </c>
      <c r="G255" s="17">
        <v>1909.42</v>
      </c>
      <c r="H255" s="18">
        <v>0.1</v>
      </c>
      <c r="I255" s="16">
        <f t="shared" si="9"/>
        <v>231.3</v>
      </c>
      <c r="J255" s="16">
        <v>66.5</v>
      </c>
      <c r="K255" s="16">
        <f t="shared" si="4"/>
        <v>-103.5465</v>
      </c>
      <c r="L255" s="19">
        <f t="shared" si="5"/>
        <v>-0.05422929476</v>
      </c>
      <c r="M255" s="16">
        <f t="shared" si="6"/>
        <v>1805.8735</v>
      </c>
      <c r="N255" s="20"/>
    </row>
    <row r="256">
      <c r="A256" s="30"/>
      <c r="B256" s="30" t="s">
        <v>494</v>
      </c>
      <c r="C256" s="15" t="s">
        <v>495</v>
      </c>
      <c r="D256" s="16">
        <v>3459.0</v>
      </c>
      <c r="E256" s="16">
        <f t="shared" si="1"/>
        <v>238.671</v>
      </c>
      <c r="F256" s="16">
        <f t="shared" si="2"/>
        <v>74.3685</v>
      </c>
      <c r="G256" s="17">
        <v>2473.34</v>
      </c>
      <c r="H256" s="18">
        <v>0.1</v>
      </c>
      <c r="I256" s="16">
        <f t="shared" si="9"/>
        <v>345.9</v>
      </c>
      <c r="J256" s="16">
        <v>72.0</v>
      </c>
      <c r="K256" s="16">
        <f t="shared" si="4"/>
        <v>254.7205</v>
      </c>
      <c r="L256" s="19">
        <f t="shared" si="5"/>
        <v>0.1029864475</v>
      </c>
      <c r="M256" s="16">
        <f t="shared" si="6"/>
        <v>2728.0605</v>
      </c>
      <c r="N256" s="20"/>
    </row>
    <row r="257">
      <c r="A257" s="30"/>
      <c r="B257" s="30" t="s">
        <v>496</v>
      </c>
      <c r="C257" s="15" t="s">
        <v>497</v>
      </c>
      <c r="D257" s="16">
        <v>639.0</v>
      </c>
      <c r="E257" s="16">
        <f t="shared" si="1"/>
        <v>44.091</v>
      </c>
      <c r="F257" s="16">
        <f t="shared" si="2"/>
        <v>13.7385</v>
      </c>
      <c r="G257" s="17">
        <v>243.5</v>
      </c>
      <c r="H257" s="18">
        <v>0.1</v>
      </c>
      <c r="I257" s="16">
        <f t="shared" si="9"/>
        <v>63.9</v>
      </c>
      <c r="J257" s="16">
        <v>62.0</v>
      </c>
      <c r="K257" s="16">
        <f t="shared" si="4"/>
        <v>211.7705</v>
      </c>
      <c r="L257" s="19">
        <f t="shared" si="5"/>
        <v>0.8696940452</v>
      </c>
      <c r="M257" s="16">
        <f t="shared" si="6"/>
        <v>455.2705</v>
      </c>
      <c r="N257" s="20"/>
    </row>
    <row r="258">
      <c r="A258" s="30"/>
      <c r="B258" s="30" t="s">
        <v>498</v>
      </c>
      <c r="C258" s="15" t="s">
        <v>499</v>
      </c>
      <c r="D258" s="29">
        <v>1212.0</v>
      </c>
      <c r="E258" s="16">
        <f t="shared" si="1"/>
        <v>83.628</v>
      </c>
      <c r="F258" s="16">
        <f t="shared" si="2"/>
        <v>26.058</v>
      </c>
      <c r="G258" s="17">
        <v>929.43</v>
      </c>
      <c r="H258" s="18">
        <v>0.1</v>
      </c>
      <c r="I258" s="16">
        <f t="shared" si="9"/>
        <v>121.2</v>
      </c>
      <c r="J258" s="29">
        <v>62.0</v>
      </c>
      <c r="K258" s="16">
        <f t="shared" si="4"/>
        <v>-10.316</v>
      </c>
      <c r="L258" s="19">
        <f t="shared" si="5"/>
        <v>-0.0110992759</v>
      </c>
      <c r="M258" s="16">
        <f t="shared" si="6"/>
        <v>919.114</v>
      </c>
      <c r="N258" s="20"/>
    </row>
    <row r="259">
      <c r="A259" s="30"/>
      <c r="B259" s="30" t="s">
        <v>500</v>
      </c>
      <c r="C259" s="15" t="s">
        <v>501</v>
      </c>
      <c r="D259" s="16">
        <v>699.0</v>
      </c>
      <c r="E259" s="16">
        <f t="shared" si="1"/>
        <v>48.231</v>
      </c>
      <c r="F259" s="16">
        <f t="shared" si="2"/>
        <v>15.0285</v>
      </c>
      <c r="G259" s="17">
        <v>464.0</v>
      </c>
      <c r="H259" s="18">
        <v>0.1</v>
      </c>
      <c r="I259" s="16">
        <f t="shared" si="9"/>
        <v>69.9</v>
      </c>
      <c r="J259" s="16">
        <v>86.0</v>
      </c>
      <c r="K259" s="16">
        <f t="shared" si="4"/>
        <v>15.8405</v>
      </c>
      <c r="L259" s="19">
        <f t="shared" si="5"/>
        <v>0.03413900862</v>
      </c>
      <c r="M259" s="16">
        <f t="shared" si="6"/>
        <v>479.8405</v>
      </c>
      <c r="N259" s="20"/>
    </row>
    <row r="260">
      <c r="A260" s="30"/>
      <c r="B260" s="30" t="s">
        <v>502</v>
      </c>
      <c r="C260" s="15" t="s">
        <v>503</v>
      </c>
      <c r="D260" s="29">
        <v>465.0</v>
      </c>
      <c r="E260" s="16">
        <f t="shared" si="1"/>
        <v>32.085</v>
      </c>
      <c r="F260" s="16">
        <f t="shared" si="2"/>
        <v>9.9975</v>
      </c>
      <c r="G260" s="32">
        <v>262.96</v>
      </c>
      <c r="H260" s="18">
        <v>0.15</v>
      </c>
      <c r="I260" s="16">
        <f t="shared" si="9"/>
        <v>69.75</v>
      </c>
      <c r="J260" s="29">
        <v>52.4</v>
      </c>
      <c r="K260" s="16">
        <f t="shared" si="4"/>
        <v>37.8075</v>
      </c>
      <c r="L260" s="19">
        <f t="shared" si="5"/>
        <v>0.14377662</v>
      </c>
      <c r="M260" s="16">
        <f t="shared" si="6"/>
        <v>300.7675</v>
      </c>
      <c r="N260" s="20" t="s">
        <v>237</v>
      </c>
    </row>
    <row r="261">
      <c r="A261" s="30"/>
      <c r="B261" s="30" t="s">
        <v>504</v>
      </c>
      <c r="C261" s="15" t="s">
        <v>505</v>
      </c>
      <c r="D261" s="16">
        <v>1599.0</v>
      </c>
      <c r="E261" s="16">
        <f t="shared" si="1"/>
        <v>110.331</v>
      </c>
      <c r="F261" s="16">
        <f t="shared" si="2"/>
        <v>34.3785</v>
      </c>
      <c r="G261" s="17">
        <v>1665.95</v>
      </c>
      <c r="H261" s="18">
        <v>0.15</v>
      </c>
      <c r="I261" s="16">
        <f t="shared" si="9"/>
        <v>239.85</v>
      </c>
      <c r="J261" s="16"/>
      <c r="K261" s="16">
        <f t="shared" si="4"/>
        <v>-451.5095</v>
      </c>
      <c r="L261" s="19">
        <f t="shared" si="5"/>
        <v>-0.2710222396</v>
      </c>
      <c r="M261" s="16">
        <f t="shared" si="6"/>
        <v>1214.4405</v>
      </c>
      <c r="N261" s="20"/>
    </row>
    <row r="262">
      <c r="A262" s="30"/>
      <c r="B262" s="30" t="s">
        <v>506</v>
      </c>
      <c r="C262" s="15" t="s">
        <v>507</v>
      </c>
      <c r="D262" s="16">
        <v>389.0</v>
      </c>
      <c r="E262" s="16">
        <f t="shared" si="1"/>
        <v>26.841</v>
      </c>
      <c r="F262" s="16">
        <f t="shared" si="2"/>
        <v>8.3635</v>
      </c>
      <c r="G262" s="17">
        <v>203.69</v>
      </c>
      <c r="H262" s="18">
        <v>0.1</v>
      </c>
      <c r="I262" s="16">
        <f t="shared" si="9"/>
        <v>38.9</v>
      </c>
      <c r="J262" s="16">
        <v>60.0</v>
      </c>
      <c r="K262" s="16">
        <f t="shared" si="4"/>
        <v>51.2055</v>
      </c>
      <c r="L262" s="19">
        <f t="shared" si="5"/>
        <v>0.2513893662</v>
      </c>
      <c r="M262" s="16">
        <f t="shared" si="6"/>
        <v>254.8955</v>
      </c>
      <c r="N262" s="20"/>
    </row>
    <row r="263">
      <c r="A263" s="30"/>
      <c r="B263" s="30" t="s">
        <v>508</v>
      </c>
      <c r="C263" s="15" t="s">
        <v>509</v>
      </c>
      <c r="D263" s="16">
        <v>409.0</v>
      </c>
      <c r="E263" s="16">
        <f t="shared" si="1"/>
        <v>28.221</v>
      </c>
      <c r="F263" s="16">
        <f t="shared" si="2"/>
        <v>8.7935</v>
      </c>
      <c r="G263" s="17">
        <v>280.23</v>
      </c>
      <c r="H263" s="18">
        <v>0.1</v>
      </c>
      <c r="I263" s="16">
        <f t="shared" si="9"/>
        <v>40.9</v>
      </c>
      <c r="J263" s="16">
        <v>60.0</v>
      </c>
      <c r="K263" s="16">
        <f t="shared" si="4"/>
        <v>-9.1445</v>
      </c>
      <c r="L263" s="19">
        <f t="shared" si="5"/>
        <v>-0.03263212361</v>
      </c>
      <c r="M263" s="16">
        <f t="shared" si="6"/>
        <v>271.0855</v>
      </c>
      <c r="N263" s="20"/>
    </row>
    <row r="264">
      <c r="A264" s="30"/>
      <c r="B264" s="30" t="s">
        <v>510</v>
      </c>
      <c r="C264" s="15" t="s">
        <v>511</v>
      </c>
      <c r="D264" s="16">
        <v>446.0</v>
      </c>
      <c r="E264" s="16">
        <f t="shared" si="1"/>
        <v>30.774</v>
      </c>
      <c r="F264" s="16">
        <f t="shared" si="2"/>
        <v>9.589</v>
      </c>
      <c r="G264" s="17">
        <v>411.45</v>
      </c>
      <c r="H264" s="18">
        <v>0.15</v>
      </c>
      <c r="I264" s="16">
        <f t="shared" si="9"/>
        <v>66.9</v>
      </c>
      <c r="J264" s="16"/>
      <c r="K264" s="16">
        <f t="shared" si="4"/>
        <v>-72.713</v>
      </c>
      <c r="L264" s="19">
        <f t="shared" si="5"/>
        <v>-0.1767237817</v>
      </c>
      <c r="M264" s="16">
        <f t="shared" si="6"/>
        <v>338.737</v>
      </c>
      <c r="N264" s="20"/>
    </row>
    <row r="265">
      <c r="A265" s="30"/>
      <c r="B265" s="30"/>
      <c r="C265" s="15" t="s">
        <v>512</v>
      </c>
      <c r="D265" s="16">
        <v>699.0</v>
      </c>
      <c r="E265" s="16">
        <f t="shared" si="1"/>
        <v>48.231</v>
      </c>
      <c r="F265" s="16">
        <f t="shared" si="2"/>
        <v>15.0285</v>
      </c>
      <c r="G265" s="17">
        <v>412.06</v>
      </c>
      <c r="H265" s="18">
        <v>0.1</v>
      </c>
      <c r="I265" s="16">
        <f t="shared" si="9"/>
        <v>69.9</v>
      </c>
      <c r="J265" s="16">
        <v>72.0</v>
      </c>
      <c r="K265" s="16">
        <f t="shared" si="4"/>
        <v>81.7805</v>
      </c>
      <c r="L265" s="19">
        <f t="shared" si="5"/>
        <v>0.1984674562</v>
      </c>
      <c r="M265" s="16">
        <f t="shared" si="6"/>
        <v>493.8405</v>
      </c>
      <c r="N265" s="20"/>
    </row>
    <row r="266">
      <c r="A266" s="30"/>
      <c r="B266" s="30"/>
      <c r="C266" s="15" t="s">
        <v>513</v>
      </c>
      <c r="D266" s="16">
        <v>1999.0</v>
      </c>
      <c r="E266" s="16">
        <f t="shared" si="1"/>
        <v>137.931</v>
      </c>
      <c r="F266" s="16">
        <f t="shared" si="2"/>
        <v>42.9785</v>
      </c>
      <c r="G266" s="17">
        <v>1431.78</v>
      </c>
      <c r="H266" s="18">
        <v>0.1</v>
      </c>
      <c r="I266" s="16">
        <f t="shared" si="9"/>
        <v>199.9</v>
      </c>
      <c r="J266" s="16">
        <v>86.0</v>
      </c>
      <c r="K266" s="16">
        <f t="shared" si="4"/>
        <v>100.4105</v>
      </c>
      <c r="L266" s="19">
        <f t="shared" si="5"/>
        <v>0.07012983838</v>
      </c>
      <c r="M266" s="16">
        <f t="shared" si="6"/>
        <v>1532.1905</v>
      </c>
      <c r="N266" s="20"/>
    </row>
    <row r="267">
      <c r="A267" s="30"/>
      <c r="B267" s="30"/>
      <c r="C267" s="15" t="s">
        <v>514</v>
      </c>
      <c r="D267" s="16">
        <v>449.0</v>
      </c>
      <c r="E267" s="16">
        <f t="shared" si="1"/>
        <v>30.981</v>
      </c>
      <c r="F267" s="16">
        <f t="shared" si="2"/>
        <v>9.6535</v>
      </c>
      <c r="G267" s="17">
        <v>240.0</v>
      </c>
      <c r="H267" s="18">
        <v>0.1</v>
      </c>
      <c r="I267" s="16">
        <f t="shared" si="9"/>
        <v>44.9</v>
      </c>
      <c r="J267" s="16"/>
      <c r="K267" s="16">
        <f t="shared" si="4"/>
        <v>123.4655</v>
      </c>
      <c r="L267" s="19">
        <f t="shared" si="5"/>
        <v>0.5144395833</v>
      </c>
      <c r="M267" s="16">
        <f t="shared" si="6"/>
        <v>363.4655</v>
      </c>
      <c r="N267" s="20"/>
    </row>
    <row r="268">
      <c r="A268" s="30"/>
      <c r="B268" s="30" t="s">
        <v>515</v>
      </c>
      <c r="C268" s="15" t="s">
        <v>516</v>
      </c>
      <c r="D268" s="16">
        <v>803.0</v>
      </c>
      <c r="E268" s="16">
        <f t="shared" si="1"/>
        <v>55.407</v>
      </c>
      <c r="F268" s="16">
        <f t="shared" si="2"/>
        <v>17.2645</v>
      </c>
      <c r="G268" s="17">
        <v>640.09</v>
      </c>
      <c r="H268" s="18">
        <v>0.1</v>
      </c>
      <c r="I268" s="16">
        <f t="shared" si="9"/>
        <v>80.3</v>
      </c>
      <c r="J268" s="16">
        <v>86.0</v>
      </c>
      <c r="K268" s="16">
        <f t="shared" si="4"/>
        <v>-76.0615</v>
      </c>
      <c r="L268" s="19">
        <f t="shared" si="5"/>
        <v>-0.1188293834</v>
      </c>
      <c r="M268" s="16">
        <f t="shared" si="6"/>
        <v>564.0285</v>
      </c>
      <c r="N268" s="20"/>
    </row>
    <row r="269">
      <c r="A269" s="30"/>
      <c r="B269" s="30"/>
      <c r="C269" s="15" t="s">
        <v>517</v>
      </c>
      <c r="D269" s="16"/>
      <c r="E269" s="16">
        <f t="shared" si="1"/>
        <v>0</v>
      </c>
      <c r="F269" s="16">
        <f t="shared" si="2"/>
        <v>0</v>
      </c>
      <c r="G269" s="17">
        <v>1561.82</v>
      </c>
      <c r="H269" s="18">
        <v>0.1</v>
      </c>
      <c r="I269" s="16">
        <f t="shared" si="9"/>
        <v>0</v>
      </c>
      <c r="J269" s="16"/>
      <c r="K269" s="16">
        <f t="shared" si="4"/>
        <v>-1561.82</v>
      </c>
      <c r="L269" s="19">
        <f t="shared" si="5"/>
        <v>-1</v>
      </c>
      <c r="M269" s="16">
        <f t="shared" si="6"/>
        <v>0</v>
      </c>
      <c r="N269" s="20"/>
    </row>
    <row r="270">
      <c r="A270" s="30"/>
      <c r="B270" s="30"/>
      <c r="C270" s="15" t="s">
        <v>518</v>
      </c>
      <c r="D270" s="16">
        <v>4999.0</v>
      </c>
      <c r="E270" s="16">
        <f t="shared" si="1"/>
        <v>344.931</v>
      </c>
      <c r="F270" s="16">
        <f t="shared" si="2"/>
        <v>107.4785</v>
      </c>
      <c r="G270" s="17">
        <v>3305.62</v>
      </c>
      <c r="H270" s="18">
        <v>0.1</v>
      </c>
      <c r="I270" s="16">
        <f t="shared" si="9"/>
        <v>499.9</v>
      </c>
      <c r="J270" s="16">
        <v>86.0</v>
      </c>
      <c r="K270" s="16">
        <f t="shared" si="4"/>
        <v>655.0705</v>
      </c>
      <c r="L270" s="19">
        <f t="shared" si="5"/>
        <v>0.1981687248</v>
      </c>
      <c r="M270" s="16">
        <f t="shared" si="6"/>
        <v>3960.6905</v>
      </c>
      <c r="N270" s="20"/>
    </row>
    <row r="271">
      <c r="A271" s="30"/>
      <c r="B271" s="30"/>
      <c r="C271" s="15" t="s">
        <v>519</v>
      </c>
      <c r="D271" s="16">
        <v>4999.0</v>
      </c>
      <c r="E271" s="16">
        <f t="shared" si="1"/>
        <v>344.931</v>
      </c>
      <c r="F271" s="16">
        <f t="shared" si="2"/>
        <v>107.4785</v>
      </c>
      <c r="G271" s="17">
        <v>3305.62</v>
      </c>
      <c r="H271" s="18">
        <v>0.1</v>
      </c>
      <c r="I271" s="16">
        <f t="shared" si="9"/>
        <v>499.9</v>
      </c>
      <c r="J271" s="16">
        <v>86.0</v>
      </c>
      <c r="K271" s="16">
        <f t="shared" si="4"/>
        <v>655.0705</v>
      </c>
      <c r="L271" s="19">
        <f t="shared" si="5"/>
        <v>0.1981687248</v>
      </c>
      <c r="M271" s="16">
        <f t="shared" si="6"/>
        <v>3960.6905</v>
      </c>
      <c r="N271" s="20"/>
    </row>
    <row r="272">
      <c r="A272" s="30"/>
      <c r="B272" s="30" t="s">
        <v>520</v>
      </c>
      <c r="C272" s="15" t="s">
        <v>521</v>
      </c>
      <c r="D272" s="16">
        <v>2099.0</v>
      </c>
      <c r="E272" s="16">
        <f t="shared" si="1"/>
        <v>144.831</v>
      </c>
      <c r="F272" s="16">
        <f t="shared" si="2"/>
        <v>45.1285</v>
      </c>
      <c r="G272" s="17">
        <v>1603.85</v>
      </c>
      <c r="H272" s="18">
        <v>0.1</v>
      </c>
      <c r="I272" s="16">
        <f t="shared" si="9"/>
        <v>209.9</v>
      </c>
      <c r="J272" s="16">
        <v>86.0</v>
      </c>
      <c r="K272" s="16">
        <f t="shared" si="4"/>
        <v>9.2905</v>
      </c>
      <c r="L272" s="19">
        <f t="shared" si="5"/>
        <v>0.005792623999</v>
      </c>
      <c r="M272" s="16">
        <f t="shared" si="6"/>
        <v>1613.1405</v>
      </c>
      <c r="N272" s="20"/>
    </row>
    <row r="273">
      <c r="A273" s="30"/>
      <c r="B273" s="30" t="s">
        <v>325</v>
      </c>
      <c r="C273" s="15" t="s">
        <v>289</v>
      </c>
      <c r="D273" s="16">
        <v>1079.0</v>
      </c>
      <c r="E273" s="16">
        <f t="shared" si="1"/>
        <v>74.451</v>
      </c>
      <c r="F273" s="16">
        <f t="shared" si="2"/>
        <v>23.1985</v>
      </c>
      <c r="G273" s="17">
        <v>742.0</v>
      </c>
      <c r="H273" s="18">
        <v>0.1</v>
      </c>
      <c r="I273" s="16">
        <f t="shared" si="9"/>
        <v>107.9</v>
      </c>
      <c r="J273" s="16">
        <v>91.5</v>
      </c>
      <c r="K273" s="16">
        <f t="shared" si="4"/>
        <v>39.9505</v>
      </c>
      <c r="L273" s="19">
        <f t="shared" si="5"/>
        <v>0.0538416442</v>
      </c>
      <c r="M273" s="16">
        <f t="shared" si="6"/>
        <v>781.9505</v>
      </c>
      <c r="N273" s="20"/>
    </row>
    <row r="274">
      <c r="A274" s="30"/>
      <c r="B274" s="30" t="s">
        <v>288</v>
      </c>
      <c r="C274" s="15" t="s">
        <v>289</v>
      </c>
      <c r="D274" s="16">
        <v>1079.0</v>
      </c>
      <c r="E274" s="16">
        <f t="shared" si="1"/>
        <v>74.451</v>
      </c>
      <c r="F274" s="16">
        <f t="shared" si="2"/>
        <v>23.1985</v>
      </c>
      <c r="G274" s="17">
        <v>742.0</v>
      </c>
      <c r="H274" s="18">
        <v>0.1</v>
      </c>
      <c r="I274" s="16">
        <f t="shared" si="9"/>
        <v>107.9</v>
      </c>
      <c r="J274" s="16">
        <v>66.5</v>
      </c>
      <c r="K274" s="16">
        <f t="shared" si="4"/>
        <v>64.9505</v>
      </c>
      <c r="L274" s="19">
        <f t="shared" si="5"/>
        <v>0.08753436658</v>
      </c>
      <c r="M274" s="16">
        <f t="shared" si="6"/>
        <v>806.9505</v>
      </c>
      <c r="N274" s="20"/>
    </row>
    <row r="275">
      <c r="A275" s="30"/>
      <c r="B275" s="30" t="s">
        <v>522</v>
      </c>
      <c r="C275" s="15" t="s">
        <v>523</v>
      </c>
      <c r="D275" s="16">
        <v>459.0</v>
      </c>
      <c r="E275" s="16">
        <f t="shared" si="1"/>
        <v>31.671</v>
      </c>
      <c r="F275" s="16">
        <f t="shared" si="2"/>
        <v>9.8685</v>
      </c>
      <c r="G275" s="17">
        <v>287.69</v>
      </c>
      <c r="H275" s="18">
        <v>0.1</v>
      </c>
      <c r="I275" s="16">
        <f t="shared" si="9"/>
        <v>45.9</v>
      </c>
      <c r="J275" s="16">
        <v>91.5</v>
      </c>
      <c r="K275" s="16">
        <f t="shared" si="4"/>
        <v>-7.6295</v>
      </c>
      <c r="L275" s="19">
        <f t="shared" si="5"/>
        <v>-0.02651986513</v>
      </c>
      <c r="M275" s="16">
        <f t="shared" si="6"/>
        <v>280.0605</v>
      </c>
      <c r="N275" s="20"/>
    </row>
    <row r="276">
      <c r="A276" s="30"/>
      <c r="B276" s="30" t="s">
        <v>524</v>
      </c>
      <c r="C276" s="15" t="s">
        <v>525</v>
      </c>
      <c r="D276" s="16">
        <v>599.0</v>
      </c>
      <c r="E276" s="16">
        <f t="shared" si="1"/>
        <v>41.331</v>
      </c>
      <c r="F276" s="16">
        <f t="shared" si="2"/>
        <v>12.8785</v>
      </c>
      <c r="G276" s="17">
        <v>355.94</v>
      </c>
      <c r="H276" s="18">
        <v>0.1</v>
      </c>
      <c r="I276" s="16">
        <f t="shared" si="9"/>
        <v>59.9</v>
      </c>
      <c r="J276" s="16">
        <v>91.5</v>
      </c>
      <c r="K276" s="16">
        <f t="shared" si="4"/>
        <v>37.4505</v>
      </c>
      <c r="L276" s="19">
        <f t="shared" si="5"/>
        <v>0.1052157667</v>
      </c>
      <c r="M276" s="16">
        <f t="shared" si="6"/>
        <v>393.3905</v>
      </c>
      <c r="N276" s="20"/>
    </row>
    <row r="277">
      <c r="A277" s="30"/>
      <c r="B277" s="30" t="s">
        <v>526</v>
      </c>
      <c r="C277" s="15" t="s">
        <v>527</v>
      </c>
      <c r="D277" s="16">
        <v>1589.0</v>
      </c>
      <c r="E277" s="16">
        <f t="shared" si="1"/>
        <v>109.641</v>
      </c>
      <c r="F277" s="16">
        <f t="shared" si="2"/>
        <v>34.1635</v>
      </c>
      <c r="G277" s="17">
        <v>1289.29</v>
      </c>
      <c r="H277" s="18">
        <v>0.15</v>
      </c>
      <c r="I277" s="16">
        <f t="shared" si="9"/>
        <v>238.35</v>
      </c>
      <c r="J277" s="16"/>
      <c r="K277" s="16">
        <f t="shared" si="4"/>
        <v>-82.4445</v>
      </c>
      <c r="L277" s="19">
        <f t="shared" si="5"/>
        <v>-0.06394566001</v>
      </c>
      <c r="M277" s="16">
        <f t="shared" si="6"/>
        <v>1206.8455</v>
      </c>
      <c r="N277" s="20"/>
    </row>
    <row r="278">
      <c r="A278" s="30"/>
      <c r="B278" s="30" t="s">
        <v>528</v>
      </c>
      <c r="C278" s="15" t="s">
        <v>529</v>
      </c>
      <c r="D278" s="16">
        <v>1299.0</v>
      </c>
      <c r="E278" s="16">
        <f t="shared" si="1"/>
        <v>89.631</v>
      </c>
      <c r="F278" s="16">
        <f t="shared" si="2"/>
        <v>27.9285</v>
      </c>
      <c r="G278" s="17">
        <v>925.58</v>
      </c>
      <c r="H278" s="18">
        <v>0.1</v>
      </c>
      <c r="I278" s="16">
        <f t="shared" si="9"/>
        <v>129.9</v>
      </c>
      <c r="J278" s="16">
        <v>91.5</v>
      </c>
      <c r="K278" s="16">
        <f t="shared" si="4"/>
        <v>34.4605</v>
      </c>
      <c r="L278" s="19">
        <f t="shared" si="5"/>
        <v>0.03723124959</v>
      </c>
      <c r="M278" s="16">
        <f t="shared" si="6"/>
        <v>960.0405</v>
      </c>
      <c r="N278" s="20"/>
    </row>
    <row r="279">
      <c r="A279" s="30"/>
      <c r="B279" s="30" t="s">
        <v>530</v>
      </c>
      <c r="C279" s="15" t="s">
        <v>531</v>
      </c>
      <c r="D279" s="16">
        <v>4399.0</v>
      </c>
      <c r="E279" s="16">
        <f t="shared" si="1"/>
        <v>303.531</v>
      </c>
      <c r="F279" s="16">
        <f t="shared" si="2"/>
        <v>94.5785</v>
      </c>
      <c r="G279" s="17">
        <v>3296.76</v>
      </c>
      <c r="H279" s="18">
        <v>0.1</v>
      </c>
      <c r="I279" s="16">
        <f t="shared" si="9"/>
        <v>439.9</v>
      </c>
      <c r="J279" s="16">
        <v>140.0</v>
      </c>
      <c r="K279" s="16">
        <f t="shared" si="4"/>
        <v>124.2305</v>
      </c>
      <c r="L279" s="19">
        <f t="shared" si="5"/>
        <v>0.03768260353</v>
      </c>
      <c r="M279" s="16">
        <f t="shared" si="6"/>
        <v>3420.9905</v>
      </c>
      <c r="N279" s="20"/>
    </row>
    <row r="280">
      <c r="A280" s="30"/>
      <c r="B280" s="30" t="s">
        <v>532</v>
      </c>
      <c r="C280" s="15" t="s">
        <v>533</v>
      </c>
      <c r="D280" s="16">
        <v>799.0</v>
      </c>
      <c r="E280" s="16">
        <f t="shared" si="1"/>
        <v>55.131</v>
      </c>
      <c r="F280" s="16">
        <f t="shared" si="2"/>
        <v>17.1785</v>
      </c>
      <c r="G280" s="17">
        <v>582.94</v>
      </c>
      <c r="H280" s="18">
        <v>0.1</v>
      </c>
      <c r="I280" s="16">
        <f t="shared" si="9"/>
        <v>79.9</v>
      </c>
      <c r="J280" s="16">
        <v>60.0</v>
      </c>
      <c r="K280" s="16">
        <f t="shared" si="4"/>
        <v>3.8505</v>
      </c>
      <c r="L280" s="19">
        <f t="shared" si="5"/>
        <v>0.00660531101</v>
      </c>
      <c r="M280" s="16">
        <f t="shared" si="6"/>
        <v>586.7905</v>
      </c>
      <c r="N280" s="20"/>
    </row>
    <row r="281">
      <c r="A281" s="30"/>
      <c r="B281" s="30" t="s">
        <v>534</v>
      </c>
      <c r="C281" s="15" t="s">
        <v>535</v>
      </c>
      <c r="D281" s="16">
        <v>959.0</v>
      </c>
      <c r="E281" s="16">
        <f t="shared" si="1"/>
        <v>66.171</v>
      </c>
      <c r="F281" s="16">
        <f t="shared" si="2"/>
        <v>20.6185</v>
      </c>
      <c r="G281" s="17">
        <v>648.86</v>
      </c>
      <c r="H281" s="18">
        <v>0.1</v>
      </c>
      <c r="I281" s="16">
        <f t="shared" si="9"/>
        <v>95.9</v>
      </c>
      <c r="J281" s="16">
        <v>72.5</v>
      </c>
      <c r="K281" s="16">
        <f t="shared" si="4"/>
        <v>54.9505</v>
      </c>
      <c r="L281" s="19">
        <f t="shared" si="5"/>
        <v>0.08468776007</v>
      </c>
      <c r="M281" s="16">
        <f t="shared" si="6"/>
        <v>703.8105</v>
      </c>
      <c r="N281" s="20"/>
    </row>
    <row r="282">
      <c r="A282" s="30"/>
      <c r="B282" s="30" t="s">
        <v>536</v>
      </c>
      <c r="C282" s="15" t="s">
        <v>537</v>
      </c>
      <c r="D282" s="16">
        <v>919.0</v>
      </c>
      <c r="E282" s="16">
        <f t="shared" si="1"/>
        <v>63.411</v>
      </c>
      <c r="F282" s="16">
        <f t="shared" si="2"/>
        <v>19.7585</v>
      </c>
      <c r="G282" s="17">
        <v>638.0</v>
      </c>
      <c r="H282" s="18">
        <v>0.1</v>
      </c>
      <c r="I282" s="16">
        <f t="shared" si="9"/>
        <v>91.9</v>
      </c>
      <c r="J282" s="16">
        <v>60.0</v>
      </c>
      <c r="K282" s="16">
        <f t="shared" si="4"/>
        <v>45.9305</v>
      </c>
      <c r="L282" s="19">
        <f t="shared" si="5"/>
        <v>0.07199137931</v>
      </c>
      <c r="M282" s="16">
        <f t="shared" si="6"/>
        <v>683.9305</v>
      </c>
      <c r="N282" s="20"/>
    </row>
    <row r="283">
      <c r="A283" s="30"/>
      <c r="B283" s="30" t="s">
        <v>538</v>
      </c>
      <c r="C283" s="15" t="s">
        <v>539</v>
      </c>
      <c r="D283" s="29">
        <v>2300.0</v>
      </c>
      <c r="E283" s="16">
        <f t="shared" si="1"/>
        <v>158.7</v>
      </c>
      <c r="F283" s="16">
        <f t="shared" si="2"/>
        <v>49.45</v>
      </c>
      <c r="G283" s="17">
        <v>1260.0</v>
      </c>
      <c r="H283" s="18">
        <v>0.15</v>
      </c>
      <c r="I283" s="16">
        <f t="shared" si="9"/>
        <v>345</v>
      </c>
      <c r="J283" s="16">
        <v>149.5</v>
      </c>
      <c r="K283" s="16">
        <f t="shared" si="4"/>
        <v>337.35</v>
      </c>
      <c r="L283" s="19">
        <f t="shared" si="5"/>
        <v>0.2677380952</v>
      </c>
      <c r="M283" s="16">
        <f t="shared" si="6"/>
        <v>1597.35</v>
      </c>
      <c r="N283" s="20"/>
    </row>
    <row r="284">
      <c r="A284" s="30"/>
      <c r="B284" s="30" t="s">
        <v>540</v>
      </c>
      <c r="C284" s="15" t="s">
        <v>541</v>
      </c>
      <c r="D284" s="16">
        <v>7999.0</v>
      </c>
      <c r="E284" s="16">
        <f t="shared" si="1"/>
        <v>551.931</v>
      </c>
      <c r="F284" s="16">
        <f t="shared" si="2"/>
        <v>171.9785</v>
      </c>
      <c r="G284" s="17">
        <v>5087.49</v>
      </c>
      <c r="H284" s="18">
        <v>0.1</v>
      </c>
      <c r="I284" s="16">
        <f t="shared" si="9"/>
        <v>799.9</v>
      </c>
      <c r="J284" s="16">
        <v>121.0</v>
      </c>
      <c r="K284" s="16">
        <f t="shared" si="4"/>
        <v>1266.7005</v>
      </c>
      <c r="L284" s="19">
        <f t="shared" si="5"/>
        <v>0.2489833887</v>
      </c>
      <c r="M284" s="16">
        <f t="shared" si="6"/>
        <v>6354.1905</v>
      </c>
      <c r="N284" s="20"/>
    </row>
    <row r="285">
      <c r="A285" s="30"/>
      <c r="B285" s="30" t="s">
        <v>542</v>
      </c>
      <c r="C285" s="15" t="s">
        <v>543</v>
      </c>
      <c r="D285" s="16">
        <v>4999.0</v>
      </c>
      <c r="E285" s="16">
        <f t="shared" si="1"/>
        <v>344.931</v>
      </c>
      <c r="F285" s="16">
        <f t="shared" si="2"/>
        <v>107.4785</v>
      </c>
      <c r="G285" s="17" t="str">
        <f>3467.74*1.06</f>
        <v>#ERROR!</v>
      </c>
      <c r="H285" s="18">
        <v>0.1</v>
      </c>
      <c r="I285" s="16">
        <f t="shared" si="9"/>
        <v>499.9</v>
      </c>
      <c r="J285" s="16">
        <v>160.0</v>
      </c>
      <c r="K285" s="16" t="str">
        <f t="shared" si="4"/>
        <v>#ERROR!</v>
      </c>
      <c r="L285" s="19" t="str">
        <f t="shared" si="5"/>
        <v>#ERROR!</v>
      </c>
      <c r="M285" s="16">
        <f t="shared" si="6"/>
        <v>3886.6905</v>
      </c>
      <c r="N285" s="20"/>
    </row>
    <row r="286">
      <c r="A286" s="30"/>
      <c r="B286" s="30" t="s">
        <v>544</v>
      </c>
      <c r="C286" s="15" t="s">
        <v>545</v>
      </c>
      <c r="D286" s="16">
        <v>799.0</v>
      </c>
      <c r="E286" s="16">
        <f t="shared" si="1"/>
        <v>55.131</v>
      </c>
      <c r="F286" s="16">
        <f t="shared" si="2"/>
        <v>17.1785</v>
      </c>
      <c r="G286" s="17">
        <v>549.24</v>
      </c>
      <c r="H286" s="18">
        <v>0.1</v>
      </c>
      <c r="I286" s="16">
        <f t="shared" si="9"/>
        <v>79.9</v>
      </c>
      <c r="J286" s="16">
        <v>91.5</v>
      </c>
      <c r="K286" s="16">
        <f t="shared" si="4"/>
        <v>6.0505</v>
      </c>
      <c r="L286" s="19">
        <f t="shared" si="5"/>
        <v>0.01101613138</v>
      </c>
      <c r="M286" s="16">
        <f t="shared" si="6"/>
        <v>555.2905</v>
      </c>
      <c r="N286" s="20"/>
    </row>
    <row r="287">
      <c r="A287" s="30"/>
      <c r="B287" s="30" t="s">
        <v>546</v>
      </c>
      <c r="C287" s="15" t="s">
        <v>547</v>
      </c>
      <c r="D287" s="16">
        <v>2899.0</v>
      </c>
      <c r="E287" s="16">
        <f t="shared" si="1"/>
        <v>200.031</v>
      </c>
      <c r="F287" s="16">
        <f t="shared" si="2"/>
        <v>62.3285</v>
      </c>
      <c r="G287" s="17">
        <v>2394.4</v>
      </c>
      <c r="H287" s="18">
        <v>0.15</v>
      </c>
      <c r="I287" s="16">
        <f t="shared" si="9"/>
        <v>434.85</v>
      </c>
      <c r="J287" s="16"/>
      <c r="K287" s="16">
        <f t="shared" si="4"/>
        <v>-192.6095</v>
      </c>
      <c r="L287" s="19">
        <f t="shared" si="5"/>
        <v>-0.08044165553</v>
      </c>
      <c r="M287" s="16">
        <f t="shared" si="6"/>
        <v>2201.7905</v>
      </c>
      <c r="N287" s="20"/>
    </row>
    <row r="288">
      <c r="A288" s="30"/>
      <c r="B288" s="30" t="s">
        <v>548</v>
      </c>
      <c r="C288" s="15" t="s">
        <v>549</v>
      </c>
      <c r="D288" s="16">
        <v>536.0</v>
      </c>
      <c r="E288" s="16">
        <f t="shared" si="1"/>
        <v>36.984</v>
      </c>
      <c r="F288" s="16">
        <f t="shared" si="2"/>
        <v>11.524</v>
      </c>
      <c r="G288" s="17">
        <v>328.05</v>
      </c>
      <c r="H288" s="18">
        <v>0.1</v>
      </c>
      <c r="I288" s="16">
        <f t="shared" si="9"/>
        <v>53.6</v>
      </c>
      <c r="J288" s="16">
        <v>95.0</v>
      </c>
      <c r="K288" s="16">
        <f t="shared" si="4"/>
        <v>10.842</v>
      </c>
      <c r="L288" s="19">
        <f t="shared" si="5"/>
        <v>0.03304983996</v>
      </c>
      <c r="M288" s="16">
        <f t="shared" si="6"/>
        <v>338.892</v>
      </c>
      <c r="N288" s="20"/>
    </row>
    <row r="289">
      <c r="A289" s="30"/>
      <c r="B289" s="30" t="s">
        <v>550</v>
      </c>
      <c r="C289" s="15" t="s">
        <v>551</v>
      </c>
      <c r="D289" s="16">
        <v>699.0</v>
      </c>
      <c r="E289" s="16">
        <f t="shared" si="1"/>
        <v>48.231</v>
      </c>
      <c r="F289" s="16">
        <f t="shared" si="2"/>
        <v>15.0285</v>
      </c>
      <c r="G289" s="17">
        <v>425.64</v>
      </c>
      <c r="H289" s="18">
        <v>0.1</v>
      </c>
      <c r="I289" s="16">
        <f t="shared" si="9"/>
        <v>69.9</v>
      </c>
      <c r="J289" s="16">
        <v>72.5</v>
      </c>
      <c r="K289" s="16">
        <f t="shared" si="4"/>
        <v>67.7005</v>
      </c>
      <c r="L289" s="19">
        <f t="shared" si="5"/>
        <v>0.1590557748</v>
      </c>
      <c r="M289" s="16">
        <f t="shared" si="6"/>
        <v>493.3405</v>
      </c>
      <c r="N289" s="20"/>
    </row>
    <row r="290">
      <c r="A290" s="34" t="s">
        <v>552</v>
      </c>
      <c r="B290" s="30" t="s">
        <v>553</v>
      </c>
      <c r="C290" s="15" t="s">
        <v>554</v>
      </c>
      <c r="D290" s="29">
        <v>1397.0</v>
      </c>
      <c r="E290" s="16">
        <f t="shared" si="1"/>
        <v>96.393</v>
      </c>
      <c r="F290" s="16">
        <f t="shared" si="2"/>
        <v>30.0355</v>
      </c>
      <c r="G290" s="17">
        <v>1057.0</v>
      </c>
      <c r="H290" s="18">
        <v>0.1</v>
      </c>
      <c r="I290" s="16">
        <f t="shared" si="9"/>
        <v>139.7</v>
      </c>
      <c r="J290" s="29">
        <v>75.0</v>
      </c>
      <c r="K290" s="16">
        <f t="shared" si="4"/>
        <v>-1.1285</v>
      </c>
      <c r="L290" s="19">
        <f t="shared" si="5"/>
        <v>-0.001067644276</v>
      </c>
      <c r="M290" s="16">
        <f t="shared" si="6"/>
        <v>1055.8715</v>
      </c>
      <c r="N290" s="20"/>
    </row>
    <row r="291">
      <c r="A291" s="30"/>
      <c r="B291" s="30" t="s">
        <v>555</v>
      </c>
      <c r="C291" s="15" t="s">
        <v>556</v>
      </c>
      <c r="D291" s="29">
        <v>16999.0</v>
      </c>
      <c r="E291" s="16">
        <f t="shared" si="1"/>
        <v>1172.931</v>
      </c>
      <c r="F291" s="16">
        <f t="shared" si="2"/>
        <v>365.4785</v>
      </c>
      <c r="G291" s="32">
        <v>12890.8</v>
      </c>
      <c r="H291" s="18">
        <v>0.145</v>
      </c>
      <c r="I291" s="16">
        <f t="shared" si="9"/>
        <v>2464.855</v>
      </c>
      <c r="J291" s="29">
        <v>95.0</v>
      </c>
      <c r="K291" s="16">
        <f t="shared" si="4"/>
        <v>9.9355</v>
      </c>
      <c r="L291" s="19">
        <f t="shared" si="5"/>
        <v>0.000770743476</v>
      </c>
      <c r="M291" s="16">
        <f t="shared" si="6"/>
        <v>12900.7355</v>
      </c>
      <c r="N291" s="20"/>
    </row>
    <row r="292">
      <c r="A292" s="34" t="s">
        <v>557</v>
      </c>
      <c r="B292" s="23" t="s">
        <v>558</v>
      </c>
      <c r="C292" s="15" t="s">
        <v>556</v>
      </c>
      <c r="D292" s="16">
        <v>15999.0</v>
      </c>
      <c r="E292" s="16">
        <f t="shared" si="1"/>
        <v>1103.931</v>
      </c>
      <c r="F292" s="16">
        <f t="shared" si="2"/>
        <v>343.9785</v>
      </c>
      <c r="G292" s="32">
        <v>12359.48</v>
      </c>
      <c r="H292" s="18">
        <v>0.145</v>
      </c>
      <c r="I292" s="16">
        <f t="shared" si="9"/>
        <v>2319.855</v>
      </c>
      <c r="J292" s="29">
        <v>79.0</v>
      </c>
      <c r="K292" s="16">
        <f t="shared" si="4"/>
        <v>-207.2445</v>
      </c>
      <c r="L292" s="19">
        <f t="shared" si="5"/>
        <v>-0.01676805982</v>
      </c>
      <c r="M292" s="16">
        <f t="shared" si="6"/>
        <v>12152.2355</v>
      </c>
      <c r="N292" s="20"/>
    </row>
    <row r="293">
      <c r="A293" s="30"/>
      <c r="B293" s="30" t="s">
        <v>559</v>
      </c>
      <c r="C293" s="15" t="s">
        <v>560</v>
      </c>
      <c r="D293" s="16">
        <v>10999.0</v>
      </c>
      <c r="E293" s="16">
        <f t="shared" si="1"/>
        <v>758.931</v>
      </c>
      <c r="F293" s="16">
        <f t="shared" si="2"/>
        <v>236.4785</v>
      </c>
      <c r="G293" s="17">
        <v>7641.14</v>
      </c>
      <c r="H293" s="18">
        <v>0.1</v>
      </c>
      <c r="I293" s="16">
        <f t="shared" si="9"/>
        <v>1099.9</v>
      </c>
      <c r="J293" s="16">
        <v>91.5</v>
      </c>
      <c r="K293" s="16">
        <f t="shared" si="4"/>
        <v>1171.0505</v>
      </c>
      <c r="L293" s="19">
        <f t="shared" si="5"/>
        <v>0.1532559932</v>
      </c>
      <c r="M293" s="16">
        <f t="shared" si="6"/>
        <v>8812.1905</v>
      </c>
      <c r="N293" s="20"/>
    </row>
    <row r="294">
      <c r="A294" s="30"/>
      <c r="B294" s="30" t="s">
        <v>561</v>
      </c>
      <c r="C294" s="15" t="s">
        <v>562</v>
      </c>
      <c r="D294" s="29">
        <v>449.0</v>
      </c>
      <c r="E294" s="16">
        <f t="shared" si="1"/>
        <v>30.981</v>
      </c>
      <c r="F294" s="16">
        <f t="shared" si="2"/>
        <v>9.6535</v>
      </c>
      <c r="G294" s="32">
        <v>322.0</v>
      </c>
      <c r="H294" s="18">
        <v>0.15</v>
      </c>
      <c r="I294" s="16">
        <f t="shared" si="9"/>
        <v>67.35</v>
      </c>
      <c r="J294" s="16"/>
      <c r="K294" s="16">
        <f t="shared" si="4"/>
        <v>19.0155</v>
      </c>
      <c r="L294" s="19">
        <f t="shared" si="5"/>
        <v>0.05905434783</v>
      </c>
      <c r="M294" s="16">
        <f t="shared" si="6"/>
        <v>341.0155</v>
      </c>
      <c r="N294" s="20"/>
    </row>
    <row r="295">
      <c r="A295" s="30"/>
      <c r="B295" s="30" t="s">
        <v>563</v>
      </c>
      <c r="C295" s="15" t="s">
        <v>564</v>
      </c>
      <c r="D295" s="16">
        <v>899.0</v>
      </c>
      <c r="E295" s="16">
        <f t="shared" si="1"/>
        <v>62.031</v>
      </c>
      <c r="F295" s="16">
        <f t="shared" si="2"/>
        <v>19.3285</v>
      </c>
      <c r="G295" s="17">
        <v>595.0</v>
      </c>
      <c r="H295" s="18">
        <v>0.1</v>
      </c>
      <c r="I295" s="16">
        <f t="shared" si="9"/>
        <v>89.9</v>
      </c>
      <c r="J295" s="16">
        <v>72.0</v>
      </c>
      <c r="K295" s="16">
        <f t="shared" si="4"/>
        <v>60.7405</v>
      </c>
      <c r="L295" s="19">
        <f t="shared" si="5"/>
        <v>0.1020848739</v>
      </c>
      <c r="M295" s="16">
        <f t="shared" si="6"/>
        <v>655.7405</v>
      </c>
      <c r="N295" s="20"/>
    </row>
    <row r="296">
      <c r="A296" s="30"/>
      <c r="B296" s="30" t="s">
        <v>122</v>
      </c>
      <c r="C296" s="15" t="s">
        <v>565</v>
      </c>
      <c r="D296" s="16">
        <v>766.0</v>
      </c>
      <c r="E296" s="16">
        <f t="shared" si="1"/>
        <v>52.854</v>
      </c>
      <c r="F296" s="16">
        <f t="shared" si="2"/>
        <v>16.469</v>
      </c>
      <c r="G296" s="17">
        <v>531.04</v>
      </c>
      <c r="H296" s="18">
        <v>0.1</v>
      </c>
      <c r="I296" s="16">
        <f t="shared" si="9"/>
        <v>76.6</v>
      </c>
      <c r="J296" s="16">
        <v>80.0</v>
      </c>
      <c r="K296" s="16">
        <f t="shared" si="4"/>
        <v>9.037</v>
      </c>
      <c r="L296" s="19">
        <f t="shared" si="5"/>
        <v>0.01701755047</v>
      </c>
      <c r="M296" s="16">
        <f t="shared" si="6"/>
        <v>540.077</v>
      </c>
      <c r="N296" s="20"/>
    </row>
    <row r="297">
      <c r="A297" s="30"/>
      <c r="B297" s="30" t="s">
        <v>566</v>
      </c>
      <c r="C297" s="15" t="s">
        <v>567</v>
      </c>
      <c r="D297" s="16">
        <v>969.0</v>
      </c>
      <c r="E297" s="16">
        <f t="shared" si="1"/>
        <v>66.861</v>
      </c>
      <c r="F297" s="16">
        <f t="shared" si="2"/>
        <v>20.8335</v>
      </c>
      <c r="G297" s="17">
        <v>764.63</v>
      </c>
      <c r="H297" s="18">
        <v>0.1</v>
      </c>
      <c r="I297" s="16">
        <f t="shared" si="9"/>
        <v>96.9</v>
      </c>
      <c r="J297" s="16">
        <v>86.0</v>
      </c>
      <c r="K297" s="16">
        <f t="shared" si="4"/>
        <v>-66.2245</v>
      </c>
      <c r="L297" s="19">
        <f t="shared" si="5"/>
        <v>-0.08660986359</v>
      </c>
      <c r="M297" s="16">
        <f t="shared" si="6"/>
        <v>698.4055</v>
      </c>
      <c r="N297" s="20"/>
    </row>
    <row r="298">
      <c r="A298" s="30"/>
      <c r="B298" s="30" t="s">
        <v>568</v>
      </c>
      <c r="C298" s="15" t="s">
        <v>569</v>
      </c>
      <c r="D298" s="16">
        <v>1999.0</v>
      </c>
      <c r="E298" s="16">
        <f t="shared" si="1"/>
        <v>137.931</v>
      </c>
      <c r="F298" s="16">
        <f t="shared" si="2"/>
        <v>42.9785</v>
      </c>
      <c r="G298" s="17">
        <v>1596.21</v>
      </c>
      <c r="H298" s="18">
        <v>0.1</v>
      </c>
      <c r="I298" s="16">
        <f t="shared" si="9"/>
        <v>199.9</v>
      </c>
      <c r="J298" s="16">
        <v>72.5</v>
      </c>
      <c r="K298" s="16">
        <f t="shared" si="4"/>
        <v>-50.5195</v>
      </c>
      <c r="L298" s="19">
        <f t="shared" si="5"/>
        <v>-0.03164965763</v>
      </c>
      <c r="M298" s="16">
        <f t="shared" si="6"/>
        <v>1545.6905</v>
      </c>
      <c r="N298" s="20"/>
    </row>
    <row r="299">
      <c r="A299" s="30"/>
      <c r="B299" s="30" t="s">
        <v>570</v>
      </c>
      <c r="C299" s="15" t="s">
        <v>571</v>
      </c>
      <c r="D299" s="16">
        <v>2899.0</v>
      </c>
      <c r="E299" s="16">
        <f t="shared" si="1"/>
        <v>200.031</v>
      </c>
      <c r="F299" s="16">
        <f t="shared" si="2"/>
        <v>62.3285</v>
      </c>
      <c r="G299" s="17">
        <v>1829.1</v>
      </c>
      <c r="H299" s="18">
        <v>0.1</v>
      </c>
      <c r="I299" s="16">
        <f t="shared" si="9"/>
        <v>289.9</v>
      </c>
      <c r="J299" s="16">
        <v>86.0</v>
      </c>
      <c r="K299" s="16">
        <f t="shared" si="4"/>
        <v>431.6405</v>
      </c>
      <c r="L299" s="19">
        <f t="shared" si="5"/>
        <v>0.235985184</v>
      </c>
      <c r="M299" s="16">
        <f t="shared" si="6"/>
        <v>2260.7405</v>
      </c>
      <c r="N299" s="20"/>
    </row>
    <row r="300">
      <c r="A300" s="30"/>
      <c r="B300" s="30" t="s">
        <v>572</v>
      </c>
      <c r="C300" s="15" t="s">
        <v>573</v>
      </c>
      <c r="D300" s="16">
        <v>2699.0</v>
      </c>
      <c r="E300" s="16">
        <f t="shared" si="1"/>
        <v>186.231</v>
      </c>
      <c r="F300" s="16">
        <f t="shared" si="2"/>
        <v>58.0285</v>
      </c>
      <c r="G300" s="17">
        <v>1628.16</v>
      </c>
      <c r="H300" s="18">
        <v>0.1</v>
      </c>
      <c r="I300" s="16">
        <f t="shared" si="9"/>
        <v>269.9</v>
      </c>
      <c r="J300" s="16">
        <v>140.0</v>
      </c>
      <c r="K300" s="16">
        <f t="shared" si="4"/>
        <v>416.6805</v>
      </c>
      <c r="L300" s="19">
        <f t="shared" si="5"/>
        <v>0.2559211011</v>
      </c>
      <c r="M300" s="16">
        <f t="shared" si="6"/>
        <v>2044.8405</v>
      </c>
      <c r="N300" s="20"/>
    </row>
    <row r="301">
      <c r="A301" s="30"/>
      <c r="B301" s="30" t="s">
        <v>574</v>
      </c>
      <c r="C301" s="15" t="s">
        <v>575</v>
      </c>
      <c r="D301" s="16">
        <v>435.0</v>
      </c>
      <c r="E301" s="16">
        <f t="shared" si="1"/>
        <v>30.015</v>
      </c>
      <c r="F301" s="16">
        <f t="shared" si="2"/>
        <v>9.3525</v>
      </c>
      <c r="G301" s="17">
        <v>240.0</v>
      </c>
      <c r="H301" s="18">
        <v>0.1</v>
      </c>
      <c r="I301" s="16">
        <f t="shared" si="9"/>
        <v>43.5</v>
      </c>
      <c r="J301" s="16">
        <v>72.0</v>
      </c>
      <c r="K301" s="16">
        <f t="shared" si="4"/>
        <v>40.1325</v>
      </c>
      <c r="L301" s="19">
        <f t="shared" si="5"/>
        <v>0.16721875</v>
      </c>
      <c r="M301" s="16">
        <f t="shared" si="6"/>
        <v>280.1325</v>
      </c>
      <c r="N301" s="20"/>
    </row>
    <row r="302">
      <c r="A302" s="30"/>
      <c r="B302" s="30" t="s">
        <v>576</v>
      </c>
      <c r="C302" s="15" t="s">
        <v>577</v>
      </c>
      <c r="D302" s="16">
        <v>529.0</v>
      </c>
      <c r="E302" s="16">
        <f t="shared" si="1"/>
        <v>36.501</v>
      </c>
      <c r="F302" s="16">
        <f t="shared" si="2"/>
        <v>11.3735</v>
      </c>
      <c r="G302" s="17">
        <v>299.0</v>
      </c>
      <c r="H302" s="18">
        <v>0.1</v>
      </c>
      <c r="I302" s="16">
        <f t="shared" si="9"/>
        <v>52.9</v>
      </c>
      <c r="J302" s="16">
        <v>86.0</v>
      </c>
      <c r="K302" s="16">
        <f t="shared" si="4"/>
        <v>43.2255</v>
      </c>
      <c r="L302" s="19">
        <f t="shared" si="5"/>
        <v>0.1445668896</v>
      </c>
      <c r="M302" s="16">
        <f t="shared" si="6"/>
        <v>342.2255</v>
      </c>
      <c r="N302" s="20"/>
    </row>
    <row r="303">
      <c r="A303" s="30"/>
      <c r="B303" s="30" t="s">
        <v>578</v>
      </c>
      <c r="C303" s="15" t="s">
        <v>579</v>
      </c>
      <c r="D303" s="16">
        <v>8499.0</v>
      </c>
      <c r="E303" s="16">
        <f t="shared" si="1"/>
        <v>586.431</v>
      </c>
      <c r="F303" s="16">
        <f t="shared" si="2"/>
        <v>182.7285</v>
      </c>
      <c r="G303" s="17">
        <v>6161.78</v>
      </c>
      <c r="H303" s="18">
        <v>0.1</v>
      </c>
      <c r="I303" s="16">
        <f t="shared" si="9"/>
        <v>849.9</v>
      </c>
      <c r="J303" s="16">
        <v>103.0</v>
      </c>
      <c r="K303" s="16">
        <f t="shared" si="4"/>
        <v>615.1605</v>
      </c>
      <c r="L303" s="19">
        <f t="shared" si="5"/>
        <v>0.09983486914</v>
      </c>
      <c r="M303" s="16">
        <f t="shared" si="6"/>
        <v>6776.9405</v>
      </c>
      <c r="N303" s="20"/>
    </row>
    <row r="304">
      <c r="A304" s="30"/>
      <c r="B304" s="30" t="s">
        <v>580</v>
      </c>
      <c r="C304" s="15" t="s">
        <v>581</v>
      </c>
      <c r="D304" s="29">
        <v>799.0</v>
      </c>
      <c r="E304" s="16">
        <f t="shared" si="1"/>
        <v>55.131</v>
      </c>
      <c r="F304" s="16">
        <f t="shared" si="2"/>
        <v>17.1785</v>
      </c>
      <c r="G304" s="17">
        <v>547.88</v>
      </c>
      <c r="H304" s="18">
        <v>0.1</v>
      </c>
      <c r="I304" s="16">
        <f t="shared" si="9"/>
        <v>79.9</v>
      </c>
      <c r="J304" s="29">
        <v>75.0</v>
      </c>
      <c r="K304" s="16">
        <f t="shared" si="4"/>
        <v>23.9105</v>
      </c>
      <c r="L304" s="19">
        <f t="shared" si="5"/>
        <v>0.04364185588</v>
      </c>
      <c r="M304" s="16">
        <f t="shared" si="6"/>
        <v>571.7905</v>
      </c>
      <c r="N304" s="20"/>
    </row>
    <row r="305">
      <c r="A305" s="30"/>
      <c r="B305" s="30" t="s">
        <v>582</v>
      </c>
      <c r="C305" s="15" t="s">
        <v>583</v>
      </c>
      <c r="D305" s="16">
        <v>1499.0</v>
      </c>
      <c r="E305" s="16">
        <f t="shared" si="1"/>
        <v>103.431</v>
      </c>
      <c r="F305" s="16">
        <f t="shared" si="2"/>
        <v>32.2285</v>
      </c>
      <c r="G305" s="17">
        <v>1033.0</v>
      </c>
      <c r="H305" s="18">
        <v>0.1</v>
      </c>
      <c r="I305" s="16">
        <f t="shared" si="9"/>
        <v>149.9</v>
      </c>
      <c r="J305" s="16">
        <v>72.0</v>
      </c>
      <c r="K305" s="16">
        <f t="shared" si="4"/>
        <v>108.4405</v>
      </c>
      <c r="L305" s="19">
        <f t="shared" si="5"/>
        <v>0.1049762827</v>
      </c>
      <c r="M305" s="16">
        <f t="shared" si="6"/>
        <v>1141.4405</v>
      </c>
      <c r="N305" s="20"/>
    </row>
    <row r="306">
      <c r="A306" s="30"/>
      <c r="B306" s="30" t="s">
        <v>584</v>
      </c>
      <c r="C306" s="15" t="s">
        <v>585</v>
      </c>
      <c r="D306" s="16">
        <v>1099.0</v>
      </c>
      <c r="E306" s="16">
        <f t="shared" si="1"/>
        <v>75.831</v>
      </c>
      <c r="F306" s="16">
        <f t="shared" si="2"/>
        <v>23.6285</v>
      </c>
      <c r="G306" s="17">
        <v>720.0</v>
      </c>
      <c r="H306" s="18">
        <v>0.1</v>
      </c>
      <c r="I306" s="16">
        <f t="shared" si="9"/>
        <v>109.9</v>
      </c>
      <c r="J306" s="16">
        <v>91.0</v>
      </c>
      <c r="K306" s="16">
        <f t="shared" si="4"/>
        <v>78.6405</v>
      </c>
      <c r="L306" s="19">
        <f t="shared" si="5"/>
        <v>0.1092229167</v>
      </c>
      <c r="M306" s="16">
        <f t="shared" si="6"/>
        <v>798.6405</v>
      </c>
      <c r="N306" s="20"/>
    </row>
    <row r="307">
      <c r="A307" s="30"/>
      <c r="B307" s="30" t="s">
        <v>586</v>
      </c>
      <c r="C307" s="15" t="s">
        <v>587</v>
      </c>
      <c r="D307" s="16">
        <v>3787.0</v>
      </c>
      <c r="E307" s="16">
        <f t="shared" si="1"/>
        <v>261.303</v>
      </c>
      <c r="F307" s="16">
        <f t="shared" si="2"/>
        <v>81.4205</v>
      </c>
      <c r="G307" s="17">
        <v>2997.37</v>
      </c>
      <c r="H307" s="18">
        <v>0.1</v>
      </c>
      <c r="I307" s="16">
        <f t="shared" si="9"/>
        <v>378.7</v>
      </c>
      <c r="J307" s="16">
        <v>162.0</v>
      </c>
      <c r="K307" s="16">
        <f t="shared" si="4"/>
        <v>-93.7935</v>
      </c>
      <c r="L307" s="19">
        <f t="shared" si="5"/>
        <v>-0.03129193259</v>
      </c>
      <c r="M307" s="16">
        <f t="shared" si="6"/>
        <v>2903.5765</v>
      </c>
      <c r="N307" s="20"/>
    </row>
    <row r="308">
      <c r="A308" s="30"/>
      <c r="B308" s="30" t="s">
        <v>588</v>
      </c>
      <c r="C308" s="15" t="s">
        <v>373</v>
      </c>
      <c r="D308" s="16">
        <v>1330.0</v>
      </c>
      <c r="E308" s="16">
        <f t="shared" si="1"/>
        <v>91.77</v>
      </c>
      <c r="F308" s="16">
        <f t="shared" si="2"/>
        <v>28.595</v>
      </c>
      <c r="G308" s="17">
        <v>1044.0</v>
      </c>
      <c r="H308" s="18">
        <v>0.1</v>
      </c>
      <c r="I308" s="16">
        <f t="shared" si="9"/>
        <v>133</v>
      </c>
      <c r="J308" s="16">
        <v>73.0</v>
      </c>
      <c r="K308" s="16">
        <f t="shared" si="4"/>
        <v>-40.365</v>
      </c>
      <c r="L308" s="19">
        <f t="shared" si="5"/>
        <v>-0.0386637931</v>
      </c>
      <c r="M308" s="16">
        <f t="shared" si="6"/>
        <v>1003.635</v>
      </c>
      <c r="N308" s="20"/>
    </row>
    <row r="309">
      <c r="A309" s="30"/>
      <c r="B309" s="30" t="s">
        <v>589</v>
      </c>
      <c r="C309" s="15" t="s">
        <v>590</v>
      </c>
      <c r="D309" s="16">
        <v>1199.0</v>
      </c>
      <c r="E309" s="16">
        <f t="shared" si="1"/>
        <v>82.731</v>
      </c>
      <c r="F309" s="16">
        <f t="shared" si="2"/>
        <v>25.7785</v>
      </c>
      <c r="G309" s="17">
        <v>800.0</v>
      </c>
      <c r="H309" s="18">
        <v>0.1</v>
      </c>
      <c r="I309" s="16">
        <f t="shared" si="9"/>
        <v>119.9</v>
      </c>
      <c r="J309" s="16">
        <v>86.0</v>
      </c>
      <c r="K309" s="16">
        <f t="shared" si="4"/>
        <v>84.5905</v>
      </c>
      <c r="L309" s="19">
        <f t="shared" si="5"/>
        <v>0.105738125</v>
      </c>
      <c r="M309" s="16">
        <f t="shared" si="6"/>
        <v>884.5905</v>
      </c>
      <c r="N309" s="20"/>
    </row>
    <row r="310">
      <c r="A310" s="34" t="s">
        <v>591</v>
      </c>
      <c r="B310" s="34" t="s">
        <v>592</v>
      </c>
      <c r="C310" s="15" t="s">
        <v>593</v>
      </c>
      <c r="D310" s="29">
        <v>12999.0</v>
      </c>
      <c r="E310" s="16">
        <f t="shared" si="1"/>
        <v>896.931</v>
      </c>
      <c r="F310" s="16">
        <f t="shared" si="2"/>
        <v>279.4785</v>
      </c>
      <c r="G310" s="32">
        <v>9200.0</v>
      </c>
      <c r="H310" s="18">
        <v>0.195</v>
      </c>
      <c r="I310" s="16">
        <f t="shared" ref="I310:I311" si="10">D310*H310</f>
        <v>2534.805</v>
      </c>
      <c r="J310" s="29">
        <v>300.0</v>
      </c>
      <c r="K310" s="16">
        <f t="shared" si="4"/>
        <v>-212.2145</v>
      </c>
      <c r="L310" s="19">
        <f t="shared" si="5"/>
        <v>-0.02306679348</v>
      </c>
      <c r="M310" s="16">
        <f t="shared" si="6"/>
        <v>8987.7855</v>
      </c>
      <c r="N310" s="20"/>
    </row>
    <row r="311">
      <c r="A311" s="34"/>
      <c r="B311" s="34" t="s">
        <v>594</v>
      </c>
      <c r="C311" s="20" t="s">
        <v>595</v>
      </c>
      <c r="D311" s="29">
        <v>7305.0</v>
      </c>
      <c r="E311" s="16">
        <f t="shared" si="1"/>
        <v>504.045</v>
      </c>
      <c r="F311" s="16">
        <f t="shared" si="2"/>
        <v>157.0575</v>
      </c>
      <c r="G311" s="32">
        <v>5390.0</v>
      </c>
      <c r="H311" s="18">
        <v>0.195</v>
      </c>
      <c r="I311" s="16">
        <f t="shared" si="10"/>
        <v>1424.475</v>
      </c>
      <c r="J311" s="29">
        <v>270.0</v>
      </c>
      <c r="K311" s="16">
        <f t="shared" si="4"/>
        <v>-440.5775</v>
      </c>
      <c r="L311" s="19">
        <f t="shared" si="5"/>
        <v>-0.08173979592</v>
      </c>
      <c r="M311" s="16">
        <f t="shared" si="6"/>
        <v>4949.4225</v>
      </c>
      <c r="N311" s="20"/>
    </row>
    <row r="312">
      <c r="A312" s="30"/>
      <c r="B312" s="30" t="s">
        <v>596</v>
      </c>
      <c r="C312" s="15" t="s">
        <v>597</v>
      </c>
      <c r="D312" s="16">
        <v>999.0</v>
      </c>
      <c r="E312" s="16">
        <f t="shared" si="1"/>
        <v>68.931</v>
      </c>
      <c r="F312" s="16">
        <f t="shared" si="2"/>
        <v>21.4785</v>
      </c>
      <c r="G312" s="17">
        <v>745.66</v>
      </c>
      <c r="H312" s="18">
        <v>0.1</v>
      </c>
      <c r="I312" s="16">
        <f t="shared" ref="I312:I348" si="11">H312*D312</f>
        <v>99.9</v>
      </c>
      <c r="J312" s="16">
        <v>66.5</v>
      </c>
      <c r="K312" s="16">
        <f t="shared" si="4"/>
        <v>-3.4695</v>
      </c>
      <c r="L312" s="19">
        <f t="shared" si="5"/>
        <v>-0.004652924926</v>
      </c>
      <c r="M312" s="16">
        <f t="shared" si="6"/>
        <v>742.1905</v>
      </c>
      <c r="N312" s="20"/>
    </row>
    <row r="313">
      <c r="A313" s="30"/>
      <c r="B313" s="30" t="s">
        <v>598</v>
      </c>
      <c r="C313" s="15" t="s">
        <v>599</v>
      </c>
      <c r="D313" s="16">
        <v>3499.0</v>
      </c>
      <c r="E313" s="16">
        <f t="shared" si="1"/>
        <v>241.431</v>
      </c>
      <c r="F313" s="16">
        <f t="shared" si="2"/>
        <v>75.2285</v>
      </c>
      <c r="G313" s="17">
        <v>2625.59</v>
      </c>
      <c r="H313" s="18">
        <v>0.1</v>
      </c>
      <c r="I313" s="16">
        <f t="shared" si="11"/>
        <v>349.9</v>
      </c>
      <c r="J313" s="16">
        <v>73.0</v>
      </c>
      <c r="K313" s="16">
        <f t="shared" si="4"/>
        <v>133.8505</v>
      </c>
      <c r="L313" s="19">
        <f t="shared" si="5"/>
        <v>0.05097920848</v>
      </c>
      <c r="M313" s="16">
        <f t="shared" si="6"/>
        <v>2759.4405</v>
      </c>
      <c r="N313" s="20"/>
    </row>
    <row r="314">
      <c r="A314" s="30"/>
      <c r="B314" s="30" t="s">
        <v>600</v>
      </c>
      <c r="C314" s="15" t="s">
        <v>601</v>
      </c>
      <c r="D314" s="16">
        <v>2567.0</v>
      </c>
      <c r="E314" s="16">
        <f t="shared" si="1"/>
        <v>177.123</v>
      </c>
      <c r="F314" s="16">
        <f t="shared" si="2"/>
        <v>55.1905</v>
      </c>
      <c r="G314" s="17">
        <v>1954.03</v>
      </c>
      <c r="H314" s="18">
        <v>0.1</v>
      </c>
      <c r="I314" s="16">
        <f t="shared" si="11"/>
        <v>256.7</v>
      </c>
      <c r="J314" s="16">
        <v>72.0</v>
      </c>
      <c r="K314" s="16">
        <f t="shared" si="4"/>
        <v>51.9565</v>
      </c>
      <c r="L314" s="19">
        <f t="shared" si="5"/>
        <v>0.02658940753</v>
      </c>
      <c r="M314" s="16">
        <f t="shared" si="6"/>
        <v>2005.9865</v>
      </c>
      <c r="N314" s="20"/>
    </row>
    <row r="315">
      <c r="A315" s="30"/>
      <c r="B315" s="30" t="s">
        <v>602</v>
      </c>
      <c r="C315" s="15" t="s">
        <v>603</v>
      </c>
      <c r="D315" s="16">
        <v>1499.0</v>
      </c>
      <c r="E315" s="16">
        <f t="shared" si="1"/>
        <v>103.431</v>
      </c>
      <c r="F315" s="16">
        <f t="shared" si="2"/>
        <v>32.2285</v>
      </c>
      <c r="G315" s="17">
        <v>950.0</v>
      </c>
      <c r="H315" s="18">
        <v>0.1</v>
      </c>
      <c r="I315" s="16">
        <f t="shared" si="11"/>
        <v>149.9</v>
      </c>
      <c r="J315" s="16">
        <v>86.0</v>
      </c>
      <c r="K315" s="16">
        <f t="shared" si="4"/>
        <v>177.4405</v>
      </c>
      <c r="L315" s="19">
        <f t="shared" si="5"/>
        <v>0.1867794737</v>
      </c>
      <c r="M315" s="16">
        <f t="shared" si="6"/>
        <v>1127.4405</v>
      </c>
      <c r="N315" s="20"/>
    </row>
    <row r="316">
      <c r="A316" s="30"/>
      <c r="B316" s="30" t="s">
        <v>604</v>
      </c>
      <c r="C316" s="15" t="s">
        <v>605</v>
      </c>
      <c r="D316" s="29">
        <v>12999.0</v>
      </c>
      <c r="E316" s="16">
        <f t="shared" si="1"/>
        <v>896.931</v>
      </c>
      <c r="F316" s="16">
        <f t="shared" si="2"/>
        <v>279.4785</v>
      </c>
      <c r="G316" s="32">
        <v>9519.22</v>
      </c>
      <c r="H316" s="18">
        <v>0.125</v>
      </c>
      <c r="I316" s="16">
        <f t="shared" si="11"/>
        <v>1624.875</v>
      </c>
      <c r="J316" s="29">
        <v>79.0</v>
      </c>
      <c r="K316" s="16">
        <f t="shared" si="4"/>
        <v>599.4955</v>
      </c>
      <c r="L316" s="19">
        <f t="shared" si="5"/>
        <v>0.0629773763</v>
      </c>
      <c r="M316" s="16">
        <f t="shared" si="6"/>
        <v>10118.7155</v>
      </c>
      <c r="N316" s="20"/>
    </row>
    <row r="317">
      <c r="A317" s="30"/>
      <c r="B317" s="30" t="s">
        <v>606</v>
      </c>
      <c r="C317" s="15" t="s">
        <v>607</v>
      </c>
      <c r="D317" s="16">
        <v>5599.0</v>
      </c>
      <c r="E317" s="16">
        <f t="shared" si="1"/>
        <v>386.331</v>
      </c>
      <c r="F317" s="16">
        <f t="shared" si="2"/>
        <v>120.3785</v>
      </c>
      <c r="G317" s="17">
        <v>4500.0</v>
      </c>
      <c r="H317" s="18">
        <v>0.1</v>
      </c>
      <c r="I317" s="16">
        <f t="shared" si="11"/>
        <v>559.9</v>
      </c>
      <c r="J317" s="16">
        <v>91.0</v>
      </c>
      <c r="K317" s="16">
        <f t="shared" si="4"/>
        <v>-58.6095</v>
      </c>
      <c r="L317" s="19">
        <f t="shared" si="5"/>
        <v>-0.01302433333</v>
      </c>
      <c r="M317" s="16">
        <f t="shared" si="6"/>
        <v>4441.3905</v>
      </c>
      <c r="N317" s="20"/>
    </row>
    <row r="318">
      <c r="A318" s="30"/>
      <c r="B318" s="30" t="s">
        <v>608</v>
      </c>
      <c r="C318" s="15" t="s">
        <v>609</v>
      </c>
      <c r="D318" s="16">
        <v>3867.0</v>
      </c>
      <c r="E318" s="16">
        <f t="shared" si="1"/>
        <v>266.823</v>
      </c>
      <c r="F318" s="16">
        <f t="shared" si="2"/>
        <v>83.1405</v>
      </c>
      <c r="G318" s="17">
        <v>2895.95</v>
      </c>
      <c r="H318" s="18">
        <v>0.1</v>
      </c>
      <c r="I318" s="16">
        <f t="shared" si="11"/>
        <v>386.7</v>
      </c>
      <c r="J318" s="16">
        <v>72.5</v>
      </c>
      <c r="K318" s="16">
        <f t="shared" si="4"/>
        <v>161.8865</v>
      </c>
      <c r="L318" s="19">
        <f t="shared" si="5"/>
        <v>0.05590099967</v>
      </c>
      <c r="M318" s="16">
        <f t="shared" si="6"/>
        <v>3057.8365</v>
      </c>
      <c r="N318" s="20"/>
    </row>
    <row r="319">
      <c r="A319" s="30"/>
      <c r="B319" s="30" t="s">
        <v>610</v>
      </c>
      <c r="C319" s="15" t="s">
        <v>611</v>
      </c>
      <c r="D319" s="16">
        <v>779.0</v>
      </c>
      <c r="E319" s="16">
        <f t="shared" si="1"/>
        <v>53.751</v>
      </c>
      <c r="F319" s="16">
        <f t="shared" si="2"/>
        <v>16.7485</v>
      </c>
      <c r="G319" s="17">
        <v>484.24</v>
      </c>
      <c r="H319" s="18">
        <v>0.1</v>
      </c>
      <c r="I319" s="16">
        <f t="shared" si="11"/>
        <v>77.9</v>
      </c>
      <c r="J319" s="15">
        <v>92.0</v>
      </c>
      <c r="K319" s="16">
        <f t="shared" si="4"/>
        <v>54.3605</v>
      </c>
      <c r="L319" s="19">
        <f t="shared" si="5"/>
        <v>0.1122594168</v>
      </c>
      <c r="M319" s="16">
        <f t="shared" si="6"/>
        <v>538.6005</v>
      </c>
      <c r="N319" s="20"/>
    </row>
    <row r="320">
      <c r="A320" s="30"/>
      <c r="B320" s="30" t="s">
        <v>612</v>
      </c>
      <c r="C320" s="15" t="s">
        <v>613</v>
      </c>
      <c r="D320" s="16">
        <v>699.0</v>
      </c>
      <c r="E320" s="16">
        <f t="shared" si="1"/>
        <v>48.231</v>
      </c>
      <c r="F320" s="16">
        <f t="shared" si="2"/>
        <v>15.0285</v>
      </c>
      <c r="G320" s="17">
        <v>491.07</v>
      </c>
      <c r="H320" s="18">
        <v>0.1</v>
      </c>
      <c r="I320" s="16">
        <f t="shared" si="11"/>
        <v>69.9</v>
      </c>
      <c r="J320" s="16">
        <v>60.0</v>
      </c>
      <c r="K320" s="16">
        <f t="shared" si="4"/>
        <v>14.7705</v>
      </c>
      <c r="L320" s="19">
        <f t="shared" si="5"/>
        <v>0.03007819659</v>
      </c>
      <c r="M320" s="16">
        <f t="shared" si="6"/>
        <v>505.8405</v>
      </c>
      <c r="N320" s="20"/>
    </row>
    <row r="321">
      <c r="A321" s="30"/>
      <c r="B321" s="30" t="s">
        <v>614</v>
      </c>
      <c r="C321" s="15" t="s">
        <v>615</v>
      </c>
      <c r="D321" s="16">
        <v>757.0</v>
      </c>
      <c r="E321" s="16">
        <f t="shared" si="1"/>
        <v>52.233</v>
      </c>
      <c r="F321" s="16">
        <f t="shared" si="2"/>
        <v>16.2755</v>
      </c>
      <c r="G321" s="17">
        <v>583.0</v>
      </c>
      <c r="H321" s="18">
        <v>0.15</v>
      </c>
      <c r="I321" s="16">
        <f t="shared" si="11"/>
        <v>113.55</v>
      </c>
      <c r="J321" s="16"/>
      <c r="K321" s="16">
        <f t="shared" si="4"/>
        <v>-8.0585</v>
      </c>
      <c r="L321" s="19">
        <f t="shared" si="5"/>
        <v>-0.01382246998</v>
      </c>
      <c r="M321" s="16">
        <f t="shared" si="6"/>
        <v>574.9415</v>
      </c>
      <c r="N321" s="20"/>
    </row>
    <row r="322">
      <c r="A322" s="30"/>
      <c r="B322" s="30" t="s">
        <v>616</v>
      </c>
      <c r="C322" s="15"/>
      <c r="D322" s="16">
        <v>999.0</v>
      </c>
      <c r="E322" s="16">
        <f t="shared" si="1"/>
        <v>68.931</v>
      </c>
      <c r="F322" s="16">
        <f t="shared" si="2"/>
        <v>21.4785</v>
      </c>
      <c r="G322" s="17">
        <v>768.84</v>
      </c>
      <c r="H322" s="18">
        <v>0.1</v>
      </c>
      <c r="I322" s="16">
        <f t="shared" si="11"/>
        <v>99.9</v>
      </c>
      <c r="J322" s="16">
        <v>72.0</v>
      </c>
      <c r="K322" s="16">
        <f t="shared" si="4"/>
        <v>-32.1495</v>
      </c>
      <c r="L322" s="19">
        <f t="shared" si="5"/>
        <v>-0.04181559232</v>
      </c>
      <c r="M322" s="16">
        <f t="shared" si="6"/>
        <v>736.6905</v>
      </c>
      <c r="N322" s="20"/>
    </row>
    <row r="323">
      <c r="A323" s="30"/>
      <c r="B323" s="30" t="s">
        <v>617</v>
      </c>
      <c r="C323" s="15" t="s">
        <v>618</v>
      </c>
      <c r="D323" s="16">
        <v>999.0</v>
      </c>
      <c r="E323" s="16">
        <f t="shared" si="1"/>
        <v>68.931</v>
      </c>
      <c r="F323" s="16">
        <f t="shared" si="2"/>
        <v>21.4785</v>
      </c>
      <c r="G323" s="17">
        <v>567.45</v>
      </c>
      <c r="H323" s="18">
        <v>0.15</v>
      </c>
      <c r="I323" s="16">
        <f t="shared" si="11"/>
        <v>149.85</v>
      </c>
      <c r="J323" s="16"/>
      <c r="K323" s="16">
        <f t="shared" si="4"/>
        <v>191.2905</v>
      </c>
      <c r="L323" s="19">
        <f t="shared" si="5"/>
        <v>0.3371054718</v>
      </c>
      <c r="M323" s="16">
        <f t="shared" si="6"/>
        <v>758.7405</v>
      </c>
      <c r="N323" s="20"/>
    </row>
    <row r="324">
      <c r="A324" s="30"/>
      <c r="B324" s="30" t="s">
        <v>619</v>
      </c>
      <c r="C324" s="15" t="s">
        <v>620</v>
      </c>
      <c r="D324" s="29">
        <v>456.0</v>
      </c>
      <c r="E324" s="16">
        <f t="shared" si="1"/>
        <v>31.464</v>
      </c>
      <c r="F324" s="16">
        <f t="shared" si="2"/>
        <v>9.804</v>
      </c>
      <c r="G324" s="32">
        <v>229.99</v>
      </c>
      <c r="H324" s="18">
        <v>0.1</v>
      </c>
      <c r="I324" s="16">
        <f t="shared" si="11"/>
        <v>45.6</v>
      </c>
      <c r="J324" s="29">
        <v>95.0</v>
      </c>
      <c r="K324" s="16">
        <f t="shared" si="4"/>
        <v>44.142</v>
      </c>
      <c r="L324" s="19">
        <f t="shared" si="5"/>
        <v>0.1919300839</v>
      </c>
      <c r="M324" s="16">
        <f t="shared" si="6"/>
        <v>274.132</v>
      </c>
      <c r="N324" s="20"/>
    </row>
    <row r="325">
      <c r="A325" s="30"/>
      <c r="B325" s="30" t="s">
        <v>621</v>
      </c>
      <c r="C325" s="15" t="s">
        <v>622</v>
      </c>
      <c r="D325" s="16">
        <v>5030.0</v>
      </c>
      <c r="E325" s="16">
        <f t="shared" si="1"/>
        <v>347.07</v>
      </c>
      <c r="F325" s="16">
        <f t="shared" si="2"/>
        <v>108.145</v>
      </c>
      <c r="G325" s="17">
        <v>4021.37</v>
      </c>
      <c r="H325" s="18">
        <v>0.1</v>
      </c>
      <c r="I325" s="16">
        <f t="shared" si="11"/>
        <v>503</v>
      </c>
      <c r="J325" s="16">
        <v>68.0</v>
      </c>
      <c r="K325" s="16">
        <f t="shared" si="4"/>
        <v>-17.585</v>
      </c>
      <c r="L325" s="19">
        <f t="shared" si="5"/>
        <v>-0.004372887847</v>
      </c>
      <c r="M325" s="16">
        <f t="shared" si="6"/>
        <v>4003.785</v>
      </c>
      <c r="N325" s="20"/>
    </row>
    <row r="326">
      <c r="A326" s="30"/>
      <c r="B326" s="30" t="s">
        <v>623</v>
      </c>
      <c r="C326" s="15" t="s">
        <v>624</v>
      </c>
      <c r="D326" s="16">
        <v>5799.0</v>
      </c>
      <c r="E326" s="16">
        <f t="shared" si="1"/>
        <v>400.131</v>
      </c>
      <c r="F326" s="16">
        <f t="shared" si="2"/>
        <v>124.6785</v>
      </c>
      <c r="G326" s="17">
        <v>4021.37</v>
      </c>
      <c r="H326" s="18">
        <v>0.15</v>
      </c>
      <c r="I326" s="16">
        <f t="shared" si="11"/>
        <v>869.85</v>
      </c>
      <c r="J326" s="16"/>
      <c r="K326" s="16">
        <f t="shared" si="4"/>
        <v>382.9705</v>
      </c>
      <c r="L326" s="19">
        <f t="shared" si="5"/>
        <v>0.09523383822</v>
      </c>
      <c r="M326" s="16">
        <f t="shared" si="6"/>
        <v>4404.3405</v>
      </c>
      <c r="N326" s="20"/>
    </row>
    <row r="327">
      <c r="A327" s="30"/>
      <c r="B327" s="30" t="s">
        <v>625</v>
      </c>
      <c r="C327" s="15" t="s">
        <v>624</v>
      </c>
      <c r="D327" s="16">
        <v>5450.0</v>
      </c>
      <c r="E327" s="16">
        <f t="shared" si="1"/>
        <v>376.05</v>
      </c>
      <c r="F327" s="16">
        <f t="shared" si="2"/>
        <v>117.175</v>
      </c>
      <c r="G327" s="17">
        <v>4021.37</v>
      </c>
      <c r="H327" s="18">
        <v>0.145</v>
      </c>
      <c r="I327" s="16">
        <f t="shared" si="11"/>
        <v>790.25</v>
      </c>
      <c r="J327" s="29">
        <v>65.5</v>
      </c>
      <c r="K327" s="16">
        <f t="shared" si="4"/>
        <v>79.655</v>
      </c>
      <c r="L327" s="19">
        <f t="shared" si="5"/>
        <v>0.01980792615</v>
      </c>
      <c r="M327" s="16">
        <f t="shared" si="6"/>
        <v>4101.025</v>
      </c>
      <c r="N327" s="20"/>
    </row>
    <row r="328">
      <c r="A328" s="30"/>
      <c r="B328" s="30" t="s">
        <v>626</v>
      </c>
      <c r="C328" s="15" t="s">
        <v>627</v>
      </c>
      <c r="D328" s="29">
        <v>3499.0</v>
      </c>
      <c r="E328" s="16">
        <f t="shared" si="1"/>
        <v>241.431</v>
      </c>
      <c r="F328" s="16">
        <f t="shared" si="2"/>
        <v>75.2285</v>
      </c>
      <c r="G328" s="32">
        <v>2672.18</v>
      </c>
      <c r="H328" s="18">
        <v>0.145</v>
      </c>
      <c r="I328" s="16">
        <f t="shared" si="11"/>
        <v>507.355</v>
      </c>
      <c r="J328" s="29">
        <v>79.0</v>
      </c>
      <c r="K328" s="16">
        <f t="shared" si="4"/>
        <v>-76.1945</v>
      </c>
      <c r="L328" s="19">
        <f t="shared" si="5"/>
        <v>-0.02851398484</v>
      </c>
      <c r="M328" s="16">
        <f t="shared" si="6"/>
        <v>2595.9855</v>
      </c>
      <c r="N328" s="20"/>
    </row>
    <row r="329">
      <c r="A329" s="30"/>
      <c r="B329" s="30" t="s">
        <v>628</v>
      </c>
      <c r="C329" s="15" t="s">
        <v>629</v>
      </c>
      <c r="D329" s="29">
        <v>1149.0</v>
      </c>
      <c r="E329" s="16">
        <f t="shared" si="1"/>
        <v>79.281</v>
      </c>
      <c r="F329" s="16">
        <f t="shared" si="2"/>
        <v>24.7035</v>
      </c>
      <c r="G329" s="32">
        <v>816.0</v>
      </c>
      <c r="H329" s="18">
        <v>0.1</v>
      </c>
      <c r="I329" s="16">
        <f t="shared" si="11"/>
        <v>114.9</v>
      </c>
      <c r="J329" s="29">
        <v>91.0</v>
      </c>
      <c r="K329" s="16">
        <f t="shared" si="4"/>
        <v>23.1155</v>
      </c>
      <c r="L329" s="19">
        <f t="shared" si="5"/>
        <v>0.02832781863</v>
      </c>
      <c r="M329" s="16">
        <f t="shared" si="6"/>
        <v>839.1155</v>
      </c>
      <c r="N329" s="20"/>
    </row>
    <row r="330">
      <c r="A330" s="34" t="s">
        <v>630</v>
      </c>
      <c r="B330" s="30" t="s">
        <v>631</v>
      </c>
      <c r="C330" s="15" t="s">
        <v>632</v>
      </c>
      <c r="D330" s="29">
        <v>531.0</v>
      </c>
      <c r="E330" s="16">
        <f t="shared" si="1"/>
        <v>36.639</v>
      </c>
      <c r="F330" s="16">
        <f t="shared" si="2"/>
        <v>11.4165</v>
      </c>
      <c r="G330" s="32">
        <v>397.86</v>
      </c>
      <c r="H330" s="18">
        <v>0.1</v>
      </c>
      <c r="I330" s="16">
        <f t="shared" si="11"/>
        <v>53.1</v>
      </c>
      <c r="J330" s="29">
        <v>79.5</v>
      </c>
      <c r="K330" s="16">
        <f t="shared" si="4"/>
        <v>-47.5155</v>
      </c>
      <c r="L330" s="19">
        <f t="shared" si="5"/>
        <v>-0.1194276881</v>
      </c>
      <c r="M330" s="16">
        <f t="shared" si="6"/>
        <v>350.3445</v>
      </c>
      <c r="N330" s="20"/>
    </row>
    <row r="331">
      <c r="A331" s="30"/>
      <c r="B331" s="30" t="s">
        <v>633</v>
      </c>
      <c r="C331" s="15" t="s">
        <v>634</v>
      </c>
      <c r="D331" s="16">
        <v>1425.0</v>
      </c>
      <c r="E331" s="16">
        <f t="shared" si="1"/>
        <v>98.325</v>
      </c>
      <c r="F331" s="16">
        <f t="shared" si="2"/>
        <v>30.6375</v>
      </c>
      <c r="G331" s="17">
        <v>1142.13</v>
      </c>
      <c r="H331" s="18">
        <v>0.1</v>
      </c>
      <c r="I331" s="16">
        <f t="shared" si="11"/>
        <v>142.5</v>
      </c>
      <c r="J331" s="16">
        <v>91.0</v>
      </c>
      <c r="K331" s="16">
        <f t="shared" si="4"/>
        <v>-79.5925</v>
      </c>
      <c r="L331" s="19">
        <f t="shared" si="5"/>
        <v>-0.06968777635</v>
      </c>
      <c r="M331" s="16">
        <f t="shared" si="6"/>
        <v>1062.5375</v>
      </c>
      <c r="N331" s="20"/>
    </row>
    <row r="332">
      <c r="A332" s="30"/>
      <c r="B332" s="30" t="s">
        <v>635</v>
      </c>
      <c r="C332" s="15" t="s">
        <v>636</v>
      </c>
      <c r="D332" s="29">
        <v>699.0</v>
      </c>
      <c r="E332" s="16">
        <f t="shared" si="1"/>
        <v>48.231</v>
      </c>
      <c r="F332" s="16">
        <f t="shared" si="2"/>
        <v>15.0285</v>
      </c>
      <c r="G332" s="32">
        <v>507.31</v>
      </c>
      <c r="H332" s="18">
        <v>0.1</v>
      </c>
      <c r="I332" s="16">
        <f t="shared" si="11"/>
        <v>69.9</v>
      </c>
      <c r="J332" s="29">
        <v>65.0</v>
      </c>
      <c r="K332" s="16">
        <f t="shared" si="4"/>
        <v>-6.4695</v>
      </c>
      <c r="L332" s="19">
        <f t="shared" si="5"/>
        <v>-0.01275255761</v>
      </c>
      <c r="M332" s="16">
        <f t="shared" si="6"/>
        <v>500.8405</v>
      </c>
      <c r="N332" s="20"/>
    </row>
    <row r="333">
      <c r="A333" s="30"/>
      <c r="B333" s="30" t="s">
        <v>637</v>
      </c>
      <c r="C333" s="15" t="s">
        <v>638</v>
      </c>
      <c r="D333" s="16">
        <v>927.0</v>
      </c>
      <c r="E333" s="16">
        <f t="shared" si="1"/>
        <v>63.963</v>
      </c>
      <c r="F333" s="16">
        <f t="shared" si="2"/>
        <v>19.9305</v>
      </c>
      <c r="G333" s="17">
        <v>643.09</v>
      </c>
      <c r="H333" s="18">
        <v>0.1</v>
      </c>
      <c r="I333" s="16">
        <f t="shared" si="11"/>
        <v>92.7</v>
      </c>
      <c r="J333" s="16">
        <v>65.0</v>
      </c>
      <c r="K333" s="16">
        <f t="shared" si="4"/>
        <v>42.3165</v>
      </c>
      <c r="L333" s="19">
        <f t="shared" si="5"/>
        <v>0.06580183178</v>
      </c>
      <c r="M333" s="16">
        <f t="shared" si="6"/>
        <v>685.4065</v>
      </c>
      <c r="N333" s="20"/>
    </row>
    <row r="334">
      <c r="A334" s="30"/>
      <c r="B334" s="30" t="s">
        <v>639</v>
      </c>
      <c r="C334" s="15" t="s">
        <v>640</v>
      </c>
      <c r="D334" s="16">
        <v>8999.0</v>
      </c>
      <c r="E334" s="16">
        <f t="shared" si="1"/>
        <v>620.931</v>
      </c>
      <c r="F334" s="16">
        <f t="shared" si="2"/>
        <v>193.4785</v>
      </c>
      <c r="G334" s="17">
        <v>6403.73</v>
      </c>
      <c r="H334" s="18">
        <v>0.1</v>
      </c>
      <c r="I334" s="16">
        <f t="shared" si="11"/>
        <v>899.9</v>
      </c>
      <c r="J334" s="16">
        <v>299.0</v>
      </c>
      <c r="K334" s="16">
        <f t="shared" si="4"/>
        <v>581.9605</v>
      </c>
      <c r="L334" s="19">
        <f t="shared" si="5"/>
        <v>0.09087836308</v>
      </c>
      <c r="M334" s="16">
        <f t="shared" si="6"/>
        <v>6985.6905</v>
      </c>
      <c r="N334" s="20"/>
    </row>
    <row r="335">
      <c r="A335" s="30"/>
      <c r="B335" s="30" t="s">
        <v>641</v>
      </c>
      <c r="C335" s="15" t="s">
        <v>642</v>
      </c>
      <c r="D335" s="16">
        <v>999.0</v>
      </c>
      <c r="E335" s="16">
        <f t="shared" si="1"/>
        <v>68.931</v>
      </c>
      <c r="F335" s="16">
        <f t="shared" si="2"/>
        <v>21.4785</v>
      </c>
      <c r="G335" s="17">
        <v>691.65</v>
      </c>
      <c r="H335" s="18">
        <v>0.1</v>
      </c>
      <c r="I335" s="16">
        <f t="shared" si="11"/>
        <v>99.9</v>
      </c>
      <c r="J335" s="16">
        <v>91.0</v>
      </c>
      <c r="K335" s="16">
        <f t="shared" si="4"/>
        <v>26.0405</v>
      </c>
      <c r="L335" s="19">
        <f t="shared" si="5"/>
        <v>0.03764982289</v>
      </c>
      <c r="M335" s="16">
        <f t="shared" si="6"/>
        <v>717.6905</v>
      </c>
      <c r="N335" s="20"/>
    </row>
    <row r="336">
      <c r="A336" s="30"/>
      <c r="B336" s="30" t="s">
        <v>643</v>
      </c>
      <c r="C336" s="15" t="s">
        <v>644</v>
      </c>
      <c r="D336" s="16">
        <v>11999.0</v>
      </c>
      <c r="E336" s="16">
        <f t="shared" si="1"/>
        <v>827.931</v>
      </c>
      <c r="F336" s="16">
        <f t="shared" si="2"/>
        <v>257.9785</v>
      </c>
      <c r="G336" s="17">
        <v>7992.4</v>
      </c>
      <c r="H336" s="18">
        <v>0.1</v>
      </c>
      <c r="I336" s="16">
        <f t="shared" si="11"/>
        <v>1199.9</v>
      </c>
      <c r="J336" s="16">
        <v>245.0</v>
      </c>
      <c r="K336" s="16">
        <f t="shared" si="4"/>
        <v>1475.7905</v>
      </c>
      <c r="L336" s="19">
        <f t="shared" si="5"/>
        <v>0.1846492293</v>
      </c>
      <c r="M336" s="16">
        <f t="shared" si="6"/>
        <v>9468.1905</v>
      </c>
      <c r="N336" s="20"/>
    </row>
    <row r="337">
      <c r="A337" s="30"/>
      <c r="B337" s="30" t="s">
        <v>645</v>
      </c>
      <c r="C337" s="15" t="s">
        <v>646</v>
      </c>
      <c r="D337" s="16">
        <v>699.0</v>
      </c>
      <c r="E337" s="16">
        <f t="shared" si="1"/>
        <v>48.231</v>
      </c>
      <c r="F337" s="16">
        <f t="shared" si="2"/>
        <v>15.0285</v>
      </c>
      <c r="G337" s="17">
        <v>307.31</v>
      </c>
      <c r="H337" s="18">
        <v>0.1</v>
      </c>
      <c r="I337" s="16">
        <f t="shared" si="11"/>
        <v>69.9</v>
      </c>
      <c r="J337" s="16">
        <v>65.0</v>
      </c>
      <c r="K337" s="16">
        <f t="shared" si="4"/>
        <v>193.5305</v>
      </c>
      <c r="L337" s="19">
        <f t="shared" si="5"/>
        <v>0.6297565976</v>
      </c>
      <c r="M337" s="16">
        <f t="shared" si="6"/>
        <v>500.8405</v>
      </c>
      <c r="N337" s="20"/>
    </row>
    <row r="338">
      <c r="A338" s="30"/>
      <c r="B338" s="30" t="s">
        <v>647</v>
      </c>
      <c r="C338" s="15" t="s">
        <v>648</v>
      </c>
      <c r="D338" s="16">
        <v>453.0</v>
      </c>
      <c r="E338" s="16">
        <f t="shared" si="1"/>
        <v>31.257</v>
      </c>
      <c r="F338" s="16">
        <f t="shared" si="2"/>
        <v>9.7395</v>
      </c>
      <c r="G338" s="17">
        <v>287.69</v>
      </c>
      <c r="H338" s="18">
        <v>0.1</v>
      </c>
      <c r="I338" s="16">
        <f t="shared" si="11"/>
        <v>45.3</v>
      </c>
      <c r="J338" s="16">
        <v>62.0</v>
      </c>
      <c r="K338" s="16">
        <f t="shared" si="4"/>
        <v>17.0135</v>
      </c>
      <c r="L338" s="19">
        <f t="shared" si="5"/>
        <v>0.0591383086</v>
      </c>
      <c r="M338" s="16">
        <f t="shared" si="6"/>
        <v>304.7035</v>
      </c>
      <c r="N338" s="20"/>
    </row>
    <row r="339">
      <c r="A339" s="30"/>
      <c r="B339" s="30" t="s">
        <v>649</v>
      </c>
      <c r="C339" s="15" t="s">
        <v>650</v>
      </c>
      <c r="D339" s="29">
        <v>1099.0</v>
      </c>
      <c r="E339" s="16">
        <f t="shared" si="1"/>
        <v>75.831</v>
      </c>
      <c r="F339" s="16">
        <f t="shared" si="2"/>
        <v>23.6285</v>
      </c>
      <c r="G339" s="32">
        <v>778.0</v>
      </c>
      <c r="H339" s="18">
        <v>0.145</v>
      </c>
      <c r="I339" s="16">
        <f t="shared" si="11"/>
        <v>159.355</v>
      </c>
      <c r="J339" s="29">
        <v>65.0</v>
      </c>
      <c r="K339" s="16">
        <f t="shared" si="4"/>
        <v>-2.8145</v>
      </c>
      <c r="L339" s="19">
        <f t="shared" si="5"/>
        <v>-0.003617609254</v>
      </c>
      <c r="M339" s="16">
        <f t="shared" si="6"/>
        <v>775.1855</v>
      </c>
      <c r="N339" s="20"/>
    </row>
    <row r="340">
      <c r="A340" s="30"/>
      <c r="B340" s="30" t="s">
        <v>651</v>
      </c>
      <c r="C340" s="15" t="s">
        <v>652</v>
      </c>
      <c r="D340" s="16">
        <v>14999.0</v>
      </c>
      <c r="E340" s="16">
        <f t="shared" si="1"/>
        <v>1034.931</v>
      </c>
      <c r="F340" s="16">
        <f t="shared" si="2"/>
        <v>322.4785</v>
      </c>
      <c r="G340" s="17">
        <v>10744.58</v>
      </c>
      <c r="H340" s="18">
        <v>0.1</v>
      </c>
      <c r="I340" s="16">
        <f t="shared" si="11"/>
        <v>1499.9</v>
      </c>
      <c r="J340" s="16">
        <v>295.0</v>
      </c>
      <c r="K340" s="16">
        <f t="shared" si="4"/>
        <v>1102.1105</v>
      </c>
      <c r="L340" s="19">
        <f t="shared" si="5"/>
        <v>0.1025736232</v>
      </c>
      <c r="M340" s="16">
        <f t="shared" si="6"/>
        <v>11846.6905</v>
      </c>
      <c r="N340" s="20"/>
    </row>
    <row r="341">
      <c r="A341" s="30"/>
      <c r="B341" s="30" t="s">
        <v>653</v>
      </c>
      <c r="C341" s="15" t="s">
        <v>654</v>
      </c>
      <c r="D341" s="29">
        <v>2999.0</v>
      </c>
      <c r="E341" s="16">
        <f t="shared" si="1"/>
        <v>206.931</v>
      </c>
      <c r="F341" s="16">
        <f t="shared" si="2"/>
        <v>64.4785</v>
      </c>
      <c r="G341" s="32">
        <v>1865.0</v>
      </c>
      <c r="H341" s="18">
        <v>0.195</v>
      </c>
      <c r="I341" s="16">
        <f t="shared" si="11"/>
        <v>584.805</v>
      </c>
      <c r="J341" s="29">
        <v>155.0</v>
      </c>
      <c r="K341" s="16">
        <f t="shared" si="4"/>
        <v>122.7855</v>
      </c>
      <c r="L341" s="19">
        <f t="shared" si="5"/>
        <v>0.06583672922</v>
      </c>
      <c r="M341" s="16">
        <f t="shared" si="6"/>
        <v>1987.7855</v>
      </c>
      <c r="N341" s="20"/>
    </row>
    <row r="342">
      <c r="A342" s="30"/>
      <c r="B342" s="30" t="s">
        <v>655</v>
      </c>
      <c r="C342" s="15" t="s">
        <v>656</v>
      </c>
      <c r="D342" s="16">
        <v>999.0</v>
      </c>
      <c r="E342" s="16">
        <f t="shared" si="1"/>
        <v>68.931</v>
      </c>
      <c r="F342" s="16">
        <f t="shared" si="2"/>
        <v>21.4785</v>
      </c>
      <c r="G342" s="17">
        <v>763.3</v>
      </c>
      <c r="H342" s="18">
        <v>0.1</v>
      </c>
      <c r="I342" s="16">
        <f t="shared" si="11"/>
        <v>99.9</v>
      </c>
      <c r="J342" s="16">
        <v>91.0</v>
      </c>
      <c r="K342" s="16">
        <f t="shared" si="4"/>
        <v>-45.6095</v>
      </c>
      <c r="L342" s="19">
        <f t="shared" si="5"/>
        <v>-0.05975304598</v>
      </c>
      <c r="M342" s="16">
        <f t="shared" si="6"/>
        <v>717.6905</v>
      </c>
      <c r="N342" s="20"/>
    </row>
    <row r="343">
      <c r="A343" s="30"/>
      <c r="B343" s="30" t="s">
        <v>657</v>
      </c>
      <c r="C343" s="15" t="s">
        <v>658</v>
      </c>
      <c r="D343" s="16">
        <v>1059.0</v>
      </c>
      <c r="E343" s="16">
        <f t="shared" si="1"/>
        <v>73.071</v>
      </c>
      <c r="F343" s="16">
        <f t="shared" si="2"/>
        <v>22.7685</v>
      </c>
      <c r="G343" s="17">
        <v>643.09</v>
      </c>
      <c r="H343" s="18">
        <v>0.1</v>
      </c>
      <c r="I343" s="16">
        <f t="shared" si="11"/>
        <v>105.9</v>
      </c>
      <c r="J343" s="16"/>
      <c r="K343" s="16">
        <f t="shared" si="4"/>
        <v>214.1705</v>
      </c>
      <c r="L343" s="19">
        <f t="shared" si="5"/>
        <v>0.333033479</v>
      </c>
      <c r="M343" s="16">
        <f t="shared" si="6"/>
        <v>857.2605</v>
      </c>
      <c r="N343" s="20"/>
    </row>
    <row r="344">
      <c r="A344" s="30"/>
      <c r="B344" s="30" t="s">
        <v>659</v>
      </c>
      <c r="C344" s="15" t="s">
        <v>660</v>
      </c>
      <c r="D344" s="16"/>
      <c r="E344" s="16">
        <f t="shared" si="1"/>
        <v>0</v>
      </c>
      <c r="F344" s="16">
        <f t="shared" si="2"/>
        <v>0</v>
      </c>
      <c r="G344" s="17">
        <v>959.32</v>
      </c>
      <c r="H344" s="18">
        <v>0.1</v>
      </c>
      <c r="I344" s="16">
        <f t="shared" si="11"/>
        <v>0</v>
      </c>
      <c r="J344" s="16"/>
      <c r="K344" s="16">
        <f t="shared" si="4"/>
        <v>-959.32</v>
      </c>
      <c r="L344" s="19">
        <f t="shared" si="5"/>
        <v>-1</v>
      </c>
      <c r="M344" s="16">
        <f t="shared" si="6"/>
        <v>0</v>
      </c>
      <c r="N344" s="20"/>
    </row>
    <row r="345">
      <c r="A345" s="30"/>
      <c r="B345" s="30" t="s">
        <v>661</v>
      </c>
      <c r="C345" s="15" t="s">
        <v>662</v>
      </c>
      <c r="D345" s="16">
        <v>2940.0</v>
      </c>
      <c r="E345" s="16">
        <f t="shared" si="1"/>
        <v>202.86</v>
      </c>
      <c r="F345" s="16">
        <f t="shared" si="2"/>
        <v>63.21</v>
      </c>
      <c r="G345" s="17">
        <v>1183.46</v>
      </c>
      <c r="H345" s="18">
        <v>0.1</v>
      </c>
      <c r="I345" s="16">
        <f t="shared" si="11"/>
        <v>294</v>
      </c>
      <c r="J345" s="16">
        <v>60.0</v>
      </c>
      <c r="K345" s="16">
        <f t="shared" si="4"/>
        <v>1136.47</v>
      </c>
      <c r="L345" s="19">
        <f t="shared" si="5"/>
        <v>0.960294391</v>
      </c>
      <c r="M345" s="16">
        <f t="shared" si="6"/>
        <v>2319.93</v>
      </c>
      <c r="N345" s="20"/>
    </row>
    <row r="346">
      <c r="A346" s="30"/>
      <c r="B346" s="30" t="s">
        <v>663</v>
      </c>
      <c r="C346" s="15" t="s">
        <v>664</v>
      </c>
      <c r="D346" s="16">
        <v>758.0</v>
      </c>
      <c r="E346" s="16">
        <f t="shared" si="1"/>
        <v>52.302</v>
      </c>
      <c r="F346" s="16">
        <f t="shared" si="2"/>
        <v>16.297</v>
      </c>
      <c r="G346" s="17">
        <v>542.77</v>
      </c>
      <c r="H346" s="18">
        <v>0.1</v>
      </c>
      <c r="I346" s="16">
        <f t="shared" si="11"/>
        <v>75.8</v>
      </c>
      <c r="J346" s="16">
        <v>91.0</v>
      </c>
      <c r="K346" s="16">
        <f t="shared" si="4"/>
        <v>-20.169</v>
      </c>
      <c r="L346" s="19">
        <f t="shared" si="5"/>
        <v>-0.03715938611</v>
      </c>
      <c r="M346" s="16">
        <f t="shared" si="6"/>
        <v>522.601</v>
      </c>
      <c r="N346" s="20"/>
    </row>
    <row r="347">
      <c r="A347" s="34" t="s">
        <v>665</v>
      </c>
      <c r="B347" s="30" t="s">
        <v>666</v>
      </c>
      <c r="C347" s="15" t="s">
        <v>667</v>
      </c>
      <c r="D347" s="29">
        <v>719.0</v>
      </c>
      <c r="E347" s="16">
        <f t="shared" si="1"/>
        <v>49.611</v>
      </c>
      <c r="F347" s="16">
        <f t="shared" si="2"/>
        <v>15.4585</v>
      </c>
      <c r="G347" s="32">
        <v>511.0</v>
      </c>
      <c r="H347" s="18">
        <v>0.1</v>
      </c>
      <c r="I347" s="16">
        <f t="shared" si="11"/>
        <v>71.9</v>
      </c>
      <c r="J347" s="29">
        <v>65.5</v>
      </c>
      <c r="K347" s="16">
        <f t="shared" si="4"/>
        <v>5.5305</v>
      </c>
      <c r="L347" s="19">
        <f t="shared" si="5"/>
        <v>0.01082289628</v>
      </c>
      <c r="M347" s="16">
        <f t="shared" si="6"/>
        <v>516.5305</v>
      </c>
      <c r="N347" s="20"/>
    </row>
    <row r="348">
      <c r="A348" s="30"/>
      <c r="B348" s="30" t="s">
        <v>668</v>
      </c>
      <c r="C348" s="15" t="s">
        <v>667</v>
      </c>
      <c r="D348" s="16">
        <v>999.0</v>
      </c>
      <c r="E348" s="16">
        <f t="shared" si="1"/>
        <v>68.931</v>
      </c>
      <c r="F348" s="16">
        <f t="shared" si="2"/>
        <v>21.4785</v>
      </c>
      <c r="G348" s="17">
        <v>616.64</v>
      </c>
      <c r="H348" s="18">
        <v>0.1</v>
      </c>
      <c r="I348" s="16">
        <f t="shared" si="11"/>
        <v>99.9</v>
      </c>
      <c r="J348" s="16">
        <v>66.0</v>
      </c>
      <c r="K348" s="16">
        <f t="shared" si="4"/>
        <v>126.0505</v>
      </c>
      <c r="L348" s="19">
        <f t="shared" si="5"/>
        <v>0.2044150558</v>
      </c>
      <c r="M348" s="16">
        <f t="shared" si="6"/>
        <v>742.6905</v>
      </c>
      <c r="N348" s="20"/>
    </row>
    <row r="349">
      <c r="A349" s="13"/>
      <c r="B349" s="14" t="s">
        <v>669</v>
      </c>
      <c r="C349" s="15" t="s">
        <v>670</v>
      </c>
      <c r="D349" s="29">
        <v>140.0</v>
      </c>
      <c r="E349" s="16">
        <f t="shared" si="1"/>
        <v>9.66</v>
      </c>
      <c r="F349" s="16">
        <f t="shared" si="2"/>
        <v>3.01</v>
      </c>
      <c r="G349" s="17">
        <v>92.63</v>
      </c>
      <c r="H349" s="18">
        <v>0.1</v>
      </c>
      <c r="I349" s="16">
        <f>H349*D349+30</f>
        <v>44</v>
      </c>
      <c r="J349" s="16"/>
      <c r="K349" s="16">
        <f t="shared" si="4"/>
        <v>-9.3</v>
      </c>
      <c r="L349" s="19">
        <f t="shared" si="5"/>
        <v>-0.1003994386</v>
      </c>
      <c r="M349" s="16">
        <f t="shared" si="6"/>
        <v>83.33</v>
      </c>
      <c r="N349" s="20"/>
    </row>
    <row r="350">
      <c r="A350" s="30"/>
      <c r="B350" s="30" t="s">
        <v>671</v>
      </c>
      <c r="C350" s="15" t="s">
        <v>672</v>
      </c>
      <c r="D350" s="16">
        <v>156.0</v>
      </c>
      <c r="E350" s="16">
        <f t="shared" si="1"/>
        <v>10.764</v>
      </c>
      <c r="F350" s="16">
        <f t="shared" si="2"/>
        <v>3.354</v>
      </c>
      <c r="G350" s="17">
        <v>102.64</v>
      </c>
      <c r="H350" s="18">
        <v>0.1</v>
      </c>
      <c r="I350" s="16">
        <f t="shared" ref="I350:I366" si="12">H350*D350</f>
        <v>15.6</v>
      </c>
      <c r="J350" s="16"/>
      <c r="K350" s="16">
        <f t="shared" si="4"/>
        <v>23.642</v>
      </c>
      <c r="L350" s="19">
        <f t="shared" si="5"/>
        <v>0.2303390491</v>
      </c>
      <c r="M350" s="16">
        <f t="shared" si="6"/>
        <v>126.282</v>
      </c>
      <c r="N350" s="20"/>
    </row>
    <row r="351">
      <c r="A351" s="30"/>
      <c r="B351" s="30" t="s">
        <v>673</v>
      </c>
      <c r="C351" s="15" t="s">
        <v>674</v>
      </c>
      <c r="D351" s="16">
        <v>731.0</v>
      </c>
      <c r="E351" s="16">
        <f t="shared" si="1"/>
        <v>50.439</v>
      </c>
      <c r="F351" s="16">
        <f t="shared" si="2"/>
        <v>15.7165</v>
      </c>
      <c r="G351" s="17">
        <v>524.09</v>
      </c>
      <c r="H351" s="18">
        <v>0.1</v>
      </c>
      <c r="I351" s="16">
        <f t="shared" si="12"/>
        <v>73.1</v>
      </c>
      <c r="J351" s="16">
        <v>62.5</v>
      </c>
      <c r="K351" s="16">
        <f t="shared" si="4"/>
        <v>5.1545</v>
      </c>
      <c r="L351" s="19">
        <f t="shared" si="5"/>
        <v>0.009835142819</v>
      </c>
      <c r="M351" s="16">
        <f t="shared" si="6"/>
        <v>529.2445</v>
      </c>
      <c r="N351" s="20"/>
    </row>
    <row r="352">
      <c r="A352" s="30"/>
      <c r="B352" s="30" t="s">
        <v>675</v>
      </c>
      <c r="C352" s="15" t="s">
        <v>676</v>
      </c>
      <c r="D352" s="29">
        <v>699.0</v>
      </c>
      <c r="E352" s="16">
        <f t="shared" si="1"/>
        <v>48.231</v>
      </c>
      <c r="F352" s="16">
        <f t="shared" si="2"/>
        <v>15.0285</v>
      </c>
      <c r="G352" s="32">
        <v>414.65</v>
      </c>
      <c r="H352" s="18">
        <v>0.1</v>
      </c>
      <c r="I352" s="16">
        <f t="shared" si="12"/>
        <v>69.9</v>
      </c>
      <c r="J352" s="16">
        <v>95.0</v>
      </c>
      <c r="K352" s="16">
        <f t="shared" si="4"/>
        <v>56.1905</v>
      </c>
      <c r="L352" s="19">
        <f t="shared" si="5"/>
        <v>0.1355130833</v>
      </c>
      <c r="M352" s="16">
        <f t="shared" si="6"/>
        <v>470.8405</v>
      </c>
      <c r="N352" s="20"/>
    </row>
    <row r="353">
      <c r="A353" s="30"/>
      <c r="B353" s="30"/>
      <c r="C353" s="15" t="s">
        <v>677</v>
      </c>
      <c r="D353" s="16">
        <v>1299.0</v>
      </c>
      <c r="E353" s="16">
        <f t="shared" si="1"/>
        <v>89.631</v>
      </c>
      <c r="F353" s="16">
        <f t="shared" si="2"/>
        <v>27.9285</v>
      </c>
      <c r="G353" s="17">
        <v>981.9</v>
      </c>
      <c r="H353" s="18">
        <v>0.1</v>
      </c>
      <c r="I353" s="16">
        <f t="shared" si="12"/>
        <v>129.9</v>
      </c>
      <c r="J353" s="16">
        <v>95.0</v>
      </c>
      <c r="K353" s="16">
        <f t="shared" si="4"/>
        <v>-25.3595</v>
      </c>
      <c r="L353" s="19">
        <f t="shared" si="5"/>
        <v>-0.02582696812</v>
      </c>
      <c r="M353" s="16">
        <f t="shared" si="6"/>
        <v>956.5405</v>
      </c>
      <c r="N353" s="20"/>
    </row>
    <row r="354">
      <c r="A354" s="30"/>
      <c r="B354" s="30"/>
      <c r="C354" s="15" t="s">
        <v>678</v>
      </c>
      <c r="D354" s="16">
        <v>6999.0</v>
      </c>
      <c r="E354" s="16">
        <f t="shared" si="1"/>
        <v>482.931</v>
      </c>
      <c r="F354" s="16">
        <f t="shared" si="2"/>
        <v>150.4785</v>
      </c>
      <c r="G354" s="17">
        <v>4537.74</v>
      </c>
      <c r="H354" s="18">
        <v>0.1</v>
      </c>
      <c r="I354" s="16">
        <f t="shared" si="12"/>
        <v>699.9</v>
      </c>
      <c r="J354" s="16">
        <v>69.0</v>
      </c>
      <c r="K354" s="16">
        <f t="shared" si="4"/>
        <v>1058.9505</v>
      </c>
      <c r="L354" s="19">
        <f t="shared" si="5"/>
        <v>0.2333651774</v>
      </c>
      <c r="M354" s="16">
        <f t="shared" si="6"/>
        <v>5596.6905</v>
      </c>
      <c r="N354" s="20"/>
    </row>
    <row r="355">
      <c r="A355" s="30"/>
      <c r="B355" s="30"/>
      <c r="C355" s="15"/>
      <c r="D355" s="16">
        <v>2899.0</v>
      </c>
      <c r="E355" s="16">
        <f t="shared" si="1"/>
        <v>200.031</v>
      </c>
      <c r="F355" s="16">
        <f t="shared" si="2"/>
        <v>62.3285</v>
      </c>
      <c r="G355" s="17">
        <v>1932.47</v>
      </c>
      <c r="H355" s="18">
        <v>0.1</v>
      </c>
      <c r="I355" s="16">
        <f t="shared" si="12"/>
        <v>289.9</v>
      </c>
      <c r="J355" s="16">
        <v>95.0</v>
      </c>
      <c r="K355" s="16">
        <f t="shared" si="4"/>
        <v>319.2705</v>
      </c>
      <c r="L355" s="19">
        <f t="shared" si="5"/>
        <v>0.1652136903</v>
      </c>
      <c r="M355" s="16">
        <f t="shared" si="6"/>
        <v>2251.7405</v>
      </c>
      <c r="N355" s="20"/>
    </row>
    <row r="356">
      <c r="A356" s="30"/>
      <c r="B356" s="30" t="s">
        <v>679</v>
      </c>
      <c r="C356" s="15" t="s">
        <v>680</v>
      </c>
      <c r="D356" s="16">
        <v>2799.0</v>
      </c>
      <c r="E356" s="16">
        <f t="shared" si="1"/>
        <v>193.131</v>
      </c>
      <c r="F356" s="16">
        <f t="shared" si="2"/>
        <v>60.1785</v>
      </c>
      <c r="G356" s="17">
        <v>2367.48</v>
      </c>
      <c r="H356" s="18">
        <v>0.1</v>
      </c>
      <c r="I356" s="16">
        <f t="shared" si="12"/>
        <v>279.9</v>
      </c>
      <c r="J356" s="16">
        <v>91.0</v>
      </c>
      <c r="K356" s="16">
        <f t="shared" si="4"/>
        <v>-192.6895</v>
      </c>
      <c r="L356" s="19">
        <f t="shared" si="5"/>
        <v>-0.0813901279</v>
      </c>
      <c r="M356" s="16">
        <f t="shared" si="6"/>
        <v>2174.7905</v>
      </c>
      <c r="N356" s="20"/>
    </row>
    <row r="357">
      <c r="A357" s="30"/>
      <c r="B357" s="30" t="s">
        <v>681</v>
      </c>
      <c r="C357" s="15" t="s">
        <v>682</v>
      </c>
      <c r="D357" s="16"/>
      <c r="E357" s="16">
        <f t="shared" si="1"/>
        <v>0</v>
      </c>
      <c r="F357" s="16">
        <f t="shared" si="2"/>
        <v>0</v>
      </c>
      <c r="G357" s="17">
        <v>381.18</v>
      </c>
      <c r="H357" s="18">
        <v>0.1</v>
      </c>
      <c r="I357" s="16">
        <f t="shared" si="12"/>
        <v>0</v>
      </c>
      <c r="J357" s="16"/>
      <c r="K357" s="16">
        <f t="shared" si="4"/>
        <v>-381.18</v>
      </c>
      <c r="L357" s="19">
        <f t="shared" si="5"/>
        <v>-1</v>
      </c>
      <c r="M357" s="16">
        <f t="shared" si="6"/>
        <v>0</v>
      </c>
      <c r="N357" s="20"/>
    </row>
    <row r="358">
      <c r="A358" s="30"/>
      <c r="B358" s="30" t="s">
        <v>683</v>
      </c>
      <c r="C358" s="36" t="s">
        <v>684</v>
      </c>
      <c r="D358" s="16"/>
      <c r="E358" s="16">
        <f t="shared" si="1"/>
        <v>0</v>
      </c>
      <c r="F358" s="16">
        <f t="shared" si="2"/>
        <v>0</v>
      </c>
      <c r="G358" s="17">
        <v>611.91</v>
      </c>
      <c r="H358" s="18">
        <v>0.1</v>
      </c>
      <c r="I358" s="16">
        <f t="shared" si="12"/>
        <v>0</v>
      </c>
      <c r="J358" s="16"/>
      <c r="K358" s="16">
        <f t="shared" si="4"/>
        <v>-611.91</v>
      </c>
      <c r="L358" s="19">
        <f t="shared" si="5"/>
        <v>-1</v>
      </c>
      <c r="M358" s="16">
        <f t="shared" si="6"/>
        <v>0</v>
      </c>
      <c r="N358" s="20"/>
    </row>
    <row r="359">
      <c r="A359" s="30"/>
      <c r="B359" s="30" t="s">
        <v>685</v>
      </c>
      <c r="C359" s="15" t="s">
        <v>686</v>
      </c>
      <c r="D359" s="16"/>
      <c r="E359" s="16">
        <f t="shared" si="1"/>
        <v>0</v>
      </c>
      <c r="F359" s="16">
        <f t="shared" si="2"/>
        <v>0</v>
      </c>
      <c r="G359" s="17">
        <v>634.47</v>
      </c>
      <c r="H359" s="18">
        <v>0.1</v>
      </c>
      <c r="I359" s="16">
        <f t="shared" si="12"/>
        <v>0</v>
      </c>
      <c r="J359" s="16"/>
      <c r="K359" s="16">
        <f t="shared" si="4"/>
        <v>-634.47</v>
      </c>
      <c r="L359" s="19">
        <f t="shared" si="5"/>
        <v>-1</v>
      </c>
      <c r="M359" s="16">
        <f t="shared" si="6"/>
        <v>0</v>
      </c>
      <c r="N359" s="20"/>
    </row>
    <row r="360">
      <c r="A360" s="30"/>
      <c r="B360" s="30" t="s">
        <v>687</v>
      </c>
      <c r="C360" s="36" t="s">
        <v>688</v>
      </c>
      <c r="D360" s="16"/>
      <c r="E360" s="16">
        <f t="shared" si="1"/>
        <v>0</v>
      </c>
      <c r="F360" s="16">
        <f t="shared" si="2"/>
        <v>0</v>
      </c>
      <c r="G360" s="17">
        <v>99.0</v>
      </c>
      <c r="H360" s="18">
        <v>0.1</v>
      </c>
      <c r="I360" s="16">
        <f t="shared" si="12"/>
        <v>0</v>
      </c>
      <c r="J360" s="16"/>
      <c r="K360" s="16">
        <f t="shared" si="4"/>
        <v>-99</v>
      </c>
      <c r="L360" s="19">
        <f t="shared" si="5"/>
        <v>-1</v>
      </c>
      <c r="M360" s="16">
        <f t="shared" si="6"/>
        <v>0</v>
      </c>
      <c r="N360" s="20"/>
    </row>
    <row r="361">
      <c r="A361" s="30"/>
      <c r="B361" s="30" t="s">
        <v>689</v>
      </c>
      <c r="C361" s="36" t="s">
        <v>690</v>
      </c>
      <c r="D361" s="16"/>
      <c r="E361" s="16">
        <f t="shared" si="1"/>
        <v>0</v>
      </c>
      <c r="F361" s="16">
        <f t="shared" si="2"/>
        <v>0</v>
      </c>
      <c r="G361" s="17">
        <v>6161.78</v>
      </c>
      <c r="H361" s="18">
        <v>0.1</v>
      </c>
      <c r="I361" s="16">
        <f t="shared" si="12"/>
        <v>0</v>
      </c>
      <c r="J361" s="16"/>
      <c r="K361" s="16">
        <f t="shared" si="4"/>
        <v>-6161.78</v>
      </c>
      <c r="L361" s="19">
        <f t="shared" si="5"/>
        <v>-1</v>
      </c>
      <c r="M361" s="16">
        <f t="shared" si="6"/>
        <v>0</v>
      </c>
      <c r="N361" s="20"/>
    </row>
    <row r="362">
      <c r="A362" s="30"/>
      <c r="B362" s="30" t="s">
        <v>691</v>
      </c>
      <c r="C362" s="36" t="s">
        <v>692</v>
      </c>
      <c r="D362" s="16"/>
      <c r="E362" s="16">
        <f t="shared" si="1"/>
        <v>0</v>
      </c>
      <c r="F362" s="16">
        <f t="shared" si="2"/>
        <v>0</v>
      </c>
      <c r="G362" s="17">
        <v>280.23</v>
      </c>
      <c r="H362" s="18">
        <v>0.1</v>
      </c>
      <c r="I362" s="16">
        <f t="shared" si="12"/>
        <v>0</v>
      </c>
      <c r="J362" s="16"/>
      <c r="K362" s="16">
        <f t="shared" si="4"/>
        <v>-280.23</v>
      </c>
      <c r="L362" s="19">
        <f t="shared" si="5"/>
        <v>-1</v>
      </c>
      <c r="M362" s="16">
        <f t="shared" si="6"/>
        <v>0</v>
      </c>
      <c r="N362" s="20"/>
    </row>
    <row r="363">
      <c r="A363" s="30"/>
      <c r="B363" s="30" t="s">
        <v>693</v>
      </c>
      <c r="C363" s="36" t="s">
        <v>694</v>
      </c>
      <c r="D363" s="16"/>
      <c r="E363" s="16">
        <f t="shared" si="1"/>
        <v>0</v>
      </c>
      <c r="F363" s="16">
        <f t="shared" si="2"/>
        <v>0</v>
      </c>
      <c r="G363" s="17" t="s">
        <v>695</v>
      </c>
      <c r="H363" s="18">
        <v>0.1</v>
      </c>
      <c r="I363" s="16">
        <f t="shared" si="12"/>
        <v>0</v>
      </c>
      <c r="J363" s="16"/>
      <c r="K363" s="16" t="str">
        <f t="shared" si="4"/>
        <v>#VALUE!</v>
      </c>
      <c r="L363" s="19" t="str">
        <f t="shared" si="5"/>
        <v>#VALUE!</v>
      </c>
      <c r="M363" s="16">
        <f t="shared" si="6"/>
        <v>0</v>
      </c>
      <c r="N363" s="20"/>
    </row>
    <row r="364">
      <c r="A364" s="34" t="s">
        <v>696</v>
      </c>
      <c r="B364" s="30" t="s">
        <v>697</v>
      </c>
      <c r="C364" s="15" t="s">
        <v>698</v>
      </c>
      <c r="D364" s="29">
        <v>573.0</v>
      </c>
      <c r="E364" s="16">
        <f t="shared" si="1"/>
        <v>39.537</v>
      </c>
      <c r="F364" s="16">
        <f t="shared" si="2"/>
        <v>12.3195</v>
      </c>
      <c r="G364" s="32">
        <v>391.39</v>
      </c>
      <c r="H364" s="18">
        <v>0.1</v>
      </c>
      <c r="I364" s="16">
        <f t="shared" si="12"/>
        <v>57.3</v>
      </c>
      <c r="J364" s="29">
        <v>65.0</v>
      </c>
      <c r="K364" s="16">
        <f t="shared" si="4"/>
        <v>7.4535</v>
      </c>
      <c r="L364" s="19">
        <f t="shared" si="5"/>
        <v>0.01904366489</v>
      </c>
      <c r="M364" s="16">
        <f t="shared" si="6"/>
        <v>398.8435</v>
      </c>
      <c r="N364" s="20"/>
    </row>
    <row r="365">
      <c r="A365" s="30"/>
      <c r="B365" s="30" t="s">
        <v>699</v>
      </c>
      <c r="C365" s="15" t="s">
        <v>700</v>
      </c>
      <c r="D365" s="16">
        <v>18999.0</v>
      </c>
      <c r="E365" s="16">
        <f t="shared" si="1"/>
        <v>1310.931</v>
      </c>
      <c r="F365" s="16">
        <f t="shared" si="2"/>
        <v>408.4785</v>
      </c>
      <c r="G365" s="17">
        <v>14348.83</v>
      </c>
      <c r="H365" s="18">
        <v>0.1</v>
      </c>
      <c r="I365" s="16">
        <f t="shared" si="12"/>
        <v>1899.9</v>
      </c>
      <c r="J365" s="16">
        <v>65.0</v>
      </c>
      <c r="K365" s="16">
        <f t="shared" si="4"/>
        <v>965.8605</v>
      </c>
      <c r="L365" s="19">
        <f t="shared" si="5"/>
        <v>0.06731284014</v>
      </c>
      <c r="M365" s="16">
        <f t="shared" si="6"/>
        <v>15314.6905</v>
      </c>
      <c r="N365" s="20"/>
    </row>
    <row r="366">
      <c r="A366" s="34" t="s">
        <v>701</v>
      </c>
      <c r="B366" s="30" t="s">
        <v>702</v>
      </c>
      <c r="C366" s="15" t="s">
        <v>703</v>
      </c>
      <c r="D366" s="29">
        <v>749.0</v>
      </c>
      <c r="E366" s="16">
        <f t="shared" si="1"/>
        <v>51.681</v>
      </c>
      <c r="F366" s="16">
        <f t="shared" si="2"/>
        <v>16.1035</v>
      </c>
      <c r="G366" s="32">
        <v>539.17</v>
      </c>
      <c r="H366" s="18">
        <v>0.1</v>
      </c>
      <c r="I366" s="16">
        <f t="shared" si="12"/>
        <v>74.9</v>
      </c>
      <c r="J366" s="29">
        <v>65.5</v>
      </c>
      <c r="K366" s="16">
        <f t="shared" si="4"/>
        <v>1.6455</v>
      </c>
      <c r="L366" s="19">
        <f t="shared" si="5"/>
        <v>0.003051913126</v>
      </c>
      <c r="M366" s="16">
        <f t="shared" si="6"/>
        <v>540.8155</v>
      </c>
      <c r="N366" s="20"/>
    </row>
    <row r="367">
      <c r="A367" s="22"/>
      <c r="B367" s="22"/>
      <c r="C367" s="24"/>
      <c r="D367" s="24"/>
      <c r="E367" s="16">
        <f t="shared" si="1"/>
        <v>0</v>
      </c>
      <c r="F367" s="16">
        <f t="shared" si="2"/>
        <v>0</v>
      </c>
      <c r="G367" s="35"/>
      <c r="H367" s="24"/>
      <c r="I367" s="28"/>
      <c r="J367" s="24"/>
      <c r="K367" s="16">
        <f t="shared" si="4"/>
        <v>0</v>
      </c>
      <c r="L367" s="19" t="str">
        <f t="shared" si="5"/>
        <v>#DIV/0!</v>
      </c>
      <c r="M367" s="16">
        <f t="shared" si="6"/>
        <v>0</v>
      </c>
      <c r="N367" s="20"/>
    </row>
    <row r="368">
      <c r="A368" s="30"/>
      <c r="B368" s="30" t="s">
        <v>704</v>
      </c>
      <c r="C368" s="15" t="s">
        <v>705</v>
      </c>
      <c r="D368" s="16">
        <v>2833.0</v>
      </c>
      <c r="E368" s="16">
        <f t="shared" si="1"/>
        <v>195.477</v>
      </c>
      <c r="F368" s="16">
        <f t="shared" si="2"/>
        <v>60.9095</v>
      </c>
      <c r="G368" s="17">
        <v>1932.47</v>
      </c>
      <c r="H368" s="18">
        <v>0.1</v>
      </c>
      <c r="I368" s="16">
        <f t="shared" ref="I368:I542" si="13">H368*D368</f>
        <v>283.3</v>
      </c>
      <c r="J368" s="16">
        <v>95.0</v>
      </c>
      <c r="K368" s="16">
        <f t="shared" si="4"/>
        <v>265.8435</v>
      </c>
      <c r="L368" s="19">
        <f t="shared" si="5"/>
        <v>0.1375666893</v>
      </c>
      <c r="M368" s="16">
        <f t="shared" si="6"/>
        <v>2198.3135</v>
      </c>
      <c r="N368" s="20"/>
    </row>
    <row r="369">
      <c r="A369" s="30"/>
      <c r="B369" s="30" t="s">
        <v>706</v>
      </c>
      <c r="C369" s="15" t="s">
        <v>707</v>
      </c>
      <c r="D369" s="29">
        <v>1199.0</v>
      </c>
      <c r="E369" s="16">
        <f t="shared" si="1"/>
        <v>82.731</v>
      </c>
      <c r="F369" s="16">
        <f t="shared" si="2"/>
        <v>25.7785</v>
      </c>
      <c r="G369" s="32">
        <v>750.88</v>
      </c>
      <c r="H369" s="18">
        <v>0.1</v>
      </c>
      <c r="I369" s="16">
        <f t="shared" si="13"/>
        <v>119.9</v>
      </c>
      <c r="J369" s="16">
        <v>95.0</v>
      </c>
      <c r="K369" s="16">
        <f t="shared" si="4"/>
        <v>124.7105</v>
      </c>
      <c r="L369" s="19">
        <f t="shared" si="5"/>
        <v>0.1660857927</v>
      </c>
      <c r="M369" s="16">
        <f t="shared" si="6"/>
        <v>875.5905</v>
      </c>
      <c r="N369" s="20"/>
    </row>
    <row r="370">
      <c r="A370" s="30"/>
      <c r="B370" s="30" t="s">
        <v>708</v>
      </c>
      <c r="C370" s="15" t="s">
        <v>709</v>
      </c>
      <c r="D370" s="29">
        <v>749.0</v>
      </c>
      <c r="E370" s="16">
        <f t="shared" si="1"/>
        <v>51.681</v>
      </c>
      <c r="F370" s="16">
        <f t="shared" si="2"/>
        <v>16.1035</v>
      </c>
      <c r="G370" s="32">
        <v>495.0</v>
      </c>
      <c r="H370" s="18">
        <v>0.1</v>
      </c>
      <c r="I370" s="16">
        <f t="shared" si="13"/>
        <v>74.9</v>
      </c>
      <c r="J370" s="29">
        <v>65.5</v>
      </c>
      <c r="K370" s="16">
        <f t="shared" si="4"/>
        <v>45.8155</v>
      </c>
      <c r="L370" s="19">
        <f t="shared" si="5"/>
        <v>0.09255656566</v>
      </c>
      <c r="M370" s="16">
        <f t="shared" si="6"/>
        <v>540.8155</v>
      </c>
      <c r="N370" s="20"/>
    </row>
    <row r="371">
      <c r="A371" s="30"/>
      <c r="B371" s="30" t="s">
        <v>710</v>
      </c>
      <c r="C371" s="15" t="s">
        <v>711</v>
      </c>
      <c r="D371" s="16">
        <v>844.0</v>
      </c>
      <c r="E371" s="16">
        <f t="shared" si="1"/>
        <v>58.236</v>
      </c>
      <c r="F371" s="16">
        <f t="shared" si="2"/>
        <v>18.146</v>
      </c>
      <c r="G371" s="17">
        <v>601.18</v>
      </c>
      <c r="H371" s="18">
        <v>0.1</v>
      </c>
      <c r="I371" s="16">
        <f t="shared" si="13"/>
        <v>84.4</v>
      </c>
      <c r="J371" s="16">
        <v>91.0</v>
      </c>
      <c r="K371" s="16">
        <f t="shared" si="4"/>
        <v>-8.962</v>
      </c>
      <c r="L371" s="19">
        <f t="shared" si="5"/>
        <v>-0.01490734888</v>
      </c>
      <c r="M371" s="16">
        <f t="shared" si="6"/>
        <v>592.218</v>
      </c>
      <c r="N371" s="20"/>
    </row>
    <row r="372">
      <c r="A372" s="30"/>
      <c r="B372" s="30" t="s">
        <v>712</v>
      </c>
      <c r="C372" s="15" t="s">
        <v>713</v>
      </c>
      <c r="D372" s="16">
        <v>1086.0</v>
      </c>
      <c r="E372" s="16">
        <f t="shared" si="1"/>
        <v>74.934</v>
      </c>
      <c r="F372" s="16">
        <f t="shared" si="2"/>
        <v>23.349</v>
      </c>
      <c r="G372" s="17">
        <v>763.3</v>
      </c>
      <c r="H372" s="18">
        <v>0.1</v>
      </c>
      <c r="I372" s="16">
        <f t="shared" si="13"/>
        <v>108.6</v>
      </c>
      <c r="J372" s="16">
        <v>91.0</v>
      </c>
      <c r="K372" s="16">
        <f t="shared" si="4"/>
        <v>24.817</v>
      </c>
      <c r="L372" s="19">
        <f t="shared" si="5"/>
        <v>0.03251277348</v>
      </c>
      <c r="M372" s="16">
        <f t="shared" si="6"/>
        <v>788.117</v>
      </c>
      <c r="N372" s="20"/>
    </row>
    <row r="373">
      <c r="A373" s="30"/>
      <c r="B373" s="30" t="s">
        <v>714</v>
      </c>
      <c r="C373" s="15" t="s">
        <v>715</v>
      </c>
      <c r="D373" s="16">
        <v>799.0</v>
      </c>
      <c r="E373" s="16">
        <f t="shared" si="1"/>
        <v>55.131</v>
      </c>
      <c r="F373" s="16">
        <f t="shared" si="2"/>
        <v>17.1785</v>
      </c>
      <c r="G373" s="17">
        <v>491.07</v>
      </c>
      <c r="H373" s="18">
        <v>0.1</v>
      </c>
      <c r="I373" s="16">
        <f t="shared" si="13"/>
        <v>79.9</v>
      </c>
      <c r="J373" s="16">
        <v>63.0</v>
      </c>
      <c r="K373" s="16">
        <f t="shared" si="4"/>
        <v>92.7205</v>
      </c>
      <c r="L373" s="19">
        <f t="shared" si="5"/>
        <v>0.1888132038</v>
      </c>
      <c r="M373" s="16">
        <f t="shared" si="6"/>
        <v>583.7905</v>
      </c>
      <c r="N373" s="20"/>
    </row>
    <row r="374">
      <c r="A374" s="30"/>
      <c r="B374" s="30" t="s">
        <v>668</v>
      </c>
      <c r="C374" s="15" t="s">
        <v>716</v>
      </c>
      <c r="D374" s="16">
        <v>1399.0</v>
      </c>
      <c r="E374" s="16">
        <f t="shared" si="1"/>
        <v>96.531</v>
      </c>
      <c r="F374" s="16">
        <f t="shared" si="2"/>
        <v>30.0785</v>
      </c>
      <c r="G374" s="17">
        <v>1044.0</v>
      </c>
      <c r="H374" s="18">
        <v>0.1</v>
      </c>
      <c r="I374" s="16">
        <f t="shared" si="13"/>
        <v>139.9</v>
      </c>
      <c r="J374" s="16">
        <v>72.0</v>
      </c>
      <c r="K374" s="16">
        <f t="shared" si="4"/>
        <v>16.4905</v>
      </c>
      <c r="L374" s="19">
        <f t="shared" si="5"/>
        <v>0.01579549808</v>
      </c>
      <c r="M374" s="16">
        <f t="shared" si="6"/>
        <v>1060.4905</v>
      </c>
      <c r="N374" s="20"/>
    </row>
    <row r="375">
      <c r="A375" s="30"/>
      <c r="B375" s="30" t="s">
        <v>717</v>
      </c>
      <c r="C375" s="15" t="s">
        <v>718</v>
      </c>
      <c r="D375" s="16">
        <v>951.0</v>
      </c>
      <c r="E375" s="16">
        <f t="shared" si="1"/>
        <v>65.619</v>
      </c>
      <c r="F375" s="16">
        <f t="shared" si="2"/>
        <v>20.4465</v>
      </c>
      <c r="G375" s="17">
        <v>679.81</v>
      </c>
      <c r="H375" s="18">
        <v>0.1</v>
      </c>
      <c r="I375" s="16">
        <f t="shared" si="13"/>
        <v>95.1</v>
      </c>
      <c r="J375" s="16">
        <v>95.0</v>
      </c>
      <c r="K375" s="16">
        <f t="shared" si="4"/>
        <v>-4.9755</v>
      </c>
      <c r="L375" s="19">
        <f t="shared" si="5"/>
        <v>-0.007318956767</v>
      </c>
      <c r="M375" s="16">
        <f t="shared" si="6"/>
        <v>674.8345</v>
      </c>
      <c r="N375" s="20"/>
    </row>
    <row r="376">
      <c r="A376" s="30"/>
      <c r="B376" s="30" t="s">
        <v>719</v>
      </c>
      <c r="C376" s="15" t="s">
        <v>718</v>
      </c>
      <c r="D376" s="16">
        <v>999.0</v>
      </c>
      <c r="E376" s="16">
        <f t="shared" si="1"/>
        <v>68.931</v>
      </c>
      <c r="F376" s="16">
        <f t="shared" si="2"/>
        <v>21.4785</v>
      </c>
      <c r="G376" s="17">
        <v>679.81</v>
      </c>
      <c r="H376" s="18">
        <v>0.1</v>
      </c>
      <c r="I376" s="16">
        <f t="shared" si="13"/>
        <v>99.9</v>
      </c>
      <c r="J376" s="16">
        <v>95.0</v>
      </c>
      <c r="K376" s="16">
        <f t="shared" si="4"/>
        <v>33.8805</v>
      </c>
      <c r="L376" s="19">
        <f t="shared" si="5"/>
        <v>0.04983819008</v>
      </c>
      <c r="M376" s="16">
        <f t="shared" si="6"/>
        <v>713.6905</v>
      </c>
      <c r="N376" s="20"/>
    </row>
    <row r="377">
      <c r="A377" s="30"/>
      <c r="B377" s="30" t="s">
        <v>720</v>
      </c>
      <c r="C377" s="15" t="s">
        <v>718</v>
      </c>
      <c r="D377" s="16">
        <v>961.0</v>
      </c>
      <c r="E377" s="16">
        <f t="shared" si="1"/>
        <v>66.309</v>
      </c>
      <c r="F377" s="16">
        <f t="shared" si="2"/>
        <v>20.6615</v>
      </c>
      <c r="G377" s="17">
        <v>679.81</v>
      </c>
      <c r="H377" s="18">
        <v>0.1</v>
      </c>
      <c r="I377" s="16">
        <f t="shared" si="13"/>
        <v>96.1</v>
      </c>
      <c r="J377" s="16">
        <v>63.0</v>
      </c>
      <c r="K377" s="16">
        <f t="shared" si="4"/>
        <v>35.1195</v>
      </c>
      <c r="L377" s="19">
        <f t="shared" si="5"/>
        <v>0.05166075815</v>
      </c>
      <c r="M377" s="16">
        <f t="shared" si="6"/>
        <v>714.9295</v>
      </c>
      <c r="N377" s="20"/>
    </row>
    <row r="378">
      <c r="A378" s="30"/>
      <c r="B378" s="30" t="s">
        <v>721</v>
      </c>
      <c r="C378" s="15" t="s">
        <v>722</v>
      </c>
      <c r="D378" s="16">
        <v>913.0</v>
      </c>
      <c r="E378" s="16">
        <f t="shared" si="1"/>
        <v>62.997</v>
      </c>
      <c r="F378" s="16">
        <f t="shared" si="2"/>
        <v>19.6295</v>
      </c>
      <c r="G378" s="17">
        <v>678.65</v>
      </c>
      <c r="H378" s="18">
        <v>0.1</v>
      </c>
      <c r="I378" s="16">
        <f t="shared" si="13"/>
        <v>91.3</v>
      </c>
      <c r="J378" s="16">
        <v>69.0</v>
      </c>
      <c r="K378" s="16">
        <f t="shared" si="4"/>
        <v>-8.5765</v>
      </c>
      <c r="L378" s="19">
        <f t="shared" si="5"/>
        <v>-0.01263758933</v>
      </c>
      <c r="M378" s="16">
        <f t="shared" si="6"/>
        <v>670.0735</v>
      </c>
      <c r="N378" s="20"/>
    </row>
    <row r="379">
      <c r="A379" s="30"/>
      <c r="B379" s="30" t="s">
        <v>723</v>
      </c>
      <c r="C379" s="15" t="s">
        <v>724</v>
      </c>
      <c r="D379" s="29">
        <v>779.0</v>
      </c>
      <c r="E379" s="16">
        <f t="shared" si="1"/>
        <v>53.751</v>
      </c>
      <c r="F379" s="16">
        <f t="shared" si="2"/>
        <v>16.7485</v>
      </c>
      <c r="G379" s="32">
        <v>576.57</v>
      </c>
      <c r="H379" s="18">
        <v>0.1</v>
      </c>
      <c r="I379" s="16">
        <f t="shared" si="13"/>
        <v>77.9</v>
      </c>
      <c r="J379" s="29">
        <v>65.5</v>
      </c>
      <c r="K379" s="16">
        <f t="shared" si="4"/>
        <v>-11.4695</v>
      </c>
      <c r="L379" s="19">
        <f t="shared" si="5"/>
        <v>-0.01989264096</v>
      </c>
      <c r="M379" s="16">
        <f t="shared" si="6"/>
        <v>565.1005</v>
      </c>
      <c r="N379" s="20"/>
    </row>
    <row r="380">
      <c r="A380" s="30"/>
      <c r="B380" s="30" t="s">
        <v>725</v>
      </c>
      <c r="C380" s="15" t="s">
        <v>726</v>
      </c>
      <c r="D380" s="16">
        <v>573.0</v>
      </c>
      <c r="E380" s="16">
        <f t="shared" si="1"/>
        <v>39.537</v>
      </c>
      <c r="F380" s="16">
        <f t="shared" si="2"/>
        <v>12.3195</v>
      </c>
      <c r="G380" s="17">
        <v>307.31</v>
      </c>
      <c r="H380" s="18">
        <v>0.1</v>
      </c>
      <c r="I380" s="16">
        <f t="shared" si="13"/>
        <v>57.3</v>
      </c>
      <c r="J380" s="16">
        <v>69.0</v>
      </c>
      <c r="K380" s="16">
        <f t="shared" si="4"/>
        <v>87.5335</v>
      </c>
      <c r="L380" s="19">
        <f t="shared" si="5"/>
        <v>0.2848377859</v>
      </c>
      <c r="M380" s="16">
        <f t="shared" si="6"/>
        <v>394.8435</v>
      </c>
      <c r="N380" s="20"/>
    </row>
    <row r="381">
      <c r="A381" s="30"/>
      <c r="B381" s="30" t="s">
        <v>727</v>
      </c>
      <c r="C381" s="15" t="s">
        <v>279</v>
      </c>
      <c r="D381" s="29">
        <v>676.0</v>
      </c>
      <c r="E381" s="16">
        <f t="shared" si="1"/>
        <v>46.644</v>
      </c>
      <c r="F381" s="16">
        <f t="shared" si="2"/>
        <v>14.534</v>
      </c>
      <c r="G381" s="17">
        <v>487.24</v>
      </c>
      <c r="H381" s="18">
        <v>0.1</v>
      </c>
      <c r="I381" s="16">
        <f t="shared" si="13"/>
        <v>67.6</v>
      </c>
      <c r="J381" s="29">
        <v>62.5</v>
      </c>
      <c r="K381" s="16">
        <f t="shared" si="4"/>
        <v>-2.518</v>
      </c>
      <c r="L381" s="19">
        <f t="shared" si="5"/>
        <v>-0.00516788441</v>
      </c>
      <c r="M381" s="16">
        <f t="shared" si="6"/>
        <v>484.722</v>
      </c>
      <c r="N381" s="20"/>
    </row>
    <row r="382">
      <c r="A382" s="30"/>
      <c r="B382" s="30" t="s">
        <v>728</v>
      </c>
      <c r="C382" s="15" t="s">
        <v>729</v>
      </c>
      <c r="D382" s="16">
        <v>8579.0</v>
      </c>
      <c r="E382" s="16">
        <f t="shared" si="1"/>
        <v>591.951</v>
      </c>
      <c r="F382" s="16">
        <f t="shared" si="2"/>
        <v>184.4485</v>
      </c>
      <c r="G382" s="17">
        <v>6199.42</v>
      </c>
      <c r="H382" s="18">
        <v>0.1</v>
      </c>
      <c r="I382" s="16">
        <f t="shared" si="13"/>
        <v>857.9</v>
      </c>
      <c r="J382" s="16">
        <v>262.0</v>
      </c>
      <c r="K382" s="16">
        <f t="shared" si="4"/>
        <v>483.2805</v>
      </c>
      <c r="L382" s="19">
        <f t="shared" si="5"/>
        <v>0.07795576038</v>
      </c>
      <c r="M382" s="16">
        <f t="shared" si="6"/>
        <v>6682.7005</v>
      </c>
      <c r="N382" s="20"/>
    </row>
    <row r="383">
      <c r="A383" s="30"/>
      <c r="B383" s="30" t="s">
        <v>730</v>
      </c>
      <c r="C383" s="15" t="s">
        <v>731</v>
      </c>
      <c r="D383" s="16">
        <v>1499.0</v>
      </c>
      <c r="E383" s="16">
        <f t="shared" si="1"/>
        <v>103.431</v>
      </c>
      <c r="F383" s="16">
        <f t="shared" si="2"/>
        <v>32.2285</v>
      </c>
      <c r="G383" s="17">
        <v>1160.0</v>
      </c>
      <c r="H383" s="18">
        <v>0.1</v>
      </c>
      <c r="I383" s="16">
        <f t="shared" si="13"/>
        <v>149.9</v>
      </c>
      <c r="J383" s="16">
        <v>91.0</v>
      </c>
      <c r="K383" s="16">
        <f t="shared" si="4"/>
        <v>-37.5595</v>
      </c>
      <c r="L383" s="19">
        <f t="shared" si="5"/>
        <v>-0.03237887931</v>
      </c>
      <c r="M383" s="16">
        <f t="shared" si="6"/>
        <v>1122.4405</v>
      </c>
      <c r="N383" s="20"/>
    </row>
    <row r="384">
      <c r="A384" s="30"/>
      <c r="B384" s="30" t="s">
        <v>732</v>
      </c>
      <c r="C384" s="15" t="s">
        <v>733</v>
      </c>
      <c r="D384" s="16">
        <v>2599.0</v>
      </c>
      <c r="E384" s="16">
        <f t="shared" si="1"/>
        <v>179.331</v>
      </c>
      <c r="F384" s="16">
        <f t="shared" si="2"/>
        <v>55.8785</v>
      </c>
      <c r="G384" s="17">
        <v>2086.25</v>
      </c>
      <c r="H384" s="18">
        <v>0.1</v>
      </c>
      <c r="I384" s="16">
        <f t="shared" si="13"/>
        <v>259.9</v>
      </c>
      <c r="J384" s="16">
        <v>110.0</v>
      </c>
      <c r="K384" s="16">
        <f t="shared" si="4"/>
        <v>-92.3595</v>
      </c>
      <c r="L384" s="19">
        <f t="shared" si="5"/>
        <v>-0.04427058119</v>
      </c>
      <c r="M384" s="16">
        <f t="shared" si="6"/>
        <v>1993.8905</v>
      </c>
      <c r="N384" s="20"/>
    </row>
    <row r="385">
      <c r="A385" s="30"/>
      <c r="B385" s="30" t="s">
        <v>734</v>
      </c>
      <c r="C385" s="15" t="s">
        <v>735</v>
      </c>
      <c r="D385" s="16">
        <v>1455.0</v>
      </c>
      <c r="E385" s="16">
        <f t="shared" si="1"/>
        <v>100.395</v>
      </c>
      <c r="F385" s="16">
        <f t="shared" si="2"/>
        <v>31.2825</v>
      </c>
      <c r="G385" s="17">
        <v>782.32</v>
      </c>
      <c r="H385" s="18">
        <v>0.1</v>
      </c>
      <c r="I385" s="16">
        <f t="shared" si="13"/>
        <v>145.5</v>
      </c>
      <c r="J385" s="16">
        <v>95.0</v>
      </c>
      <c r="K385" s="16">
        <f t="shared" si="4"/>
        <v>300.5025</v>
      </c>
      <c r="L385" s="19">
        <f t="shared" si="5"/>
        <v>0.3841171132</v>
      </c>
      <c r="M385" s="16">
        <f t="shared" si="6"/>
        <v>1082.8225</v>
      </c>
      <c r="N385" s="20"/>
    </row>
    <row r="386">
      <c r="A386" s="30"/>
      <c r="B386" s="30" t="s">
        <v>736</v>
      </c>
      <c r="C386" s="15" t="s">
        <v>737</v>
      </c>
      <c r="D386" s="16">
        <v>609.0</v>
      </c>
      <c r="E386" s="16">
        <f t="shared" si="1"/>
        <v>42.021</v>
      </c>
      <c r="F386" s="16">
        <f t="shared" si="2"/>
        <v>13.0935</v>
      </c>
      <c r="G386" s="17">
        <v>431.04</v>
      </c>
      <c r="H386" s="18">
        <v>0.1</v>
      </c>
      <c r="I386" s="16">
        <f t="shared" si="13"/>
        <v>60.9</v>
      </c>
      <c r="J386" s="16">
        <v>69.0</v>
      </c>
      <c r="K386" s="16">
        <f t="shared" si="4"/>
        <v>-7.0545</v>
      </c>
      <c r="L386" s="19">
        <f t="shared" si="5"/>
        <v>-0.01636623051</v>
      </c>
      <c r="M386" s="16">
        <f t="shared" si="6"/>
        <v>423.9855</v>
      </c>
      <c r="N386" s="20"/>
    </row>
    <row r="387">
      <c r="A387" s="30"/>
      <c r="B387" s="30" t="s">
        <v>738</v>
      </c>
      <c r="C387" s="15" t="s">
        <v>739</v>
      </c>
      <c r="D387" s="16">
        <v>1199.0</v>
      </c>
      <c r="E387" s="16">
        <f t="shared" si="1"/>
        <v>82.731</v>
      </c>
      <c r="F387" s="16">
        <f t="shared" si="2"/>
        <v>25.7785</v>
      </c>
      <c r="G387" s="17">
        <v>830.97</v>
      </c>
      <c r="H387" s="18">
        <v>0.1</v>
      </c>
      <c r="I387" s="16">
        <f t="shared" si="13"/>
        <v>119.9</v>
      </c>
      <c r="J387" s="16">
        <v>95.0</v>
      </c>
      <c r="K387" s="16">
        <f t="shared" si="4"/>
        <v>44.6205</v>
      </c>
      <c r="L387" s="19">
        <f t="shared" si="5"/>
        <v>0.05369688436</v>
      </c>
      <c r="M387" s="16">
        <f t="shared" si="6"/>
        <v>875.5905</v>
      </c>
      <c r="N387" s="20"/>
    </row>
    <row r="388">
      <c r="A388" s="30"/>
      <c r="B388" s="30" t="s">
        <v>740</v>
      </c>
      <c r="C388" s="15" t="s">
        <v>741</v>
      </c>
      <c r="D388" s="16">
        <v>699.0</v>
      </c>
      <c r="E388" s="16">
        <f t="shared" si="1"/>
        <v>48.231</v>
      </c>
      <c r="F388" s="16">
        <f t="shared" si="2"/>
        <v>15.0285</v>
      </c>
      <c r="G388" s="17">
        <v>456.99</v>
      </c>
      <c r="H388" s="18">
        <v>0.1</v>
      </c>
      <c r="I388" s="16">
        <f t="shared" si="13"/>
        <v>69.9</v>
      </c>
      <c r="J388" s="16">
        <v>69.0</v>
      </c>
      <c r="K388" s="16">
        <f t="shared" si="4"/>
        <v>39.8505</v>
      </c>
      <c r="L388" s="19">
        <f t="shared" si="5"/>
        <v>0.08720212696</v>
      </c>
      <c r="M388" s="16">
        <f t="shared" si="6"/>
        <v>496.8405</v>
      </c>
      <c r="N388" s="20"/>
    </row>
    <row r="389">
      <c r="A389" s="30"/>
      <c r="B389" s="30" t="s">
        <v>742</v>
      </c>
      <c r="C389" s="15" t="s">
        <v>743</v>
      </c>
      <c r="D389" s="16">
        <v>1079.0</v>
      </c>
      <c r="E389" s="16">
        <f t="shared" si="1"/>
        <v>74.451</v>
      </c>
      <c r="F389" s="16">
        <f t="shared" si="2"/>
        <v>23.1985</v>
      </c>
      <c r="G389" s="17">
        <v>754.72</v>
      </c>
      <c r="H389" s="18">
        <v>0.1</v>
      </c>
      <c r="I389" s="16">
        <f t="shared" si="13"/>
        <v>107.9</v>
      </c>
      <c r="J389" s="16">
        <v>62.0</v>
      </c>
      <c r="K389" s="16">
        <f t="shared" si="4"/>
        <v>56.7305</v>
      </c>
      <c r="L389" s="19">
        <f t="shared" si="5"/>
        <v>0.07516761183</v>
      </c>
      <c r="M389" s="16">
        <f t="shared" si="6"/>
        <v>811.4505</v>
      </c>
      <c r="N389" s="20"/>
    </row>
    <row r="390">
      <c r="A390" s="30"/>
      <c r="B390" s="30" t="s">
        <v>744</v>
      </c>
      <c r="C390" s="15" t="s">
        <v>745</v>
      </c>
      <c r="D390" s="16">
        <v>783.0</v>
      </c>
      <c r="E390" s="16">
        <f t="shared" si="1"/>
        <v>54.027</v>
      </c>
      <c r="F390" s="16">
        <f t="shared" si="2"/>
        <v>16.8345</v>
      </c>
      <c r="G390" s="17">
        <v>513.56</v>
      </c>
      <c r="H390" s="18">
        <v>0.1</v>
      </c>
      <c r="I390" s="16">
        <f t="shared" si="13"/>
        <v>78.3</v>
      </c>
      <c r="J390" s="16">
        <v>96.0</v>
      </c>
      <c r="K390" s="16">
        <f t="shared" si="4"/>
        <v>24.2785</v>
      </c>
      <c r="L390" s="19">
        <f t="shared" si="5"/>
        <v>0.04727490459</v>
      </c>
      <c r="M390" s="16">
        <f t="shared" si="6"/>
        <v>537.8385</v>
      </c>
      <c r="N390" s="20"/>
    </row>
    <row r="391">
      <c r="A391" s="30"/>
      <c r="B391" s="30" t="s">
        <v>746</v>
      </c>
      <c r="C391" s="15" t="s">
        <v>747</v>
      </c>
      <c r="D391" s="16">
        <v>572.0</v>
      </c>
      <c r="E391" s="16">
        <f t="shared" si="1"/>
        <v>39.468</v>
      </c>
      <c r="F391" s="16">
        <f t="shared" si="2"/>
        <v>12.298</v>
      </c>
      <c r="G391" s="17">
        <v>416.23</v>
      </c>
      <c r="H391" s="18">
        <v>0.1</v>
      </c>
      <c r="I391" s="16">
        <f t="shared" si="13"/>
        <v>57.2</v>
      </c>
      <c r="J391" s="16">
        <v>95.0</v>
      </c>
      <c r="K391" s="16">
        <f t="shared" si="4"/>
        <v>-48.196</v>
      </c>
      <c r="L391" s="19">
        <f t="shared" si="5"/>
        <v>-0.1157917498</v>
      </c>
      <c r="M391" s="16">
        <f t="shared" si="6"/>
        <v>368.034</v>
      </c>
      <c r="N391" s="20"/>
    </row>
    <row r="392">
      <c r="A392" s="30"/>
      <c r="B392" s="30" t="s">
        <v>748</v>
      </c>
      <c r="C392" s="15" t="s">
        <v>749</v>
      </c>
      <c r="D392" s="16">
        <v>399.0</v>
      </c>
      <c r="E392" s="16">
        <f t="shared" si="1"/>
        <v>27.531</v>
      </c>
      <c r="F392" s="16">
        <f t="shared" si="2"/>
        <v>8.5785</v>
      </c>
      <c r="G392" s="17">
        <v>251.07</v>
      </c>
      <c r="H392" s="18">
        <v>0.1</v>
      </c>
      <c r="I392" s="16">
        <f t="shared" si="13"/>
        <v>39.9</v>
      </c>
      <c r="J392" s="16">
        <v>95.0</v>
      </c>
      <c r="K392" s="16">
        <f t="shared" si="4"/>
        <v>-23.0795</v>
      </c>
      <c r="L392" s="19">
        <f t="shared" si="5"/>
        <v>-0.09192456287</v>
      </c>
      <c r="M392" s="16">
        <f t="shared" si="6"/>
        <v>227.9905</v>
      </c>
      <c r="N392" s="20"/>
    </row>
    <row r="393">
      <c r="A393" s="30"/>
      <c r="B393" s="30" t="s">
        <v>750</v>
      </c>
      <c r="C393" s="15" t="s">
        <v>751</v>
      </c>
      <c r="D393" s="16">
        <v>519.0</v>
      </c>
      <c r="E393" s="16">
        <f t="shared" si="1"/>
        <v>35.811</v>
      </c>
      <c r="F393" s="16">
        <f t="shared" si="2"/>
        <v>11.1585</v>
      </c>
      <c r="G393" s="17">
        <v>323.25</v>
      </c>
      <c r="H393" s="18">
        <v>0.1</v>
      </c>
      <c r="I393" s="16">
        <f t="shared" si="13"/>
        <v>51.9</v>
      </c>
      <c r="J393" s="16">
        <v>91.0</v>
      </c>
      <c r="K393" s="16">
        <f t="shared" si="4"/>
        <v>5.8805</v>
      </c>
      <c r="L393" s="19">
        <f t="shared" si="5"/>
        <v>0.01819180201</v>
      </c>
      <c r="M393" s="16">
        <f t="shared" si="6"/>
        <v>329.1305</v>
      </c>
      <c r="N393" s="20"/>
    </row>
    <row r="394">
      <c r="A394" s="30"/>
      <c r="B394" s="30" t="s">
        <v>752</v>
      </c>
      <c r="C394" s="15" t="s">
        <v>753</v>
      </c>
      <c r="D394" s="16">
        <v>3199.0</v>
      </c>
      <c r="E394" s="16">
        <f t="shared" si="1"/>
        <v>220.731</v>
      </c>
      <c r="F394" s="16">
        <f t="shared" si="2"/>
        <v>68.7785</v>
      </c>
      <c r="G394" s="17">
        <v>2472.0</v>
      </c>
      <c r="H394" s="18">
        <v>0.1</v>
      </c>
      <c r="I394" s="16">
        <f t="shared" si="13"/>
        <v>319.9</v>
      </c>
      <c r="J394" s="16">
        <v>62.5</v>
      </c>
      <c r="K394" s="16">
        <f t="shared" si="4"/>
        <v>55.0905</v>
      </c>
      <c r="L394" s="19">
        <f t="shared" si="5"/>
        <v>0.02228580097</v>
      </c>
      <c r="M394" s="16">
        <f t="shared" si="6"/>
        <v>2527.0905</v>
      </c>
      <c r="N394" s="20"/>
    </row>
    <row r="395">
      <c r="A395" s="34" t="s">
        <v>754</v>
      </c>
      <c r="B395" s="30" t="s">
        <v>755</v>
      </c>
      <c r="C395" s="15" t="s">
        <v>756</v>
      </c>
      <c r="D395" s="29">
        <v>1099.0</v>
      </c>
      <c r="E395" s="16">
        <f t="shared" si="1"/>
        <v>75.831</v>
      </c>
      <c r="F395" s="16">
        <f t="shared" si="2"/>
        <v>23.6285</v>
      </c>
      <c r="G395" s="32">
        <v>877.07</v>
      </c>
      <c r="H395" s="18">
        <v>0.1</v>
      </c>
      <c r="I395" s="16">
        <f t="shared" si="13"/>
        <v>109.9</v>
      </c>
      <c r="J395" s="29">
        <v>65.0</v>
      </c>
      <c r="K395" s="16">
        <f t="shared" si="4"/>
        <v>-52.4295</v>
      </c>
      <c r="L395" s="19">
        <f t="shared" si="5"/>
        <v>-0.05977801088</v>
      </c>
      <c r="M395" s="16">
        <f t="shared" si="6"/>
        <v>824.6405</v>
      </c>
      <c r="N395" s="20"/>
    </row>
    <row r="396">
      <c r="A396" s="30"/>
      <c r="B396" s="30" t="s">
        <v>757</v>
      </c>
      <c r="C396" s="15" t="s">
        <v>758</v>
      </c>
      <c r="D396" s="16">
        <v>17999.0</v>
      </c>
      <c r="E396" s="16">
        <f t="shared" si="1"/>
        <v>1241.931</v>
      </c>
      <c r="F396" s="16">
        <f t="shared" si="2"/>
        <v>386.9785</v>
      </c>
      <c r="G396" s="17">
        <v>12359.48</v>
      </c>
      <c r="H396" s="18">
        <v>0.1</v>
      </c>
      <c r="I396" s="16">
        <f t="shared" si="13"/>
        <v>1799.9</v>
      </c>
      <c r="J396" s="16">
        <v>151.0</v>
      </c>
      <c r="K396" s="16">
        <f t="shared" si="4"/>
        <v>2059.7105</v>
      </c>
      <c r="L396" s="19">
        <f t="shared" si="5"/>
        <v>0.1666502555</v>
      </c>
      <c r="M396" s="16">
        <f t="shared" si="6"/>
        <v>14419.1905</v>
      </c>
      <c r="N396" s="20"/>
    </row>
    <row r="397">
      <c r="A397" s="30"/>
      <c r="B397" s="30" t="s">
        <v>759</v>
      </c>
      <c r="C397" s="15" t="s">
        <v>760</v>
      </c>
      <c r="D397" s="16">
        <v>699.0</v>
      </c>
      <c r="E397" s="16">
        <f t="shared" si="1"/>
        <v>48.231</v>
      </c>
      <c r="F397" s="16">
        <f t="shared" si="2"/>
        <v>15.0285</v>
      </c>
      <c r="G397" s="17">
        <v>354.82</v>
      </c>
      <c r="H397" s="18">
        <v>0.1</v>
      </c>
      <c r="I397" s="16">
        <f t="shared" si="13"/>
        <v>69.9</v>
      </c>
      <c r="J397" s="16">
        <v>69.0</v>
      </c>
      <c r="K397" s="16">
        <f t="shared" si="4"/>
        <v>142.0205</v>
      </c>
      <c r="L397" s="19">
        <f t="shared" si="5"/>
        <v>0.4002606956</v>
      </c>
      <c r="M397" s="16">
        <f t="shared" si="6"/>
        <v>496.8405</v>
      </c>
      <c r="N397" s="20"/>
    </row>
    <row r="398">
      <c r="A398" s="30"/>
      <c r="B398" s="30" t="s">
        <v>761</v>
      </c>
      <c r="C398" s="15" t="s">
        <v>762</v>
      </c>
      <c r="D398" s="16">
        <v>269.0</v>
      </c>
      <c r="E398" s="16">
        <f t="shared" si="1"/>
        <v>18.561</v>
      </c>
      <c r="F398" s="16">
        <f t="shared" si="2"/>
        <v>5.7835</v>
      </c>
      <c r="G398" s="17">
        <v>185.28</v>
      </c>
      <c r="H398" s="18">
        <v>0.1</v>
      </c>
      <c r="I398" s="16">
        <f t="shared" si="13"/>
        <v>26.9</v>
      </c>
      <c r="J398" s="16"/>
      <c r="K398" s="16">
        <f t="shared" si="4"/>
        <v>32.4755</v>
      </c>
      <c r="L398" s="19">
        <f t="shared" si="5"/>
        <v>0.1752779577</v>
      </c>
      <c r="M398" s="16">
        <f t="shared" si="6"/>
        <v>217.7555</v>
      </c>
      <c r="N398" s="20"/>
    </row>
    <row r="399">
      <c r="A399" s="30"/>
      <c r="B399" s="30" t="s">
        <v>763</v>
      </c>
      <c r="C399" s="15" t="s">
        <v>764</v>
      </c>
      <c r="D399" s="16">
        <v>699.0</v>
      </c>
      <c r="E399" s="16">
        <f t="shared" si="1"/>
        <v>48.231</v>
      </c>
      <c r="F399" s="16">
        <f t="shared" si="2"/>
        <v>15.0285</v>
      </c>
      <c r="G399" s="17">
        <v>354.82</v>
      </c>
      <c r="H399" s="18">
        <v>0.1</v>
      </c>
      <c r="I399" s="16">
        <f t="shared" si="13"/>
        <v>69.9</v>
      </c>
      <c r="J399" s="16">
        <v>69.0</v>
      </c>
      <c r="K399" s="16">
        <f t="shared" si="4"/>
        <v>142.0205</v>
      </c>
      <c r="L399" s="19">
        <f t="shared" si="5"/>
        <v>0.4002606956</v>
      </c>
      <c r="M399" s="16">
        <f t="shared" si="6"/>
        <v>496.8405</v>
      </c>
      <c r="N399" s="20"/>
    </row>
    <row r="400">
      <c r="A400" s="30"/>
      <c r="B400" s="30"/>
      <c r="C400" s="15"/>
      <c r="D400" s="15"/>
      <c r="E400" s="16">
        <f t="shared" si="1"/>
        <v>0</v>
      </c>
      <c r="F400" s="16">
        <f t="shared" si="2"/>
        <v>0</v>
      </c>
      <c r="G400" s="17"/>
      <c r="H400" s="18">
        <v>0.1</v>
      </c>
      <c r="I400" s="16">
        <f t="shared" si="13"/>
        <v>0</v>
      </c>
      <c r="J400" s="15"/>
      <c r="K400" s="16">
        <f t="shared" si="4"/>
        <v>0</v>
      </c>
      <c r="L400" s="19" t="str">
        <f t="shared" si="5"/>
        <v>#DIV/0!</v>
      </c>
      <c r="M400" s="16">
        <f t="shared" si="6"/>
        <v>0</v>
      </c>
      <c r="N400" s="20"/>
    </row>
    <row r="401">
      <c r="A401" s="30"/>
      <c r="B401" s="30" t="s">
        <v>765</v>
      </c>
      <c r="C401" s="15" t="s">
        <v>766</v>
      </c>
      <c r="D401" s="16">
        <v>15999.0</v>
      </c>
      <c r="E401" s="16">
        <f t="shared" si="1"/>
        <v>1103.931</v>
      </c>
      <c r="F401" s="16">
        <f t="shared" si="2"/>
        <v>343.9785</v>
      </c>
      <c r="G401" s="17">
        <v>7992.4</v>
      </c>
      <c r="H401" s="18">
        <v>0.1</v>
      </c>
      <c r="I401" s="16">
        <f t="shared" si="13"/>
        <v>1599.9</v>
      </c>
      <c r="J401" s="16">
        <v>262.0</v>
      </c>
      <c r="K401" s="16">
        <f t="shared" si="4"/>
        <v>4696.7905</v>
      </c>
      <c r="L401" s="19">
        <f t="shared" si="5"/>
        <v>0.5876570867</v>
      </c>
      <c r="M401" s="16">
        <f t="shared" si="6"/>
        <v>12689.1905</v>
      </c>
      <c r="N401" s="20"/>
    </row>
    <row r="402">
      <c r="A402" s="30"/>
      <c r="B402" s="30" t="s">
        <v>767</v>
      </c>
      <c r="C402" s="15" t="s">
        <v>768</v>
      </c>
      <c r="D402" s="16">
        <v>19749.0</v>
      </c>
      <c r="E402" s="16">
        <f t="shared" si="1"/>
        <v>1362.681</v>
      </c>
      <c r="F402" s="16">
        <f t="shared" si="2"/>
        <v>424.6035</v>
      </c>
      <c r="G402" s="17">
        <v>15202.47</v>
      </c>
      <c r="H402" s="18">
        <v>0.1</v>
      </c>
      <c r="I402" s="16">
        <f t="shared" si="13"/>
        <v>1974.9</v>
      </c>
      <c r="J402" s="16">
        <v>69.0</v>
      </c>
      <c r="K402" s="16">
        <f t="shared" si="4"/>
        <v>715.3455</v>
      </c>
      <c r="L402" s="19">
        <f t="shared" si="5"/>
        <v>0.04705455758</v>
      </c>
      <c r="M402" s="16">
        <f t="shared" si="6"/>
        <v>15917.8155</v>
      </c>
      <c r="N402" s="20"/>
    </row>
    <row r="403">
      <c r="A403" s="30"/>
      <c r="B403" s="30" t="s">
        <v>769</v>
      </c>
      <c r="C403" s="15" t="s">
        <v>726</v>
      </c>
      <c r="D403" s="16">
        <v>504.0</v>
      </c>
      <c r="E403" s="16">
        <f t="shared" si="1"/>
        <v>34.776</v>
      </c>
      <c r="F403" s="16">
        <f t="shared" si="2"/>
        <v>10.836</v>
      </c>
      <c r="G403" s="17">
        <v>314.73</v>
      </c>
      <c r="H403" s="18">
        <v>0.1</v>
      </c>
      <c r="I403" s="16">
        <f t="shared" si="13"/>
        <v>50.4</v>
      </c>
      <c r="J403" s="16">
        <v>62.5</v>
      </c>
      <c r="K403" s="16">
        <f t="shared" si="4"/>
        <v>30.758</v>
      </c>
      <c r="L403" s="19">
        <f t="shared" si="5"/>
        <v>0.09772821148</v>
      </c>
      <c r="M403" s="16">
        <f t="shared" si="6"/>
        <v>345.488</v>
      </c>
      <c r="N403" s="20"/>
    </row>
    <row r="404">
      <c r="A404" s="13"/>
      <c r="B404" s="14" t="s">
        <v>770</v>
      </c>
      <c r="C404" s="15" t="s">
        <v>771</v>
      </c>
      <c r="D404" s="29">
        <v>667.0</v>
      </c>
      <c r="E404" s="16">
        <f t="shared" si="1"/>
        <v>46.023</v>
      </c>
      <c r="F404" s="16">
        <f t="shared" si="2"/>
        <v>14.3405</v>
      </c>
      <c r="G404" s="32">
        <v>437.31</v>
      </c>
      <c r="H404" s="18">
        <v>0.1</v>
      </c>
      <c r="I404" s="16">
        <f t="shared" si="13"/>
        <v>66.7</v>
      </c>
      <c r="J404" s="29">
        <v>65.5</v>
      </c>
      <c r="K404" s="16">
        <f t="shared" si="4"/>
        <v>37.1265</v>
      </c>
      <c r="L404" s="19">
        <f t="shared" si="5"/>
        <v>0.08489744117</v>
      </c>
      <c r="M404" s="16">
        <f t="shared" si="6"/>
        <v>474.4365</v>
      </c>
      <c r="N404" s="20" t="s">
        <v>237</v>
      </c>
    </row>
    <row r="405">
      <c r="A405" s="30"/>
      <c r="B405" s="30" t="s">
        <v>772</v>
      </c>
      <c r="C405" s="15" t="s">
        <v>773</v>
      </c>
      <c r="D405" s="16">
        <v>615.0</v>
      </c>
      <c r="E405" s="16">
        <f t="shared" si="1"/>
        <v>42.435</v>
      </c>
      <c r="F405" s="16">
        <f t="shared" si="2"/>
        <v>13.2225</v>
      </c>
      <c r="G405" s="17">
        <v>330.99</v>
      </c>
      <c r="H405" s="18">
        <v>0.1</v>
      </c>
      <c r="I405" s="16">
        <f t="shared" si="13"/>
        <v>61.5</v>
      </c>
      <c r="J405" s="16">
        <v>75.0</v>
      </c>
      <c r="K405" s="16">
        <f t="shared" si="4"/>
        <v>91.8525</v>
      </c>
      <c r="L405" s="19">
        <f t="shared" si="5"/>
        <v>0.2775083839</v>
      </c>
      <c r="M405" s="16">
        <f t="shared" si="6"/>
        <v>422.8425</v>
      </c>
      <c r="N405" s="20"/>
    </row>
    <row r="406">
      <c r="A406" s="30"/>
      <c r="B406" s="30" t="s">
        <v>774</v>
      </c>
      <c r="C406" s="15" t="s">
        <v>775</v>
      </c>
      <c r="D406" s="16">
        <v>741.0</v>
      </c>
      <c r="E406" s="16">
        <f t="shared" si="1"/>
        <v>51.129</v>
      </c>
      <c r="F406" s="16">
        <f t="shared" si="2"/>
        <v>15.9315</v>
      </c>
      <c r="G406" s="17">
        <v>354.82</v>
      </c>
      <c r="H406" s="18">
        <v>0.1</v>
      </c>
      <c r="I406" s="16">
        <f t="shared" si="13"/>
        <v>74.1</v>
      </c>
      <c r="J406" s="16">
        <v>69.0</v>
      </c>
      <c r="K406" s="16">
        <f t="shared" si="4"/>
        <v>176.0195</v>
      </c>
      <c r="L406" s="19">
        <f t="shared" si="5"/>
        <v>0.4960811115</v>
      </c>
      <c r="M406" s="16">
        <f t="shared" si="6"/>
        <v>530.8395</v>
      </c>
      <c r="N406" s="20"/>
    </row>
    <row r="407">
      <c r="A407" s="30"/>
      <c r="B407" s="30" t="s">
        <v>776</v>
      </c>
      <c r="C407" s="15" t="s">
        <v>777</v>
      </c>
      <c r="D407" s="16">
        <v>750.0</v>
      </c>
      <c r="E407" s="16">
        <f t="shared" si="1"/>
        <v>51.75</v>
      </c>
      <c r="F407" s="16">
        <f t="shared" si="2"/>
        <v>16.125</v>
      </c>
      <c r="G407" s="17">
        <v>603.19</v>
      </c>
      <c r="H407" s="18">
        <v>0.15</v>
      </c>
      <c r="I407" s="16">
        <f t="shared" si="13"/>
        <v>112.5</v>
      </c>
      <c r="J407" s="16"/>
      <c r="K407" s="16">
        <f t="shared" si="4"/>
        <v>-33.565</v>
      </c>
      <c r="L407" s="19">
        <f t="shared" si="5"/>
        <v>-0.05564581641</v>
      </c>
      <c r="M407" s="16">
        <f t="shared" si="6"/>
        <v>569.625</v>
      </c>
      <c r="N407" s="20"/>
    </row>
    <row r="408">
      <c r="A408" s="30"/>
      <c r="B408" s="30" t="s">
        <v>778</v>
      </c>
      <c r="C408" s="15" t="s">
        <v>779</v>
      </c>
      <c r="D408" s="29">
        <v>472.0</v>
      </c>
      <c r="E408" s="16">
        <f t="shared" si="1"/>
        <v>32.568</v>
      </c>
      <c r="F408" s="16">
        <f t="shared" si="2"/>
        <v>10.148</v>
      </c>
      <c r="G408" s="17">
        <v>331.58</v>
      </c>
      <c r="H408" s="18">
        <v>0.1</v>
      </c>
      <c r="I408" s="16">
        <f t="shared" si="13"/>
        <v>47.2</v>
      </c>
      <c r="J408" s="29">
        <v>62.0</v>
      </c>
      <c r="K408" s="16">
        <f t="shared" si="4"/>
        <v>-11.496</v>
      </c>
      <c r="L408" s="19">
        <f t="shared" si="5"/>
        <v>-0.03467036613</v>
      </c>
      <c r="M408" s="16">
        <f t="shared" si="6"/>
        <v>320.084</v>
      </c>
      <c r="N408" s="20"/>
    </row>
    <row r="409">
      <c r="A409" s="30"/>
      <c r="B409" s="30" t="s">
        <v>780</v>
      </c>
      <c r="C409" s="15" t="s">
        <v>781</v>
      </c>
      <c r="D409" s="29">
        <v>130.0</v>
      </c>
      <c r="E409" s="16">
        <f t="shared" si="1"/>
        <v>8.97</v>
      </c>
      <c r="F409" s="16">
        <f t="shared" si="2"/>
        <v>2.795</v>
      </c>
      <c r="G409" s="17">
        <v>113.77</v>
      </c>
      <c r="H409" s="18">
        <v>0.1</v>
      </c>
      <c r="I409" s="16">
        <f t="shared" si="13"/>
        <v>13</v>
      </c>
      <c r="J409" s="29">
        <v>30.0</v>
      </c>
      <c r="K409" s="16">
        <f t="shared" si="4"/>
        <v>-38.535</v>
      </c>
      <c r="L409" s="19">
        <f t="shared" si="5"/>
        <v>-0.3387096774</v>
      </c>
      <c r="M409" s="16">
        <f t="shared" si="6"/>
        <v>75.235</v>
      </c>
      <c r="N409" s="20"/>
    </row>
    <row r="410">
      <c r="A410" s="30"/>
      <c r="B410" s="30"/>
      <c r="C410" s="15" t="s">
        <v>782</v>
      </c>
      <c r="D410" s="16">
        <v>1699.0</v>
      </c>
      <c r="E410" s="16">
        <f t="shared" si="1"/>
        <v>117.231</v>
      </c>
      <c r="F410" s="16">
        <f t="shared" si="2"/>
        <v>36.5285</v>
      </c>
      <c r="G410" s="17">
        <v>1294.77</v>
      </c>
      <c r="H410" s="18">
        <v>0.1</v>
      </c>
      <c r="I410" s="16">
        <f t="shared" si="13"/>
        <v>169.9</v>
      </c>
      <c r="J410" s="16">
        <v>68.0</v>
      </c>
      <c r="K410" s="16">
        <f t="shared" si="4"/>
        <v>12.5705</v>
      </c>
      <c r="L410" s="19">
        <f t="shared" si="5"/>
        <v>0.009708674127</v>
      </c>
      <c r="M410" s="16">
        <f t="shared" si="6"/>
        <v>1307.3405</v>
      </c>
      <c r="N410" s="20"/>
    </row>
    <row r="411">
      <c r="A411" s="30"/>
      <c r="B411" s="30" t="s">
        <v>783</v>
      </c>
      <c r="C411" s="15" t="s">
        <v>784</v>
      </c>
      <c r="D411" s="16">
        <v>987.0</v>
      </c>
      <c r="E411" s="16">
        <f t="shared" si="1"/>
        <v>68.103</v>
      </c>
      <c r="F411" s="16">
        <f t="shared" si="2"/>
        <v>21.2205</v>
      </c>
      <c r="G411" s="17">
        <v>781.04</v>
      </c>
      <c r="H411" s="18">
        <v>0.15</v>
      </c>
      <c r="I411" s="16">
        <f t="shared" si="13"/>
        <v>148.05</v>
      </c>
      <c r="J411" s="16"/>
      <c r="K411" s="16">
        <f t="shared" si="4"/>
        <v>-31.4135</v>
      </c>
      <c r="L411" s="19">
        <f t="shared" si="5"/>
        <v>-0.04022009116</v>
      </c>
      <c r="M411" s="16">
        <f t="shared" si="6"/>
        <v>749.6265</v>
      </c>
      <c r="N411" s="20"/>
    </row>
    <row r="412">
      <c r="A412" s="30"/>
      <c r="B412" s="30" t="s">
        <v>785</v>
      </c>
      <c r="C412" s="15" t="s">
        <v>786</v>
      </c>
      <c r="D412" s="16">
        <v>1646.0</v>
      </c>
      <c r="E412" s="16">
        <f t="shared" si="1"/>
        <v>113.574</v>
      </c>
      <c r="F412" s="16">
        <f t="shared" si="2"/>
        <v>35.389</v>
      </c>
      <c r="G412" s="17">
        <v>1294.77</v>
      </c>
      <c r="H412" s="18">
        <v>0.1</v>
      </c>
      <c r="I412" s="16">
        <f t="shared" si="13"/>
        <v>164.6</v>
      </c>
      <c r="J412" s="16">
        <v>69.0</v>
      </c>
      <c r="K412" s="16">
        <f t="shared" si="4"/>
        <v>-31.333</v>
      </c>
      <c r="L412" s="19">
        <f t="shared" si="5"/>
        <v>-0.02419966481</v>
      </c>
      <c r="M412" s="16">
        <f t="shared" si="6"/>
        <v>1263.437</v>
      </c>
      <c r="N412" s="20"/>
    </row>
    <row r="413">
      <c r="A413" s="30"/>
      <c r="B413" s="30" t="s">
        <v>787</v>
      </c>
      <c r="C413" s="15" t="s">
        <v>788</v>
      </c>
      <c r="D413" s="29">
        <v>491.0</v>
      </c>
      <c r="E413" s="16">
        <f t="shared" si="1"/>
        <v>33.879</v>
      </c>
      <c r="F413" s="16">
        <f t="shared" si="2"/>
        <v>10.5565</v>
      </c>
      <c r="G413" s="17">
        <v>368.76</v>
      </c>
      <c r="H413" s="18">
        <v>0.1</v>
      </c>
      <c r="I413" s="16">
        <f t="shared" si="13"/>
        <v>49.1</v>
      </c>
      <c r="J413" s="16">
        <v>69.0</v>
      </c>
      <c r="K413" s="16">
        <f t="shared" si="4"/>
        <v>-40.2955</v>
      </c>
      <c r="L413" s="19">
        <f t="shared" si="5"/>
        <v>-0.1092729689</v>
      </c>
      <c r="M413" s="16">
        <f t="shared" si="6"/>
        <v>328.4645</v>
      </c>
      <c r="N413" s="20"/>
    </row>
    <row r="414">
      <c r="A414" s="30"/>
      <c r="B414" s="30" t="s">
        <v>789</v>
      </c>
      <c r="C414" s="15" t="s">
        <v>790</v>
      </c>
      <c r="D414" s="16">
        <v>269.0</v>
      </c>
      <c r="E414" s="16">
        <f t="shared" si="1"/>
        <v>18.561</v>
      </c>
      <c r="F414" s="16">
        <f t="shared" si="2"/>
        <v>5.7835</v>
      </c>
      <c r="G414" s="17">
        <v>98.84</v>
      </c>
      <c r="H414" s="18">
        <v>0.1</v>
      </c>
      <c r="I414" s="16">
        <f t="shared" si="13"/>
        <v>26.9</v>
      </c>
      <c r="J414" s="16">
        <v>62.0</v>
      </c>
      <c r="K414" s="16">
        <f t="shared" si="4"/>
        <v>56.9155</v>
      </c>
      <c r="L414" s="19">
        <f t="shared" si="5"/>
        <v>0.5758346823</v>
      </c>
      <c r="M414" s="16">
        <f t="shared" si="6"/>
        <v>155.7555</v>
      </c>
      <c r="N414" s="20"/>
    </row>
    <row r="415">
      <c r="A415" s="30"/>
      <c r="B415" s="30" t="s">
        <v>791</v>
      </c>
      <c r="C415" s="15" t="s">
        <v>790</v>
      </c>
      <c r="D415" s="16">
        <v>202.0</v>
      </c>
      <c r="E415" s="16">
        <f t="shared" si="1"/>
        <v>13.938</v>
      </c>
      <c r="F415" s="16">
        <f t="shared" si="2"/>
        <v>4.343</v>
      </c>
      <c r="G415" s="17">
        <v>98.84</v>
      </c>
      <c r="H415" s="18">
        <v>0.1</v>
      </c>
      <c r="I415" s="16">
        <f t="shared" si="13"/>
        <v>20.2</v>
      </c>
      <c r="J415" s="16"/>
      <c r="K415" s="16">
        <f t="shared" si="4"/>
        <v>64.679</v>
      </c>
      <c r="L415" s="19">
        <f t="shared" si="5"/>
        <v>0.6543808175</v>
      </c>
      <c r="M415" s="16">
        <f t="shared" si="6"/>
        <v>163.519</v>
      </c>
      <c r="N415" s="20"/>
    </row>
    <row r="416">
      <c r="A416" s="30"/>
      <c r="B416" s="30" t="s">
        <v>792</v>
      </c>
      <c r="C416" s="15" t="s">
        <v>793</v>
      </c>
      <c r="D416" s="16">
        <v>5299.0</v>
      </c>
      <c r="E416" s="16">
        <f t="shared" si="1"/>
        <v>365.631</v>
      </c>
      <c r="F416" s="16">
        <f t="shared" si="2"/>
        <v>113.9285</v>
      </c>
      <c r="G416" s="17">
        <v>3616.5</v>
      </c>
      <c r="H416" s="18">
        <v>0.1</v>
      </c>
      <c r="I416" s="16">
        <f t="shared" si="13"/>
        <v>529.9</v>
      </c>
      <c r="J416" s="16">
        <v>69.0</v>
      </c>
      <c r="K416" s="16">
        <f t="shared" si="4"/>
        <v>604.0405</v>
      </c>
      <c r="L416" s="19">
        <f t="shared" si="5"/>
        <v>0.1670235034</v>
      </c>
      <c r="M416" s="16">
        <f t="shared" si="6"/>
        <v>4220.5405</v>
      </c>
      <c r="N416" s="20"/>
    </row>
    <row r="417">
      <c r="A417" s="30"/>
      <c r="B417" s="30"/>
      <c r="C417" s="15" t="s">
        <v>793</v>
      </c>
      <c r="D417" s="16">
        <v>4564.0</v>
      </c>
      <c r="E417" s="16">
        <f t="shared" si="1"/>
        <v>314.916</v>
      </c>
      <c r="F417" s="16">
        <f t="shared" si="2"/>
        <v>98.126</v>
      </c>
      <c r="G417" s="17">
        <v>3616.5</v>
      </c>
      <c r="H417" s="18">
        <v>0.1</v>
      </c>
      <c r="I417" s="16">
        <f t="shared" si="13"/>
        <v>456.4</v>
      </c>
      <c r="J417" s="16">
        <v>69.0</v>
      </c>
      <c r="K417" s="16">
        <f t="shared" si="4"/>
        <v>9.058</v>
      </c>
      <c r="L417" s="19">
        <f t="shared" si="5"/>
        <v>0.00250463155</v>
      </c>
      <c r="M417" s="16">
        <f t="shared" si="6"/>
        <v>3625.558</v>
      </c>
      <c r="N417" s="20"/>
    </row>
    <row r="418">
      <c r="A418" s="30"/>
      <c r="B418" s="30" t="s">
        <v>794</v>
      </c>
      <c r="C418" s="15" t="s">
        <v>795</v>
      </c>
      <c r="D418" s="16">
        <v>3878.0</v>
      </c>
      <c r="E418" s="16">
        <f t="shared" si="1"/>
        <v>267.582</v>
      </c>
      <c r="F418" s="16">
        <f t="shared" si="2"/>
        <v>83.377</v>
      </c>
      <c r="G418" s="37">
        <v>1789.65</v>
      </c>
      <c r="H418" s="18">
        <v>0.1</v>
      </c>
      <c r="I418" s="16">
        <f t="shared" si="13"/>
        <v>387.8</v>
      </c>
      <c r="J418" s="16">
        <v>75.0</v>
      </c>
      <c r="K418" s="16">
        <f t="shared" si="4"/>
        <v>1274.591</v>
      </c>
      <c r="L418" s="19">
        <f t="shared" si="5"/>
        <v>0.7122012684</v>
      </c>
      <c r="M418" s="16">
        <f t="shared" si="6"/>
        <v>3064.241</v>
      </c>
      <c r="N418" s="20"/>
    </row>
    <row r="419">
      <c r="A419" s="30"/>
      <c r="B419" s="30" t="s">
        <v>796</v>
      </c>
      <c r="C419" s="15" t="s">
        <v>797</v>
      </c>
      <c r="D419" s="16">
        <v>599.0</v>
      </c>
      <c r="E419" s="16">
        <f t="shared" si="1"/>
        <v>41.331</v>
      </c>
      <c r="F419" s="16">
        <f t="shared" si="2"/>
        <v>12.8785</v>
      </c>
      <c r="G419" s="17">
        <v>395.17</v>
      </c>
      <c r="H419" s="18">
        <v>0.1</v>
      </c>
      <c r="I419" s="16">
        <f t="shared" si="13"/>
        <v>59.9</v>
      </c>
      <c r="J419" s="16">
        <v>69.0</v>
      </c>
      <c r="K419" s="16">
        <f t="shared" si="4"/>
        <v>20.7205</v>
      </c>
      <c r="L419" s="19">
        <f t="shared" si="5"/>
        <v>0.05243439532</v>
      </c>
      <c r="M419" s="16">
        <f t="shared" si="6"/>
        <v>415.8905</v>
      </c>
      <c r="N419" s="20"/>
    </row>
    <row r="420">
      <c r="A420" s="30"/>
      <c r="B420" s="30"/>
      <c r="C420" s="15" t="s">
        <v>798</v>
      </c>
      <c r="D420" s="16">
        <v>1999.0</v>
      </c>
      <c r="E420" s="16">
        <f t="shared" si="1"/>
        <v>137.931</v>
      </c>
      <c r="F420" s="16">
        <f t="shared" si="2"/>
        <v>42.9785</v>
      </c>
      <c r="G420" s="17">
        <v>1469.37</v>
      </c>
      <c r="H420" s="18">
        <v>0.1</v>
      </c>
      <c r="I420" s="16">
        <f t="shared" si="13"/>
        <v>199.9</v>
      </c>
      <c r="J420" s="16">
        <v>95.0</v>
      </c>
      <c r="K420" s="16">
        <f t="shared" si="4"/>
        <v>53.8205</v>
      </c>
      <c r="L420" s="19">
        <f t="shared" si="5"/>
        <v>0.03662828287</v>
      </c>
      <c r="M420" s="16">
        <f t="shared" si="6"/>
        <v>1523.1905</v>
      </c>
      <c r="N420" s="20"/>
    </row>
    <row r="421">
      <c r="A421" s="30"/>
      <c r="B421" s="30" t="s">
        <v>799</v>
      </c>
      <c r="C421" s="15" t="s">
        <v>800</v>
      </c>
      <c r="D421" s="29">
        <v>12970.0</v>
      </c>
      <c r="E421" s="16">
        <f t="shared" si="1"/>
        <v>894.93</v>
      </c>
      <c r="F421" s="16">
        <f t="shared" si="2"/>
        <v>278.855</v>
      </c>
      <c r="G421" s="32">
        <v>9991.95</v>
      </c>
      <c r="H421" s="18">
        <v>0.145</v>
      </c>
      <c r="I421" s="16">
        <f t="shared" si="13"/>
        <v>1880.65</v>
      </c>
      <c r="J421" s="29">
        <v>426.0</v>
      </c>
      <c r="K421" s="16">
        <f t="shared" si="4"/>
        <v>-502.385</v>
      </c>
      <c r="L421" s="19">
        <f t="shared" si="5"/>
        <v>-0.05027897457</v>
      </c>
      <c r="M421" s="16">
        <f t="shared" si="6"/>
        <v>9489.565</v>
      </c>
      <c r="N421" s="20"/>
    </row>
    <row r="422">
      <c r="A422" s="30"/>
      <c r="B422" s="30" t="s">
        <v>801</v>
      </c>
      <c r="C422" s="15" t="s">
        <v>802</v>
      </c>
      <c r="D422" s="16">
        <v>1699.0</v>
      </c>
      <c r="E422" s="16">
        <f t="shared" si="1"/>
        <v>117.231</v>
      </c>
      <c r="F422" s="16">
        <f t="shared" si="2"/>
        <v>36.5285</v>
      </c>
      <c r="G422" s="17">
        <v>1186.01</v>
      </c>
      <c r="H422" s="18">
        <v>0.1</v>
      </c>
      <c r="I422" s="16">
        <f t="shared" si="13"/>
        <v>169.9</v>
      </c>
      <c r="J422" s="16">
        <v>62.0</v>
      </c>
      <c r="K422" s="16">
        <f t="shared" si="4"/>
        <v>127.3305</v>
      </c>
      <c r="L422" s="19">
        <f t="shared" si="5"/>
        <v>0.1073603933</v>
      </c>
      <c r="M422" s="16">
        <f t="shared" si="6"/>
        <v>1313.3405</v>
      </c>
      <c r="N422" s="20"/>
    </row>
    <row r="423">
      <c r="A423" s="30"/>
      <c r="B423" s="30" t="s">
        <v>803</v>
      </c>
      <c r="C423" s="15" t="s">
        <v>804</v>
      </c>
      <c r="D423" s="16">
        <v>2831.0</v>
      </c>
      <c r="E423" s="16">
        <f t="shared" si="1"/>
        <v>195.339</v>
      </c>
      <c r="F423" s="16">
        <f t="shared" si="2"/>
        <v>60.8665</v>
      </c>
      <c r="G423" s="17">
        <v>1509.38</v>
      </c>
      <c r="H423" s="18">
        <v>0.1</v>
      </c>
      <c r="I423" s="16">
        <f t="shared" si="13"/>
        <v>283.1</v>
      </c>
      <c r="J423" s="16">
        <v>75.0</v>
      </c>
      <c r="K423" s="16">
        <f t="shared" si="4"/>
        <v>707.3145</v>
      </c>
      <c r="L423" s="19">
        <f t="shared" si="5"/>
        <v>0.4686126092</v>
      </c>
      <c r="M423" s="16">
        <f t="shared" si="6"/>
        <v>2216.6945</v>
      </c>
      <c r="N423" s="20"/>
    </row>
    <row r="424">
      <c r="A424" s="30"/>
      <c r="B424" s="30" t="s">
        <v>805</v>
      </c>
      <c r="C424" s="15" t="s">
        <v>806</v>
      </c>
      <c r="D424" s="16">
        <v>3735.0</v>
      </c>
      <c r="E424" s="16">
        <f t="shared" si="1"/>
        <v>257.715</v>
      </c>
      <c r="F424" s="16">
        <f t="shared" si="2"/>
        <v>80.3025</v>
      </c>
      <c r="G424" s="17">
        <v>2589.49</v>
      </c>
      <c r="H424" s="18">
        <v>0.1</v>
      </c>
      <c r="I424" s="16">
        <f t="shared" si="13"/>
        <v>373.5</v>
      </c>
      <c r="J424" s="16">
        <v>75.0</v>
      </c>
      <c r="K424" s="16">
        <f t="shared" si="4"/>
        <v>358.9925</v>
      </c>
      <c r="L424" s="19">
        <f t="shared" si="5"/>
        <v>0.1386344415</v>
      </c>
      <c r="M424" s="16">
        <f t="shared" si="6"/>
        <v>2948.4825</v>
      </c>
      <c r="N424" s="20"/>
    </row>
    <row r="425">
      <c r="A425" s="30"/>
      <c r="B425" s="30" t="s">
        <v>807</v>
      </c>
      <c r="C425" s="15" t="s">
        <v>808</v>
      </c>
      <c r="D425" s="16">
        <v>2099.0</v>
      </c>
      <c r="E425" s="16">
        <f t="shared" si="1"/>
        <v>144.831</v>
      </c>
      <c r="F425" s="16">
        <f t="shared" si="2"/>
        <v>45.1285</v>
      </c>
      <c r="G425" s="17">
        <v>1539.53</v>
      </c>
      <c r="H425" s="18">
        <v>0.1</v>
      </c>
      <c r="I425" s="16">
        <f t="shared" si="13"/>
        <v>209.9</v>
      </c>
      <c r="J425" s="16">
        <v>95.0</v>
      </c>
      <c r="K425" s="16">
        <f t="shared" si="4"/>
        <v>64.6105</v>
      </c>
      <c r="L425" s="19">
        <f t="shared" si="5"/>
        <v>0.04196767845</v>
      </c>
      <c r="M425" s="16">
        <f t="shared" si="6"/>
        <v>1604.1405</v>
      </c>
      <c r="N425" s="20"/>
    </row>
    <row r="426">
      <c r="A426" s="30"/>
      <c r="B426" s="30" t="s">
        <v>809</v>
      </c>
      <c r="C426" s="15" t="s">
        <v>810</v>
      </c>
      <c r="D426" s="16">
        <v>3699.0</v>
      </c>
      <c r="E426" s="16">
        <f t="shared" si="1"/>
        <v>255.231</v>
      </c>
      <c r="F426" s="16">
        <f t="shared" si="2"/>
        <v>79.5285</v>
      </c>
      <c r="G426" s="17">
        <v>2941.34</v>
      </c>
      <c r="H426" s="18">
        <v>0.1</v>
      </c>
      <c r="I426" s="16">
        <f t="shared" si="13"/>
        <v>369.9</v>
      </c>
      <c r="J426" s="16">
        <v>95.0</v>
      </c>
      <c r="K426" s="16">
        <f t="shared" si="4"/>
        <v>-41.9995</v>
      </c>
      <c r="L426" s="19">
        <f t="shared" si="5"/>
        <v>-0.01427903609</v>
      </c>
      <c r="M426" s="16">
        <f t="shared" si="6"/>
        <v>2899.3405</v>
      </c>
      <c r="N426" s="20"/>
    </row>
    <row r="427">
      <c r="A427" s="30"/>
      <c r="B427" s="30" t="s">
        <v>811</v>
      </c>
      <c r="C427" s="15" t="s">
        <v>812</v>
      </c>
      <c r="D427" s="16">
        <v>3820.0</v>
      </c>
      <c r="E427" s="16">
        <f t="shared" si="1"/>
        <v>263.58</v>
      </c>
      <c r="F427" s="16">
        <f t="shared" si="2"/>
        <v>82.13</v>
      </c>
      <c r="G427" s="17">
        <v>4010.47</v>
      </c>
      <c r="H427" s="18">
        <v>0.1</v>
      </c>
      <c r="I427" s="16">
        <f t="shared" si="13"/>
        <v>382</v>
      </c>
      <c r="J427" s="16">
        <v>95.0</v>
      </c>
      <c r="K427" s="16">
        <f t="shared" si="4"/>
        <v>-1013.18</v>
      </c>
      <c r="L427" s="19">
        <f t="shared" si="5"/>
        <v>-0.2526337312</v>
      </c>
      <c r="M427" s="16">
        <f t="shared" si="6"/>
        <v>2997.29</v>
      </c>
      <c r="N427" s="20"/>
    </row>
    <row r="428">
      <c r="A428" s="30"/>
      <c r="B428" s="30" t="s">
        <v>813</v>
      </c>
      <c r="C428" s="15" t="s">
        <v>814</v>
      </c>
      <c r="D428" s="16">
        <v>1999.0</v>
      </c>
      <c r="E428" s="16">
        <f t="shared" si="1"/>
        <v>137.931</v>
      </c>
      <c r="F428" s="16">
        <f t="shared" si="2"/>
        <v>42.9785</v>
      </c>
      <c r="G428" s="17">
        <v>1597.82</v>
      </c>
      <c r="H428" s="18">
        <v>0.1</v>
      </c>
      <c r="I428" s="16">
        <f t="shared" si="13"/>
        <v>199.9</v>
      </c>
      <c r="J428" s="16">
        <v>91.0</v>
      </c>
      <c r="K428" s="16">
        <f t="shared" si="4"/>
        <v>-70.6295</v>
      </c>
      <c r="L428" s="19">
        <f t="shared" si="5"/>
        <v>-0.04420366499</v>
      </c>
      <c r="M428" s="16">
        <f t="shared" si="6"/>
        <v>1527.1905</v>
      </c>
      <c r="N428" s="20"/>
    </row>
    <row r="429">
      <c r="A429" s="30"/>
      <c r="B429" s="30" t="s">
        <v>815</v>
      </c>
      <c r="C429" s="15" t="s">
        <v>816</v>
      </c>
      <c r="D429" s="16">
        <v>399.0</v>
      </c>
      <c r="E429" s="16">
        <f t="shared" si="1"/>
        <v>27.531</v>
      </c>
      <c r="F429" s="16">
        <f t="shared" si="2"/>
        <v>8.5785</v>
      </c>
      <c r="G429" s="17">
        <v>159.46</v>
      </c>
      <c r="H429" s="18">
        <v>0.1</v>
      </c>
      <c r="I429" s="16">
        <f t="shared" si="13"/>
        <v>39.9</v>
      </c>
      <c r="J429" s="16">
        <v>91.0</v>
      </c>
      <c r="K429" s="16">
        <f t="shared" si="4"/>
        <v>72.5305</v>
      </c>
      <c r="L429" s="19">
        <f t="shared" si="5"/>
        <v>0.4548507463</v>
      </c>
      <c r="M429" s="16">
        <f t="shared" si="6"/>
        <v>231.9905</v>
      </c>
      <c r="N429" s="20"/>
    </row>
    <row r="430">
      <c r="A430" s="30"/>
      <c r="B430" s="30" t="s">
        <v>817</v>
      </c>
      <c r="C430" s="15" t="s">
        <v>818</v>
      </c>
      <c r="D430" s="16">
        <v>695.0</v>
      </c>
      <c r="E430" s="16">
        <f t="shared" si="1"/>
        <v>47.955</v>
      </c>
      <c r="F430" s="16">
        <f t="shared" si="2"/>
        <v>14.9425</v>
      </c>
      <c r="G430" s="17">
        <v>314.73</v>
      </c>
      <c r="H430" s="18">
        <v>0.1</v>
      </c>
      <c r="I430" s="16">
        <f t="shared" si="13"/>
        <v>69.5</v>
      </c>
      <c r="J430" s="16">
        <v>91.0</v>
      </c>
      <c r="K430" s="16">
        <f t="shared" si="4"/>
        <v>156.8725</v>
      </c>
      <c r="L430" s="19">
        <f t="shared" si="5"/>
        <v>0.4984351667</v>
      </c>
      <c r="M430" s="16">
        <f t="shared" si="6"/>
        <v>471.6025</v>
      </c>
      <c r="N430" s="20"/>
    </row>
    <row r="431">
      <c r="A431" s="30"/>
      <c r="B431" s="30" t="s">
        <v>819</v>
      </c>
      <c r="C431" s="15" t="s">
        <v>820</v>
      </c>
      <c r="D431" s="16">
        <v>499.0</v>
      </c>
      <c r="E431" s="16">
        <f t="shared" si="1"/>
        <v>34.431</v>
      </c>
      <c r="F431" s="16">
        <f t="shared" si="2"/>
        <v>10.7285</v>
      </c>
      <c r="G431" s="17">
        <v>266.45</v>
      </c>
      <c r="H431" s="18">
        <v>0.1</v>
      </c>
      <c r="I431" s="16">
        <f t="shared" si="13"/>
        <v>49.9</v>
      </c>
      <c r="J431" s="16">
        <v>69.0</v>
      </c>
      <c r="K431" s="16">
        <f t="shared" si="4"/>
        <v>68.4905</v>
      </c>
      <c r="L431" s="19">
        <f t="shared" si="5"/>
        <v>0.2570482267</v>
      </c>
      <c r="M431" s="16">
        <f t="shared" si="6"/>
        <v>334.9405</v>
      </c>
      <c r="N431" s="20"/>
    </row>
    <row r="432">
      <c r="A432" s="30"/>
      <c r="B432" s="30" t="s">
        <v>821</v>
      </c>
      <c r="C432" s="15" t="s">
        <v>822</v>
      </c>
      <c r="D432" s="16">
        <v>900.0</v>
      </c>
      <c r="E432" s="16">
        <f t="shared" si="1"/>
        <v>62.1</v>
      </c>
      <c r="F432" s="16">
        <f t="shared" si="2"/>
        <v>19.35</v>
      </c>
      <c r="G432" s="17">
        <v>481.18</v>
      </c>
      <c r="H432" s="18">
        <v>0.1</v>
      </c>
      <c r="I432" s="16">
        <f t="shared" si="13"/>
        <v>90</v>
      </c>
      <c r="J432" s="16">
        <v>75.0</v>
      </c>
      <c r="K432" s="16">
        <f t="shared" si="4"/>
        <v>172.37</v>
      </c>
      <c r="L432" s="19">
        <f t="shared" si="5"/>
        <v>0.3582235338</v>
      </c>
      <c r="M432" s="16">
        <f t="shared" si="6"/>
        <v>653.55</v>
      </c>
      <c r="N432" s="20"/>
    </row>
    <row r="433">
      <c r="A433" s="30"/>
      <c r="B433" s="30" t="s">
        <v>823</v>
      </c>
      <c r="C433" s="15" t="s">
        <v>824</v>
      </c>
      <c r="D433" s="16"/>
      <c r="E433" s="16">
        <f t="shared" si="1"/>
        <v>0</v>
      </c>
      <c r="F433" s="16">
        <f t="shared" si="2"/>
        <v>0</v>
      </c>
      <c r="G433" s="17">
        <v>160.0</v>
      </c>
      <c r="H433" s="18">
        <v>0.1</v>
      </c>
      <c r="I433" s="16">
        <f t="shared" si="13"/>
        <v>0</v>
      </c>
      <c r="J433" s="16"/>
      <c r="K433" s="16">
        <f t="shared" si="4"/>
        <v>-160</v>
      </c>
      <c r="L433" s="19">
        <f t="shared" si="5"/>
        <v>-1</v>
      </c>
      <c r="M433" s="16">
        <f t="shared" si="6"/>
        <v>0</v>
      </c>
      <c r="N433" s="20"/>
    </row>
    <row r="434">
      <c r="A434" s="30"/>
      <c r="B434" s="30" t="s">
        <v>825</v>
      </c>
      <c r="C434" s="15" t="s">
        <v>826</v>
      </c>
      <c r="D434" s="16"/>
      <c r="E434" s="16">
        <f t="shared" si="1"/>
        <v>0</v>
      </c>
      <c r="F434" s="16">
        <f t="shared" si="2"/>
        <v>0</v>
      </c>
      <c r="G434" s="17">
        <v>317.24</v>
      </c>
      <c r="H434" s="18">
        <v>0.1</v>
      </c>
      <c r="I434" s="16">
        <f t="shared" si="13"/>
        <v>0</v>
      </c>
      <c r="J434" s="16"/>
      <c r="K434" s="16">
        <f t="shared" si="4"/>
        <v>-317.24</v>
      </c>
      <c r="L434" s="19">
        <f t="shared" si="5"/>
        <v>-1</v>
      </c>
      <c r="M434" s="16">
        <f t="shared" si="6"/>
        <v>0</v>
      </c>
      <c r="N434" s="20"/>
    </row>
    <row r="435">
      <c r="A435" s="30"/>
      <c r="B435" s="30" t="s">
        <v>827</v>
      </c>
      <c r="C435" s="15" t="s">
        <v>828</v>
      </c>
      <c r="D435" s="16"/>
      <c r="E435" s="16">
        <f t="shared" si="1"/>
        <v>0</v>
      </c>
      <c r="F435" s="16">
        <f t="shared" si="2"/>
        <v>0</v>
      </c>
      <c r="G435" s="17">
        <v>611.0</v>
      </c>
      <c r="H435" s="18">
        <v>0.1</v>
      </c>
      <c r="I435" s="16">
        <f t="shared" si="13"/>
        <v>0</v>
      </c>
      <c r="J435" s="16"/>
      <c r="K435" s="16">
        <f t="shared" si="4"/>
        <v>-611</v>
      </c>
      <c r="L435" s="19">
        <f t="shared" si="5"/>
        <v>-1</v>
      </c>
      <c r="M435" s="16">
        <f t="shared" si="6"/>
        <v>0</v>
      </c>
      <c r="N435" s="20"/>
    </row>
    <row r="436">
      <c r="A436" s="30"/>
      <c r="B436" s="30" t="s">
        <v>829</v>
      </c>
      <c r="C436" s="15" t="s">
        <v>830</v>
      </c>
      <c r="D436" s="16"/>
      <c r="E436" s="16">
        <f t="shared" si="1"/>
        <v>0</v>
      </c>
      <c r="F436" s="16">
        <f t="shared" si="2"/>
        <v>0</v>
      </c>
      <c r="G436" s="17">
        <v>643.83</v>
      </c>
      <c r="H436" s="18">
        <v>0.1</v>
      </c>
      <c r="I436" s="16">
        <f t="shared" si="13"/>
        <v>0</v>
      </c>
      <c r="J436" s="16"/>
      <c r="K436" s="16">
        <f t="shared" si="4"/>
        <v>-643.83</v>
      </c>
      <c r="L436" s="19">
        <f t="shared" si="5"/>
        <v>-1</v>
      </c>
      <c r="M436" s="16">
        <f t="shared" si="6"/>
        <v>0</v>
      </c>
      <c r="N436" s="20"/>
    </row>
    <row r="437">
      <c r="A437" s="30"/>
      <c r="B437" s="30" t="s">
        <v>831</v>
      </c>
      <c r="C437" s="15" t="s">
        <v>832</v>
      </c>
      <c r="D437" s="16"/>
      <c r="E437" s="16">
        <f t="shared" si="1"/>
        <v>0</v>
      </c>
      <c r="F437" s="16">
        <f t="shared" si="2"/>
        <v>0</v>
      </c>
      <c r="G437" s="17">
        <v>715.91</v>
      </c>
      <c r="H437" s="18">
        <v>0.1</v>
      </c>
      <c r="I437" s="16">
        <f t="shared" si="13"/>
        <v>0</v>
      </c>
      <c r="J437" s="16"/>
      <c r="K437" s="16">
        <f t="shared" si="4"/>
        <v>-715.91</v>
      </c>
      <c r="L437" s="19">
        <f t="shared" si="5"/>
        <v>-1</v>
      </c>
      <c r="M437" s="16">
        <f t="shared" si="6"/>
        <v>0</v>
      </c>
      <c r="N437" s="20"/>
    </row>
    <row r="438">
      <c r="A438" s="30"/>
      <c r="B438" s="30" t="s">
        <v>833</v>
      </c>
      <c r="C438" s="15" t="s">
        <v>834</v>
      </c>
      <c r="D438" s="16"/>
      <c r="E438" s="16">
        <f t="shared" si="1"/>
        <v>0</v>
      </c>
      <c r="F438" s="16">
        <f t="shared" si="2"/>
        <v>0</v>
      </c>
      <c r="G438" s="17">
        <v>5039.5</v>
      </c>
      <c r="H438" s="18">
        <v>0.1</v>
      </c>
      <c r="I438" s="16">
        <f t="shared" si="13"/>
        <v>0</v>
      </c>
      <c r="J438" s="16"/>
      <c r="K438" s="16">
        <f t="shared" si="4"/>
        <v>-5039.5</v>
      </c>
      <c r="L438" s="19">
        <f t="shared" si="5"/>
        <v>-1</v>
      </c>
      <c r="M438" s="16">
        <f t="shared" si="6"/>
        <v>0</v>
      </c>
      <c r="N438" s="20"/>
    </row>
    <row r="439">
      <c r="A439" s="30"/>
      <c r="B439" s="30" t="s">
        <v>835</v>
      </c>
      <c r="C439" s="15" t="s">
        <v>836</v>
      </c>
      <c r="D439" s="16"/>
      <c r="E439" s="16">
        <f t="shared" si="1"/>
        <v>0</v>
      </c>
      <c r="F439" s="16">
        <f t="shared" si="2"/>
        <v>0</v>
      </c>
      <c r="G439" s="17">
        <v>379.2</v>
      </c>
      <c r="H439" s="18">
        <v>0.1</v>
      </c>
      <c r="I439" s="16">
        <f t="shared" si="13"/>
        <v>0</v>
      </c>
      <c r="J439" s="16"/>
      <c r="K439" s="16">
        <f t="shared" si="4"/>
        <v>-379.2</v>
      </c>
      <c r="L439" s="19">
        <f t="shared" si="5"/>
        <v>-1</v>
      </c>
      <c r="M439" s="16">
        <f t="shared" si="6"/>
        <v>0</v>
      </c>
      <c r="N439" s="20"/>
    </row>
    <row r="440">
      <c r="A440" s="30"/>
      <c r="B440" s="30" t="s">
        <v>837</v>
      </c>
      <c r="C440" s="15" t="s">
        <v>838</v>
      </c>
      <c r="D440" s="16"/>
      <c r="E440" s="16">
        <f t="shared" si="1"/>
        <v>0</v>
      </c>
      <c r="F440" s="16">
        <f t="shared" si="2"/>
        <v>0</v>
      </c>
      <c r="G440" s="17">
        <v>1141.81</v>
      </c>
      <c r="H440" s="18">
        <v>0.1</v>
      </c>
      <c r="I440" s="16">
        <f t="shared" si="13"/>
        <v>0</v>
      </c>
      <c r="J440" s="16"/>
      <c r="K440" s="16">
        <f t="shared" si="4"/>
        <v>-1141.81</v>
      </c>
      <c r="L440" s="19">
        <f t="shared" si="5"/>
        <v>-1</v>
      </c>
      <c r="M440" s="16">
        <f t="shared" si="6"/>
        <v>0</v>
      </c>
      <c r="N440" s="20"/>
    </row>
    <row r="441">
      <c r="A441" s="30"/>
      <c r="B441" s="30" t="s">
        <v>839</v>
      </c>
      <c r="C441" s="15" t="s">
        <v>840</v>
      </c>
      <c r="D441" s="16"/>
      <c r="E441" s="16">
        <f t="shared" si="1"/>
        <v>0</v>
      </c>
      <c r="F441" s="16">
        <f t="shared" si="2"/>
        <v>0</v>
      </c>
      <c r="G441" s="17">
        <v>0.0</v>
      </c>
      <c r="H441" s="18">
        <v>0.1</v>
      </c>
      <c r="I441" s="16">
        <f t="shared" si="13"/>
        <v>0</v>
      </c>
      <c r="J441" s="16"/>
      <c r="K441" s="16">
        <f t="shared" si="4"/>
        <v>0</v>
      </c>
      <c r="L441" s="19" t="str">
        <f t="shared" si="5"/>
        <v>#DIV/0!</v>
      </c>
      <c r="M441" s="16">
        <f t="shared" si="6"/>
        <v>0</v>
      </c>
      <c r="N441" s="20"/>
    </row>
    <row r="442">
      <c r="A442" s="30"/>
      <c r="B442" s="30" t="s">
        <v>841</v>
      </c>
      <c r="C442" s="15" t="s">
        <v>842</v>
      </c>
      <c r="D442" s="16"/>
      <c r="E442" s="16">
        <f t="shared" si="1"/>
        <v>0</v>
      </c>
      <c r="F442" s="16">
        <f t="shared" si="2"/>
        <v>0</v>
      </c>
      <c r="G442" s="17">
        <v>569.95</v>
      </c>
      <c r="H442" s="18">
        <v>0.1</v>
      </c>
      <c r="I442" s="16">
        <f t="shared" si="13"/>
        <v>0</v>
      </c>
      <c r="J442" s="16"/>
      <c r="K442" s="16">
        <f t="shared" si="4"/>
        <v>-569.95</v>
      </c>
      <c r="L442" s="19">
        <f t="shared" si="5"/>
        <v>-1</v>
      </c>
      <c r="M442" s="16">
        <f t="shared" si="6"/>
        <v>0</v>
      </c>
      <c r="N442" s="20"/>
    </row>
    <row r="443">
      <c r="A443" s="30"/>
      <c r="B443" s="30" t="s">
        <v>843</v>
      </c>
      <c r="C443" s="15" t="s">
        <v>844</v>
      </c>
      <c r="D443" s="16"/>
      <c r="E443" s="16">
        <f t="shared" si="1"/>
        <v>0</v>
      </c>
      <c r="F443" s="16">
        <f t="shared" si="2"/>
        <v>0</v>
      </c>
      <c r="G443" s="17">
        <v>163.64</v>
      </c>
      <c r="H443" s="18">
        <v>0.1</v>
      </c>
      <c r="I443" s="16">
        <f t="shared" si="13"/>
        <v>0</v>
      </c>
      <c r="J443" s="16"/>
      <c r="K443" s="16">
        <f t="shared" si="4"/>
        <v>-163.64</v>
      </c>
      <c r="L443" s="19">
        <f t="shared" si="5"/>
        <v>-1</v>
      </c>
      <c r="M443" s="16">
        <f t="shared" si="6"/>
        <v>0</v>
      </c>
      <c r="N443" s="20"/>
    </row>
    <row r="444">
      <c r="A444" s="30"/>
      <c r="B444" s="30" t="s">
        <v>845</v>
      </c>
      <c r="C444" s="15" t="s">
        <v>846</v>
      </c>
      <c r="D444" s="16"/>
      <c r="E444" s="16">
        <f t="shared" si="1"/>
        <v>0</v>
      </c>
      <c r="F444" s="16">
        <f t="shared" si="2"/>
        <v>0</v>
      </c>
      <c r="G444" s="32">
        <v>240.0</v>
      </c>
      <c r="H444" s="18">
        <v>0.1</v>
      </c>
      <c r="I444" s="16">
        <f t="shared" si="13"/>
        <v>0</v>
      </c>
      <c r="J444" s="16"/>
      <c r="K444" s="16">
        <f t="shared" si="4"/>
        <v>-240</v>
      </c>
      <c r="L444" s="19">
        <f t="shared" si="5"/>
        <v>-1</v>
      </c>
      <c r="M444" s="16">
        <f t="shared" si="6"/>
        <v>0</v>
      </c>
      <c r="N444" s="20"/>
    </row>
    <row r="445">
      <c r="A445" s="30"/>
      <c r="B445" s="30" t="s">
        <v>847</v>
      </c>
      <c r="C445" s="15" t="s">
        <v>848</v>
      </c>
      <c r="D445" s="16"/>
      <c r="E445" s="16">
        <f t="shared" si="1"/>
        <v>0</v>
      </c>
      <c r="F445" s="16">
        <f t="shared" si="2"/>
        <v>0</v>
      </c>
      <c r="G445" s="17">
        <v>330.99</v>
      </c>
      <c r="H445" s="18">
        <v>0.1</v>
      </c>
      <c r="I445" s="16">
        <f t="shared" si="13"/>
        <v>0</v>
      </c>
      <c r="J445" s="16"/>
      <c r="K445" s="16">
        <f t="shared" si="4"/>
        <v>-330.99</v>
      </c>
      <c r="L445" s="19">
        <f t="shared" si="5"/>
        <v>-1</v>
      </c>
      <c r="M445" s="16">
        <f t="shared" si="6"/>
        <v>0</v>
      </c>
      <c r="N445" s="20"/>
    </row>
    <row r="446">
      <c r="A446" s="30"/>
      <c r="B446" s="30" t="s">
        <v>849</v>
      </c>
      <c r="C446" s="15" t="s">
        <v>850</v>
      </c>
      <c r="D446" s="16"/>
      <c r="E446" s="16">
        <f t="shared" si="1"/>
        <v>0</v>
      </c>
      <c r="F446" s="16">
        <f t="shared" si="2"/>
        <v>0</v>
      </c>
      <c r="G446" s="17">
        <v>1682.0</v>
      </c>
      <c r="H446" s="18">
        <v>0.1</v>
      </c>
      <c r="I446" s="16">
        <f t="shared" si="13"/>
        <v>0</v>
      </c>
      <c r="J446" s="16"/>
      <c r="K446" s="16">
        <f t="shared" si="4"/>
        <v>-1682</v>
      </c>
      <c r="L446" s="19">
        <f t="shared" si="5"/>
        <v>-1</v>
      </c>
      <c r="M446" s="16">
        <f t="shared" si="6"/>
        <v>0</v>
      </c>
      <c r="N446" s="20"/>
    </row>
    <row r="447">
      <c r="A447" s="30"/>
      <c r="B447" s="30" t="s">
        <v>851</v>
      </c>
      <c r="C447" s="15" t="s">
        <v>852</v>
      </c>
      <c r="D447" s="16"/>
      <c r="E447" s="16">
        <f t="shared" si="1"/>
        <v>0</v>
      </c>
      <c r="F447" s="16">
        <f t="shared" si="2"/>
        <v>0</v>
      </c>
      <c r="G447" s="17">
        <v>1599.0</v>
      </c>
      <c r="H447" s="18">
        <v>0.1</v>
      </c>
      <c r="I447" s="16">
        <f t="shared" si="13"/>
        <v>0</v>
      </c>
      <c r="J447" s="16"/>
      <c r="K447" s="16">
        <f t="shared" si="4"/>
        <v>-1599</v>
      </c>
      <c r="L447" s="19">
        <f t="shared" si="5"/>
        <v>-1</v>
      </c>
      <c r="M447" s="16">
        <f t="shared" si="6"/>
        <v>0</v>
      </c>
      <c r="N447" s="20"/>
    </row>
    <row r="448">
      <c r="A448" s="30"/>
      <c r="B448" s="30" t="s">
        <v>853</v>
      </c>
      <c r="C448" s="15" t="s">
        <v>854</v>
      </c>
      <c r="D448" s="16"/>
      <c r="E448" s="16">
        <f t="shared" si="1"/>
        <v>0</v>
      </c>
      <c r="F448" s="16">
        <f t="shared" si="2"/>
        <v>0</v>
      </c>
      <c r="G448" s="17">
        <v>13328.0</v>
      </c>
      <c r="H448" s="18">
        <v>0.1</v>
      </c>
      <c r="I448" s="16">
        <f t="shared" si="13"/>
        <v>0</v>
      </c>
      <c r="J448" s="16"/>
      <c r="K448" s="16">
        <f t="shared" si="4"/>
        <v>-13328</v>
      </c>
      <c r="L448" s="19">
        <f t="shared" si="5"/>
        <v>-1</v>
      </c>
      <c r="M448" s="16">
        <f t="shared" si="6"/>
        <v>0</v>
      </c>
      <c r="N448" s="20"/>
    </row>
    <row r="449">
      <c r="A449" s="30"/>
      <c r="B449" s="30" t="s">
        <v>855</v>
      </c>
      <c r="C449" s="31" t="s">
        <v>856</v>
      </c>
      <c r="D449" s="16"/>
      <c r="E449" s="16">
        <f t="shared" si="1"/>
        <v>0</v>
      </c>
      <c r="F449" s="16">
        <f t="shared" si="2"/>
        <v>0</v>
      </c>
      <c r="G449" s="17">
        <v>3616.77</v>
      </c>
      <c r="H449" s="18">
        <v>0.1</v>
      </c>
      <c r="I449" s="16">
        <f t="shared" si="13"/>
        <v>0</v>
      </c>
      <c r="J449" s="16"/>
      <c r="K449" s="16">
        <f t="shared" si="4"/>
        <v>-3616.77</v>
      </c>
      <c r="L449" s="19">
        <f t="shared" si="5"/>
        <v>-1</v>
      </c>
      <c r="M449" s="16">
        <f t="shared" si="6"/>
        <v>0</v>
      </c>
      <c r="N449" s="20"/>
    </row>
    <row r="450">
      <c r="A450" s="30"/>
      <c r="B450" s="30" t="s">
        <v>857</v>
      </c>
      <c r="C450" s="15" t="s">
        <v>858</v>
      </c>
      <c r="D450" s="16"/>
      <c r="E450" s="16">
        <f t="shared" si="1"/>
        <v>0</v>
      </c>
      <c r="F450" s="16">
        <f t="shared" si="2"/>
        <v>0</v>
      </c>
      <c r="G450" s="17">
        <v>834.39</v>
      </c>
      <c r="H450" s="18">
        <v>0.1</v>
      </c>
      <c r="I450" s="16">
        <f t="shared" si="13"/>
        <v>0</v>
      </c>
      <c r="J450" s="16"/>
      <c r="K450" s="16">
        <f t="shared" si="4"/>
        <v>-834.39</v>
      </c>
      <c r="L450" s="19">
        <f t="shared" si="5"/>
        <v>-1</v>
      </c>
      <c r="M450" s="16">
        <f t="shared" si="6"/>
        <v>0</v>
      </c>
      <c r="N450" s="20"/>
    </row>
    <row r="451">
      <c r="A451" s="30"/>
      <c r="B451" s="30" t="s">
        <v>859</v>
      </c>
      <c r="C451" s="15" t="s">
        <v>860</v>
      </c>
      <c r="D451" s="16"/>
      <c r="E451" s="16">
        <f t="shared" si="1"/>
        <v>0</v>
      </c>
      <c r="F451" s="16">
        <f t="shared" si="2"/>
        <v>0</v>
      </c>
      <c r="G451" s="17">
        <v>513.16</v>
      </c>
      <c r="H451" s="18">
        <v>0.1</v>
      </c>
      <c r="I451" s="16">
        <f t="shared" si="13"/>
        <v>0</v>
      </c>
      <c r="J451" s="16"/>
      <c r="K451" s="16">
        <f t="shared" si="4"/>
        <v>-513.16</v>
      </c>
      <c r="L451" s="19">
        <f t="shared" si="5"/>
        <v>-1</v>
      </c>
      <c r="M451" s="16">
        <f t="shared" si="6"/>
        <v>0</v>
      </c>
      <c r="N451" s="20"/>
    </row>
    <row r="452">
      <c r="A452" s="30"/>
      <c r="B452" s="30" t="s">
        <v>861</v>
      </c>
      <c r="C452" s="15" t="s">
        <v>862</v>
      </c>
      <c r="D452" s="16"/>
      <c r="E452" s="16">
        <f t="shared" si="1"/>
        <v>0</v>
      </c>
      <c r="F452" s="16">
        <f t="shared" si="2"/>
        <v>0</v>
      </c>
      <c r="G452" s="17">
        <v>287.69</v>
      </c>
      <c r="H452" s="18">
        <v>0.1</v>
      </c>
      <c r="I452" s="16">
        <f t="shared" si="13"/>
        <v>0</v>
      </c>
      <c r="J452" s="16"/>
      <c r="K452" s="16">
        <f t="shared" si="4"/>
        <v>-287.69</v>
      </c>
      <c r="L452" s="19">
        <f t="shared" si="5"/>
        <v>-1</v>
      </c>
      <c r="M452" s="16">
        <f t="shared" si="6"/>
        <v>0</v>
      </c>
      <c r="N452" s="20"/>
    </row>
    <row r="453">
      <c r="A453" s="30"/>
      <c r="B453" s="30" t="s">
        <v>863</v>
      </c>
      <c r="C453" s="15" t="s">
        <v>864</v>
      </c>
      <c r="D453" s="16"/>
      <c r="E453" s="16">
        <f t="shared" si="1"/>
        <v>0</v>
      </c>
      <c r="F453" s="16">
        <f t="shared" si="2"/>
        <v>0</v>
      </c>
      <c r="G453" s="17">
        <v>763.3</v>
      </c>
      <c r="H453" s="18">
        <v>0.1</v>
      </c>
      <c r="I453" s="16">
        <f t="shared" si="13"/>
        <v>0</v>
      </c>
      <c r="J453" s="16"/>
      <c r="K453" s="16">
        <f t="shared" si="4"/>
        <v>-763.3</v>
      </c>
      <c r="L453" s="19">
        <f t="shared" si="5"/>
        <v>-1</v>
      </c>
      <c r="M453" s="16">
        <f t="shared" si="6"/>
        <v>0</v>
      </c>
      <c r="N453" s="20"/>
    </row>
    <row r="454">
      <c r="A454" s="30"/>
      <c r="B454" s="30" t="s">
        <v>865</v>
      </c>
      <c r="C454" s="15" t="s">
        <v>866</v>
      </c>
      <c r="D454" s="29">
        <v>297.0</v>
      </c>
      <c r="E454" s="16">
        <f t="shared" si="1"/>
        <v>20.493</v>
      </c>
      <c r="F454" s="16">
        <f t="shared" si="2"/>
        <v>6.3855</v>
      </c>
      <c r="G454" s="17">
        <v>218.46</v>
      </c>
      <c r="H454" s="18">
        <v>0.1</v>
      </c>
      <c r="I454" s="16">
        <f t="shared" si="13"/>
        <v>29.7</v>
      </c>
      <c r="J454" s="29">
        <v>62.0</v>
      </c>
      <c r="K454" s="16">
        <f t="shared" si="4"/>
        <v>-40.0385</v>
      </c>
      <c r="L454" s="19">
        <f t="shared" si="5"/>
        <v>-0.1832761146</v>
      </c>
      <c r="M454" s="16">
        <f t="shared" si="6"/>
        <v>178.4215</v>
      </c>
      <c r="N454" s="20"/>
    </row>
    <row r="455">
      <c r="A455" s="30"/>
      <c r="B455" s="30" t="s">
        <v>696</v>
      </c>
      <c r="C455" s="15" t="s">
        <v>826</v>
      </c>
      <c r="D455" s="16"/>
      <c r="E455" s="16">
        <f t="shared" si="1"/>
        <v>0</v>
      </c>
      <c r="F455" s="16">
        <f t="shared" si="2"/>
        <v>0</v>
      </c>
      <c r="G455" s="17">
        <v>317.24</v>
      </c>
      <c r="H455" s="18">
        <v>0.1</v>
      </c>
      <c r="I455" s="16">
        <f t="shared" si="13"/>
        <v>0</v>
      </c>
      <c r="J455" s="16"/>
      <c r="K455" s="16">
        <f t="shared" si="4"/>
        <v>-317.24</v>
      </c>
      <c r="L455" s="19">
        <f t="shared" si="5"/>
        <v>-1</v>
      </c>
      <c r="M455" s="16">
        <f t="shared" si="6"/>
        <v>0</v>
      </c>
      <c r="N455" s="20"/>
    </row>
    <row r="456">
      <c r="A456" s="30"/>
      <c r="B456" s="30" t="s">
        <v>867</v>
      </c>
      <c r="C456" s="15" t="s">
        <v>868</v>
      </c>
      <c r="D456" s="16"/>
      <c r="E456" s="16">
        <f t="shared" si="1"/>
        <v>0</v>
      </c>
      <c r="F456" s="16">
        <f t="shared" si="2"/>
        <v>0</v>
      </c>
      <c r="G456" s="17">
        <v>98.84</v>
      </c>
      <c r="H456" s="18">
        <v>0.1</v>
      </c>
      <c r="I456" s="16">
        <f t="shared" si="13"/>
        <v>0</v>
      </c>
      <c r="J456" s="16"/>
      <c r="K456" s="16">
        <f t="shared" si="4"/>
        <v>-98.84</v>
      </c>
      <c r="L456" s="19">
        <f t="shared" si="5"/>
        <v>-1</v>
      </c>
      <c r="M456" s="16">
        <f t="shared" si="6"/>
        <v>0</v>
      </c>
      <c r="N456" s="20"/>
    </row>
    <row r="457">
      <c r="A457" s="30"/>
      <c r="B457" s="30" t="s">
        <v>869</v>
      </c>
      <c r="C457" s="15" t="s">
        <v>870</v>
      </c>
      <c r="D457" s="16"/>
      <c r="E457" s="16">
        <f t="shared" si="1"/>
        <v>0</v>
      </c>
      <c r="F457" s="16">
        <f t="shared" si="2"/>
        <v>0</v>
      </c>
      <c r="G457" s="17">
        <v>617.53</v>
      </c>
      <c r="H457" s="18">
        <v>0.1</v>
      </c>
      <c r="I457" s="16">
        <f t="shared" si="13"/>
        <v>0</v>
      </c>
      <c r="J457" s="16"/>
      <c r="K457" s="16">
        <f t="shared" si="4"/>
        <v>-617.53</v>
      </c>
      <c r="L457" s="19">
        <f t="shared" si="5"/>
        <v>-1</v>
      </c>
      <c r="M457" s="16">
        <f t="shared" si="6"/>
        <v>0</v>
      </c>
      <c r="N457" s="20"/>
    </row>
    <row r="458">
      <c r="A458" s="30"/>
      <c r="B458" s="30" t="s">
        <v>871</v>
      </c>
      <c r="C458" s="15" t="s">
        <v>872</v>
      </c>
      <c r="D458" s="16"/>
      <c r="E458" s="16">
        <f t="shared" si="1"/>
        <v>0</v>
      </c>
      <c r="F458" s="16">
        <f t="shared" si="2"/>
        <v>0</v>
      </c>
      <c r="G458" s="17">
        <v>679.81</v>
      </c>
      <c r="H458" s="18">
        <v>0.1</v>
      </c>
      <c r="I458" s="16">
        <f t="shared" si="13"/>
        <v>0</v>
      </c>
      <c r="J458" s="16"/>
      <c r="K458" s="16">
        <f t="shared" si="4"/>
        <v>-679.81</v>
      </c>
      <c r="L458" s="19">
        <f t="shared" si="5"/>
        <v>-1</v>
      </c>
      <c r="M458" s="16">
        <f t="shared" si="6"/>
        <v>0</v>
      </c>
      <c r="N458" s="20"/>
    </row>
    <row r="459">
      <c r="A459" s="30"/>
      <c r="B459" s="30" t="s">
        <v>873</v>
      </c>
      <c r="C459" s="15" t="s">
        <v>874</v>
      </c>
      <c r="D459" s="16"/>
      <c r="E459" s="16">
        <f t="shared" si="1"/>
        <v>0</v>
      </c>
      <c r="F459" s="16">
        <f t="shared" si="2"/>
        <v>0</v>
      </c>
      <c r="G459" s="17">
        <v>96.19</v>
      </c>
      <c r="H459" s="18">
        <v>0.1</v>
      </c>
      <c r="I459" s="16">
        <f t="shared" si="13"/>
        <v>0</v>
      </c>
      <c r="J459" s="16"/>
      <c r="K459" s="16">
        <f t="shared" si="4"/>
        <v>-96.19</v>
      </c>
      <c r="L459" s="19">
        <f t="shared" si="5"/>
        <v>-1</v>
      </c>
      <c r="M459" s="16">
        <f t="shared" si="6"/>
        <v>0</v>
      </c>
      <c r="N459" s="20"/>
    </row>
    <row r="460">
      <c r="A460" s="30"/>
      <c r="B460" s="30" t="s">
        <v>875</v>
      </c>
      <c r="C460" s="15" t="s">
        <v>876</v>
      </c>
      <c r="D460" s="16"/>
      <c r="E460" s="16">
        <f t="shared" si="1"/>
        <v>0</v>
      </c>
      <c r="F460" s="16">
        <f t="shared" si="2"/>
        <v>0</v>
      </c>
      <c r="G460" s="17">
        <v>322.98</v>
      </c>
      <c r="H460" s="18">
        <v>0.1</v>
      </c>
      <c r="I460" s="16">
        <f t="shared" si="13"/>
        <v>0</v>
      </c>
      <c r="J460" s="16"/>
      <c r="K460" s="16">
        <f t="shared" si="4"/>
        <v>-322.98</v>
      </c>
      <c r="L460" s="19">
        <f t="shared" si="5"/>
        <v>-1</v>
      </c>
      <c r="M460" s="16">
        <f t="shared" si="6"/>
        <v>0</v>
      </c>
      <c r="N460" s="20"/>
    </row>
    <row r="461">
      <c r="A461" s="30"/>
      <c r="B461" s="30" t="s">
        <v>877</v>
      </c>
      <c r="C461" s="15" t="s">
        <v>878</v>
      </c>
      <c r="D461" s="29">
        <v>99.0</v>
      </c>
      <c r="E461" s="16">
        <f t="shared" si="1"/>
        <v>6.831</v>
      </c>
      <c r="F461" s="16">
        <f t="shared" si="2"/>
        <v>2.1285</v>
      </c>
      <c r="G461" s="17">
        <v>13.16</v>
      </c>
      <c r="H461" s="18">
        <v>0.15</v>
      </c>
      <c r="I461" s="16">
        <f t="shared" si="13"/>
        <v>14.85</v>
      </c>
      <c r="J461" s="29">
        <v>30.0</v>
      </c>
      <c r="K461" s="16">
        <f t="shared" si="4"/>
        <v>32.0305</v>
      </c>
      <c r="L461" s="19">
        <f t="shared" si="5"/>
        <v>2.433928571</v>
      </c>
      <c r="M461" s="16">
        <f t="shared" si="6"/>
        <v>45.1905</v>
      </c>
      <c r="N461" s="20"/>
    </row>
    <row r="462">
      <c r="A462" s="30"/>
      <c r="B462" s="30" t="s">
        <v>879</v>
      </c>
      <c r="C462" s="15" t="s">
        <v>880</v>
      </c>
      <c r="D462" s="16"/>
      <c r="E462" s="16">
        <f t="shared" si="1"/>
        <v>0</v>
      </c>
      <c r="F462" s="16">
        <f t="shared" si="2"/>
        <v>0</v>
      </c>
      <c r="G462" s="17">
        <v>311.15</v>
      </c>
      <c r="H462" s="18">
        <v>0.1</v>
      </c>
      <c r="I462" s="16">
        <f t="shared" si="13"/>
        <v>0</v>
      </c>
      <c r="J462" s="16"/>
      <c r="K462" s="16">
        <f t="shared" si="4"/>
        <v>-311.15</v>
      </c>
      <c r="L462" s="19">
        <f t="shared" si="5"/>
        <v>-1</v>
      </c>
      <c r="M462" s="16">
        <f t="shared" si="6"/>
        <v>0</v>
      </c>
      <c r="N462" s="20"/>
    </row>
    <row r="463">
      <c r="A463" s="30"/>
      <c r="B463" s="30" t="s">
        <v>881</v>
      </c>
      <c r="C463" s="15" t="s">
        <v>882</v>
      </c>
      <c r="D463" s="16"/>
      <c r="E463" s="16">
        <f t="shared" si="1"/>
        <v>0</v>
      </c>
      <c r="F463" s="16">
        <f t="shared" si="2"/>
        <v>0</v>
      </c>
      <c r="G463" s="17">
        <v>651.45</v>
      </c>
      <c r="H463" s="18">
        <v>0.1</v>
      </c>
      <c r="I463" s="16">
        <f t="shared" si="13"/>
        <v>0</v>
      </c>
      <c r="J463" s="16"/>
      <c r="K463" s="16">
        <f t="shared" si="4"/>
        <v>-651.45</v>
      </c>
      <c r="L463" s="19">
        <f t="shared" si="5"/>
        <v>-1</v>
      </c>
      <c r="M463" s="16">
        <f t="shared" si="6"/>
        <v>0</v>
      </c>
      <c r="N463" s="20"/>
    </row>
    <row r="464">
      <c r="A464" s="30"/>
      <c r="B464" s="30" t="s">
        <v>883</v>
      </c>
      <c r="C464" s="15" t="s">
        <v>884</v>
      </c>
      <c r="D464" s="16"/>
      <c r="E464" s="16">
        <f t="shared" si="1"/>
        <v>0</v>
      </c>
      <c r="F464" s="16">
        <f t="shared" si="2"/>
        <v>0</v>
      </c>
      <c r="G464" s="17">
        <v>98.84</v>
      </c>
      <c r="H464" s="18">
        <v>0.1</v>
      </c>
      <c r="I464" s="16">
        <f t="shared" si="13"/>
        <v>0</v>
      </c>
      <c r="J464" s="16"/>
      <c r="K464" s="16">
        <f t="shared" si="4"/>
        <v>-98.84</v>
      </c>
      <c r="L464" s="19">
        <f t="shared" si="5"/>
        <v>-1</v>
      </c>
      <c r="M464" s="16">
        <f t="shared" si="6"/>
        <v>0</v>
      </c>
      <c r="N464" s="20"/>
    </row>
    <row r="465">
      <c r="A465" s="30"/>
      <c r="B465" s="30" t="s">
        <v>885</v>
      </c>
      <c r="C465" s="15" t="s">
        <v>886</v>
      </c>
      <c r="D465" s="16"/>
      <c r="E465" s="16">
        <f t="shared" si="1"/>
        <v>0</v>
      </c>
      <c r="F465" s="16">
        <f t="shared" si="2"/>
        <v>0</v>
      </c>
      <c r="G465" s="17">
        <v>119.6</v>
      </c>
      <c r="H465" s="18">
        <v>0.1</v>
      </c>
      <c r="I465" s="16">
        <f t="shared" si="13"/>
        <v>0</v>
      </c>
      <c r="J465" s="16"/>
      <c r="K465" s="16">
        <f t="shared" si="4"/>
        <v>-119.6</v>
      </c>
      <c r="L465" s="19">
        <f t="shared" si="5"/>
        <v>-1</v>
      </c>
      <c r="M465" s="16">
        <f t="shared" si="6"/>
        <v>0</v>
      </c>
      <c r="N465" s="20"/>
    </row>
    <row r="466">
      <c r="A466" s="30"/>
      <c r="B466" s="30" t="s">
        <v>887</v>
      </c>
      <c r="C466" s="15" t="s">
        <v>888</v>
      </c>
      <c r="D466" s="16"/>
      <c r="E466" s="16">
        <f t="shared" si="1"/>
        <v>0</v>
      </c>
      <c r="F466" s="16">
        <f t="shared" si="2"/>
        <v>0</v>
      </c>
      <c r="G466" s="17">
        <v>1539.53</v>
      </c>
      <c r="H466" s="18">
        <v>0.1</v>
      </c>
      <c r="I466" s="16">
        <f t="shared" si="13"/>
        <v>0</v>
      </c>
      <c r="J466" s="16"/>
      <c r="K466" s="16">
        <f t="shared" si="4"/>
        <v>-1539.53</v>
      </c>
      <c r="L466" s="19">
        <f t="shared" si="5"/>
        <v>-1</v>
      </c>
      <c r="M466" s="16">
        <f t="shared" si="6"/>
        <v>0</v>
      </c>
      <c r="N466" s="20"/>
    </row>
    <row r="467">
      <c r="A467" s="30"/>
      <c r="B467" s="30" t="s">
        <v>889</v>
      </c>
      <c r="C467" s="15" t="s">
        <v>890</v>
      </c>
      <c r="D467" s="16"/>
      <c r="E467" s="16">
        <f t="shared" si="1"/>
        <v>0</v>
      </c>
      <c r="F467" s="16">
        <f t="shared" si="2"/>
        <v>0</v>
      </c>
      <c r="G467" s="17">
        <v>279.8</v>
      </c>
      <c r="H467" s="18">
        <v>0.1</v>
      </c>
      <c r="I467" s="16">
        <f t="shared" si="13"/>
        <v>0</v>
      </c>
      <c r="J467" s="16"/>
      <c r="K467" s="16">
        <f t="shared" si="4"/>
        <v>-279.8</v>
      </c>
      <c r="L467" s="19">
        <f t="shared" si="5"/>
        <v>-1</v>
      </c>
      <c r="M467" s="16">
        <f t="shared" si="6"/>
        <v>0</v>
      </c>
      <c r="N467" s="20"/>
    </row>
    <row r="468">
      <c r="A468" s="30"/>
      <c r="B468" s="30" t="s">
        <v>891</v>
      </c>
      <c r="C468" s="15" t="s">
        <v>892</v>
      </c>
      <c r="D468" s="16"/>
      <c r="E468" s="16">
        <f t="shared" si="1"/>
        <v>0</v>
      </c>
      <c r="F468" s="16">
        <f t="shared" si="2"/>
        <v>0</v>
      </c>
      <c r="G468" s="17">
        <v>411.45</v>
      </c>
      <c r="H468" s="18">
        <v>0.1</v>
      </c>
      <c r="I468" s="16">
        <f t="shared" si="13"/>
        <v>0</v>
      </c>
      <c r="J468" s="16"/>
      <c r="K468" s="16">
        <f t="shared" si="4"/>
        <v>-411.45</v>
      </c>
      <c r="L468" s="19">
        <f t="shared" si="5"/>
        <v>-1</v>
      </c>
      <c r="M468" s="16">
        <f t="shared" si="6"/>
        <v>0</v>
      </c>
      <c r="N468" s="20"/>
    </row>
    <row r="469">
      <c r="A469" s="30"/>
      <c r="B469" s="30" t="s">
        <v>893</v>
      </c>
      <c r="C469" s="15" t="s">
        <v>894</v>
      </c>
      <c r="D469" s="16"/>
      <c r="E469" s="16">
        <f t="shared" si="1"/>
        <v>0</v>
      </c>
      <c r="F469" s="16">
        <f t="shared" si="2"/>
        <v>0</v>
      </c>
      <c r="G469" s="17">
        <v>3305.62</v>
      </c>
      <c r="H469" s="18">
        <v>0.1</v>
      </c>
      <c r="I469" s="16">
        <f t="shared" si="13"/>
        <v>0</v>
      </c>
      <c r="J469" s="16"/>
      <c r="K469" s="16">
        <f t="shared" si="4"/>
        <v>-3305.62</v>
      </c>
      <c r="L469" s="19">
        <f t="shared" si="5"/>
        <v>-1</v>
      </c>
      <c r="M469" s="16">
        <f t="shared" si="6"/>
        <v>0</v>
      </c>
      <c r="N469" s="20"/>
    </row>
    <row r="470">
      <c r="A470" s="30"/>
      <c r="B470" s="30" t="s">
        <v>895</v>
      </c>
      <c r="C470" s="15" t="s">
        <v>896</v>
      </c>
      <c r="D470" s="16"/>
      <c r="E470" s="16">
        <f t="shared" si="1"/>
        <v>0</v>
      </c>
      <c r="F470" s="16">
        <f t="shared" si="2"/>
        <v>0</v>
      </c>
      <c r="G470" s="17">
        <v>1613.22</v>
      </c>
      <c r="H470" s="18">
        <v>0.1</v>
      </c>
      <c r="I470" s="16">
        <f t="shared" si="13"/>
        <v>0</v>
      </c>
      <c r="J470" s="16"/>
      <c r="K470" s="16">
        <f t="shared" si="4"/>
        <v>-1613.22</v>
      </c>
      <c r="L470" s="19">
        <f t="shared" si="5"/>
        <v>-1</v>
      </c>
      <c r="M470" s="16">
        <f t="shared" si="6"/>
        <v>0</v>
      </c>
      <c r="N470" s="20"/>
    </row>
    <row r="471">
      <c r="A471" s="30"/>
      <c r="B471" s="30" t="s">
        <v>897</v>
      </c>
      <c r="C471" s="15" t="s">
        <v>898</v>
      </c>
      <c r="D471" s="16"/>
      <c r="E471" s="16">
        <f t="shared" si="1"/>
        <v>0</v>
      </c>
      <c r="F471" s="16">
        <f t="shared" si="2"/>
        <v>0</v>
      </c>
      <c r="G471" s="17">
        <v>834.39</v>
      </c>
      <c r="H471" s="18">
        <v>0.1</v>
      </c>
      <c r="I471" s="16">
        <f t="shared" si="13"/>
        <v>0</v>
      </c>
      <c r="J471" s="16"/>
      <c r="K471" s="16">
        <f t="shared" si="4"/>
        <v>-834.39</v>
      </c>
      <c r="L471" s="19">
        <f t="shared" si="5"/>
        <v>-1</v>
      </c>
      <c r="M471" s="16">
        <f t="shared" si="6"/>
        <v>0</v>
      </c>
      <c r="N471" s="20"/>
    </row>
    <row r="472">
      <c r="A472" s="30"/>
      <c r="B472" s="30" t="s">
        <v>899</v>
      </c>
      <c r="C472" s="15" t="s">
        <v>900</v>
      </c>
      <c r="D472" s="16"/>
      <c r="E472" s="16">
        <f t="shared" si="1"/>
        <v>0</v>
      </c>
      <c r="F472" s="16">
        <f t="shared" si="2"/>
        <v>0</v>
      </c>
      <c r="G472" s="17">
        <v>3296.76</v>
      </c>
      <c r="H472" s="18">
        <v>0.1</v>
      </c>
      <c r="I472" s="16">
        <f t="shared" si="13"/>
        <v>0</v>
      </c>
      <c r="J472" s="16"/>
      <c r="K472" s="16">
        <f t="shared" si="4"/>
        <v>-3296.76</v>
      </c>
      <c r="L472" s="19">
        <f t="shared" si="5"/>
        <v>-1</v>
      </c>
      <c r="M472" s="16">
        <f t="shared" si="6"/>
        <v>0</v>
      </c>
      <c r="N472" s="20"/>
    </row>
    <row r="473">
      <c r="A473" s="30"/>
      <c r="B473" s="30" t="s">
        <v>901</v>
      </c>
      <c r="C473" s="15" t="s">
        <v>902</v>
      </c>
      <c r="D473" s="16"/>
      <c r="E473" s="16">
        <f t="shared" si="1"/>
        <v>0</v>
      </c>
      <c r="F473" s="16">
        <f t="shared" si="2"/>
        <v>0</v>
      </c>
      <c r="G473" s="17">
        <v>328.05</v>
      </c>
      <c r="H473" s="18">
        <v>0.1</v>
      </c>
      <c r="I473" s="16">
        <f t="shared" si="13"/>
        <v>0</v>
      </c>
      <c r="J473" s="16"/>
      <c r="K473" s="16">
        <f t="shared" si="4"/>
        <v>-328.05</v>
      </c>
      <c r="L473" s="19">
        <f t="shared" si="5"/>
        <v>-1</v>
      </c>
      <c r="M473" s="16">
        <f t="shared" si="6"/>
        <v>0</v>
      </c>
      <c r="N473" s="20"/>
    </row>
    <row r="474">
      <c r="A474" s="30"/>
      <c r="B474" s="30" t="s">
        <v>903</v>
      </c>
      <c r="C474" s="15" t="s">
        <v>904</v>
      </c>
      <c r="D474" s="16"/>
      <c r="E474" s="16">
        <f t="shared" si="1"/>
        <v>0</v>
      </c>
      <c r="F474" s="16">
        <f t="shared" si="2"/>
        <v>0</v>
      </c>
      <c r="G474" s="17">
        <v>592.0</v>
      </c>
      <c r="H474" s="18">
        <v>0.1</v>
      </c>
      <c r="I474" s="16">
        <f t="shared" si="13"/>
        <v>0</v>
      </c>
      <c r="J474" s="16"/>
      <c r="K474" s="16">
        <f t="shared" si="4"/>
        <v>-592</v>
      </c>
      <c r="L474" s="19">
        <f t="shared" si="5"/>
        <v>-1</v>
      </c>
      <c r="M474" s="16">
        <f t="shared" si="6"/>
        <v>0</v>
      </c>
      <c r="N474" s="20"/>
    </row>
    <row r="475">
      <c r="A475" s="30"/>
      <c r="B475" s="30" t="s">
        <v>905</v>
      </c>
      <c r="C475" s="15" t="s">
        <v>906</v>
      </c>
      <c r="D475" s="16"/>
      <c r="E475" s="16">
        <f t="shared" si="1"/>
        <v>0</v>
      </c>
      <c r="F475" s="16">
        <f t="shared" si="2"/>
        <v>0</v>
      </c>
      <c r="G475" s="17">
        <v>830.97</v>
      </c>
      <c r="H475" s="18">
        <v>0.1</v>
      </c>
      <c r="I475" s="16">
        <f t="shared" si="13"/>
        <v>0</v>
      </c>
      <c r="J475" s="16"/>
      <c r="K475" s="16">
        <f t="shared" si="4"/>
        <v>-830.97</v>
      </c>
      <c r="L475" s="19">
        <f t="shared" si="5"/>
        <v>-1</v>
      </c>
      <c r="M475" s="16">
        <f t="shared" si="6"/>
        <v>0</v>
      </c>
      <c r="N475" s="20"/>
    </row>
    <row r="476">
      <c r="A476" s="30"/>
      <c r="B476" s="30" t="s">
        <v>630</v>
      </c>
      <c r="C476" s="15" t="s">
        <v>907</v>
      </c>
      <c r="D476" s="16"/>
      <c r="E476" s="16">
        <f t="shared" si="1"/>
        <v>0</v>
      </c>
      <c r="F476" s="16">
        <f t="shared" si="2"/>
        <v>0</v>
      </c>
      <c r="G476" s="17">
        <v>388.9</v>
      </c>
      <c r="H476" s="18">
        <v>0.1</v>
      </c>
      <c r="I476" s="16">
        <f t="shared" si="13"/>
        <v>0</v>
      </c>
      <c r="J476" s="16"/>
      <c r="K476" s="16">
        <f t="shared" si="4"/>
        <v>-388.9</v>
      </c>
      <c r="L476" s="19">
        <f t="shared" si="5"/>
        <v>-1</v>
      </c>
      <c r="M476" s="16">
        <f t="shared" si="6"/>
        <v>0</v>
      </c>
      <c r="N476" s="20"/>
    </row>
    <row r="477">
      <c r="A477" s="30"/>
      <c r="B477" s="30" t="s">
        <v>908</v>
      </c>
      <c r="C477" s="15" t="s">
        <v>909</v>
      </c>
      <c r="D477" s="16"/>
      <c r="E477" s="16">
        <f t="shared" si="1"/>
        <v>0</v>
      </c>
      <c r="F477" s="16">
        <f t="shared" si="2"/>
        <v>0</v>
      </c>
      <c r="G477" s="17">
        <v>629.88</v>
      </c>
      <c r="H477" s="18">
        <v>0.1</v>
      </c>
      <c r="I477" s="16">
        <f t="shared" si="13"/>
        <v>0</v>
      </c>
      <c r="J477" s="16"/>
      <c r="K477" s="16">
        <f t="shared" si="4"/>
        <v>-629.88</v>
      </c>
      <c r="L477" s="19">
        <f t="shared" si="5"/>
        <v>-1</v>
      </c>
      <c r="M477" s="16">
        <f t="shared" si="6"/>
        <v>0</v>
      </c>
      <c r="N477" s="20"/>
    </row>
    <row r="478">
      <c r="A478" s="30"/>
      <c r="B478" s="30" t="s">
        <v>910</v>
      </c>
      <c r="C478" s="15" t="s">
        <v>911</v>
      </c>
      <c r="D478" s="16"/>
      <c r="E478" s="16">
        <f t="shared" si="1"/>
        <v>0</v>
      </c>
      <c r="F478" s="16">
        <f t="shared" si="2"/>
        <v>0</v>
      </c>
      <c r="G478" s="17">
        <v>715.91</v>
      </c>
      <c r="H478" s="18">
        <v>0.1</v>
      </c>
      <c r="I478" s="16">
        <f t="shared" si="13"/>
        <v>0</v>
      </c>
      <c r="J478" s="16"/>
      <c r="K478" s="16">
        <f t="shared" si="4"/>
        <v>-715.91</v>
      </c>
      <c r="L478" s="19">
        <f t="shared" si="5"/>
        <v>-1</v>
      </c>
      <c r="M478" s="16">
        <f t="shared" si="6"/>
        <v>0</v>
      </c>
      <c r="N478" s="20"/>
    </row>
    <row r="479">
      <c r="A479" s="30"/>
      <c r="B479" s="30" t="s">
        <v>912</v>
      </c>
      <c r="C479" s="15" t="s">
        <v>842</v>
      </c>
      <c r="D479" s="16"/>
      <c r="E479" s="16">
        <f t="shared" si="1"/>
        <v>0</v>
      </c>
      <c r="F479" s="16">
        <f t="shared" si="2"/>
        <v>0</v>
      </c>
      <c r="G479" s="17">
        <v>569.95</v>
      </c>
      <c r="H479" s="18">
        <v>0.1</v>
      </c>
      <c r="I479" s="16">
        <f t="shared" si="13"/>
        <v>0</v>
      </c>
      <c r="J479" s="16"/>
      <c r="K479" s="16">
        <f t="shared" si="4"/>
        <v>-569.95</v>
      </c>
      <c r="L479" s="19">
        <f t="shared" si="5"/>
        <v>-1</v>
      </c>
      <c r="M479" s="16">
        <f t="shared" si="6"/>
        <v>0</v>
      </c>
      <c r="N479" s="20"/>
    </row>
    <row r="480">
      <c r="A480" s="30"/>
      <c r="B480" s="30" t="s">
        <v>913</v>
      </c>
      <c r="C480" s="15" t="s">
        <v>914</v>
      </c>
      <c r="D480" s="29">
        <v>849.0</v>
      </c>
      <c r="E480" s="16">
        <f t="shared" si="1"/>
        <v>58.581</v>
      </c>
      <c r="F480" s="16">
        <f t="shared" si="2"/>
        <v>18.2535</v>
      </c>
      <c r="G480" s="32">
        <v>437.31</v>
      </c>
      <c r="H480" s="18">
        <v>0.1</v>
      </c>
      <c r="I480" s="16">
        <f t="shared" si="13"/>
        <v>84.9</v>
      </c>
      <c r="J480" s="29">
        <v>65.5</v>
      </c>
      <c r="K480" s="16">
        <f t="shared" si="4"/>
        <v>184.4555</v>
      </c>
      <c r="L480" s="19">
        <f t="shared" si="5"/>
        <v>0.4217957513</v>
      </c>
      <c r="M480" s="16">
        <f t="shared" si="6"/>
        <v>621.7655</v>
      </c>
      <c r="N480" s="20"/>
    </row>
    <row r="481">
      <c r="A481" s="30"/>
      <c r="B481" s="30" t="s">
        <v>915</v>
      </c>
      <c r="C481" s="15" t="s">
        <v>916</v>
      </c>
      <c r="D481" s="16">
        <v>692.0</v>
      </c>
      <c r="E481" s="16">
        <f t="shared" si="1"/>
        <v>47.748</v>
      </c>
      <c r="F481" s="16">
        <f t="shared" si="2"/>
        <v>14.878</v>
      </c>
      <c r="G481" s="17">
        <v>260.17</v>
      </c>
      <c r="H481" s="18">
        <v>0.1</v>
      </c>
      <c r="I481" s="16">
        <f t="shared" si="13"/>
        <v>69.2</v>
      </c>
      <c r="J481" s="16">
        <v>91.0</v>
      </c>
      <c r="K481" s="16">
        <f t="shared" si="4"/>
        <v>209.004</v>
      </c>
      <c r="L481" s="19">
        <f t="shared" si="5"/>
        <v>0.8033362801</v>
      </c>
      <c r="M481" s="16">
        <f t="shared" si="6"/>
        <v>469.174</v>
      </c>
      <c r="N481" s="20"/>
    </row>
    <row r="482">
      <c r="A482" s="30"/>
      <c r="B482" s="30" t="s">
        <v>917</v>
      </c>
      <c r="C482" s="15" t="s">
        <v>918</v>
      </c>
      <c r="D482" s="16">
        <v>419.0</v>
      </c>
      <c r="E482" s="16">
        <f t="shared" si="1"/>
        <v>28.911</v>
      </c>
      <c r="F482" s="16">
        <f t="shared" si="2"/>
        <v>9.0085</v>
      </c>
      <c r="G482" s="17">
        <v>267.54</v>
      </c>
      <c r="H482" s="18">
        <v>0.15</v>
      </c>
      <c r="I482" s="16">
        <f t="shared" si="13"/>
        <v>62.85</v>
      </c>
      <c r="J482" s="16"/>
      <c r="K482" s="16">
        <f t="shared" si="4"/>
        <v>50.6905</v>
      </c>
      <c r="L482" s="19">
        <f t="shared" si="5"/>
        <v>0.1894688645</v>
      </c>
      <c r="M482" s="16">
        <f t="shared" si="6"/>
        <v>318.2305</v>
      </c>
      <c r="N482" s="20"/>
    </row>
    <row r="483">
      <c r="A483" s="30"/>
      <c r="B483" s="30" t="s">
        <v>919</v>
      </c>
      <c r="C483" s="15" t="s">
        <v>920</v>
      </c>
      <c r="D483" s="16">
        <v>668.0</v>
      </c>
      <c r="E483" s="16">
        <f t="shared" si="1"/>
        <v>46.092</v>
      </c>
      <c r="F483" s="16">
        <f t="shared" si="2"/>
        <v>14.362</v>
      </c>
      <c r="G483" s="17">
        <v>456.99</v>
      </c>
      <c r="H483" s="18">
        <v>0.1</v>
      </c>
      <c r="I483" s="16">
        <f t="shared" si="13"/>
        <v>66.8</v>
      </c>
      <c r="J483" s="16">
        <v>70.0</v>
      </c>
      <c r="K483" s="16">
        <f t="shared" si="4"/>
        <v>13.756</v>
      </c>
      <c r="L483" s="19">
        <f t="shared" si="5"/>
        <v>0.03010131513</v>
      </c>
      <c r="M483" s="16">
        <f t="shared" si="6"/>
        <v>470.746</v>
      </c>
      <c r="N483" s="20"/>
    </row>
    <row r="484">
      <c r="A484" s="30"/>
      <c r="B484" s="30" t="s">
        <v>921</v>
      </c>
      <c r="C484" s="15" t="s">
        <v>920</v>
      </c>
      <c r="D484" s="16">
        <v>699.0</v>
      </c>
      <c r="E484" s="16">
        <f t="shared" si="1"/>
        <v>48.231</v>
      </c>
      <c r="F484" s="16">
        <f t="shared" si="2"/>
        <v>15.0285</v>
      </c>
      <c r="G484" s="17">
        <v>456.99</v>
      </c>
      <c r="H484" s="18">
        <v>0.1</v>
      </c>
      <c r="I484" s="16">
        <f t="shared" si="13"/>
        <v>69.9</v>
      </c>
      <c r="J484" s="16">
        <v>70.0</v>
      </c>
      <c r="K484" s="16">
        <f t="shared" si="4"/>
        <v>38.8505</v>
      </c>
      <c r="L484" s="19">
        <f t="shared" si="5"/>
        <v>0.08501389527</v>
      </c>
      <c r="M484" s="16">
        <f t="shared" si="6"/>
        <v>495.8405</v>
      </c>
      <c r="N484" s="20"/>
    </row>
    <row r="485">
      <c r="A485" s="30"/>
      <c r="B485" s="30" t="s">
        <v>922</v>
      </c>
      <c r="C485" s="15" t="s">
        <v>920</v>
      </c>
      <c r="D485" s="16">
        <v>699.0</v>
      </c>
      <c r="E485" s="16">
        <f t="shared" si="1"/>
        <v>48.231</v>
      </c>
      <c r="F485" s="16">
        <f t="shared" si="2"/>
        <v>15.0285</v>
      </c>
      <c r="G485" s="17">
        <v>456.99</v>
      </c>
      <c r="H485" s="18">
        <v>0.1</v>
      </c>
      <c r="I485" s="16">
        <f t="shared" si="13"/>
        <v>69.9</v>
      </c>
      <c r="J485" s="16">
        <v>70.0</v>
      </c>
      <c r="K485" s="16">
        <f t="shared" si="4"/>
        <v>38.8505</v>
      </c>
      <c r="L485" s="19">
        <f t="shared" si="5"/>
        <v>0.08501389527</v>
      </c>
      <c r="M485" s="16">
        <f t="shared" si="6"/>
        <v>495.8405</v>
      </c>
      <c r="N485" s="20"/>
    </row>
    <row r="486">
      <c r="A486" s="30"/>
      <c r="B486" s="30" t="s">
        <v>923</v>
      </c>
      <c r="C486" s="15" t="s">
        <v>924</v>
      </c>
      <c r="D486" s="16">
        <v>1059.0</v>
      </c>
      <c r="E486" s="16">
        <f t="shared" si="1"/>
        <v>73.071</v>
      </c>
      <c r="F486" s="16">
        <f t="shared" si="2"/>
        <v>22.7685</v>
      </c>
      <c r="G486" s="17">
        <v>788.33</v>
      </c>
      <c r="H486" s="18">
        <v>0.1</v>
      </c>
      <c r="I486" s="16">
        <f t="shared" si="13"/>
        <v>105.9</v>
      </c>
      <c r="J486" s="16">
        <v>75.0</v>
      </c>
      <c r="K486" s="16">
        <f t="shared" si="4"/>
        <v>-6.0695</v>
      </c>
      <c r="L486" s="19">
        <f t="shared" si="5"/>
        <v>-0.007699186889</v>
      </c>
      <c r="M486" s="16">
        <f t="shared" si="6"/>
        <v>782.2605</v>
      </c>
      <c r="N486" s="20"/>
    </row>
    <row r="487">
      <c r="A487" s="30"/>
      <c r="B487" s="30" t="s">
        <v>925</v>
      </c>
      <c r="C487" s="15" t="s">
        <v>926</v>
      </c>
      <c r="D487" s="29">
        <v>619.0</v>
      </c>
      <c r="E487" s="16">
        <f t="shared" si="1"/>
        <v>42.711</v>
      </c>
      <c r="F487" s="16">
        <f t="shared" si="2"/>
        <v>13.3085</v>
      </c>
      <c r="G487" s="32">
        <v>437.02</v>
      </c>
      <c r="H487" s="18">
        <v>0.1</v>
      </c>
      <c r="I487" s="16">
        <f t="shared" si="13"/>
        <v>61.9</v>
      </c>
      <c r="J487" s="29">
        <v>79.0</v>
      </c>
      <c r="K487" s="16">
        <f t="shared" si="4"/>
        <v>-14.9395</v>
      </c>
      <c r="L487" s="19">
        <f t="shared" si="5"/>
        <v>-0.03418493433</v>
      </c>
      <c r="M487" s="16">
        <f t="shared" si="6"/>
        <v>422.0805</v>
      </c>
      <c r="N487" s="20"/>
    </row>
    <row r="488">
      <c r="A488" s="30"/>
      <c r="B488" s="30" t="s">
        <v>927</v>
      </c>
      <c r="C488" s="15" t="s">
        <v>928</v>
      </c>
      <c r="D488" s="16">
        <v>999.0</v>
      </c>
      <c r="E488" s="16">
        <f t="shared" si="1"/>
        <v>68.931</v>
      </c>
      <c r="F488" s="16">
        <f t="shared" si="2"/>
        <v>21.4785</v>
      </c>
      <c r="G488" s="17">
        <v>940.2</v>
      </c>
      <c r="H488" s="18">
        <v>0.1</v>
      </c>
      <c r="I488" s="16">
        <f t="shared" si="13"/>
        <v>99.9</v>
      </c>
      <c r="J488" s="29">
        <v>75.0</v>
      </c>
      <c r="K488" s="16">
        <f t="shared" si="4"/>
        <v>-206.5095</v>
      </c>
      <c r="L488" s="19">
        <f t="shared" si="5"/>
        <v>-0.2196442246</v>
      </c>
      <c r="M488" s="16">
        <f t="shared" si="6"/>
        <v>733.6905</v>
      </c>
      <c r="N488" s="20"/>
    </row>
    <row r="489">
      <c r="A489" s="30"/>
      <c r="B489" s="30" t="s">
        <v>929</v>
      </c>
      <c r="C489" s="15" t="s">
        <v>930</v>
      </c>
      <c r="D489" s="16">
        <v>399.0</v>
      </c>
      <c r="E489" s="16">
        <f t="shared" si="1"/>
        <v>27.531</v>
      </c>
      <c r="F489" s="16">
        <f t="shared" si="2"/>
        <v>8.5785</v>
      </c>
      <c r="G489" s="17">
        <v>267.54</v>
      </c>
      <c r="H489" s="18">
        <v>0.15</v>
      </c>
      <c r="I489" s="16">
        <f t="shared" si="13"/>
        <v>59.85</v>
      </c>
      <c r="J489" s="16"/>
      <c r="K489" s="16">
        <f t="shared" si="4"/>
        <v>35.5005</v>
      </c>
      <c r="L489" s="19">
        <f t="shared" si="5"/>
        <v>0.1326923077</v>
      </c>
      <c r="M489" s="16">
        <f t="shared" si="6"/>
        <v>303.0405</v>
      </c>
      <c r="N489" s="20"/>
    </row>
    <row r="490">
      <c r="A490" s="30"/>
      <c r="B490" s="30" t="s">
        <v>931</v>
      </c>
      <c r="C490" s="15" t="s">
        <v>932</v>
      </c>
      <c r="D490" s="29">
        <v>699.0</v>
      </c>
      <c r="E490" s="16">
        <f t="shared" si="1"/>
        <v>48.231</v>
      </c>
      <c r="F490" s="16">
        <f t="shared" si="2"/>
        <v>15.0285</v>
      </c>
      <c r="G490" s="32">
        <v>510.0</v>
      </c>
      <c r="H490" s="18">
        <v>0.1</v>
      </c>
      <c r="I490" s="16">
        <f t="shared" si="13"/>
        <v>69.9</v>
      </c>
      <c r="J490" s="29">
        <v>65.0</v>
      </c>
      <c r="K490" s="16">
        <f t="shared" si="4"/>
        <v>-9.1595</v>
      </c>
      <c r="L490" s="19">
        <f t="shared" si="5"/>
        <v>-0.01795980392</v>
      </c>
      <c r="M490" s="16">
        <f t="shared" si="6"/>
        <v>500.8405</v>
      </c>
      <c r="N490" s="20"/>
    </row>
    <row r="491">
      <c r="A491" s="34" t="s">
        <v>933</v>
      </c>
      <c r="B491" s="34" t="s">
        <v>934</v>
      </c>
      <c r="C491" s="15" t="s">
        <v>932</v>
      </c>
      <c r="D491" s="29">
        <v>695.0</v>
      </c>
      <c r="E491" s="16">
        <f t="shared" si="1"/>
        <v>47.955</v>
      </c>
      <c r="F491" s="16">
        <f t="shared" si="2"/>
        <v>14.9425</v>
      </c>
      <c r="G491" s="32">
        <v>510.0</v>
      </c>
      <c r="H491" s="18">
        <v>0.1</v>
      </c>
      <c r="I491" s="16">
        <f t="shared" si="13"/>
        <v>69.5</v>
      </c>
      <c r="J491" s="29">
        <v>65.5</v>
      </c>
      <c r="K491" s="16">
        <f t="shared" si="4"/>
        <v>-12.8975</v>
      </c>
      <c r="L491" s="19">
        <f t="shared" si="5"/>
        <v>-0.02528921569</v>
      </c>
      <c r="M491" s="16">
        <f t="shared" si="6"/>
        <v>497.1025</v>
      </c>
      <c r="N491" s="20"/>
    </row>
    <row r="492">
      <c r="A492" s="30"/>
      <c r="B492" s="30" t="s">
        <v>935</v>
      </c>
      <c r="C492" s="15" t="s">
        <v>936</v>
      </c>
      <c r="D492" s="29">
        <v>499.0</v>
      </c>
      <c r="E492" s="16">
        <f t="shared" si="1"/>
        <v>34.431</v>
      </c>
      <c r="F492" s="16">
        <f t="shared" si="2"/>
        <v>10.7285</v>
      </c>
      <c r="G492" s="32">
        <v>297.17</v>
      </c>
      <c r="H492" s="18">
        <v>0.1</v>
      </c>
      <c r="I492" s="16">
        <f t="shared" si="13"/>
        <v>49.9</v>
      </c>
      <c r="J492" s="29">
        <v>65.0</v>
      </c>
      <c r="K492" s="16">
        <f t="shared" si="4"/>
        <v>41.7705</v>
      </c>
      <c r="L492" s="19">
        <f t="shared" si="5"/>
        <v>0.1405609584</v>
      </c>
      <c r="M492" s="16">
        <f t="shared" si="6"/>
        <v>338.9405</v>
      </c>
      <c r="N492" s="20"/>
    </row>
    <row r="493">
      <c r="A493" s="30"/>
      <c r="B493" s="34" t="s">
        <v>937</v>
      </c>
      <c r="C493" s="15" t="s">
        <v>936</v>
      </c>
      <c r="D493" s="29">
        <v>449.0</v>
      </c>
      <c r="E493" s="16">
        <f t="shared" si="1"/>
        <v>30.981</v>
      </c>
      <c r="F493" s="16">
        <f t="shared" si="2"/>
        <v>9.6535</v>
      </c>
      <c r="G493" s="32">
        <v>294.94</v>
      </c>
      <c r="H493" s="18">
        <v>0.1</v>
      </c>
      <c r="I493" s="16">
        <f t="shared" si="13"/>
        <v>44.9</v>
      </c>
      <c r="J493" s="29">
        <v>65.0</v>
      </c>
      <c r="K493" s="16">
        <f t="shared" si="4"/>
        <v>3.5255</v>
      </c>
      <c r="L493" s="19">
        <f t="shared" si="5"/>
        <v>0.01195327863</v>
      </c>
      <c r="M493" s="16">
        <f t="shared" si="6"/>
        <v>298.4655</v>
      </c>
      <c r="N493" s="20"/>
    </row>
    <row r="494">
      <c r="A494" s="30"/>
      <c r="B494" s="30" t="s">
        <v>938</v>
      </c>
      <c r="C494" s="15" t="s">
        <v>939</v>
      </c>
      <c r="D494" s="16">
        <v>2399.0</v>
      </c>
      <c r="E494" s="16">
        <f t="shared" si="1"/>
        <v>165.531</v>
      </c>
      <c r="F494" s="16">
        <f t="shared" si="2"/>
        <v>51.5785</v>
      </c>
      <c r="G494" s="17">
        <v>1556.39</v>
      </c>
      <c r="H494" s="18">
        <v>0.15</v>
      </c>
      <c r="I494" s="16">
        <f t="shared" si="13"/>
        <v>359.85</v>
      </c>
      <c r="J494" s="16"/>
      <c r="K494" s="16">
        <f t="shared" si="4"/>
        <v>265.6505</v>
      </c>
      <c r="L494" s="19">
        <f t="shared" si="5"/>
        <v>0.1706837618</v>
      </c>
      <c r="M494" s="16">
        <f t="shared" si="6"/>
        <v>1822.0405</v>
      </c>
      <c r="N494" s="20"/>
    </row>
    <row r="495">
      <c r="A495" s="30"/>
      <c r="B495" s="30" t="s">
        <v>251</v>
      </c>
      <c r="C495" s="15" t="s">
        <v>940</v>
      </c>
      <c r="D495" s="16">
        <v>1099.0</v>
      </c>
      <c r="E495" s="16">
        <f t="shared" si="1"/>
        <v>75.831</v>
      </c>
      <c r="F495" s="16">
        <f t="shared" si="2"/>
        <v>23.6285</v>
      </c>
      <c r="G495" s="17">
        <v>778.86</v>
      </c>
      <c r="H495" s="18">
        <v>0.1</v>
      </c>
      <c r="I495" s="16">
        <f t="shared" si="13"/>
        <v>109.9</v>
      </c>
      <c r="J495" s="16">
        <v>95.0</v>
      </c>
      <c r="K495" s="16">
        <f t="shared" si="4"/>
        <v>15.7805</v>
      </c>
      <c r="L495" s="19">
        <f t="shared" si="5"/>
        <v>0.02026102252</v>
      </c>
      <c r="M495" s="16">
        <f t="shared" si="6"/>
        <v>794.6405</v>
      </c>
      <c r="N495" s="20"/>
    </row>
    <row r="496">
      <c r="A496" s="30"/>
      <c r="B496" s="30" t="s">
        <v>941</v>
      </c>
      <c r="C496" s="15" t="s">
        <v>942</v>
      </c>
      <c r="D496" s="16">
        <v>199.0</v>
      </c>
      <c r="E496" s="16">
        <f t="shared" si="1"/>
        <v>13.731</v>
      </c>
      <c r="F496" s="16">
        <f t="shared" si="2"/>
        <v>4.2785</v>
      </c>
      <c r="G496" s="17">
        <v>119.6</v>
      </c>
      <c r="H496" s="18">
        <v>0.1</v>
      </c>
      <c r="I496" s="16">
        <f t="shared" si="13"/>
        <v>19.9</v>
      </c>
      <c r="J496" s="16"/>
      <c r="K496" s="16">
        <f t="shared" si="4"/>
        <v>41.4905</v>
      </c>
      <c r="L496" s="19">
        <f t="shared" si="5"/>
        <v>0.3469105351</v>
      </c>
      <c r="M496" s="16">
        <f t="shared" si="6"/>
        <v>161.0905</v>
      </c>
      <c r="N496" s="20"/>
    </row>
    <row r="497">
      <c r="A497" s="30"/>
      <c r="B497" s="30" t="s">
        <v>943</v>
      </c>
      <c r="C497" s="15" t="s">
        <v>944</v>
      </c>
      <c r="D497" s="16">
        <v>5874.0</v>
      </c>
      <c r="E497" s="16">
        <f t="shared" si="1"/>
        <v>405.306</v>
      </c>
      <c r="F497" s="16">
        <f t="shared" si="2"/>
        <v>126.291</v>
      </c>
      <c r="G497" s="17">
        <v>4094.93</v>
      </c>
      <c r="H497" s="18">
        <v>0.1</v>
      </c>
      <c r="I497" s="16">
        <f t="shared" si="13"/>
        <v>587.4</v>
      </c>
      <c r="J497" s="16">
        <v>75.0</v>
      </c>
      <c r="K497" s="16">
        <f t="shared" si="4"/>
        <v>585.073</v>
      </c>
      <c r="L497" s="19">
        <f t="shared" si="5"/>
        <v>0.1428774118</v>
      </c>
      <c r="M497" s="16">
        <f t="shared" si="6"/>
        <v>4680.003</v>
      </c>
      <c r="N497" s="20"/>
    </row>
    <row r="498">
      <c r="A498" s="30"/>
      <c r="B498" s="30" t="s">
        <v>945</v>
      </c>
      <c r="C498" s="15" t="s">
        <v>856</v>
      </c>
      <c r="D498" s="29">
        <v>4331.0</v>
      </c>
      <c r="E498" s="16">
        <f t="shared" si="1"/>
        <v>298.839</v>
      </c>
      <c r="F498" s="16">
        <f t="shared" si="2"/>
        <v>93.1165</v>
      </c>
      <c r="G498" s="17">
        <v>3385.42</v>
      </c>
      <c r="H498" s="18">
        <v>0.1</v>
      </c>
      <c r="I498" s="16">
        <f t="shared" si="13"/>
        <v>433.1</v>
      </c>
      <c r="J498" s="29">
        <v>65.5</v>
      </c>
      <c r="K498" s="16">
        <f t="shared" si="4"/>
        <v>55.0245</v>
      </c>
      <c r="L498" s="19">
        <f t="shared" si="5"/>
        <v>0.01625337477</v>
      </c>
      <c r="M498" s="16">
        <f t="shared" si="6"/>
        <v>3440.4445</v>
      </c>
      <c r="N498" s="20"/>
    </row>
    <row r="499">
      <c r="A499" s="30"/>
      <c r="B499" s="30" t="s">
        <v>946</v>
      </c>
      <c r="C499" s="15" t="s">
        <v>947</v>
      </c>
      <c r="D499" s="16">
        <v>3799.0</v>
      </c>
      <c r="E499" s="16">
        <f t="shared" si="1"/>
        <v>262.131</v>
      </c>
      <c r="F499" s="16">
        <f t="shared" si="2"/>
        <v>81.6785</v>
      </c>
      <c r="G499" s="17">
        <v>2740.5</v>
      </c>
      <c r="H499" s="18">
        <v>0.1</v>
      </c>
      <c r="I499" s="16">
        <f t="shared" si="13"/>
        <v>379.9</v>
      </c>
      <c r="J499" s="16">
        <v>69.0</v>
      </c>
      <c r="K499" s="16">
        <f t="shared" si="4"/>
        <v>265.7905</v>
      </c>
      <c r="L499" s="19">
        <f t="shared" si="5"/>
        <v>0.09698613392</v>
      </c>
      <c r="M499" s="16">
        <f t="shared" si="6"/>
        <v>3006.2905</v>
      </c>
      <c r="N499" s="20"/>
    </row>
    <row r="500">
      <c r="A500" s="30"/>
      <c r="B500" s="30" t="s">
        <v>948</v>
      </c>
      <c r="C500" s="15" t="s">
        <v>949</v>
      </c>
      <c r="D500" s="16">
        <v>3235.0</v>
      </c>
      <c r="E500" s="16">
        <f t="shared" si="1"/>
        <v>223.215</v>
      </c>
      <c r="F500" s="16">
        <f t="shared" si="2"/>
        <v>69.5525</v>
      </c>
      <c r="G500" s="17">
        <v>2557.8</v>
      </c>
      <c r="H500" s="18">
        <v>0.1</v>
      </c>
      <c r="I500" s="16">
        <f t="shared" si="13"/>
        <v>323.5</v>
      </c>
      <c r="J500" s="16">
        <v>69.0</v>
      </c>
      <c r="K500" s="16">
        <f t="shared" si="4"/>
        <v>-8.0675</v>
      </c>
      <c r="L500" s="19">
        <f t="shared" si="5"/>
        <v>-0.003154077723</v>
      </c>
      <c r="M500" s="16">
        <f t="shared" si="6"/>
        <v>2549.7325</v>
      </c>
      <c r="N500" s="20"/>
    </row>
    <row r="501">
      <c r="A501" s="30"/>
      <c r="B501" s="30" t="s">
        <v>950</v>
      </c>
      <c r="C501" s="15" t="s">
        <v>951</v>
      </c>
      <c r="D501" s="16">
        <v>3536.0</v>
      </c>
      <c r="E501" s="16">
        <f t="shared" si="1"/>
        <v>243.984</v>
      </c>
      <c r="F501" s="16">
        <f t="shared" si="2"/>
        <v>76.024</v>
      </c>
      <c r="G501" s="17">
        <v>2740.5</v>
      </c>
      <c r="H501" s="18">
        <v>0.1</v>
      </c>
      <c r="I501" s="16">
        <f t="shared" si="13"/>
        <v>353.6</v>
      </c>
      <c r="J501" s="16">
        <v>75.0</v>
      </c>
      <c r="K501" s="16">
        <f t="shared" si="4"/>
        <v>46.892</v>
      </c>
      <c r="L501" s="19">
        <f t="shared" si="5"/>
        <v>0.01711074621</v>
      </c>
      <c r="M501" s="16">
        <f t="shared" si="6"/>
        <v>2787.392</v>
      </c>
      <c r="N501" s="20"/>
    </row>
    <row r="502">
      <c r="A502" s="30"/>
      <c r="B502" s="30" t="s">
        <v>952</v>
      </c>
      <c r="C502" s="15" t="s">
        <v>953</v>
      </c>
      <c r="D502" s="16">
        <v>2771.0</v>
      </c>
      <c r="E502" s="16">
        <f t="shared" si="1"/>
        <v>191.199</v>
      </c>
      <c r="F502" s="16">
        <f t="shared" si="2"/>
        <v>59.5765</v>
      </c>
      <c r="G502" s="17">
        <v>1918.35</v>
      </c>
      <c r="H502" s="18">
        <v>0.1</v>
      </c>
      <c r="I502" s="16">
        <f t="shared" si="13"/>
        <v>277.1</v>
      </c>
      <c r="J502" s="16">
        <v>69.0</v>
      </c>
      <c r="K502" s="16">
        <f t="shared" si="4"/>
        <v>255.7745</v>
      </c>
      <c r="L502" s="19">
        <f t="shared" si="5"/>
        <v>0.1333304663</v>
      </c>
      <c r="M502" s="16">
        <f t="shared" si="6"/>
        <v>2174.1245</v>
      </c>
      <c r="N502" s="20"/>
    </row>
    <row r="503">
      <c r="A503" s="30"/>
      <c r="B503" s="30" t="s">
        <v>954</v>
      </c>
      <c r="C503" s="15" t="s">
        <v>955</v>
      </c>
      <c r="D503" s="29">
        <v>3610.0</v>
      </c>
      <c r="E503" s="16">
        <f t="shared" si="1"/>
        <v>249.09</v>
      </c>
      <c r="F503" s="16">
        <f t="shared" si="2"/>
        <v>77.615</v>
      </c>
      <c r="G503" s="17">
        <v>2744.11</v>
      </c>
      <c r="H503" s="18">
        <v>0.145</v>
      </c>
      <c r="I503" s="16">
        <f t="shared" si="13"/>
        <v>523.45</v>
      </c>
      <c r="J503" s="29">
        <v>69.0</v>
      </c>
      <c r="K503" s="16">
        <f t="shared" si="4"/>
        <v>-53.265</v>
      </c>
      <c r="L503" s="19">
        <f t="shared" si="5"/>
        <v>-0.01941066502</v>
      </c>
      <c r="M503" s="16">
        <f t="shared" si="6"/>
        <v>2690.845</v>
      </c>
      <c r="N503" s="20"/>
    </row>
    <row r="504">
      <c r="A504" s="30"/>
      <c r="B504" s="30" t="s">
        <v>956</v>
      </c>
      <c r="C504" s="15" t="s">
        <v>957</v>
      </c>
      <c r="D504" s="16">
        <v>1984.0</v>
      </c>
      <c r="E504" s="16">
        <f t="shared" si="1"/>
        <v>136.896</v>
      </c>
      <c r="F504" s="16">
        <f t="shared" si="2"/>
        <v>42.656</v>
      </c>
      <c r="G504" s="17">
        <v>1454.39</v>
      </c>
      <c r="H504" s="18">
        <v>0.145</v>
      </c>
      <c r="I504" s="16">
        <f t="shared" si="13"/>
        <v>287.68</v>
      </c>
      <c r="J504" s="29">
        <v>69.0</v>
      </c>
      <c r="K504" s="16">
        <f t="shared" si="4"/>
        <v>-6.622</v>
      </c>
      <c r="L504" s="19">
        <f t="shared" si="5"/>
        <v>-0.004553111614</v>
      </c>
      <c r="M504" s="16">
        <f t="shared" si="6"/>
        <v>1447.768</v>
      </c>
      <c r="N504" s="20"/>
    </row>
    <row r="505">
      <c r="A505" s="30"/>
      <c r="B505" s="30" t="s">
        <v>958</v>
      </c>
      <c r="C505" s="15" t="s">
        <v>959</v>
      </c>
      <c r="D505" s="16">
        <v>772.0</v>
      </c>
      <c r="E505" s="16">
        <f t="shared" si="1"/>
        <v>53.268</v>
      </c>
      <c r="F505" s="16">
        <f t="shared" si="2"/>
        <v>16.598</v>
      </c>
      <c r="G505" s="17">
        <v>508.44</v>
      </c>
      <c r="H505" s="18">
        <v>0.1</v>
      </c>
      <c r="I505" s="16">
        <f t="shared" si="13"/>
        <v>77.2</v>
      </c>
      <c r="J505" s="16">
        <v>91.0</v>
      </c>
      <c r="K505" s="16">
        <f t="shared" si="4"/>
        <v>25.494</v>
      </c>
      <c r="L505" s="19">
        <f t="shared" si="5"/>
        <v>0.05014160963</v>
      </c>
      <c r="M505" s="16">
        <f t="shared" si="6"/>
        <v>533.934</v>
      </c>
      <c r="N505" s="20"/>
    </row>
    <row r="506">
      <c r="A506" s="34" t="s">
        <v>960</v>
      </c>
      <c r="B506" s="30" t="s">
        <v>961</v>
      </c>
      <c r="C506" s="15" t="s">
        <v>962</v>
      </c>
      <c r="D506" s="29">
        <v>228.0</v>
      </c>
      <c r="E506" s="16">
        <f t="shared" si="1"/>
        <v>15.732</v>
      </c>
      <c r="F506" s="16">
        <f t="shared" si="2"/>
        <v>4.902</v>
      </c>
      <c r="G506" s="32">
        <v>147.7</v>
      </c>
      <c r="H506" s="18">
        <v>0.1</v>
      </c>
      <c r="I506" s="16">
        <f t="shared" si="13"/>
        <v>22.8</v>
      </c>
      <c r="J506" s="29">
        <v>30.0</v>
      </c>
      <c r="K506" s="16">
        <f t="shared" si="4"/>
        <v>6.866</v>
      </c>
      <c r="L506" s="19">
        <f t="shared" si="5"/>
        <v>0.04648612051</v>
      </c>
      <c r="M506" s="16">
        <f t="shared" si="6"/>
        <v>154.566</v>
      </c>
      <c r="N506" s="20"/>
    </row>
    <row r="507">
      <c r="A507" s="30"/>
      <c r="B507" s="30" t="s">
        <v>963</v>
      </c>
      <c r="C507" s="15" t="s">
        <v>964</v>
      </c>
      <c r="D507" s="16">
        <v>8999.0</v>
      </c>
      <c r="E507" s="16">
        <f t="shared" si="1"/>
        <v>620.931</v>
      </c>
      <c r="F507" s="16">
        <f t="shared" si="2"/>
        <v>193.4785</v>
      </c>
      <c r="G507" s="17">
        <v>6270.0</v>
      </c>
      <c r="H507" s="18">
        <v>0.1</v>
      </c>
      <c r="I507" s="16">
        <f t="shared" si="13"/>
        <v>899.9</v>
      </c>
      <c r="J507" s="16">
        <v>128.0</v>
      </c>
      <c r="K507" s="16">
        <f t="shared" si="4"/>
        <v>886.6905</v>
      </c>
      <c r="L507" s="19">
        <f t="shared" si="5"/>
        <v>0.1414179426</v>
      </c>
      <c r="M507" s="16">
        <f t="shared" si="6"/>
        <v>7156.6905</v>
      </c>
      <c r="N507" s="20"/>
    </row>
    <row r="508">
      <c r="A508" s="30"/>
      <c r="B508" s="30" t="s">
        <v>965</v>
      </c>
      <c r="C508" s="15" t="s">
        <v>966</v>
      </c>
      <c r="D508" s="16">
        <v>2985.0</v>
      </c>
      <c r="E508" s="16">
        <f t="shared" si="1"/>
        <v>205.965</v>
      </c>
      <c r="F508" s="16">
        <f t="shared" si="2"/>
        <v>64.1775</v>
      </c>
      <c r="G508" s="17">
        <v>2362.63</v>
      </c>
      <c r="H508" s="18">
        <v>0.1</v>
      </c>
      <c r="I508" s="16">
        <f t="shared" si="13"/>
        <v>298.5</v>
      </c>
      <c r="J508" s="16">
        <v>62.0</v>
      </c>
      <c r="K508" s="16">
        <f t="shared" si="4"/>
        <v>-8.2725</v>
      </c>
      <c r="L508" s="19">
        <f t="shared" si="5"/>
        <v>-0.003501394632</v>
      </c>
      <c r="M508" s="16">
        <f t="shared" si="6"/>
        <v>2354.3575</v>
      </c>
      <c r="N508" s="20"/>
    </row>
    <row r="509">
      <c r="A509" s="30"/>
      <c r="B509" s="30" t="s">
        <v>967</v>
      </c>
      <c r="C509" s="15" t="s">
        <v>968</v>
      </c>
      <c r="D509" s="16">
        <v>2376.0</v>
      </c>
      <c r="E509" s="16">
        <f t="shared" si="1"/>
        <v>163.944</v>
      </c>
      <c r="F509" s="16">
        <f t="shared" si="2"/>
        <v>51.084</v>
      </c>
      <c r="G509" s="17">
        <v>1918.35</v>
      </c>
      <c r="H509" s="18">
        <v>0.1</v>
      </c>
      <c r="I509" s="16">
        <f t="shared" si="13"/>
        <v>237.6</v>
      </c>
      <c r="J509" s="16">
        <v>62.0</v>
      </c>
      <c r="K509" s="16">
        <f t="shared" si="4"/>
        <v>-56.978</v>
      </c>
      <c r="L509" s="19">
        <f t="shared" si="5"/>
        <v>-0.02970156645</v>
      </c>
      <c r="M509" s="16">
        <f t="shared" si="6"/>
        <v>1861.372</v>
      </c>
      <c r="N509" s="20"/>
    </row>
    <row r="510">
      <c r="A510" s="30"/>
      <c r="B510" s="30" t="s">
        <v>969</v>
      </c>
      <c r="C510" s="15" t="s">
        <v>970</v>
      </c>
      <c r="D510" s="16">
        <v>4958.0</v>
      </c>
      <c r="E510" s="16">
        <f t="shared" si="1"/>
        <v>342.102</v>
      </c>
      <c r="F510" s="16">
        <f t="shared" si="2"/>
        <v>106.597</v>
      </c>
      <c r="G510" s="17">
        <v>3151.2</v>
      </c>
      <c r="H510" s="18">
        <v>0.1</v>
      </c>
      <c r="I510" s="16">
        <f t="shared" si="13"/>
        <v>495.8</v>
      </c>
      <c r="J510" s="16">
        <v>62.0</v>
      </c>
      <c r="K510" s="16">
        <f t="shared" si="4"/>
        <v>800.301</v>
      </c>
      <c r="L510" s="19">
        <f t="shared" si="5"/>
        <v>0.2539670602</v>
      </c>
      <c r="M510" s="16">
        <f t="shared" si="6"/>
        <v>3951.501</v>
      </c>
      <c r="N510" s="20"/>
    </row>
    <row r="511">
      <c r="A511" s="30"/>
      <c r="B511" s="30" t="s">
        <v>971</v>
      </c>
      <c r="C511" s="15" t="s">
        <v>972</v>
      </c>
      <c r="D511" s="16">
        <v>5648.0</v>
      </c>
      <c r="E511" s="16">
        <f t="shared" si="1"/>
        <v>389.712</v>
      </c>
      <c r="F511" s="16">
        <f t="shared" si="2"/>
        <v>121.432</v>
      </c>
      <c r="G511" s="17">
        <v>4330.0</v>
      </c>
      <c r="H511" s="18">
        <v>0.1</v>
      </c>
      <c r="I511" s="16">
        <f t="shared" si="13"/>
        <v>564.8</v>
      </c>
      <c r="J511" s="16">
        <v>95.0</v>
      </c>
      <c r="K511" s="16">
        <f t="shared" si="4"/>
        <v>147.056</v>
      </c>
      <c r="L511" s="19">
        <f t="shared" si="5"/>
        <v>0.03396212471</v>
      </c>
      <c r="M511" s="16">
        <f t="shared" si="6"/>
        <v>4477.056</v>
      </c>
      <c r="N511" s="20"/>
    </row>
    <row r="512">
      <c r="A512" s="34" t="s">
        <v>973</v>
      </c>
      <c r="B512" s="30" t="s">
        <v>974</v>
      </c>
      <c r="C512" s="15" t="s">
        <v>975</v>
      </c>
      <c r="D512" s="29">
        <v>435.0</v>
      </c>
      <c r="E512" s="16">
        <f t="shared" si="1"/>
        <v>30.015</v>
      </c>
      <c r="F512" s="16">
        <f t="shared" si="2"/>
        <v>9.3525</v>
      </c>
      <c r="G512" s="32">
        <v>299.0</v>
      </c>
      <c r="H512" s="18">
        <v>0.1</v>
      </c>
      <c r="I512" s="16">
        <f t="shared" si="13"/>
        <v>43.5</v>
      </c>
      <c r="J512" s="29">
        <v>62.5</v>
      </c>
      <c r="K512" s="16">
        <f t="shared" si="4"/>
        <v>-9.3675</v>
      </c>
      <c r="L512" s="19">
        <f t="shared" si="5"/>
        <v>-0.03132943144</v>
      </c>
      <c r="M512" s="16">
        <f t="shared" si="6"/>
        <v>289.6325</v>
      </c>
      <c r="N512" s="20"/>
    </row>
    <row r="513">
      <c r="A513" s="34" t="s">
        <v>976</v>
      </c>
      <c r="B513" s="30" t="s">
        <v>977</v>
      </c>
      <c r="C513" s="15" t="s">
        <v>975</v>
      </c>
      <c r="D513" s="29">
        <v>479.0</v>
      </c>
      <c r="E513" s="16">
        <f t="shared" si="1"/>
        <v>33.051</v>
      </c>
      <c r="F513" s="16">
        <f t="shared" si="2"/>
        <v>10.2985</v>
      </c>
      <c r="G513" s="32">
        <v>325.0</v>
      </c>
      <c r="H513" s="18">
        <v>0.1</v>
      </c>
      <c r="I513" s="16">
        <f t="shared" si="13"/>
        <v>47.9</v>
      </c>
      <c r="J513" s="29">
        <v>65.0</v>
      </c>
      <c r="K513" s="16">
        <f t="shared" si="4"/>
        <v>-2.2495</v>
      </c>
      <c r="L513" s="19">
        <f t="shared" si="5"/>
        <v>-0.006921538462</v>
      </c>
      <c r="M513" s="16">
        <f t="shared" si="6"/>
        <v>322.7505</v>
      </c>
      <c r="N513" s="20"/>
    </row>
    <row r="514">
      <c r="A514" s="22"/>
      <c r="B514" s="30" t="s">
        <v>978</v>
      </c>
      <c r="C514" s="15" t="s">
        <v>979</v>
      </c>
      <c r="D514" s="29">
        <v>8784.0</v>
      </c>
      <c r="E514" s="16">
        <f t="shared" si="1"/>
        <v>606.096</v>
      </c>
      <c r="F514" s="16">
        <f t="shared" si="2"/>
        <v>188.856</v>
      </c>
      <c r="G514" s="17">
        <v>6817.07</v>
      </c>
      <c r="H514" s="18">
        <v>0.1</v>
      </c>
      <c r="I514" s="16">
        <f t="shared" si="13"/>
        <v>878.4</v>
      </c>
      <c r="J514" s="16">
        <v>91.0</v>
      </c>
      <c r="K514" s="16">
        <f t="shared" si="4"/>
        <v>202.578</v>
      </c>
      <c r="L514" s="19">
        <f t="shared" si="5"/>
        <v>0.02971628574</v>
      </c>
      <c r="M514" s="16">
        <f t="shared" si="6"/>
        <v>7019.648</v>
      </c>
      <c r="N514" s="20"/>
    </row>
    <row r="515">
      <c r="A515" s="34" t="s">
        <v>980</v>
      </c>
      <c r="B515" s="34" t="s">
        <v>981</v>
      </c>
      <c r="C515" s="15" t="s">
        <v>982</v>
      </c>
      <c r="D515" s="16">
        <v>1329.0</v>
      </c>
      <c r="E515" s="16">
        <f t="shared" si="1"/>
        <v>91.701</v>
      </c>
      <c r="F515" s="16">
        <f t="shared" si="2"/>
        <v>28.5735</v>
      </c>
      <c r="G515" s="17">
        <v>1431.78</v>
      </c>
      <c r="H515" s="18">
        <v>0.15</v>
      </c>
      <c r="I515" s="16">
        <f t="shared" si="13"/>
        <v>199.35</v>
      </c>
      <c r="J515" s="29">
        <v>65.0</v>
      </c>
      <c r="K515" s="16">
        <f t="shared" si="4"/>
        <v>-487.4045</v>
      </c>
      <c r="L515" s="19">
        <f t="shared" si="5"/>
        <v>-0.3404185699</v>
      </c>
      <c r="M515" s="16">
        <f t="shared" si="6"/>
        <v>944.3755</v>
      </c>
      <c r="N515" s="20"/>
    </row>
    <row r="516">
      <c r="A516" s="30"/>
      <c r="B516" s="30"/>
      <c r="C516" s="15"/>
      <c r="D516" s="16"/>
      <c r="E516" s="16">
        <f t="shared" si="1"/>
        <v>0</v>
      </c>
      <c r="F516" s="16">
        <f t="shared" si="2"/>
        <v>0</v>
      </c>
      <c r="G516" s="17"/>
      <c r="H516" s="18">
        <v>0.1</v>
      </c>
      <c r="I516" s="16">
        <f t="shared" si="13"/>
        <v>0</v>
      </c>
      <c r="J516" s="16"/>
      <c r="K516" s="16">
        <f t="shared" si="4"/>
        <v>0</v>
      </c>
      <c r="L516" s="19" t="str">
        <f t="shared" si="5"/>
        <v>#DIV/0!</v>
      </c>
      <c r="M516" s="16">
        <f t="shared" si="6"/>
        <v>0</v>
      </c>
      <c r="N516" s="20"/>
    </row>
    <row r="517">
      <c r="A517" s="30"/>
      <c r="B517" s="30"/>
      <c r="C517" s="38"/>
      <c r="D517" s="16"/>
      <c r="E517" s="16">
        <f t="shared" si="1"/>
        <v>0</v>
      </c>
      <c r="F517" s="16">
        <f t="shared" si="2"/>
        <v>0</v>
      </c>
      <c r="G517" s="17"/>
      <c r="H517" s="18">
        <v>0.1</v>
      </c>
      <c r="I517" s="16">
        <f t="shared" si="13"/>
        <v>0</v>
      </c>
      <c r="J517" s="16"/>
      <c r="K517" s="16">
        <f t="shared" si="4"/>
        <v>0</v>
      </c>
      <c r="L517" s="19" t="str">
        <f t="shared" si="5"/>
        <v>#DIV/0!</v>
      </c>
      <c r="M517" s="16">
        <f t="shared" si="6"/>
        <v>0</v>
      </c>
      <c r="N517" s="20"/>
    </row>
    <row r="518">
      <c r="A518" s="30"/>
      <c r="B518" s="30"/>
      <c r="C518" s="15"/>
      <c r="D518" s="16"/>
      <c r="E518" s="16">
        <f t="shared" si="1"/>
        <v>0</v>
      </c>
      <c r="F518" s="16">
        <f t="shared" si="2"/>
        <v>0</v>
      </c>
      <c r="G518" s="17"/>
      <c r="H518" s="18">
        <v>0.1</v>
      </c>
      <c r="I518" s="16">
        <f t="shared" si="13"/>
        <v>0</v>
      </c>
      <c r="J518" s="16"/>
      <c r="K518" s="16">
        <f t="shared" si="4"/>
        <v>0</v>
      </c>
      <c r="L518" s="19" t="str">
        <f t="shared" si="5"/>
        <v>#DIV/0!</v>
      </c>
      <c r="M518" s="16">
        <f t="shared" si="6"/>
        <v>0</v>
      </c>
      <c r="N518" s="20"/>
    </row>
    <row r="519">
      <c r="A519" s="30"/>
      <c r="B519" s="30" t="s">
        <v>983</v>
      </c>
      <c r="C519" s="15" t="s">
        <v>984</v>
      </c>
      <c r="D519" s="16">
        <v>7199.0</v>
      </c>
      <c r="E519" s="16">
        <f t="shared" si="1"/>
        <v>496.731</v>
      </c>
      <c r="F519" s="16">
        <f t="shared" si="2"/>
        <v>154.7785</v>
      </c>
      <c r="G519" s="17">
        <v>5369.2</v>
      </c>
      <c r="H519" s="18">
        <v>0.145</v>
      </c>
      <c r="I519" s="16">
        <f t="shared" si="13"/>
        <v>1043.855</v>
      </c>
      <c r="J519" s="29">
        <v>62.0</v>
      </c>
      <c r="K519" s="16">
        <f t="shared" si="4"/>
        <v>72.4355</v>
      </c>
      <c r="L519" s="19">
        <f t="shared" si="5"/>
        <v>0.01349092975</v>
      </c>
      <c r="M519" s="16">
        <f t="shared" si="6"/>
        <v>5441.6355</v>
      </c>
      <c r="N519" s="20"/>
    </row>
    <row r="520">
      <c r="A520" s="30"/>
      <c r="B520" s="30" t="s">
        <v>985</v>
      </c>
      <c r="C520" s="15" t="s">
        <v>986</v>
      </c>
      <c r="D520" s="29">
        <v>699.0</v>
      </c>
      <c r="E520" s="16">
        <f t="shared" si="1"/>
        <v>48.231</v>
      </c>
      <c r="F520" s="16">
        <f t="shared" si="2"/>
        <v>15.0285</v>
      </c>
      <c r="G520" s="17">
        <v>368.16</v>
      </c>
      <c r="H520" s="18">
        <v>0.195</v>
      </c>
      <c r="I520" s="16">
        <f t="shared" si="13"/>
        <v>136.305</v>
      </c>
      <c r="J520" s="29">
        <v>62.0</v>
      </c>
      <c r="K520" s="16">
        <f t="shared" si="4"/>
        <v>69.2755</v>
      </c>
      <c r="L520" s="19">
        <f t="shared" si="5"/>
        <v>0.1881668296</v>
      </c>
      <c r="M520" s="16">
        <f t="shared" si="6"/>
        <v>437.4355</v>
      </c>
      <c r="N520" s="20"/>
    </row>
    <row r="521">
      <c r="A521" s="30"/>
      <c r="B521" s="30" t="s">
        <v>987</v>
      </c>
      <c r="C521" s="15" t="s">
        <v>988</v>
      </c>
      <c r="D521" s="16">
        <v>8499.0</v>
      </c>
      <c r="E521" s="16">
        <f t="shared" si="1"/>
        <v>586.431</v>
      </c>
      <c r="F521" s="16">
        <f t="shared" si="2"/>
        <v>182.7285</v>
      </c>
      <c r="G521" s="17">
        <v>5730.01</v>
      </c>
      <c r="H521" s="18">
        <v>0.1</v>
      </c>
      <c r="I521" s="16">
        <f t="shared" si="13"/>
        <v>849.9</v>
      </c>
      <c r="J521" s="16">
        <v>69.0</v>
      </c>
      <c r="K521" s="16">
        <f t="shared" si="4"/>
        <v>1080.9305</v>
      </c>
      <c r="L521" s="19">
        <f t="shared" si="5"/>
        <v>0.1886437371</v>
      </c>
      <c r="M521" s="16">
        <f t="shared" si="6"/>
        <v>6810.9405</v>
      </c>
      <c r="N521" s="20"/>
    </row>
    <row r="522">
      <c r="A522" s="30"/>
      <c r="B522" s="30" t="s">
        <v>989</v>
      </c>
      <c r="C522" s="15" t="s">
        <v>990</v>
      </c>
      <c r="D522" s="16">
        <v>5141.0</v>
      </c>
      <c r="E522" s="16">
        <f t="shared" si="1"/>
        <v>354.729</v>
      </c>
      <c r="F522" s="16">
        <f t="shared" si="2"/>
        <v>110.5315</v>
      </c>
      <c r="G522" s="17">
        <v>4641.54</v>
      </c>
      <c r="H522" s="18">
        <v>0.1</v>
      </c>
      <c r="I522" s="16">
        <f t="shared" si="13"/>
        <v>514.1</v>
      </c>
      <c r="J522" s="16">
        <v>69.0</v>
      </c>
      <c r="K522" s="16">
        <f t="shared" si="4"/>
        <v>-548.9005</v>
      </c>
      <c r="L522" s="19">
        <f t="shared" si="5"/>
        <v>-0.118258272</v>
      </c>
      <c r="M522" s="16">
        <f t="shared" si="6"/>
        <v>4092.6395</v>
      </c>
      <c r="N522" s="20"/>
    </row>
    <row r="523">
      <c r="A523" s="30"/>
      <c r="B523" s="30" t="s">
        <v>991</v>
      </c>
      <c r="C523" s="15" t="s">
        <v>762</v>
      </c>
      <c r="D523" s="16">
        <v>298.0</v>
      </c>
      <c r="E523" s="16">
        <f t="shared" si="1"/>
        <v>20.562</v>
      </c>
      <c r="F523" s="16">
        <f t="shared" si="2"/>
        <v>6.407</v>
      </c>
      <c r="G523" s="17">
        <v>185.28</v>
      </c>
      <c r="H523" s="18">
        <v>0.1</v>
      </c>
      <c r="I523" s="16">
        <f t="shared" si="13"/>
        <v>29.8</v>
      </c>
      <c r="J523" s="16">
        <v>30.0</v>
      </c>
      <c r="K523" s="16">
        <f t="shared" si="4"/>
        <v>25.951</v>
      </c>
      <c r="L523" s="19">
        <f t="shared" si="5"/>
        <v>0.1400636874</v>
      </c>
      <c r="M523" s="16">
        <f t="shared" si="6"/>
        <v>211.231</v>
      </c>
      <c r="N523" s="20"/>
    </row>
    <row r="524">
      <c r="A524" s="30"/>
      <c r="B524" s="30" t="s">
        <v>992</v>
      </c>
      <c r="C524" s="15" t="s">
        <v>993</v>
      </c>
      <c r="D524" s="29">
        <v>7199.0</v>
      </c>
      <c r="E524" s="16">
        <f t="shared" si="1"/>
        <v>496.731</v>
      </c>
      <c r="F524" s="16">
        <f t="shared" si="2"/>
        <v>154.7785</v>
      </c>
      <c r="G524" s="17">
        <v>6509.62</v>
      </c>
      <c r="H524" s="18">
        <v>0.145</v>
      </c>
      <c r="I524" s="16">
        <f t="shared" si="13"/>
        <v>1043.855</v>
      </c>
      <c r="J524" s="29">
        <v>73.0</v>
      </c>
      <c r="K524" s="16">
        <f t="shared" si="4"/>
        <v>-1078.9845</v>
      </c>
      <c r="L524" s="19">
        <f t="shared" si="5"/>
        <v>-0.165752302</v>
      </c>
      <c r="M524" s="16">
        <f t="shared" si="6"/>
        <v>5430.6355</v>
      </c>
      <c r="N524" s="20"/>
    </row>
    <row r="525">
      <c r="A525" s="30"/>
      <c r="B525" s="30" t="s">
        <v>994</v>
      </c>
      <c r="C525" s="15" t="s">
        <v>993</v>
      </c>
      <c r="D525" s="29">
        <v>7999.0</v>
      </c>
      <c r="E525" s="16">
        <f t="shared" si="1"/>
        <v>551.931</v>
      </c>
      <c r="F525" s="16">
        <f t="shared" si="2"/>
        <v>171.9785</v>
      </c>
      <c r="G525" s="32">
        <v>6500.0</v>
      </c>
      <c r="H525" s="18">
        <v>0.1</v>
      </c>
      <c r="I525" s="16">
        <f t="shared" si="13"/>
        <v>799.9</v>
      </c>
      <c r="J525" s="16">
        <v>69.0</v>
      </c>
      <c r="K525" s="16">
        <f t="shared" si="4"/>
        <v>-93.8095</v>
      </c>
      <c r="L525" s="19">
        <f t="shared" si="5"/>
        <v>-0.01443223077</v>
      </c>
      <c r="M525" s="16">
        <f t="shared" si="6"/>
        <v>6406.1905</v>
      </c>
      <c r="N525" s="20"/>
    </row>
    <row r="526">
      <c r="A526" s="30"/>
      <c r="B526" s="30" t="s">
        <v>995</v>
      </c>
      <c r="C526" s="15" t="s">
        <v>996</v>
      </c>
      <c r="D526" s="16">
        <v>4199.0</v>
      </c>
      <c r="E526" s="16">
        <f t="shared" si="1"/>
        <v>289.731</v>
      </c>
      <c r="F526" s="16">
        <f t="shared" si="2"/>
        <v>90.2785</v>
      </c>
      <c r="G526" s="17">
        <v>3151.2</v>
      </c>
      <c r="H526" s="18">
        <v>0.15</v>
      </c>
      <c r="I526" s="16">
        <f t="shared" si="13"/>
        <v>629.85</v>
      </c>
      <c r="J526" s="29">
        <v>69.0</v>
      </c>
      <c r="K526" s="16">
        <f t="shared" si="4"/>
        <v>-31.0595</v>
      </c>
      <c r="L526" s="19">
        <f t="shared" si="5"/>
        <v>-0.00985640391</v>
      </c>
      <c r="M526" s="16">
        <f t="shared" si="6"/>
        <v>3120.1405</v>
      </c>
      <c r="N526" s="20"/>
    </row>
    <row r="527">
      <c r="A527" s="30"/>
      <c r="B527" s="30" t="s">
        <v>997</v>
      </c>
      <c r="C527" s="15" t="s">
        <v>998</v>
      </c>
      <c r="D527" s="16">
        <v>630.0</v>
      </c>
      <c r="E527" s="16">
        <f t="shared" si="1"/>
        <v>43.47</v>
      </c>
      <c r="F527" s="16">
        <f t="shared" si="2"/>
        <v>13.545</v>
      </c>
      <c r="G527" s="17">
        <v>460.28</v>
      </c>
      <c r="H527" s="18">
        <v>0.1</v>
      </c>
      <c r="I527" s="16">
        <f t="shared" si="13"/>
        <v>63</v>
      </c>
      <c r="J527" s="29">
        <v>62.0</v>
      </c>
      <c r="K527" s="16">
        <f t="shared" si="4"/>
        <v>-12.295</v>
      </c>
      <c r="L527" s="19">
        <f t="shared" si="5"/>
        <v>-0.02671200139</v>
      </c>
      <c r="M527" s="16">
        <f t="shared" si="6"/>
        <v>447.985</v>
      </c>
      <c r="N527" s="20"/>
    </row>
    <row r="528">
      <c r="A528" s="30"/>
      <c r="B528" s="30" t="s">
        <v>999</v>
      </c>
      <c r="C528" s="15" t="s">
        <v>1000</v>
      </c>
      <c r="D528" s="16">
        <v>5999.0</v>
      </c>
      <c r="E528" s="16">
        <f t="shared" si="1"/>
        <v>413.931</v>
      </c>
      <c r="F528" s="16">
        <f t="shared" si="2"/>
        <v>128.9785</v>
      </c>
      <c r="G528" s="17">
        <v>4880.0</v>
      </c>
      <c r="H528" s="18">
        <v>0.1</v>
      </c>
      <c r="I528" s="16">
        <f t="shared" si="13"/>
        <v>599.9</v>
      </c>
      <c r="J528" s="16">
        <v>95.0</v>
      </c>
      <c r="K528" s="16">
        <f t="shared" si="4"/>
        <v>-118.8095</v>
      </c>
      <c r="L528" s="19">
        <f t="shared" si="5"/>
        <v>-0.02434620902</v>
      </c>
      <c r="M528" s="16">
        <f t="shared" si="6"/>
        <v>4761.1905</v>
      </c>
      <c r="N528" s="20"/>
    </row>
    <row r="529">
      <c r="A529" s="30"/>
      <c r="B529" s="30" t="s">
        <v>1001</v>
      </c>
      <c r="C529" s="15" t="s">
        <v>1002</v>
      </c>
      <c r="D529" s="29">
        <v>1873.0</v>
      </c>
      <c r="E529" s="16">
        <f t="shared" si="1"/>
        <v>129.237</v>
      </c>
      <c r="F529" s="16">
        <f t="shared" si="2"/>
        <v>40.2695</v>
      </c>
      <c r="G529" s="32">
        <v>1437.0</v>
      </c>
      <c r="H529" s="18">
        <v>0.1</v>
      </c>
      <c r="I529" s="16">
        <f t="shared" si="13"/>
        <v>187.3</v>
      </c>
      <c r="J529" s="29">
        <v>79.0</v>
      </c>
      <c r="K529" s="16">
        <f t="shared" si="4"/>
        <v>0.1935</v>
      </c>
      <c r="L529" s="19">
        <f t="shared" si="5"/>
        <v>0.0001346555324</v>
      </c>
      <c r="M529" s="16">
        <f t="shared" si="6"/>
        <v>1437.1935</v>
      </c>
      <c r="N529" s="20"/>
    </row>
    <row r="530">
      <c r="A530" s="30"/>
      <c r="B530" s="30" t="s">
        <v>1003</v>
      </c>
      <c r="C530" s="15" t="s">
        <v>1004</v>
      </c>
      <c r="D530" s="16">
        <v>14999.0</v>
      </c>
      <c r="E530" s="16">
        <f t="shared" si="1"/>
        <v>1034.931</v>
      </c>
      <c r="F530" s="16">
        <f t="shared" si="2"/>
        <v>322.4785</v>
      </c>
      <c r="G530" s="17">
        <v>9723.47</v>
      </c>
      <c r="H530" s="18">
        <v>0.1</v>
      </c>
      <c r="I530" s="16">
        <f t="shared" si="13"/>
        <v>1499.9</v>
      </c>
      <c r="J530" s="16">
        <v>91.0</v>
      </c>
      <c r="K530" s="16">
        <f t="shared" si="4"/>
        <v>2327.2205</v>
      </c>
      <c r="L530" s="19">
        <f t="shared" si="5"/>
        <v>0.2393405338</v>
      </c>
      <c r="M530" s="16">
        <f t="shared" si="6"/>
        <v>12050.6905</v>
      </c>
      <c r="N530" s="20"/>
    </row>
    <row r="531">
      <c r="A531" s="23"/>
      <c r="B531" s="30" t="s">
        <v>1005</v>
      </c>
      <c r="C531" s="15" t="s">
        <v>1004</v>
      </c>
      <c r="D531" s="29">
        <v>14579.0</v>
      </c>
      <c r="E531" s="16">
        <f t="shared" si="1"/>
        <v>1005.951</v>
      </c>
      <c r="F531" s="16">
        <f t="shared" si="2"/>
        <v>313.4485</v>
      </c>
      <c r="G531" s="35">
        <v>9869.630153766235</v>
      </c>
      <c r="H531" s="18">
        <v>0.1</v>
      </c>
      <c r="I531" s="16">
        <f t="shared" si="13"/>
        <v>1457.9</v>
      </c>
      <c r="J531" s="29">
        <v>542.0</v>
      </c>
      <c r="K531" s="16">
        <f t="shared" si="4"/>
        <v>1390.070346</v>
      </c>
      <c r="L531" s="19">
        <f t="shared" si="5"/>
        <v>0.1408432053</v>
      </c>
      <c r="M531" s="16">
        <f t="shared" si="6"/>
        <v>11259.7005</v>
      </c>
      <c r="N531" s="20"/>
    </row>
    <row r="532">
      <c r="A532" s="23"/>
      <c r="B532" s="30"/>
      <c r="C532" s="20" t="s">
        <v>1006</v>
      </c>
      <c r="D532" s="29">
        <v>15999.0</v>
      </c>
      <c r="E532" s="16">
        <f t="shared" si="1"/>
        <v>1103.931</v>
      </c>
      <c r="F532" s="16">
        <f t="shared" si="2"/>
        <v>343.9785</v>
      </c>
      <c r="G532" s="26">
        <v>10999.0</v>
      </c>
      <c r="H532" s="18">
        <v>0.1</v>
      </c>
      <c r="I532" s="16">
        <f t="shared" si="13"/>
        <v>1599.9</v>
      </c>
      <c r="J532" s="29">
        <v>542.0</v>
      </c>
      <c r="K532" s="16">
        <f t="shared" si="4"/>
        <v>1410.1905</v>
      </c>
      <c r="L532" s="19">
        <f t="shared" si="5"/>
        <v>0.1282107919</v>
      </c>
      <c r="M532" s="16">
        <f t="shared" si="6"/>
        <v>12409.1905</v>
      </c>
      <c r="N532" s="20"/>
    </row>
    <row r="533">
      <c r="A533" s="30"/>
      <c r="B533" s="34" t="s">
        <v>1007</v>
      </c>
      <c r="C533" s="15"/>
      <c r="D533" s="16">
        <v>13299.0</v>
      </c>
      <c r="E533" s="16">
        <f t="shared" si="1"/>
        <v>917.631</v>
      </c>
      <c r="F533" s="16">
        <f t="shared" si="2"/>
        <v>285.9285</v>
      </c>
      <c r="G533" s="32">
        <v>8186.63</v>
      </c>
      <c r="H533" s="18">
        <v>0.145</v>
      </c>
      <c r="I533" s="16">
        <f t="shared" si="13"/>
        <v>1928.355</v>
      </c>
      <c r="J533" s="29">
        <v>209.0</v>
      </c>
      <c r="K533" s="16">
        <f t="shared" si="4"/>
        <v>1771.4555</v>
      </c>
      <c r="L533" s="19">
        <f t="shared" si="5"/>
        <v>0.21638397</v>
      </c>
      <c r="M533" s="16">
        <f t="shared" si="6"/>
        <v>9958.0855</v>
      </c>
      <c r="N533" s="20"/>
    </row>
    <row r="534">
      <c r="A534" s="30"/>
      <c r="B534" s="30" t="s">
        <v>1008</v>
      </c>
      <c r="C534" s="15" t="s">
        <v>1009</v>
      </c>
      <c r="D534" s="16">
        <v>1683.0</v>
      </c>
      <c r="E534" s="16">
        <f t="shared" si="1"/>
        <v>116.127</v>
      </c>
      <c r="F534" s="16">
        <f t="shared" si="2"/>
        <v>36.1845</v>
      </c>
      <c r="G534" s="17">
        <v>1209.93</v>
      </c>
      <c r="H534" s="18">
        <v>0.1</v>
      </c>
      <c r="I534" s="16">
        <f t="shared" si="13"/>
        <v>168.3</v>
      </c>
      <c r="J534" s="16">
        <v>64.0</v>
      </c>
      <c r="K534" s="16">
        <f t="shared" si="4"/>
        <v>88.4585</v>
      </c>
      <c r="L534" s="19">
        <f t="shared" si="5"/>
        <v>0.07311042788</v>
      </c>
      <c r="M534" s="16">
        <f t="shared" si="6"/>
        <v>1298.3885</v>
      </c>
      <c r="N534" s="20"/>
    </row>
    <row r="535">
      <c r="A535" s="34" t="s">
        <v>1010</v>
      </c>
      <c r="B535" s="30" t="s">
        <v>1011</v>
      </c>
      <c r="C535" s="15" t="s">
        <v>1012</v>
      </c>
      <c r="D535" s="29">
        <v>4799.0</v>
      </c>
      <c r="E535" s="16">
        <f t="shared" si="1"/>
        <v>331.131</v>
      </c>
      <c r="F535" s="16">
        <f t="shared" si="2"/>
        <v>103.1785</v>
      </c>
      <c r="G535" s="17">
        <v>3281.9386600000003</v>
      </c>
      <c r="H535" s="18">
        <v>0.145</v>
      </c>
      <c r="I535" s="16">
        <f t="shared" si="13"/>
        <v>695.855</v>
      </c>
      <c r="J535" s="29">
        <v>79.5</v>
      </c>
      <c r="K535" s="16">
        <f t="shared" si="4"/>
        <v>307.39684</v>
      </c>
      <c r="L535" s="19">
        <f t="shared" si="5"/>
        <v>0.0936631887</v>
      </c>
      <c r="M535" s="16">
        <f t="shared" si="6"/>
        <v>3589.3355</v>
      </c>
      <c r="N535" s="20"/>
    </row>
    <row r="536">
      <c r="A536" s="30"/>
      <c r="B536" s="30" t="s">
        <v>1013</v>
      </c>
      <c r="C536" s="15" t="s">
        <v>1014</v>
      </c>
      <c r="D536" s="29">
        <v>2703.0</v>
      </c>
      <c r="E536" s="16">
        <f t="shared" si="1"/>
        <v>186.507</v>
      </c>
      <c r="F536" s="16">
        <f t="shared" si="2"/>
        <v>58.1145</v>
      </c>
      <c r="G536" s="32">
        <v>2137.43</v>
      </c>
      <c r="H536" s="18">
        <v>0.145</v>
      </c>
      <c r="I536" s="16">
        <f t="shared" si="13"/>
        <v>391.935</v>
      </c>
      <c r="J536" s="29">
        <v>73.0</v>
      </c>
      <c r="K536" s="16">
        <f t="shared" si="4"/>
        <v>-143.9865</v>
      </c>
      <c r="L536" s="19">
        <f t="shared" si="5"/>
        <v>-0.06736431135</v>
      </c>
      <c r="M536" s="16">
        <f t="shared" si="6"/>
        <v>1993.4435</v>
      </c>
      <c r="N536" s="20"/>
    </row>
    <row r="537">
      <c r="A537" s="30"/>
      <c r="B537" s="30" t="s">
        <v>1015</v>
      </c>
      <c r="C537" s="15" t="s">
        <v>1016</v>
      </c>
      <c r="D537" s="16">
        <v>2979.0</v>
      </c>
      <c r="E537" s="16">
        <f t="shared" si="1"/>
        <v>205.551</v>
      </c>
      <c r="F537" s="16">
        <f t="shared" si="2"/>
        <v>64.0485</v>
      </c>
      <c r="G537" s="17">
        <v>2182.76</v>
      </c>
      <c r="H537" s="18">
        <v>0.15</v>
      </c>
      <c r="I537" s="16">
        <f t="shared" si="13"/>
        <v>446.85</v>
      </c>
      <c r="J537" s="16"/>
      <c r="K537" s="16">
        <f t="shared" si="4"/>
        <v>79.7905</v>
      </c>
      <c r="L537" s="19">
        <f t="shared" si="5"/>
        <v>0.03655486632</v>
      </c>
      <c r="M537" s="16">
        <f t="shared" si="6"/>
        <v>2262.5505</v>
      </c>
      <c r="N537" s="20"/>
    </row>
    <row r="538">
      <c r="A538" s="34" t="s">
        <v>1017</v>
      </c>
      <c r="B538" s="30" t="s">
        <v>1018</v>
      </c>
      <c r="C538" s="15" t="s">
        <v>1019</v>
      </c>
      <c r="D538" s="29">
        <v>2904.0</v>
      </c>
      <c r="E538" s="16">
        <f t="shared" si="1"/>
        <v>200.376</v>
      </c>
      <c r="F538" s="16">
        <f t="shared" si="2"/>
        <v>62.436</v>
      </c>
      <c r="G538" s="32">
        <v>2137.43</v>
      </c>
      <c r="H538" s="18">
        <v>0.145</v>
      </c>
      <c r="I538" s="16">
        <f t="shared" si="13"/>
        <v>421.08</v>
      </c>
      <c r="J538" s="29">
        <v>73.0</v>
      </c>
      <c r="K538" s="16">
        <f t="shared" si="4"/>
        <v>9.678</v>
      </c>
      <c r="L538" s="19">
        <f t="shared" si="5"/>
        <v>0.004527867579</v>
      </c>
      <c r="M538" s="16">
        <f t="shared" si="6"/>
        <v>2147.108</v>
      </c>
      <c r="N538" s="20"/>
    </row>
    <row r="539">
      <c r="A539" s="30"/>
      <c r="B539" s="30"/>
      <c r="C539" s="15" t="s">
        <v>1020</v>
      </c>
      <c r="D539" s="16">
        <v>5999.0</v>
      </c>
      <c r="E539" s="16">
        <f t="shared" si="1"/>
        <v>413.931</v>
      </c>
      <c r="F539" s="16">
        <f t="shared" si="2"/>
        <v>128.9785</v>
      </c>
      <c r="G539" s="17">
        <v>4780.0</v>
      </c>
      <c r="H539" s="18">
        <v>0.1</v>
      </c>
      <c r="I539" s="16">
        <f t="shared" si="13"/>
        <v>599.9</v>
      </c>
      <c r="J539" s="16">
        <v>75.0</v>
      </c>
      <c r="K539" s="16">
        <f t="shared" si="4"/>
        <v>1.1905</v>
      </c>
      <c r="L539" s="19">
        <f t="shared" si="5"/>
        <v>0.0002490585774</v>
      </c>
      <c r="M539" s="16">
        <f t="shared" si="6"/>
        <v>4781.1905</v>
      </c>
      <c r="N539" s="20"/>
    </row>
    <row r="540">
      <c r="A540" s="30"/>
      <c r="B540" s="30"/>
      <c r="C540" s="15" t="s">
        <v>1021</v>
      </c>
      <c r="D540" s="16">
        <v>403.0</v>
      </c>
      <c r="E540" s="16">
        <f t="shared" si="1"/>
        <v>27.807</v>
      </c>
      <c r="F540" s="16">
        <f t="shared" si="2"/>
        <v>8.6645</v>
      </c>
      <c r="G540" s="17">
        <v>234.32</v>
      </c>
      <c r="H540" s="18">
        <v>0.1</v>
      </c>
      <c r="I540" s="16">
        <f t="shared" si="13"/>
        <v>40.3</v>
      </c>
      <c r="J540" s="16">
        <v>75.0</v>
      </c>
      <c r="K540" s="16">
        <f t="shared" si="4"/>
        <v>16.9085</v>
      </c>
      <c r="L540" s="19">
        <f t="shared" si="5"/>
        <v>0.07215986685</v>
      </c>
      <c r="M540" s="16">
        <f t="shared" si="6"/>
        <v>251.2285</v>
      </c>
      <c r="N540" s="20"/>
    </row>
    <row r="541">
      <c r="A541" s="30"/>
      <c r="B541" s="30" t="s">
        <v>1022</v>
      </c>
      <c r="C541" s="15" t="s">
        <v>1023</v>
      </c>
      <c r="D541" s="16">
        <v>1067.0</v>
      </c>
      <c r="E541" s="16">
        <f t="shared" si="1"/>
        <v>73.623</v>
      </c>
      <c r="F541" s="16">
        <f t="shared" si="2"/>
        <v>22.9405</v>
      </c>
      <c r="G541" s="17">
        <v>812.48</v>
      </c>
      <c r="H541" s="18">
        <v>0.15</v>
      </c>
      <c r="I541" s="16">
        <f t="shared" si="13"/>
        <v>160.05</v>
      </c>
      <c r="J541" s="16"/>
      <c r="K541" s="16">
        <f t="shared" si="4"/>
        <v>-2.0935</v>
      </c>
      <c r="L541" s="19">
        <f t="shared" si="5"/>
        <v>-0.002576678811</v>
      </c>
      <c r="M541" s="16">
        <f t="shared" si="6"/>
        <v>810.3865</v>
      </c>
      <c r="N541" s="20"/>
    </row>
    <row r="542">
      <c r="A542" s="30"/>
      <c r="B542" s="30" t="s">
        <v>1024</v>
      </c>
      <c r="C542" s="15" t="s">
        <v>1025</v>
      </c>
      <c r="D542" s="29">
        <v>390.0</v>
      </c>
      <c r="E542" s="16">
        <f t="shared" si="1"/>
        <v>26.91</v>
      </c>
      <c r="F542" s="16">
        <f t="shared" si="2"/>
        <v>8.385</v>
      </c>
      <c r="G542" s="17">
        <v>243.5</v>
      </c>
      <c r="H542" s="18">
        <v>0.15</v>
      </c>
      <c r="I542" s="16">
        <f t="shared" si="13"/>
        <v>58.5</v>
      </c>
      <c r="J542" s="29">
        <v>62.0</v>
      </c>
      <c r="K542" s="16">
        <f t="shared" si="4"/>
        <v>-9.295</v>
      </c>
      <c r="L542" s="19">
        <f t="shared" si="5"/>
        <v>-0.0381724846</v>
      </c>
      <c r="M542" s="16">
        <f t="shared" si="6"/>
        <v>234.205</v>
      </c>
      <c r="N542" s="20"/>
    </row>
    <row r="543">
      <c r="A543" s="34" t="s">
        <v>1026</v>
      </c>
      <c r="B543" s="30" t="s">
        <v>1027</v>
      </c>
      <c r="C543" s="15" t="s">
        <v>1028</v>
      </c>
      <c r="D543" s="29">
        <v>5499.0</v>
      </c>
      <c r="E543" s="16">
        <f t="shared" si="1"/>
        <v>379.431</v>
      </c>
      <c r="F543" s="16">
        <f t="shared" si="2"/>
        <v>118.2285</v>
      </c>
      <c r="G543" s="32">
        <v>3670.88</v>
      </c>
      <c r="H543" s="18">
        <v>0.125</v>
      </c>
      <c r="I543" s="16">
        <f t="shared" ref="I543:I544" si="14">G543*H543</f>
        <v>458.86</v>
      </c>
      <c r="J543" s="29">
        <v>100.0</v>
      </c>
      <c r="K543" s="16">
        <f t="shared" si="4"/>
        <v>771.6005</v>
      </c>
      <c r="L543" s="19">
        <f t="shared" si="5"/>
        <v>0.2101949669</v>
      </c>
      <c r="M543" s="16">
        <f t="shared" si="6"/>
        <v>4442.4805</v>
      </c>
      <c r="N543" s="20"/>
    </row>
    <row r="544">
      <c r="A544" s="34"/>
      <c r="B544" s="34" t="s">
        <v>1029</v>
      </c>
      <c r="C544" s="15" t="s">
        <v>1028</v>
      </c>
      <c r="D544" s="29">
        <v>4450.0</v>
      </c>
      <c r="E544" s="16">
        <f t="shared" si="1"/>
        <v>307.05</v>
      </c>
      <c r="F544" s="16">
        <f t="shared" si="2"/>
        <v>95.675</v>
      </c>
      <c r="G544" s="32">
        <v>3200.0</v>
      </c>
      <c r="H544" s="18">
        <v>0.125</v>
      </c>
      <c r="I544" s="16">
        <f t="shared" si="14"/>
        <v>400</v>
      </c>
      <c r="J544" s="16">
        <v>91.0</v>
      </c>
      <c r="K544" s="16">
        <f t="shared" si="4"/>
        <v>356.275</v>
      </c>
      <c r="L544" s="19">
        <f t="shared" si="5"/>
        <v>0.1113359375</v>
      </c>
      <c r="M544" s="16">
        <f t="shared" si="6"/>
        <v>3556.275</v>
      </c>
      <c r="N544" s="20"/>
    </row>
    <row r="545">
      <c r="A545" s="30"/>
      <c r="B545" s="30" t="s">
        <v>1030</v>
      </c>
      <c r="C545" s="15" t="s">
        <v>1031</v>
      </c>
      <c r="D545" s="29">
        <v>2420.0</v>
      </c>
      <c r="E545" s="16">
        <f t="shared" si="1"/>
        <v>166.98</v>
      </c>
      <c r="F545" s="16">
        <f t="shared" si="2"/>
        <v>52.03</v>
      </c>
      <c r="G545" s="32">
        <v>1722.0</v>
      </c>
      <c r="H545" s="18">
        <v>0.145</v>
      </c>
      <c r="I545" s="16">
        <f t="shared" ref="I545:I548" si="15">H545*D545</f>
        <v>350.9</v>
      </c>
      <c r="J545" s="29">
        <v>79.5</v>
      </c>
      <c r="K545" s="16">
        <f t="shared" si="4"/>
        <v>48.59</v>
      </c>
      <c r="L545" s="19">
        <f t="shared" si="5"/>
        <v>0.02821718931</v>
      </c>
      <c r="M545" s="16">
        <f t="shared" si="6"/>
        <v>1770.59</v>
      </c>
      <c r="N545" s="20"/>
    </row>
    <row r="546">
      <c r="A546" s="30"/>
      <c r="B546" s="30" t="s">
        <v>1032</v>
      </c>
      <c r="C546" s="15" t="s">
        <v>1033</v>
      </c>
      <c r="D546" s="29">
        <v>2499.0</v>
      </c>
      <c r="E546" s="16">
        <f t="shared" si="1"/>
        <v>172.431</v>
      </c>
      <c r="F546" s="16">
        <f t="shared" si="2"/>
        <v>53.7285</v>
      </c>
      <c r="G546" s="32">
        <v>1893.94</v>
      </c>
      <c r="H546" s="18">
        <v>0.145</v>
      </c>
      <c r="I546" s="16">
        <f t="shared" si="15"/>
        <v>362.355</v>
      </c>
      <c r="J546" s="29">
        <v>79.0</v>
      </c>
      <c r="K546" s="16">
        <f t="shared" si="4"/>
        <v>-62.4545</v>
      </c>
      <c r="L546" s="19">
        <f t="shared" si="5"/>
        <v>-0.03297596545</v>
      </c>
      <c r="M546" s="16">
        <f t="shared" si="6"/>
        <v>1831.4855</v>
      </c>
      <c r="N546" s="20"/>
    </row>
    <row r="547">
      <c r="A547" s="30"/>
      <c r="B547" s="30" t="s">
        <v>1034</v>
      </c>
      <c r="C547" s="15" t="s">
        <v>1035</v>
      </c>
      <c r="D547" s="29">
        <v>3587.0</v>
      </c>
      <c r="E547" s="16">
        <f t="shared" si="1"/>
        <v>247.503</v>
      </c>
      <c r="F547" s="16">
        <f t="shared" si="2"/>
        <v>77.1205</v>
      </c>
      <c r="G547" s="32">
        <v>3022.02</v>
      </c>
      <c r="H547" s="18">
        <v>0.145</v>
      </c>
      <c r="I547" s="16">
        <f t="shared" si="15"/>
        <v>520.115</v>
      </c>
      <c r="J547" s="29">
        <v>100.0</v>
      </c>
      <c r="K547" s="16">
        <f t="shared" si="4"/>
        <v>-379.7585</v>
      </c>
      <c r="L547" s="19">
        <f t="shared" si="5"/>
        <v>-0.1256637944</v>
      </c>
      <c r="M547" s="16">
        <f t="shared" si="6"/>
        <v>2642.2615</v>
      </c>
      <c r="N547" s="20"/>
    </row>
    <row r="548">
      <c r="A548" s="30"/>
      <c r="B548" s="30" t="s">
        <v>1036</v>
      </c>
      <c r="C548" s="15" t="s">
        <v>1037</v>
      </c>
      <c r="D548" s="16">
        <v>6499.0</v>
      </c>
      <c r="E548" s="16">
        <f t="shared" si="1"/>
        <v>448.431</v>
      </c>
      <c r="F548" s="16">
        <f t="shared" si="2"/>
        <v>139.7285</v>
      </c>
      <c r="G548" s="17">
        <v>4979.0</v>
      </c>
      <c r="H548" s="18">
        <v>0.15</v>
      </c>
      <c r="I548" s="16">
        <f t="shared" si="15"/>
        <v>974.85</v>
      </c>
      <c r="J548" s="16"/>
      <c r="K548" s="16">
        <f t="shared" si="4"/>
        <v>-43.0095</v>
      </c>
      <c r="L548" s="19">
        <f t="shared" si="5"/>
        <v>-0.008638180358</v>
      </c>
      <c r="M548" s="16">
        <f t="shared" si="6"/>
        <v>4935.9905</v>
      </c>
      <c r="N548" s="20"/>
    </row>
    <row r="549">
      <c r="A549" s="30"/>
      <c r="B549" s="30" t="s">
        <v>1038</v>
      </c>
      <c r="C549" s="15" t="s">
        <v>1039</v>
      </c>
      <c r="D549" s="16">
        <v>5233.0</v>
      </c>
      <c r="E549" s="16">
        <f t="shared" si="1"/>
        <v>361.077</v>
      </c>
      <c r="F549" s="16">
        <f t="shared" si="2"/>
        <v>112.5095</v>
      </c>
      <c r="G549" s="17">
        <v>3880.0</v>
      </c>
      <c r="H549" s="18">
        <v>0.145</v>
      </c>
      <c r="I549" s="16">
        <f>H549*D549+30</f>
        <v>788.785</v>
      </c>
      <c r="J549" s="29">
        <v>100.0</v>
      </c>
      <c r="K549" s="16">
        <f t="shared" si="4"/>
        <v>-9.3715</v>
      </c>
      <c r="L549" s="19">
        <f t="shared" si="5"/>
        <v>-0.002415335052</v>
      </c>
      <c r="M549" s="16">
        <f t="shared" si="6"/>
        <v>3870.6285</v>
      </c>
      <c r="N549" s="20"/>
    </row>
    <row r="550">
      <c r="A550" s="30"/>
      <c r="B550" s="30" t="s">
        <v>1040</v>
      </c>
      <c r="C550" s="15" t="s">
        <v>1041</v>
      </c>
      <c r="D550" s="29">
        <v>11999.0</v>
      </c>
      <c r="E550" s="16">
        <f t="shared" si="1"/>
        <v>827.931</v>
      </c>
      <c r="F550" s="16">
        <f t="shared" si="2"/>
        <v>257.9785</v>
      </c>
      <c r="G550" s="32">
        <v>9158.71</v>
      </c>
      <c r="H550" s="18">
        <v>0.125</v>
      </c>
      <c r="I550" s="16">
        <f t="shared" ref="I550:I566" si="16">H550*D550</f>
        <v>1499.875</v>
      </c>
      <c r="J550" s="29">
        <v>79.5</v>
      </c>
      <c r="K550" s="16">
        <f t="shared" si="4"/>
        <v>175.0055</v>
      </c>
      <c r="L550" s="19">
        <f t="shared" si="5"/>
        <v>0.01910809492</v>
      </c>
      <c r="M550" s="16">
        <f t="shared" si="6"/>
        <v>9333.7155</v>
      </c>
      <c r="N550" s="20"/>
    </row>
    <row r="551">
      <c r="A551" s="30"/>
      <c r="B551" s="30" t="s">
        <v>1042</v>
      </c>
      <c r="C551" s="15" t="s">
        <v>1043</v>
      </c>
      <c r="D551" s="16">
        <v>1269.0</v>
      </c>
      <c r="E551" s="16">
        <f t="shared" si="1"/>
        <v>87.561</v>
      </c>
      <c r="F551" s="16">
        <f t="shared" si="2"/>
        <v>27.2835</v>
      </c>
      <c r="G551" s="17">
        <v>915.73</v>
      </c>
      <c r="H551" s="18">
        <v>0.145</v>
      </c>
      <c r="I551" s="16">
        <f t="shared" si="16"/>
        <v>184.005</v>
      </c>
      <c r="J551" s="29">
        <v>62.0</v>
      </c>
      <c r="K551" s="16">
        <f t="shared" si="4"/>
        <v>-7.5795</v>
      </c>
      <c r="L551" s="19">
        <f t="shared" si="5"/>
        <v>-0.008277003047</v>
      </c>
      <c r="M551" s="16">
        <f t="shared" si="6"/>
        <v>908.1505</v>
      </c>
      <c r="N551" s="20"/>
    </row>
    <row r="552">
      <c r="A552" s="30"/>
      <c r="B552" s="30" t="s">
        <v>1044</v>
      </c>
      <c r="C552" s="15" t="s">
        <v>1045</v>
      </c>
      <c r="D552" s="16">
        <v>1599.0</v>
      </c>
      <c r="E552" s="16">
        <f t="shared" si="1"/>
        <v>110.331</v>
      </c>
      <c r="F552" s="16">
        <f t="shared" si="2"/>
        <v>34.3785</v>
      </c>
      <c r="G552" s="17">
        <v>1050.0</v>
      </c>
      <c r="H552" s="18">
        <v>0.1</v>
      </c>
      <c r="I552" s="16">
        <f t="shared" si="16"/>
        <v>159.9</v>
      </c>
      <c r="J552" s="16">
        <v>95.0</v>
      </c>
      <c r="K552" s="16">
        <f t="shared" si="4"/>
        <v>149.3905</v>
      </c>
      <c r="L552" s="19">
        <f t="shared" si="5"/>
        <v>0.1422766667</v>
      </c>
      <c r="M552" s="16">
        <f t="shared" si="6"/>
        <v>1199.3905</v>
      </c>
      <c r="N552" s="20"/>
    </row>
    <row r="553">
      <c r="A553" s="30"/>
      <c r="B553" s="30"/>
      <c r="C553" s="15" t="s">
        <v>1046</v>
      </c>
      <c r="D553" s="16">
        <v>2299.0</v>
      </c>
      <c r="E553" s="16">
        <f t="shared" si="1"/>
        <v>158.631</v>
      </c>
      <c r="F553" s="16">
        <f t="shared" si="2"/>
        <v>49.4285</v>
      </c>
      <c r="G553" s="17">
        <v>1470.0</v>
      </c>
      <c r="H553" s="18">
        <v>0.1</v>
      </c>
      <c r="I553" s="16">
        <f t="shared" si="16"/>
        <v>229.9</v>
      </c>
      <c r="J553" s="16">
        <v>95.0</v>
      </c>
      <c r="K553" s="16">
        <f t="shared" si="4"/>
        <v>296.0405</v>
      </c>
      <c r="L553" s="19">
        <f t="shared" si="5"/>
        <v>0.2013880952</v>
      </c>
      <c r="M553" s="16">
        <f t="shared" si="6"/>
        <v>1766.0405</v>
      </c>
      <c r="N553" s="20"/>
    </row>
    <row r="554">
      <c r="A554" s="30"/>
      <c r="B554" s="30"/>
      <c r="C554" s="15" t="s">
        <v>1047</v>
      </c>
      <c r="D554" s="16">
        <v>2169.0</v>
      </c>
      <c r="E554" s="16">
        <f t="shared" si="1"/>
        <v>149.661</v>
      </c>
      <c r="F554" s="16">
        <f t="shared" si="2"/>
        <v>46.6335</v>
      </c>
      <c r="G554" s="17">
        <v>1470.0</v>
      </c>
      <c r="H554" s="18">
        <v>0.1</v>
      </c>
      <c r="I554" s="16">
        <f t="shared" si="16"/>
        <v>216.9</v>
      </c>
      <c r="J554" s="16">
        <v>95.0</v>
      </c>
      <c r="K554" s="16">
        <f t="shared" si="4"/>
        <v>190.8055</v>
      </c>
      <c r="L554" s="19">
        <f t="shared" si="5"/>
        <v>0.1297996599</v>
      </c>
      <c r="M554" s="16">
        <f t="shared" si="6"/>
        <v>1660.8055</v>
      </c>
      <c r="N554" s="20"/>
    </row>
    <row r="555">
      <c r="A555" s="30"/>
      <c r="B555" s="30" t="s">
        <v>1048</v>
      </c>
      <c r="C555" s="15" t="s">
        <v>1049</v>
      </c>
      <c r="D555" s="16">
        <v>1241.0</v>
      </c>
      <c r="E555" s="16">
        <f t="shared" si="1"/>
        <v>85.629</v>
      </c>
      <c r="F555" s="16">
        <f t="shared" si="2"/>
        <v>26.6815</v>
      </c>
      <c r="G555" s="17">
        <v>840.01</v>
      </c>
      <c r="H555" s="18">
        <v>0.1</v>
      </c>
      <c r="I555" s="16">
        <f t="shared" si="16"/>
        <v>124.1</v>
      </c>
      <c r="J555" s="16">
        <v>95.0</v>
      </c>
      <c r="K555" s="16">
        <f t="shared" si="4"/>
        <v>69.5795</v>
      </c>
      <c r="L555" s="19">
        <f t="shared" si="5"/>
        <v>0.082831752</v>
      </c>
      <c r="M555" s="16">
        <f t="shared" si="6"/>
        <v>909.5895</v>
      </c>
      <c r="N555" s="20"/>
    </row>
    <row r="556">
      <c r="A556" s="30"/>
      <c r="B556" s="30" t="s">
        <v>1050</v>
      </c>
      <c r="C556" s="15" t="s">
        <v>1051</v>
      </c>
      <c r="D556" s="16">
        <v>1499.0</v>
      </c>
      <c r="E556" s="16">
        <f t="shared" si="1"/>
        <v>103.431</v>
      </c>
      <c r="F556" s="16">
        <f t="shared" si="2"/>
        <v>32.2285</v>
      </c>
      <c r="G556" s="17">
        <v>945.0</v>
      </c>
      <c r="H556" s="18">
        <v>0.1</v>
      </c>
      <c r="I556" s="16">
        <f t="shared" si="16"/>
        <v>149.9</v>
      </c>
      <c r="J556" s="16">
        <v>95.0</v>
      </c>
      <c r="K556" s="16">
        <f t="shared" si="4"/>
        <v>173.4405</v>
      </c>
      <c r="L556" s="19">
        <f t="shared" si="5"/>
        <v>0.1835349206</v>
      </c>
      <c r="M556" s="16">
        <f t="shared" si="6"/>
        <v>1118.4405</v>
      </c>
      <c r="N556" s="20"/>
    </row>
    <row r="557">
      <c r="A557" s="30"/>
      <c r="B557" s="30" t="s">
        <v>1052</v>
      </c>
      <c r="C557" s="15" t="s">
        <v>1053</v>
      </c>
      <c r="D557" s="16">
        <v>2099.0</v>
      </c>
      <c r="E557" s="16">
        <f t="shared" si="1"/>
        <v>144.831</v>
      </c>
      <c r="F557" s="16">
        <f t="shared" si="2"/>
        <v>45.1285</v>
      </c>
      <c r="G557" s="17">
        <v>1407.0</v>
      </c>
      <c r="H557" s="18">
        <v>0.1</v>
      </c>
      <c r="I557" s="16">
        <f t="shared" si="16"/>
        <v>209.9</v>
      </c>
      <c r="J557" s="16">
        <v>95.0</v>
      </c>
      <c r="K557" s="16">
        <f t="shared" si="4"/>
        <v>197.1405</v>
      </c>
      <c r="L557" s="19">
        <f t="shared" si="5"/>
        <v>0.1401140725</v>
      </c>
      <c r="M557" s="16">
        <f t="shared" si="6"/>
        <v>1604.1405</v>
      </c>
      <c r="N557" s="20"/>
    </row>
    <row r="558">
      <c r="A558" s="30"/>
      <c r="B558" s="30" t="s">
        <v>1054</v>
      </c>
      <c r="C558" s="15" t="s">
        <v>1055</v>
      </c>
      <c r="D558" s="16">
        <v>2785.0</v>
      </c>
      <c r="E558" s="16">
        <f t="shared" si="1"/>
        <v>192.165</v>
      </c>
      <c r="F558" s="16">
        <f t="shared" si="2"/>
        <v>59.8775</v>
      </c>
      <c r="G558" s="17">
        <v>2104.41</v>
      </c>
      <c r="H558" s="18">
        <v>0.15</v>
      </c>
      <c r="I558" s="16">
        <f t="shared" si="16"/>
        <v>417.75</v>
      </c>
      <c r="J558" s="16"/>
      <c r="K558" s="16">
        <f t="shared" si="4"/>
        <v>10.7975</v>
      </c>
      <c r="L558" s="19">
        <f t="shared" si="5"/>
        <v>0.005130891794</v>
      </c>
      <c r="M558" s="16">
        <f t="shared" si="6"/>
        <v>2115.2075</v>
      </c>
      <c r="N558" s="20"/>
    </row>
    <row r="559">
      <c r="A559" s="34" t="s">
        <v>1056</v>
      </c>
      <c r="B559" s="30" t="s">
        <v>1057</v>
      </c>
      <c r="C559" s="15" t="s">
        <v>1058</v>
      </c>
      <c r="D559" s="29">
        <v>15680.0</v>
      </c>
      <c r="E559" s="16">
        <f t="shared" si="1"/>
        <v>1081.92</v>
      </c>
      <c r="F559" s="16">
        <f t="shared" si="2"/>
        <v>337.12</v>
      </c>
      <c r="G559" s="32">
        <v>11919.0</v>
      </c>
      <c r="H559" s="18">
        <v>0.145</v>
      </c>
      <c r="I559" s="16">
        <f t="shared" si="16"/>
        <v>2273.6</v>
      </c>
      <c r="J559" s="29">
        <v>155.0</v>
      </c>
      <c r="K559" s="16">
        <f t="shared" si="4"/>
        <v>-86.64</v>
      </c>
      <c r="L559" s="19">
        <f t="shared" si="5"/>
        <v>-0.007269066197</v>
      </c>
      <c r="M559" s="16">
        <f t="shared" si="6"/>
        <v>11832.36</v>
      </c>
      <c r="N559" s="20"/>
    </row>
    <row r="560">
      <c r="A560" s="30"/>
      <c r="B560" s="30" t="s">
        <v>1059</v>
      </c>
      <c r="C560" s="15" t="s">
        <v>1060</v>
      </c>
      <c r="D560" s="29">
        <v>6383.0</v>
      </c>
      <c r="E560" s="16">
        <f t="shared" si="1"/>
        <v>440.427</v>
      </c>
      <c r="F560" s="16">
        <f t="shared" si="2"/>
        <v>137.2345</v>
      </c>
      <c r="G560" s="32">
        <v>5711.13</v>
      </c>
      <c r="H560" s="18">
        <v>0.145</v>
      </c>
      <c r="I560" s="16">
        <f t="shared" si="16"/>
        <v>925.535</v>
      </c>
      <c r="J560" s="29">
        <v>100.0</v>
      </c>
      <c r="K560" s="16">
        <f t="shared" si="4"/>
        <v>-931.3265</v>
      </c>
      <c r="L560" s="19">
        <f t="shared" si="5"/>
        <v>-0.1630721941</v>
      </c>
      <c r="M560" s="16">
        <f t="shared" si="6"/>
        <v>4779.8035</v>
      </c>
      <c r="N560" s="20"/>
    </row>
    <row r="561">
      <c r="A561" s="30"/>
      <c r="B561" s="30" t="s">
        <v>1061</v>
      </c>
      <c r="C561" s="15" t="s">
        <v>1062</v>
      </c>
      <c r="D561" s="29">
        <v>6278.0</v>
      </c>
      <c r="E561" s="16">
        <f t="shared" si="1"/>
        <v>433.182</v>
      </c>
      <c r="F561" s="16">
        <f t="shared" si="2"/>
        <v>134.977</v>
      </c>
      <c r="G561" s="17">
        <v>5711.13</v>
      </c>
      <c r="H561" s="18">
        <v>0.1</v>
      </c>
      <c r="I561" s="16">
        <f t="shared" si="16"/>
        <v>627.8</v>
      </c>
      <c r="J561" s="29">
        <v>100.0</v>
      </c>
      <c r="K561" s="16">
        <f t="shared" si="4"/>
        <v>-729.089</v>
      </c>
      <c r="L561" s="19">
        <f t="shared" si="5"/>
        <v>-0.1276610758</v>
      </c>
      <c r="M561" s="16">
        <f t="shared" si="6"/>
        <v>4982.041</v>
      </c>
      <c r="N561" s="20"/>
    </row>
    <row r="562">
      <c r="A562" s="30"/>
      <c r="B562" s="30" t="s">
        <v>1063</v>
      </c>
      <c r="C562" s="15" t="s">
        <v>1064</v>
      </c>
      <c r="D562" s="29">
        <v>6388.0</v>
      </c>
      <c r="E562" s="16">
        <f t="shared" si="1"/>
        <v>440.772</v>
      </c>
      <c r="F562" s="16">
        <f t="shared" si="2"/>
        <v>137.342</v>
      </c>
      <c r="G562" s="17">
        <v>5711.13</v>
      </c>
      <c r="H562" s="18">
        <v>0.145</v>
      </c>
      <c r="I562" s="16">
        <f t="shared" si="16"/>
        <v>926.26</v>
      </c>
      <c r="J562" s="29">
        <v>100.0</v>
      </c>
      <c r="K562" s="16">
        <f t="shared" si="4"/>
        <v>-927.504</v>
      </c>
      <c r="L562" s="19">
        <f t="shared" si="5"/>
        <v>-0.162402887</v>
      </c>
      <c r="M562" s="16">
        <f t="shared" si="6"/>
        <v>4783.626</v>
      </c>
      <c r="N562" s="20"/>
    </row>
    <row r="563">
      <c r="A563" s="30"/>
      <c r="B563" s="30" t="s">
        <v>1065</v>
      </c>
      <c r="C563" s="15" t="s">
        <v>1066</v>
      </c>
      <c r="D563" s="29">
        <v>1049.0</v>
      </c>
      <c r="E563" s="16">
        <f t="shared" si="1"/>
        <v>72.381</v>
      </c>
      <c r="F563" s="16">
        <f t="shared" si="2"/>
        <v>22.5535</v>
      </c>
      <c r="G563" s="17">
        <v>813.75</v>
      </c>
      <c r="H563" s="18">
        <v>0.1</v>
      </c>
      <c r="I563" s="16">
        <f t="shared" si="16"/>
        <v>104.9</v>
      </c>
      <c r="J563" s="29">
        <v>73.0</v>
      </c>
      <c r="K563" s="16">
        <f t="shared" si="4"/>
        <v>-37.5845</v>
      </c>
      <c r="L563" s="19">
        <f t="shared" si="5"/>
        <v>-0.04618678955</v>
      </c>
      <c r="M563" s="16">
        <f t="shared" si="6"/>
        <v>776.1655</v>
      </c>
      <c r="N563" s="20"/>
    </row>
    <row r="564">
      <c r="A564" s="30"/>
      <c r="B564" s="30" t="s">
        <v>1067</v>
      </c>
      <c r="C564" s="15" t="s">
        <v>1068</v>
      </c>
      <c r="D564" s="16">
        <v>6199.0</v>
      </c>
      <c r="E564" s="16">
        <f t="shared" si="1"/>
        <v>427.731</v>
      </c>
      <c r="F564" s="16">
        <f t="shared" si="2"/>
        <v>133.2785</v>
      </c>
      <c r="G564" s="17">
        <v>4742.58</v>
      </c>
      <c r="H564" s="18">
        <v>0.145</v>
      </c>
      <c r="I564" s="16">
        <f t="shared" si="16"/>
        <v>898.855</v>
      </c>
      <c r="J564" s="29">
        <v>69.0</v>
      </c>
      <c r="K564" s="16">
        <f t="shared" si="4"/>
        <v>-72.4445</v>
      </c>
      <c r="L564" s="19">
        <f t="shared" si="5"/>
        <v>-0.01527533537</v>
      </c>
      <c r="M564" s="16">
        <f t="shared" si="6"/>
        <v>4670.1355</v>
      </c>
      <c r="N564" s="20"/>
    </row>
    <row r="565">
      <c r="A565" s="34" t="s">
        <v>1069</v>
      </c>
      <c r="B565" s="30" t="s">
        <v>1070</v>
      </c>
      <c r="C565" s="15" t="s">
        <v>1068</v>
      </c>
      <c r="D565" s="16">
        <v>5799.0</v>
      </c>
      <c r="E565" s="16">
        <f t="shared" si="1"/>
        <v>400.131</v>
      </c>
      <c r="F565" s="16">
        <f t="shared" si="2"/>
        <v>124.6785</v>
      </c>
      <c r="G565" s="32">
        <v>4459.0</v>
      </c>
      <c r="H565" s="18">
        <v>0.145</v>
      </c>
      <c r="I565" s="16">
        <f t="shared" si="16"/>
        <v>840.855</v>
      </c>
      <c r="J565" s="29">
        <v>75.0</v>
      </c>
      <c r="K565" s="16">
        <f t="shared" si="4"/>
        <v>-100.6645</v>
      </c>
      <c r="L565" s="19">
        <f t="shared" si="5"/>
        <v>-0.02257557748</v>
      </c>
      <c r="M565" s="16">
        <f t="shared" si="6"/>
        <v>4358.3355</v>
      </c>
      <c r="N565" s="20"/>
    </row>
    <row r="566">
      <c r="A566" s="34" t="s">
        <v>1071</v>
      </c>
      <c r="B566" s="30" t="s">
        <v>1072</v>
      </c>
      <c r="C566" s="15" t="s">
        <v>1073</v>
      </c>
      <c r="D566" s="29">
        <v>296.0</v>
      </c>
      <c r="E566" s="16">
        <f t="shared" si="1"/>
        <v>20.424</v>
      </c>
      <c r="F566" s="16">
        <f t="shared" si="2"/>
        <v>6.364</v>
      </c>
      <c r="G566" s="32">
        <v>193.43</v>
      </c>
      <c r="H566" s="18">
        <v>0.1</v>
      </c>
      <c r="I566" s="16">
        <f t="shared" si="16"/>
        <v>29.6</v>
      </c>
      <c r="J566" s="29">
        <v>30.0</v>
      </c>
      <c r="K566" s="16">
        <f t="shared" si="4"/>
        <v>16.182</v>
      </c>
      <c r="L566" s="19">
        <f t="shared" si="5"/>
        <v>0.08365817091</v>
      </c>
      <c r="M566" s="16">
        <f t="shared" si="6"/>
        <v>209.612</v>
      </c>
      <c r="N566" s="20"/>
    </row>
    <row r="567">
      <c r="A567" s="30"/>
      <c r="B567" s="30"/>
      <c r="C567" s="15"/>
      <c r="D567" s="29"/>
      <c r="E567" s="16">
        <f t="shared" si="1"/>
        <v>0</v>
      </c>
      <c r="F567" s="16">
        <f t="shared" si="2"/>
        <v>0</v>
      </c>
      <c r="G567" s="17"/>
      <c r="H567" s="18"/>
      <c r="I567" s="16"/>
      <c r="J567" s="29"/>
      <c r="K567" s="16">
        <f t="shared" si="4"/>
        <v>0</v>
      </c>
      <c r="L567" s="19" t="str">
        <f t="shared" si="5"/>
        <v>#DIV/0!</v>
      </c>
      <c r="M567" s="16">
        <f t="shared" si="6"/>
        <v>0</v>
      </c>
      <c r="N567" s="20"/>
    </row>
    <row r="568">
      <c r="A568" s="30"/>
      <c r="B568" s="30" t="s">
        <v>1074</v>
      </c>
      <c r="C568" s="15" t="s">
        <v>1075</v>
      </c>
      <c r="D568" s="16">
        <v>7499.0</v>
      </c>
      <c r="E568" s="16">
        <f t="shared" si="1"/>
        <v>517.431</v>
      </c>
      <c r="F568" s="16">
        <f t="shared" si="2"/>
        <v>161.2285</v>
      </c>
      <c r="G568" s="17">
        <v>5768.38</v>
      </c>
      <c r="H568" s="18">
        <v>0.145</v>
      </c>
      <c r="I568" s="16">
        <f>H568*D568+30</f>
        <v>1117.355</v>
      </c>
      <c r="J568" s="29">
        <v>69.0</v>
      </c>
      <c r="K568" s="16">
        <f t="shared" si="4"/>
        <v>-134.3945</v>
      </c>
      <c r="L568" s="19">
        <f t="shared" si="5"/>
        <v>-0.02329848242</v>
      </c>
      <c r="M568" s="16">
        <f t="shared" si="6"/>
        <v>5633.9855</v>
      </c>
      <c r="N568" s="20"/>
    </row>
    <row r="569">
      <c r="A569" s="30"/>
      <c r="B569" s="30" t="s">
        <v>1076</v>
      </c>
      <c r="C569" s="15" t="s">
        <v>1077</v>
      </c>
      <c r="D569" s="29">
        <v>2055.0</v>
      </c>
      <c r="E569" s="16">
        <f t="shared" si="1"/>
        <v>141.795</v>
      </c>
      <c r="F569" s="16">
        <f t="shared" si="2"/>
        <v>44.1825</v>
      </c>
      <c r="G569" s="17">
        <v>1532.19</v>
      </c>
      <c r="H569" s="18">
        <v>0.145</v>
      </c>
      <c r="I569" s="16">
        <f t="shared" ref="I569:I642" si="17">H569*D569</f>
        <v>297.975</v>
      </c>
      <c r="J569" s="29">
        <v>62.0</v>
      </c>
      <c r="K569" s="16">
        <f t="shared" si="4"/>
        <v>-23.1425</v>
      </c>
      <c r="L569" s="19">
        <f t="shared" si="5"/>
        <v>-0.01510419726</v>
      </c>
      <c r="M569" s="16">
        <f t="shared" si="6"/>
        <v>1509.0475</v>
      </c>
      <c r="N569" s="20"/>
    </row>
    <row r="570">
      <c r="A570" s="34" t="s">
        <v>1078</v>
      </c>
      <c r="B570" s="30" t="s">
        <v>1079</v>
      </c>
      <c r="C570" s="15" t="s">
        <v>1080</v>
      </c>
      <c r="D570" s="29">
        <v>1999.0</v>
      </c>
      <c r="E570" s="16">
        <f t="shared" si="1"/>
        <v>137.931</v>
      </c>
      <c r="F570" s="16">
        <f t="shared" si="2"/>
        <v>42.9785</v>
      </c>
      <c r="G570" s="32">
        <v>1286.44</v>
      </c>
      <c r="H570" s="18">
        <v>0.145</v>
      </c>
      <c r="I570" s="16">
        <f t="shared" si="17"/>
        <v>289.855</v>
      </c>
      <c r="J570" s="29">
        <v>65.5</v>
      </c>
      <c r="K570" s="16">
        <f t="shared" si="4"/>
        <v>176.2955</v>
      </c>
      <c r="L570" s="19">
        <f t="shared" si="5"/>
        <v>0.13704137</v>
      </c>
      <c r="M570" s="16">
        <f t="shared" si="6"/>
        <v>1462.7355</v>
      </c>
      <c r="N570" s="20"/>
    </row>
    <row r="571">
      <c r="A571" s="34" t="s">
        <v>1081</v>
      </c>
      <c r="B571" s="30" t="s">
        <v>1082</v>
      </c>
      <c r="C571" s="15" t="s">
        <v>1083</v>
      </c>
      <c r="D571" s="29">
        <v>2099.0</v>
      </c>
      <c r="E571" s="16">
        <f t="shared" si="1"/>
        <v>144.831</v>
      </c>
      <c r="F571" s="16">
        <f t="shared" si="2"/>
        <v>45.1285</v>
      </c>
      <c r="G571" s="32">
        <v>1532.0</v>
      </c>
      <c r="H571" s="18">
        <v>0.145</v>
      </c>
      <c r="I571" s="16">
        <f t="shared" si="17"/>
        <v>304.355</v>
      </c>
      <c r="J571" s="29">
        <v>65.5</v>
      </c>
      <c r="K571" s="16">
        <f t="shared" si="4"/>
        <v>7.1855</v>
      </c>
      <c r="L571" s="19">
        <f t="shared" si="5"/>
        <v>0.004690274151</v>
      </c>
      <c r="M571" s="16">
        <f t="shared" si="6"/>
        <v>1539.1855</v>
      </c>
      <c r="N571" s="20"/>
    </row>
    <row r="572">
      <c r="A572" s="30"/>
      <c r="B572" s="30" t="s">
        <v>1084</v>
      </c>
      <c r="C572" s="15" t="s">
        <v>1085</v>
      </c>
      <c r="D572" s="16">
        <v>2777.0</v>
      </c>
      <c r="E572" s="16">
        <f t="shared" si="1"/>
        <v>191.613</v>
      </c>
      <c r="F572" s="16">
        <f t="shared" si="2"/>
        <v>59.7055</v>
      </c>
      <c r="G572" s="17">
        <v>2104.41</v>
      </c>
      <c r="H572" s="18">
        <v>0.1</v>
      </c>
      <c r="I572" s="16">
        <f t="shared" si="17"/>
        <v>277.7</v>
      </c>
      <c r="J572" s="16">
        <v>63.0</v>
      </c>
      <c r="K572" s="16">
        <f t="shared" si="4"/>
        <v>80.5715</v>
      </c>
      <c r="L572" s="19">
        <f t="shared" si="5"/>
        <v>0.0382869783</v>
      </c>
      <c r="M572" s="16">
        <f t="shared" si="6"/>
        <v>2184.9815</v>
      </c>
      <c r="N572" s="20"/>
    </row>
    <row r="573">
      <c r="A573" s="30"/>
      <c r="B573" s="30"/>
      <c r="C573" s="15"/>
      <c r="D573" s="16"/>
      <c r="E573" s="16">
        <f t="shared" si="1"/>
        <v>0</v>
      </c>
      <c r="F573" s="16">
        <f t="shared" si="2"/>
        <v>0</v>
      </c>
      <c r="G573" s="17"/>
      <c r="H573" s="18">
        <v>0.1</v>
      </c>
      <c r="I573" s="16">
        <f t="shared" si="17"/>
        <v>0</v>
      </c>
      <c r="J573" s="16"/>
      <c r="K573" s="16">
        <f t="shared" si="4"/>
        <v>0</v>
      </c>
      <c r="L573" s="19" t="str">
        <f t="shared" si="5"/>
        <v>#DIV/0!</v>
      </c>
      <c r="M573" s="16">
        <f t="shared" si="6"/>
        <v>0</v>
      </c>
      <c r="N573" s="20"/>
    </row>
    <row r="574">
      <c r="A574" s="30"/>
      <c r="B574" s="30" t="s">
        <v>994</v>
      </c>
      <c r="C574" s="15" t="s">
        <v>1086</v>
      </c>
      <c r="D574" s="20">
        <v>7999.0</v>
      </c>
      <c r="E574" s="16">
        <f t="shared" si="1"/>
        <v>551.931</v>
      </c>
      <c r="F574" s="16">
        <f t="shared" si="2"/>
        <v>171.9785</v>
      </c>
      <c r="G574" s="32">
        <v>6509.0</v>
      </c>
      <c r="H574" s="18">
        <v>0.1</v>
      </c>
      <c r="I574" s="16">
        <f t="shared" si="17"/>
        <v>799.9</v>
      </c>
      <c r="J574" s="29">
        <v>69.5</v>
      </c>
      <c r="K574" s="16">
        <f t="shared" si="4"/>
        <v>-103.3095</v>
      </c>
      <c r="L574" s="19">
        <f t="shared" si="5"/>
        <v>-0.0158717929</v>
      </c>
      <c r="M574" s="16">
        <f t="shared" si="6"/>
        <v>6405.6905</v>
      </c>
      <c r="N574" s="20"/>
    </row>
    <row r="575">
      <c r="A575" s="30"/>
      <c r="B575" s="30" t="s">
        <v>1087</v>
      </c>
      <c r="C575" s="15" t="s">
        <v>1088</v>
      </c>
      <c r="D575" s="16"/>
      <c r="E575" s="16">
        <f t="shared" si="1"/>
        <v>0</v>
      </c>
      <c r="F575" s="16">
        <f t="shared" si="2"/>
        <v>0</v>
      </c>
      <c r="G575" s="37">
        <v>1209.93</v>
      </c>
      <c r="H575" s="18">
        <v>0.1</v>
      </c>
      <c r="I575" s="16">
        <f t="shared" si="17"/>
        <v>0</v>
      </c>
      <c r="J575" s="16"/>
      <c r="K575" s="16">
        <f t="shared" si="4"/>
        <v>-1209.93</v>
      </c>
      <c r="L575" s="19">
        <f t="shared" si="5"/>
        <v>-1</v>
      </c>
      <c r="M575" s="16">
        <f t="shared" si="6"/>
        <v>0</v>
      </c>
      <c r="N575" s="20"/>
    </row>
    <row r="576">
      <c r="A576" s="30"/>
      <c r="B576" s="30" t="s">
        <v>1008</v>
      </c>
      <c r="C576" s="15" t="s">
        <v>1088</v>
      </c>
      <c r="D576" s="16"/>
      <c r="E576" s="16">
        <f t="shared" si="1"/>
        <v>0</v>
      </c>
      <c r="F576" s="16">
        <f t="shared" si="2"/>
        <v>0</v>
      </c>
      <c r="G576" s="37">
        <v>1209.93</v>
      </c>
      <c r="H576" s="18">
        <v>0.1</v>
      </c>
      <c r="I576" s="16">
        <f t="shared" si="17"/>
        <v>0</v>
      </c>
      <c r="J576" s="16"/>
      <c r="K576" s="16">
        <f t="shared" si="4"/>
        <v>-1209.93</v>
      </c>
      <c r="L576" s="19">
        <f t="shared" si="5"/>
        <v>-1</v>
      </c>
      <c r="M576" s="16">
        <f t="shared" si="6"/>
        <v>0</v>
      </c>
      <c r="N576" s="20"/>
    </row>
    <row r="577">
      <c r="A577" s="34" t="s">
        <v>1089</v>
      </c>
      <c r="B577" s="30" t="s">
        <v>1090</v>
      </c>
      <c r="C577" s="15" t="s">
        <v>1091</v>
      </c>
      <c r="D577" s="29">
        <v>2775.0</v>
      </c>
      <c r="E577" s="16">
        <f t="shared" si="1"/>
        <v>191.475</v>
      </c>
      <c r="F577" s="16">
        <f t="shared" si="2"/>
        <v>59.6625</v>
      </c>
      <c r="G577" s="17">
        <v>2196.8</v>
      </c>
      <c r="H577" s="18">
        <v>0.145</v>
      </c>
      <c r="I577" s="16">
        <f t="shared" si="17"/>
        <v>402.375</v>
      </c>
      <c r="J577" s="29">
        <v>79.0</v>
      </c>
      <c r="K577" s="16">
        <f t="shared" si="4"/>
        <v>-154.3125</v>
      </c>
      <c r="L577" s="19">
        <f t="shared" si="5"/>
        <v>-0.07024421886</v>
      </c>
      <c r="M577" s="16">
        <f t="shared" si="6"/>
        <v>2042.4875</v>
      </c>
      <c r="N577" s="20"/>
    </row>
    <row r="578">
      <c r="A578" s="30"/>
      <c r="B578" s="30" t="s">
        <v>1092</v>
      </c>
      <c r="C578" s="36" t="s">
        <v>1093</v>
      </c>
      <c r="D578" s="29">
        <v>959.0</v>
      </c>
      <c r="E578" s="16">
        <f t="shared" si="1"/>
        <v>66.171</v>
      </c>
      <c r="F578" s="16">
        <f t="shared" si="2"/>
        <v>20.6185</v>
      </c>
      <c r="G578" s="32">
        <v>757.82</v>
      </c>
      <c r="H578" s="18">
        <v>0.1</v>
      </c>
      <c r="I578" s="16">
        <f t="shared" si="17"/>
        <v>95.9</v>
      </c>
      <c r="J578" s="29">
        <v>65.5</v>
      </c>
      <c r="K578" s="16">
        <f t="shared" si="4"/>
        <v>-47.0095</v>
      </c>
      <c r="L578" s="19">
        <f t="shared" si="5"/>
        <v>-0.06203254071</v>
      </c>
      <c r="M578" s="16">
        <f t="shared" si="6"/>
        <v>710.8105</v>
      </c>
      <c r="N578" s="20"/>
    </row>
    <row r="579">
      <c r="A579" s="30"/>
      <c r="B579" s="30" t="s">
        <v>1094</v>
      </c>
      <c r="C579" s="15" t="s">
        <v>1095</v>
      </c>
      <c r="D579" s="29">
        <v>1099.0</v>
      </c>
      <c r="E579" s="16">
        <f t="shared" si="1"/>
        <v>75.831</v>
      </c>
      <c r="F579" s="16">
        <f t="shared" si="2"/>
        <v>23.6285</v>
      </c>
      <c r="G579" s="37">
        <v>778.83</v>
      </c>
      <c r="H579" s="18">
        <v>0.145</v>
      </c>
      <c r="I579" s="16">
        <f t="shared" si="17"/>
        <v>159.355</v>
      </c>
      <c r="J579" s="29">
        <v>62.0</v>
      </c>
      <c r="K579" s="16">
        <f t="shared" si="4"/>
        <v>-0.6445</v>
      </c>
      <c r="L579" s="19">
        <f t="shared" si="5"/>
        <v>-0.0008275233363</v>
      </c>
      <c r="M579" s="16">
        <f t="shared" si="6"/>
        <v>778.1855</v>
      </c>
      <c r="N579" s="20"/>
    </row>
    <row r="580">
      <c r="A580" s="30"/>
      <c r="B580" s="30" t="s">
        <v>1096</v>
      </c>
      <c r="C580" s="15" t="s">
        <v>431</v>
      </c>
      <c r="D580" s="16"/>
      <c r="E580" s="16">
        <f t="shared" si="1"/>
        <v>0</v>
      </c>
      <c r="F580" s="16">
        <f t="shared" si="2"/>
        <v>0</v>
      </c>
      <c r="G580" s="37">
        <v>265.88</v>
      </c>
      <c r="H580" s="18">
        <v>0.1</v>
      </c>
      <c r="I580" s="16">
        <f t="shared" si="17"/>
        <v>0</v>
      </c>
      <c r="J580" s="16"/>
      <c r="K580" s="16">
        <f t="shared" si="4"/>
        <v>-265.88</v>
      </c>
      <c r="L580" s="19">
        <f t="shared" si="5"/>
        <v>-1</v>
      </c>
      <c r="M580" s="16">
        <f t="shared" si="6"/>
        <v>0</v>
      </c>
      <c r="N580" s="20"/>
    </row>
    <row r="581">
      <c r="A581" s="30"/>
      <c r="B581" s="30" t="s">
        <v>1097</v>
      </c>
      <c r="C581" s="36" t="s">
        <v>1098</v>
      </c>
      <c r="D581" s="16"/>
      <c r="E581" s="16">
        <f t="shared" si="1"/>
        <v>0</v>
      </c>
      <c r="F581" s="16">
        <f t="shared" si="2"/>
        <v>0</v>
      </c>
      <c r="G581" s="17">
        <v>1717.64</v>
      </c>
      <c r="H581" s="18">
        <v>0.1</v>
      </c>
      <c r="I581" s="16">
        <f t="shared" si="17"/>
        <v>0</v>
      </c>
      <c r="J581" s="16"/>
      <c r="K581" s="16">
        <f t="shared" si="4"/>
        <v>-1717.64</v>
      </c>
      <c r="L581" s="19">
        <f t="shared" si="5"/>
        <v>-1</v>
      </c>
      <c r="M581" s="16">
        <f t="shared" si="6"/>
        <v>0</v>
      </c>
      <c r="N581" s="20"/>
    </row>
    <row r="582">
      <c r="A582" s="30"/>
      <c r="B582" s="30" t="s">
        <v>1030</v>
      </c>
      <c r="C582" s="36" t="s">
        <v>1098</v>
      </c>
      <c r="D582" s="16"/>
      <c r="E582" s="16">
        <f t="shared" si="1"/>
        <v>0</v>
      </c>
      <c r="F582" s="16">
        <f t="shared" si="2"/>
        <v>0</v>
      </c>
      <c r="G582" s="17">
        <v>1717.64</v>
      </c>
      <c r="H582" s="18">
        <v>0.1</v>
      </c>
      <c r="I582" s="16">
        <f t="shared" si="17"/>
        <v>0</v>
      </c>
      <c r="J582" s="16"/>
      <c r="K582" s="16">
        <f t="shared" si="4"/>
        <v>-1717.64</v>
      </c>
      <c r="L582" s="19">
        <f t="shared" si="5"/>
        <v>-1</v>
      </c>
      <c r="M582" s="16">
        <f t="shared" si="6"/>
        <v>0</v>
      </c>
      <c r="N582" s="20"/>
    </row>
    <row r="583">
      <c r="A583" s="30"/>
      <c r="B583" s="30" t="s">
        <v>1032</v>
      </c>
      <c r="C583" s="15" t="s">
        <v>1099</v>
      </c>
      <c r="E583" s="16">
        <f t="shared" si="1"/>
        <v>0</v>
      </c>
      <c r="F583" s="16">
        <f t="shared" si="2"/>
        <v>0</v>
      </c>
      <c r="G583" s="17">
        <v>1479.07</v>
      </c>
      <c r="H583" s="18">
        <v>0.1</v>
      </c>
      <c r="I583" s="16">
        <f t="shared" si="17"/>
        <v>0</v>
      </c>
      <c r="J583" s="16"/>
      <c r="K583" s="16">
        <f t="shared" si="4"/>
        <v>-1479.07</v>
      </c>
      <c r="L583" s="19">
        <f t="shared" si="5"/>
        <v>-1</v>
      </c>
      <c r="M583" s="16">
        <f t="shared" si="6"/>
        <v>0</v>
      </c>
      <c r="N583" s="20"/>
    </row>
    <row r="584">
      <c r="A584" s="30"/>
      <c r="B584" s="30" t="s">
        <v>1100</v>
      </c>
      <c r="C584" s="36" t="s">
        <v>1101</v>
      </c>
      <c r="D584" s="16"/>
      <c r="E584" s="16">
        <f t="shared" si="1"/>
        <v>0</v>
      </c>
      <c r="F584" s="16">
        <f t="shared" si="2"/>
        <v>0</v>
      </c>
      <c r="G584" s="17">
        <v>488.62</v>
      </c>
      <c r="H584" s="18">
        <v>0.1</v>
      </c>
      <c r="I584" s="16">
        <f t="shared" si="17"/>
        <v>0</v>
      </c>
      <c r="J584" s="16"/>
      <c r="K584" s="16">
        <f t="shared" si="4"/>
        <v>-488.62</v>
      </c>
      <c r="L584" s="19">
        <f t="shared" si="5"/>
        <v>-1</v>
      </c>
      <c r="M584" s="16">
        <f t="shared" si="6"/>
        <v>0</v>
      </c>
      <c r="N584" s="20"/>
    </row>
    <row r="585">
      <c r="A585" s="30"/>
      <c r="B585" s="30" t="s">
        <v>1102</v>
      </c>
      <c r="C585" s="36" t="s">
        <v>1103</v>
      </c>
      <c r="D585" s="16"/>
      <c r="E585" s="16">
        <f t="shared" si="1"/>
        <v>0</v>
      </c>
      <c r="F585" s="16">
        <f t="shared" si="2"/>
        <v>0</v>
      </c>
      <c r="G585" s="37">
        <v>4810.84</v>
      </c>
      <c r="H585" s="18">
        <v>0.1</v>
      </c>
      <c r="I585" s="16">
        <f t="shared" si="17"/>
        <v>0</v>
      </c>
      <c r="J585" s="16"/>
      <c r="K585" s="16">
        <f t="shared" si="4"/>
        <v>-4810.84</v>
      </c>
      <c r="L585" s="19">
        <f t="shared" si="5"/>
        <v>-1</v>
      </c>
      <c r="M585" s="16">
        <f t="shared" si="6"/>
        <v>0</v>
      </c>
      <c r="N585" s="20"/>
    </row>
    <row r="586">
      <c r="A586" s="30"/>
      <c r="B586" s="30" t="s">
        <v>1104</v>
      </c>
      <c r="C586" s="36" t="s">
        <v>1105</v>
      </c>
      <c r="D586" s="16"/>
      <c r="E586" s="16">
        <f t="shared" si="1"/>
        <v>0</v>
      </c>
      <c r="F586" s="16">
        <f t="shared" si="2"/>
        <v>0</v>
      </c>
      <c r="G586" s="37">
        <v>989.93</v>
      </c>
      <c r="H586" s="18">
        <v>0.1</v>
      </c>
      <c r="I586" s="16">
        <f t="shared" si="17"/>
        <v>0</v>
      </c>
      <c r="J586" s="16"/>
      <c r="K586" s="16">
        <f t="shared" si="4"/>
        <v>-989.93</v>
      </c>
      <c r="L586" s="19">
        <f t="shared" si="5"/>
        <v>-1</v>
      </c>
      <c r="M586" s="16">
        <f t="shared" si="6"/>
        <v>0</v>
      </c>
      <c r="N586" s="20"/>
    </row>
    <row r="587">
      <c r="A587" s="30"/>
      <c r="B587" s="30" t="s">
        <v>1106</v>
      </c>
      <c r="C587" s="36" t="s">
        <v>1107</v>
      </c>
      <c r="D587" s="29">
        <v>773.0</v>
      </c>
      <c r="E587" s="16">
        <f t="shared" si="1"/>
        <v>53.337</v>
      </c>
      <c r="F587" s="16">
        <f t="shared" si="2"/>
        <v>16.6195</v>
      </c>
      <c r="G587" s="17">
        <v>510.01</v>
      </c>
      <c r="H587" s="18">
        <v>0.1</v>
      </c>
      <c r="I587" s="16">
        <f t="shared" si="17"/>
        <v>77.3</v>
      </c>
      <c r="J587" s="29">
        <v>69.0</v>
      </c>
      <c r="K587" s="16">
        <f t="shared" si="4"/>
        <v>46.7335</v>
      </c>
      <c r="L587" s="19">
        <f t="shared" si="5"/>
        <v>0.09163251701</v>
      </c>
      <c r="M587" s="16">
        <f t="shared" si="6"/>
        <v>556.7435</v>
      </c>
      <c r="N587" s="20"/>
    </row>
    <row r="588">
      <c r="A588" s="30"/>
      <c r="B588" s="30" t="s">
        <v>1108</v>
      </c>
      <c r="C588" s="15" t="s">
        <v>1109</v>
      </c>
      <c r="D588" s="29">
        <v>799.0</v>
      </c>
      <c r="E588" s="16">
        <f t="shared" si="1"/>
        <v>55.131</v>
      </c>
      <c r="F588" s="16">
        <f t="shared" si="2"/>
        <v>17.1785</v>
      </c>
      <c r="G588" s="32">
        <v>566.49</v>
      </c>
      <c r="H588" s="18">
        <v>0.15</v>
      </c>
      <c r="I588" s="16">
        <f t="shared" si="17"/>
        <v>119.85</v>
      </c>
      <c r="J588" s="16"/>
      <c r="K588" s="16">
        <f t="shared" si="4"/>
        <v>40.3505</v>
      </c>
      <c r="L588" s="19">
        <f t="shared" si="5"/>
        <v>0.07122897139</v>
      </c>
      <c r="M588" s="16">
        <f t="shared" si="6"/>
        <v>606.8405</v>
      </c>
      <c r="N588" s="20"/>
    </row>
    <row r="589">
      <c r="A589" s="30"/>
      <c r="B589" s="30" t="s">
        <v>1003</v>
      </c>
      <c r="C589" s="15" t="s">
        <v>1004</v>
      </c>
      <c r="E589" s="16">
        <f t="shared" si="1"/>
        <v>0</v>
      </c>
      <c r="F589" s="16">
        <f t="shared" si="2"/>
        <v>0</v>
      </c>
      <c r="G589" s="17">
        <v>9723.47</v>
      </c>
      <c r="H589" s="18">
        <v>0.1</v>
      </c>
      <c r="I589" s="16">
        <f t="shared" si="17"/>
        <v>0</v>
      </c>
      <c r="J589" s="16"/>
      <c r="K589" s="16">
        <f t="shared" si="4"/>
        <v>-9723.47</v>
      </c>
      <c r="L589" s="19">
        <f t="shared" si="5"/>
        <v>-1</v>
      </c>
      <c r="M589" s="16">
        <f t="shared" si="6"/>
        <v>0</v>
      </c>
      <c r="N589" s="20"/>
    </row>
    <row r="590">
      <c r="A590" s="30"/>
      <c r="B590" s="30" t="s">
        <v>1110</v>
      </c>
      <c r="C590" s="15" t="s">
        <v>1111</v>
      </c>
      <c r="E590" s="16">
        <f t="shared" si="1"/>
        <v>0</v>
      </c>
      <c r="F590" s="16">
        <f t="shared" si="2"/>
        <v>0</v>
      </c>
      <c r="G590" s="17">
        <v>1479.07</v>
      </c>
      <c r="H590" s="18">
        <v>0.1</v>
      </c>
      <c r="I590" s="16">
        <f t="shared" si="17"/>
        <v>0</v>
      </c>
      <c r="J590" s="16"/>
      <c r="K590" s="16">
        <f t="shared" si="4"/>
        <v>-1479.07</v>
      </c>
      <c r="L590" s="19">
        <f t="shared" si="5"/>
        <v>-1</v>
      </c>
      <c r="M590" s="16">
        <f t="shared" si="6"/>
        <v>0</v>
      </c>
      <c r="N590" s="20"/>
    </row>
    <row r="591">
      <c r="A591" s="30"/>
      <c r="B591" s="30" t="s">
        <v>1112</v>
      </c>
      <c r="C591" s="36" t="s">
        <v>1113</v>
      </c>
      <c r="D591" s="16"/>
      <c r="E591" s="16">
        <f t="shared" si="1"/>
        <v>0</v>
      </c>
      <c r="F591" s="16">
        <f t="shared" si="2"/>
        <v>0</v>
      </c>
      <c r="G591" s="17">
        <v>3433.59</v>
      </c>
      <c r="H591" s="18">
        <v>0.1</v>
      </c>
      <c r="I591" s="16">
        <f t="shared" si="17"/>
        <v>0</v>
      </c>
      <c r="J591" s="16"/>
      <c r="K591" s="16">
        <f t="shared" si="4"/>
        <v>-3433.59</v>
      </c>
      <c r="L591" s="19">
        <f t="shared" si="5"/>
        <v>-1</v>
      </c>
      <c r="M591" s="16">
        <f t="shared" si="6"/>
        <v>0</v>
      </c>
      <c r="N591" s="20"/>
    </row>
    <row r="592">
      <c r="A592" s="30"/>
      <c r="B592" s="30" t="s">
        <v>1114</v>
      </c>
      <c r="C592" s="36" t="s">
        <v>1115</v>
      </c>
      <c r="D592" s="29">
        <v>913.0</v>
      </c>
      <c r="E592" s="16">
        <f t="shared" si="1"/>
        <v>62.997</v>
      </c>
      <c r="F592" s="16">
        <f t="shared" si="2"/>
        <v>19.6295</v>
      </c>
      <c r="G592" s="32">
        <v>610.0</v>
      </c>
      <c r="H592" s="18">
        <v>0.1</v>
      </c>
      <c r="I592" s="16">
        <f t="shared" si="17"/>
        <v>91.3</v>
      </c>
      <c r="J592" s="29">
        <v>100.0</v>
      </c>
      <c r="K592" s="16">
        <f t="shared" si="4"/>
        <v>29.0735</v>
      </c>
      <c r="L592" s="19">
        <f t="shared" si="5"/>
        <v>0.04766147541</v>
      </c>
      <c r="M592" s="16">
        <f t="shared" si="6"/>
        <v>639.0735</v>
      </c>
      <c r="N592" s="20"/>
    </row>
    <row r="593">
      <c r="A593" s="30"/>
      <c r="B593" s="30" t="s">
        <v>1116</v>
      </c>
      <c r="C593" s="36" t="s">
        <v>1093</v>
      </c>
      <c r="D593" s="16"/>
      <c r="E593" s="16">
        <f t="shared" si="1"/>
        <v>0</v>
      </c>
      <c r="F593" s="16">
        <f t="shared" si="2"/>
        <v>0</v>
      </c>
      <c r="G593" s="17">
        <v>998.64</v>
      </c>
      <c r="H593" s="18">
        <v>0.1</v>
      </c>
      <c r="I593" s="16">
        <f t="shared" si="17"/>
        <v>0</v>
      </c>
      <c r="J593" s="16"/>
      <c r="K593" s="16">
        <f t="shared" si="4"/>
        <v>-998.64</v>
      </c>
      <c r="L593" s="19">
        <f t="shared" si="5"/>
        <v>-1</v>
      </c>
      <c r="M593" s="16">
        <f t="shared" si="6"/>
        <v>0</v>
      </c>
      <c r="N593" s="20"/>
    </row>
    <row r="594">
      <c r="A594" s="30"/>
      <c r="B594" s="30" t="s">
        <v>1117</v>
      </c>
      <c r="C594" s="36" t="s">
        <v>1118</v>
      </c>
      <c r="D594" s="16"/>
      <c r="E594" s="16">
        <f t="shared" si="1"/>
        <v>0</v>
      </c>
      <c r="F594" s="16">
        <f t="shared" si="2"/>
        <v>0</v>
      </c>
      <c r="G594" s="17">
        <v>308.57</v>
      </c>
      <c r="H594" s="18">
        <v>0.1</v>
      </c>
      <c r="I594" s="16">
        <f t="shared" si="17"/>
        <v>0</v>
      </c>
      <c r="J594" s="16"/>
      <c r="K594" s="16">
        <f t="shared" si="4"/>
        <v>-308.57</v>
      </c>
      <c r="L594" s="19">
        <f t="shared" si="5"/>
        <v>-1</v>
      </c>
      <c r="M594" s="16">
        <f t="shared" si="6"/>
        <v>0</v>
      </c>
      <c r="N594" s="20"/>
    </row>
    <row r="595">
      <c r="A595" s="30"/>
      <c r="B595" s="30" t="s">
        <v>1052</v>
      </c>
      <c r="C595" s="15" t="s">
        <v>1119</v>
      </c>
      <c r="E595" s="16">
        <f t="shared" si="1"/>
        <v>0</v>
      </c>
      <c r="F595" s="16">
        <f t="shared" si="2"/>
        <v>0</v>
      </c>
      <c r="G595" s="17">
        <v>1407.0</v>
      </c>
      <c r="H595" s="18">
        <v>0.1</v>
      </c>
      <c r="I595" s="16">
        <f t="shared" si="17"/>
        <v>0</v>
      </c>
      <c r="J595" s="16"/>
      <c r="K595" s="16">
        <f t="shared" si="4"/>
        <v>-1407</v>
      </c>
      <c r="L595" s="19">
        <f t="shared" si="5"/>
        <v>-1</v>
      </c>
      <c r="M595" s="16">
        <f t="shared" si="6"/>
        <v>0</v>
      </c>
      <c r="N595" s="20"/>
    </row>
    <row r="596">
      <c r="A596" s="30"/>
      <c r="B596" s="30" t="s">
        <v>1120</v>
      </c>
      <c r="C596" s="36" t="s">
        <v>1121</v>
      </c>
      <c r="D596" s="16"/>
      <c r="E596" s="16">
        <f t="shared" si="1"/>
        <v>0</v>
      </c>
      <c r="F596" s="16">
        <f t="shared" si="2"/>
        <v>0</v>
      </c>
      <c r="G596" s="17">
        <v>1155.01</v>
      </c>
      <c r="H596" s="18">
        <v>0.1</v>
      </c>
      <c r="I596" s="16">
        <f t="shared" si="17"/>
        <v>0</v>
      </c>
      <c r="J596" s="16"/>
      <c r="K596" s="16">
        <f t="shared" si="4"/>
        <v>-1155.01</v>
      </c>
      <c r="L596" s="19">
        <f t="shared" si="5"/>
        <v>-1</v>
      </c>
      <c r="M596" s="16">
        <f t="shared" si="6"/>
        <v>0</v>
      </c>
      <c r="N596" s="20"/>
    </row>
    <row r="597">
      <c r="A597" s="30"/>
      <c r="B597" s="30" t="s">
        <v>1122</v>
      </c>
      <c r="C597" s="36" t="s">
        <v>1123</v>
      </c>
      <c r="D597" s="16"/>
      <c r="E597" s="16">
        <f t="shared" si="1"/>
        <v>0</v>
      </c>
      <c r="F597" s="16">
        <f t="shared" si="2"/>
        <v>0</v>
      </c>
      <c r="G597" s="17">
        <v>1470.0</v>
      </c>
      <c r="H597" s="18">
        <v>0.1</v>
      </c>
      <c r="I597" s="16">
        <f t="shared" si="17"/>
        <v>0</v>
      </c>
      <c r="J597" s="16">
        <v>69.0</v>
      </c>
      <c r="K597" s="16">
        <f t="shared" si="4"/>
        <v>-1539</v>
      </c>
      <c r="L597" s="19">
        <f t="shared" si="5"/>
        <v>-1.046938776</v>
      </c>
      <c r="M597" s="16">
        <f t="shared" si="6"/>
        <v>-69</v>
      </c>
      <c r="N597" s="20"/>
    </row>
    <row r="598">
      <c r="A598" s="30"/>
      <c r="B598" s="30" t="s">
        <v>1124</v>
      </c>
      <c r="C598" s="36" t="s">
        <v>1125</v>
      </c>
      <c r="D598" s="16"/>
      <c r="E598" s="16">
        <f t="shared" si="1"/>
        <v>0</v>
      </c>
      <c r="F598" s="16">
        <f t="shared" si="2"/>
        <v>0</v>
      </c>
      <c r="G598" s="17">
        <v>1539.53</v>
      </c>
      <c r="H598" s="18">
        <v>0.1</v>
      </c>
      <c r="I598" s="16">
        <f t="shared" si="17"/>
        <v>0</v>
      </c>
      <c r="J598" s="16"/>
      <c r="K598" s="16">
        <f t="shared" si="4"/>
        <v>-1539.53</v>
      </c>
      <c r="L598" s="19">
        <f t="shared" si="5"/>
        <v>-1</v>
      </c>
      <c r="M598" s="16">
        <f t="shared" si="6"/>
        <v>0</v>
      </c>
      <c r="N598" s="20"/>
    </row>
    <row r="599">
      <c r="A599" s="30"/>
      <c r="B599" s="30" t="s">
        <v>1126</v>
      </c>
      <c r="C599" s="15" t="s">
        <v>1127</v>
      </c>
      <c r="D599" s="16"/>
      <c r="E599" s="16">
        <f t="shared" si="1"/>
        <v>0</v>
      </c>
      <c r="F599" s="16">
        <f t="shared" si="2"/>
        <v>0</v>
      </c>
      <c r="G599" s="17">
        <v>1556.39</v>
      </c>
      <c r="H599" s="18">
        <v>0.1</v>
      </c>
      <c r="I599" s="16">
        <f t="shared" si="17"/>
        <v>0</v>
      </c>
      <c r="J599" s="16"/>
      <c r="K599" s="16">
        <f t="shared" si="4"/>
        <v>-1556.39</v>
      </c>
      <c r="L599" s="19">
        <f t="shared" si="5"/>
        <v>-1</v>
      </c>
      <c r="M599" s="16">
        <f t="shared" si="6"/>
        <v>0</v>
      </c>
      <c r="N599" s="20"/>
    </row>
    <row r="600">
      <c r="A600" s="30"/>
      <c r="B600" s="30" t="s">
        <v>987</v>
      </c>
      <c r="C600" s="36" t="s">
        <v>988</v>
      </c>
      <c r="D600" s="16"/>
      <c r="E600" s="16">
        <f t="shared" si="1"/>
        <v>0</v>
      </c>
      <c r="F600" s="16">
        <f t="shared" si="2"/>
        <v>0</v>
      </c>
      <c r="G600" s="17">
        <v>5730.01</v>
      </c>
      <c r="H600" s="18">
        <v>0.1</v>
      </c>
      <c r="I600" s="16">
        <f t="shared" si="17"/>
        <v>0</v>
      </c>
      <c r="J600" s="16"/>
      <c r="K600" s="16">
        <f t="shared" si="4"/>
        <v>-5730.01</v>
      </c>
      <c r="L600" s="19">
        <f t="shared" si="5"/>
        <v>-1</v>
      </c>
      <c r="M600" s="16">
        <f t="shared" si="6"/>
        <v>0</v>
      </c>
      <c r="N600" s="20"/>
    </row>
    <row r="601">
      <c r="A601" s="30"/>
      <c r="B601" s="30" t="s">
        <v>1128</v>
      </c>
      <c r="C601" s="36" t="s">
        <v>634</v>
      </c>
      <c r="D601" s="16"/>
      <c r="E601" s="16">
        <f t="shared" si="1"/>
        <v>0</v>
      </c>
      <c r="F601" s="16">
        <f t="shared" si="2"/>
        <v>0</v>
      </c>
      <c r="G601" s="17">
        <v>1142.13</v>
      </c>
      <c r="H601" s="18">
        <v>0.1</v>
      </c>
      <c r="I601" s="16">
        <f t="shared" si="17"/>
        <v>0</v>
      </c>
      <c r="J601" s="16"/>
      <c r="K601" s="16">
        <f t="shared" si="4"/>
        <v>-1142.13</v>
      </c>
      <c r="L601" s="19">
        <f t="shared" si="5"/>
        <v>-1</v>
      </c>
      <c r="M601" s="16">
        <f t="shared" si="6"/>
        <v>0</v>
      </c>
      <c r="N601" s="20"/>
    </row>
    <row r="602">
      <c r="A602" s="30"/>
      <c r="B602" s="30" t="s">
        <v>991</v>
      </c>
      <c r="C602" s="36" t="s">
        <v>762</v>
      </c>
      <c r="D602" s="16"/>
      <c r="E602" s="16">
        <f t="shared" si="1"/>
        <v>0</v>
      </c>
      <c r="F602" s="16">
        <f t="shared" si="2"/>
        <v>0</v>
      </c>
      <c r="G602" s="37">
        <v>185.28</v>
      </c>
      <c r="H602" s="18">
        <v>0.1</v>
      </c>
      <c r="I602" s="16">
        <f t="shared" si="17"/>
        <v>0</v>
      </c>
      <c r="J602" s="16"/>
      <c r="K602" s="16">
        <f t="shared" si="4"/>
        <v>-185.28</v>
      </c>
      <c r="L602" s="19">
        <f t="shared" si="5"/>
        <v>-1</v>
      </c>
      <c r="M602" s="16">
        <f t="shared" si="6"/>
        <v>0</v>
      </c>
      <c r="N602" s="20"/>
    </row>
    <row r="603">
      <c r="A603" s="30"/>
      <c r="B603" s="30" t="s">
        <v>1129</v>
      </c>
      <c r="C603" s="36" t="s">
        <v>1041</v>
      </c>
      <c r="D603" s="16"/>
      <c r="E603" s="16">
        <f t="shared" si="1"/>
        <v>0</v>
      </c>
      <c r="F603" s="16">
        <f t="shared" si="2"/>
        <v>0</v>
      </c>
      <c r="G603" s="17">
        <v>8621.62</v>
      </c>
      <c r="H603" s="18">
        <v>0.1</v>
      </c>
      <c r="I603" s="16">
        <f t="shared" si="17"/>
        <v>0</v>
      </c>
      <c r="J603" s="16"/>
      <c r="K603" s="16">
        <f t="shared" si="4"/>
        <v>-8621.62</v>
      </c>
      <c r="L603" s="19">
        <f t="shared" si="5"/>
        <v>-1</v>
      </c>
      <c r="M603" s="16">
        <f t="shared" si="6"/>
        <v>0</v>
      </c>
      <c r="N603" s="20"/>
    </row>
    <row r="604">
      <c r="A604" s="30"/>
      <c r="B604" s="30" t="s">
        <v>1048</v>
      </c>
      <c r="C604" s="36" t="s">
        <v>1130</v>
      </c>
      <c r="D604" s="16"/>
      <c r="E604" s="16">
        <f t="shared" si="1"/>
        <v>0</v>
      </c>
      <c r="F604" s="16">
        <f t="shared" si="2"/>
        <v>0</v>
      </c>
      <c r="G604" s="17">
        <v>840.01</v>
      </c>
      <c r="H604" s="18">
        <v>0.1</v>
      </c>
      <c r="I604" s="16">
        <f t="shared" si="17"/>
        <v>0</v>
      </c>
      <c r="J604" s="16"/>
      <c r="K604" s="16">
        <f t="shared" si="4"/>
        <v>-840.01</v>
      </c>
      <c r="L604" s="19">
        <f t="shared" si="5"/>
        <v>-1</v>
      </c>
      <c r="M604" s="16">
        <f t="shared" si="6"/>
        <v>0</v>
      </c>
      <c r="N604" s="20"/>
    </row>
    <row r="605">
      <c r="A605" s="30"/>
      <c r="B605" s="30" t="s">
        <v>1131</v>
      </c>
      <c r="C605" s="36" t="s">
        <v>1132</v>
      </c>
      <c r="D605" s="16"/>
      <c r="E605" s="16">
        <f t="shared" si="1"/>
        <v>0</v>
      </c>
      <c r="F605" s="16">
        <f t="shared" si="2"/>
        <v>0</v>
      </c>
      <c r="G605" s="17">
        <v>2196.8</v>
      </c>
      <c r="H605" s="18">
        <v>0.1</v>
      </c>
      <c r="I605" s="16">
        <f t="shared" si="17"/>
        <v>0</v>
      </c>
      <c r="J605" s="16"/>
      <c r="K605" s="16">
        <f t="shared" si="4"/>
        <v>-2196.8</v>
      </c>
      <c r="L605" s="19">
        <f t="shared" si="5"/>
        <v>-1</v>
      </c>
      <c r="M605" s="16">
        <f t="shared" si="6"/>
        <v>0</v>
      </c>
      <c r="N605" s="20"/>
    </row>
    <row r="606">
      <c r="A606" s="30"/>
      <c r="B606" s="30" t="s">
        <v>1133</v>
      </c>
      <c r="C606" s="36" t="s">
        <v>1134</v>
      </c>
      <c r="D606" s="16"/>
      <c r="E606" s="16">
        <f t="shared" si="1"/>
        <v>0</v>
      </c>
      <c r="F606" s="16">
        <f t="shared" si="2"/>
        <v>0</v>
      </c>
      <c r="G606" s="37">
        <v>679.39</v>
      </c>
      <c r="H606" s="18">
        <v>0.1</v>
      </c>
      <c r="I606" s="16">
        <f t="shared" si="17"/>
        <v>0</v>
      </c>
      <c r="J606" s="16"/>
      <c r="K606" s="16">
        <f t="shared" si="4"/>
        <v>-679.39</v>
      </c>
      <c r="L606" s="19">
        <f t="shared" si="5"/>
        <v>-1</v>
      </c>
      <c r="M606" s="16">
        <f t="shared" si="6"/>
        <v>0</v>
      </c>
      <c r="N606" s="20"/>
    </row>
    <row r="607">
      <c r="A607" s="30"/>
      <c r="B607" s="30" t="s">
        <v>1135</v>
      </c>
      <c r="C607" s="15" t="s">
        <v>1136</v>
      </c>
      <c r="E607" s="16">
        <f t="shared" si="1"/>
        <v>0</v>
      </c>
      <c r="F607" s="16">
        <f t="shared" si="2"/>
        <v>0</v>
      </c>
      <c r="G607" s="17">
        <v>102.64</v>
      </c>
      <c r="H607" s="18">
        <v>0.1</v>
      </c>
      <c r="I607" s="16">
        <f t="shared" si="17"/>
        <v>0</v>
      </c>
      <c r="J607" s="16"/>
      <c r="K607" s="16">
        <f t="shared" si="4"/>
        <v>-102.64</v>
      </c>
      <c r="L607" s="19">
        <f t="shared" si="5"/>
        <v>-1</v>
      </c>
      <c r="M607" s="16">
        <f t="shared" si="6"/>
        <v>0</v>
      </c>
      <c r="N607" s="20"/>
    </row>
    <row r="608">
      <c r="A608" s="30"/>
      <c r="B608" s="30" t="s">
        <v>1137</v>
      </c>
      <c r="C608" s="15" t="s">
        <v>1138</v>
      </c>
      <c r="D608" s="16">
        <v>899.0</v>
      </c>
      <c r="E608" s="16">
        <f t="shared" si="1"/>
        <v>62.031</v>
      </c>
      <c r="F608" s="16">
        <f t="shared" si="2"/>
        <v>19.3285</v>
      </c>
      <c r="G608" s="17">
        <v>683.5</v>
      </c>
      <c r="H608" s="18">
        <v>0.15</v>
      </c>
      <c r="I608" s="16">
        <f t="shared" si="17"/>
        <v>134.85</v>
      </c>
      <c r="J608" s="16"/>
      <c r="K608" s="16">
        <f t="shared" si="4"/>
        <v>-0.7095</v>
      </c>
      <c r="L608" s="19">
        <f t="shared" si="5"/>
        <v>-0.001038039503</v>
      </c>
      <c r="M608" s="16">
        <f t="shared" si="6"/>
        <v>682.7905</v>
      </c>
      <c r="N608" s="20"/>
    </row>
    <row r="609">
      <c r="A609" s="34" t="s">
        <v>1139</v>
      </c>
      <c r="B609" s="30" t="s">
        <v>1140</v>
      </c>
      <c r="C609" s="15" t="s">
        <v>1141</v>
      </c>
      <c r="D609" s="29">
        <v>899.0</v>
      </c>
      <c r="E609" s="16">
        <f t="shared" si="1"/>
        <v>62.031</v>
      </c>
      <c r="F609" s="16">
        <f t="shared" si="2"/>
        <v>19.3285</v>
      </c>
      <c r="G609" s="32">
        <v>645.8</v>
      </c>
      <c r="H609" s="18">
        <v>0.1</v>
      </c>
      <c r="I609" s="16">
        <f t="shared" si="17"/>
        <v>89.9</v>
      </c>
      <c r="J609" s="29">
        <v>65.5</v>
      </c>
      <c r="K609" s="16">
        <f t="shared" si="4"/>
        <v>16.4405</v>
      </c>
      <c r="L609" s="19">
        <f t="shared" si="5"/>
        <v>0.025457572</v>
      </c>
      <c r="M609" s="16">
        <f t="shared" si="6"/>
        <v>662.2405</v>
      </c>
      <c r="N609" s="20"/>
    </row>
    <row r="610">
      <c r="A610" s="30"/>
      <c r="B610" s="30" t="s">
        <v>1142</v>
      </c>
      <c r="C610" s="15" t="s">
        <v>1143</v>
      </c>
      <c r="D610" s="16">
        <v>6599.0</v>
      </c>
      <c r="E610" s="16">
        <f t="shared" si="1"/>
        <v>455.331</v>
      </c>
      <c r="F610" s="16">
        <f t="shared" si="2"/>
        <v>141.8785</v>
      </c>
      <c r="G610" s="17">
        <v>4822.35</v>
      </c>
      <c r="H610" s="18">
        <v>0.1</v>
      </c>
      <c r="I610" s="16">
        <f t="shared" si="17"/>
        <v>659.9</v>
      </c>
      <c r="J610" s="16">
        <v>62.0</v>
      </c>
      <c r="K610" s="16">
        <f t="shared" si="4"/>
        <v>457.5405</v>
      </c>
      <c r="L610" s="19">
        <f t="shared" si="5"/>
        <v>0.09487915643</v>
      </c>
      <c r="M610" s="16">
        <f t="shared" si="6"/>
        <v>5279.8905</v>
      </c>
      <c r="N610" s="20"/>
    </row>
    <row r="611">
      <c r="A611" s="34" t="s">
        <v>1144</v>
      </c>
      <c r="B611" s="30" t="s">
        <v>1145</v>
      </c>
      <c r="C611" s="15" t="s">
        <v>1146</v>
      </c>
      <c r="D611" s="16">
        <v>4999.0</v>
      </c>
      <c r="E611" s="16">
        <f t="shared" si="1"/>
        <v>344.931</v>
      </c>
      <c r="F611" s="16">
        <f t="shared" si="2"/>
        <v>107.4785</v>
      </c>
      <c r="G611" s="17">
        <v>3883.72</v>
      </c>
      <c r="H611" s="18">
        <v>0.15</v>
      </c>
      <c r="I611" s="16">
        <f t="shared" si="17"/>
        <v>749.85</v>
      </c>
      <c r="J611" s="16"/>
      <c r="K611" s="16">
        <f t="shared" si="4"/>
        <v>-86.9795</v>
      </c>
      <c r="L611" s="19">
        <f t="shared" si="5"/>
        <v>-0.02239592453</v>
      </c>
      <c r="M611" s="16">
        <f t="shared" si="6"/>
        <v>3796.7405</v>
      </c>
      <c r="N611" s="20"/>
    </row>
    <row r="612">
      <c r="A612" s="30"/>
      <c r="B612" s="30"/>
      <c r="C612" s="15" t="s">
        <v>1147</v>
      </c>
      <c r="D612" s="16">
        <v>7799.0</v>
      </c>
      <c r="E612" s="16">
        <f t="shared" si="1"/>
        <v>538.131</v>
      </c>
      <c r="F612" s="16">
        <f t="shared" si="2"/>
        <v>167.6785</v>
      </c>
      <c r="G612" s="17">
        <v>5647.47</v>
      </c>
      <c r="H612" s="18">
        <v>0.1</v>
      </c>
      <c r="I612" s="16">
        <f t="shared" si="17"/>
        <v>779.9</v>
      </c>
      <c r="J612" s="16">
        <v>69.0</v>
      </c>
      <c r="K612" s="16">
        <f t="shared" si="4"/>
        <v>596.8205</v>
      </c>
      <c r="L612" s="19">
        <f t="shared" si="5"/>
        <v>0.1056792688</v>
      </c>
      <c r="M612" s="16">
        <f t="shared" si="6"/>
        <v>6244.2905</v>
      </c>
      <c r="N612" s="20"/>
    </row>
    <row r="613">
      <c r="A613" s="30"/>
      <c r="B613" s="30" t="s">
        <v>1148</v>
      </c>
      <c r="C613" s="15" t="s">
        <v>1149</v>
      </c>
      <c r="D613" s="16">
        <v>4599.0</v>
      </c>
      <c r="E613" s="16">
        <f t="shared" si="1"/>
        <v>317.331</v>
      </c>
      <c r="F613" s="16">
        <f t="shared" si="2"/>
        <v>98.8785</v>
      </c>
      <c r="G613" s="17">
        <v>3514.09</v>
      </c>
      <c r="H613" s="18">
        <v>0.145</v>
      </c>
      <c r="I613" s="16">
        <f t="shared" si="17"/>
        <v>666.855</v>
      </c>
      <c r="J613" s="29">
        <v>69.0</v>
      </c>
      <c r="K613" s="16">
        <f t="shared" si="4"/>
        <v>-67.1545</v>
      </c>
      <c r="L613" s="19">
        <f t="shared" si="5"/>
        <v>-0.01911006832</v>
      </c>
      <c r="M613" s="16">
        <f t="shared" si="6"/>
        <v>3446.9355</v>
      </c>
      <c r="N613" s="20"/>
    </row>
    <row r="614">
      <c r="A614" s="30"/>
      <c r="B614" s="30"/>
      <c r="C614" s="15" t="s">
        <v>1150</v>
      </c>
      <c r="D614" s="16">
        <v>599.0</v>
      </c>
      <c r="E614" s="16">
        <f t="shared" si="1"/>
        <v>41.331</v>
      </c>
      <c r="F614" s="16">
        <f t="shared" si="2"/>
        <v>12.8785</v>
      </c>
      <c r="G614" s="17">
        <f>390+3.98</f>
        <v>393.98</v>
      </c>
      <c r="H614" s="18">
        <v>0.1</v>
      </c>
      <c r="I614" s="16">
        <f t="shared" si="17"/>
        <v>59.9</v>
      </c>
      <c r="J614" s="16">
        <v>69.0</v>
      </c>
      <c r="K614" s="16">
        <f t="shared" si="4"/>
        <v>21.9105</v>
      </c>
      <c r="L614" s="19">
        <f t="shared" si="5"/>
        <v>0.0556132291</v>
      </c>
      <c r="M614" s="16">
        <f t="shared" si="6"/>
        <v>415.8905</v>
      </c>
      <c r="N614" s="20"/>
    </row>
    <row r="615">
      <c r="A615" s="30"/>
      <c r="B615" s="34" t="s">
        <v>1151</v>
      </c>
      <c r="C615" s="15" t="s">
        <v>1152</v>
      </c>
      <c r="D615" s="29">
        <v>4339.0</v>
      </c>
      <c r="E615" s="16">
        <f t="shared" si="1"/>
        <v>299.391</v>
      </c>
      <c r="F615" s="16">
        <f t="shared" si="2"/>
        <v>93.2885</v>
      </c>
      <c r="G615" s="32">
        <v>3735.18</v>
      </c>
      <c r="H615" s="18">
        <v>0.145</v>
      </c>
      <c r="I615" s="16">
        <f t="shared" si="17"/>
        <v>629.155</v>
      </c>
      <c r="J615" s="29">
        <v>69.0</v>
      </c>
      <c r="K615" s="16">
        <f t="shared" si="4"/>
        <v>-487.0145</v>
      </c>
      <c r="L615" s="19">
        <f t="shared" si="5"/>
        <v>-0.1303858181</v>
      </c>
      <c r="M615" s="16">
        <f t="shared" si="6"/>
        <v>3248.1655</v>
      </c>
      <c r="N615" s="20"/>
    </row>
    <row r="616">
      <c r="A616" s="30"/>
      <c r="B616" s="30" t="s">
        <v>1153</v>
      </c>
      <c r="C616" s="15" t="s">
        <v>1152</v>
      </c>
      <c r="D616" s="29">
        <v>4899.0</v>
      </c>
      <c r="E616" s="16">
        <f t="shared" si="1"/>
        <v>338.031</v>
      </c>
      <c r="F616" s="16">
        <f t="shared" si="2"/>
        <v>105.3285</v>
      </c>
      <c r="G616" s="32">
        <v>3735.18</v>
      </c>
      <c r="H616" s="18">
        <v>0.145</v>
      </c>
      <c r="I616" s="16">
        <f t="shared" si="17"/>
        <v>710.355</v>
      </c>
      <c r="J616" s="29">
        <v>69.0</v>
      </c>
      <c r="K616" s="16">
        <f t="shared" si="4"/>
        <v>-58.8945</v>
      </c>
      <c r="L616" s="19">
        <f t="shared" si="5"/>
        <v>-0.01576751321</v>
      </c>
      <c r="M616" s="16">
        <f t="shared" si="6"/>
        <v>3676.2855</v>
      </c>
      <c r="N616" s="20"/>
    </row>
    <row r="617">
      <c r="A617" s="30"/>
      <c r="B617" s="34" t="s">
        <v>1154</v>
      </c>
      <c r="C617" s="15" t="s">
        <v>1152</v>
      </c>
      <c r="D617" s="29">
        <v>4299.0</v>
      </c>
      <c r="E617" s="16">
        <f t="shared" si="1"/>
        <v>296.631</v>
      </c>
      <c r="F617" s="16">
        <f t="shared" si="2"/>
        <v>92.4285</v>
      </c>
      <c r="G617" s="32">
        <v>3735.18</v>
      </c>
      <c r="H617" s="18">
        <v>0.145</v>
      </c>
      <c r="I617" s="16">
        <f t="shared" si="17"/>
        <v>623.355</v>
      </c>
      <c r="J617" s="29">
        <v>69.0</v>
      </c>
      <c r="K617" s="16">
        <f t="shared" si="4"/>
        <v>-517.5945</v>
      </c>
      <c r="L617" s="19">
        <f t="shared" si="5"/>
        <v>-0.1385728399</v>
      </c>
      <c r="M617" s="16">
        <f t="shared" si="6"/>
        <v>3217.5855</v>
      </c>
      <c r="N617" s="20"/>
    </row>
    <row r="618">
      <c r="A618" s="30"/>
      <c r="B618" s="34" t="s">
        <v>1155</v>
      </c>
      <c r="C618" s="20" t="s">
        <v>1156</v>
      </c>
      <c r="D618" s="29">
        <v>2999.0</v>
      </c>
      <c r="E618" s="16">
        <f t="shared" si="1"/>
        <v>206.931</v>
      </c>
      <c r="F618" s="16">
        <f t="shared" si="2"/>
        <v>64.4785</v>
      </c>
      <c r="G618" s="32">
        <v>2137.43</v>
      </c>
      <c r="H618" s="18">
        <v>0.145</v>
      </c>
      <c r="I618" s="16">
        <f t="shared" si="17"/>
        <v>434.855</v>
      </c>
      <c r="J618" s="29">
        <v>69.0</v>
      </c>
      <c r="K618" s="16">
        <f t="shared" si="4"/>
        <v>86.3055</v>
      </c>
      <c r="L618" s="19">
        <f t="shared" si="5"/>
        <v>0.04037816443</v>
      </c>
      <c r="M618" s="16">
        <f t="shared" si="6"/>
        <v>2223.7355</v>
      </c>
      <c r="N618" s="20"/>
    </row>
    <row r="619">
      <c r="A619" s="30"/>
      <c r="B619" s="34" t="s">
        <v>1157</v>
      </c>
      <c r="C619" s="20" t="s">
        <v>1156</v>
      </c>
      <c r="D619" s="29">
        <v>2999.0</v>
      </c>
      <c r="E619" s="16">
        <f t="shared" si="1"/>
        <v>206.931</v>
      </c>
      <c r="F619" s="16">
        <f t="shared" si="2"/>
        <v>64.4785</v>
      </c>
      <c r="G619" s="32">
        <v>2137.43</v>
      </c>
      <c r="H619" s="18">
        <v>0.145</v>
      </c>
      <c r="I619" s="16">
        <f t="shared" si="17"/>
        <v>434.855</v>
      </c>
      <c r="J619" s="29">
        <v>69.0</v>
      </c>
      <c r="K619" s="16">
        <f t="shared" si="4"/>
        <v>86.3055</v>
      </c>
      <c r="L619" s="19">
        <f t="shared" si="5"/>
        <v>0.04037816443</v>
      </c>
      <c r="M619" s="16">
        <f t="shared" si="6"/>
        <v>2223.7355</v>
      </c>
      <c r="N619" s="20"/>
    </row>
    <row r="620">
      <c r="A620" s="30"/>
      <c r="B620" s="34" t="s">
        <v>1158</v>
      </c>
      <c r="C620" s="20" t="s">
        <v>1159</v>
      </c>
      <c r="D620" s="29">
        <v>699.0</v>
      </c>
      <c r="E620" s="16">
        <f t="shared" si="1"/>
        <v>48.231</v>
      </c>
      <c r="F620" s="16">
        <f t="shared" si="2"/>
        <v>15.0285</v>
      </c>
      <c r="G620" s="32">
        <v>417.3</v>
      </c>
      <c r="H620" s="18">
        <v>0.1</v>
      </c>
      <c r="I620" s="16">
        <f t="shared" si="17"/>
        <v>69.9</v>
      </c>
      <c r="J620" s="29">
        <v>73.0</v>
      </c>
      <c r="K620" s="16">
        <f t="shared" si="4"/>
        <v>75.5405</v>
      </c>
      <c r="L620" s="19">
        <f t="shared" si="5"/>
        <v>0.1810220465</v>
      </c>
      <c r="M620" s="16">
        <f t="shared" si="6"/>
        <v>492.8405</v>
      </c>
      <c r="N620" s="20"/>
    </row>
    <row r="621">
      <c r="A621" s="30"/>
      <c r="B621" s="30" t="s">
        <v>1160</v>
      </c>
      <c r="C621" s="15" t="s">
        <v>1161</v>
      </c>
      <c r="D621" s="29">
        <v>3899.0</v>
      </c>
      <c r="E621" s="16">
        <f t="shared" si="1"/>
        <v>269.031</v>
      </c>
      <c r="F621" s="16">
        <f t="shared" si="2"/>
        <v>83.8285</v>
      </c>
      <c r="G621" s="32">
        <v>2939.0</v>
      </c>
      <c r="H621" s="18">
        <v>0.145</v>
      </c>
      <c r="I621" s="16">
        <f t="shared" si="17"/>
        <v>565.355</v>
      </c>
      <c r="J621" s="29">
        <v>62.0</v>
      </c>
      <c r="K621" s="16">
        <f t="shared" si="4"/>
        <v>-20.2145</v>
      </c>
      <c r="L621" s="19">
        <f t="shared" si="5"/>
        <v>-0.006878019735</v>
      </c>
      <c r="M621" s="16">
        <f t="shared" si="6"/>
        <v>2918.7855</v>
      </c>
      <c r="N621" s="20"/>
    </row>
    <row r="622">
      <c r="A622" s="30"/>
      <c r="B622" s="30" t="s">
        <v>1162</v>
      </c>
      <c r="C622" s="15" t="s">
        <v>1163</v>
      </c>
      <c r="D622" s="16">
        <v>8999.0</v>
      </c>
      <c r="E622" s="16">
        <f t="shared" si="1"/>
        <v>620.931</v>
      </c>
      <c r="F622" s="16">
        <f t="shared" si="2"/>
        <v>193.4785</v>
      </c>
      <c r="G622" s="17">
        <v>6417.84</v>
      </c>
      <c r="H622" s="18">
        <v>0.1</v>
      </c>
      <c r="I622" s="16">
        <f t="shared" si="17"/>
        <v>899.9</v>
      </c>
      <c r="J622" s="16">
        <v>91.0</v>
      </c>
      <c r="K622" s="16">
        <f t="shared" si="4"/>
        <v>775.8505</v>
      </c>
      <c r="L622" s="19">
        <f t="shared" si="5"/>
        <v>0.1208896607</v>
      </c>
      <c r="M622" s="16">
        <f t="shared" si="6"/>
        <v>7193.6905</v>
      </c>
      <c r="N622" s="20"/>
    </row>
    <row r="623">
      <c r="A623" s="30"/>
      <c r="B623" s="30" t="s">
        <v>1164</v>
      </c>
      <c r="C623" s="15" t="s">
        <v>1165</v>
      </c>
      <c r="D623" s="16">
        <v>1399.0</v>
      </c>
      <c r="E623" s="16">
        <f t="shared" si="1"/>
        <v>96.531</v>
      </c>
      <c r="F623" s="16">
        <f t="shared" si="2"/>
        <v>30.0785</v>
      </c>
      <c r="G623" s="17">
        <v>945.0</v>
      </c>
      <c r="H623" s="18">
        <v>0.1</v>
      </c>
      <c r="I623" s="16">
        <f t="shared" si="17"/>
        <v>139.9</v>
      </c>
      <c r="J623" s="16">
        <v>75.0</v>
      </c>
      <c r="K623" s="16">
        <f t="shared" si="4"/>
        <v>112.4905</v>
      </c>
      <c r="L623" s="19">
        <f t="shared" si="5"/>
        <v>0.1190375661</v>
      </c>
      <c r="M623" s="16">
        <f t="shared" si="6"/>
        <v>1057.4905</v>
      </c>
      <c r="N623" s="20"/>
    </row>
    <row r="624">
      <c r="A624" s="34" t="s">
        <v>1166</v>
      </c>
      <c r="B624" s="30" t="s">
        <v>1167</v>
      </c>
      <c r="C624" s="15" t="s">
        <v>1168</v>
      </c>
      <c r="D624" s="29">
        <v>532.0</v>
      </c>
      <c r="E624" s="16">
        <f t="shared" si="1"/>
        <v>36.708</v>
      </c>
      <c r="F624" s="16">
        <f t="shared" si="2"/>
        <v>11.438</v>
      </c>
      <c r="G624" s="32">
        <v>383.0</v>
      </c>
      <c r="H624" s="18">
        <v>0.1</v>
      </c>
      <c r="I624" s="16">
        <f t="shared" si="17"/>
        <v>53.2</v>
      </c>
      <c r="J624" s="29">
        <v>65.0</v>
      </c>
      <c r="K624" s="16">
        <f t="shared" si="4"/>
        <v>-17.346</v>
      </c>
      <c r="L624" s="19">
        <f t="shared" si="5"/>
        <v>-0.04528981723</v>
      </c>
      <c r="M624" s="16">
        <f t="shared" si="6"/>
        <v>365.654</v>
      </c>
      <c r="N624" s="20"/>
    </row>
    <row r="625">
      <c r="A625" s="30"/>
      <c r="B625" s="30" t="s">
        <v>1169</v>
      </c>
      <c r="C625" s="15" t="s">
        <v>1170</v>
      </c>
      <c r="D625" s="16">
        <v>399.0</v>
      </c>
      <c r="E625" s="16">
        <f t="shared" si="1"/>
        <v>27.531</v>
      </c>
      <c r="F625" s="16">
        <f t="shared" si="2"/>
        <v>8.5785</v>
      </c>
      <c r="G625" s="17">
        <v>237.15</v>
      </c>
      <c r="H625" s="18">
        <v>0.15</v>
      </c>
      <c r="I625" s="16">
        <f t="shared" si="17"/>
        <v>59.85</v>
      </c>
      <c r="J625" s="16"/>
      <c r="K625" s="16">
        <f t="shared" si="4"/>
        <v>65.8905</v>
      </c>
      <c r="L625" s="19">
        <f t="shared" si="5"/>
        <v>0.2778431373</v>
      </c>
      <c r="M625" s="16">
        <f t="shared" si="6"/>
        <v>303.0405</v>
      </c>
      <c r="N625" s="20"/>
    </row>
    <row r="626">
      <c r="A626" s="30"/>
      <c r="B626" s="30" t="s">
        <v>1171</v>
      </c>
      <c r="C626" s="15" t="s">
        <v>1172</v>
      </c>
      <c r="D626" s="29">
        <v>550.0</v>
      </c>
      <c r="E626" s="16">
        <f t="shared" si="1"/>
        <v>37.95</v>
      </c>
      <c r="F626" s="16">
        <f t="shared" si="2"/>
        <v>11.825</v>
      </c>
      <c r="G626" s="32">
        <v>350.0</v>
      </c>
      <c r="H626" s="18">
        <v>0.15</v>
      </c>
      <c r="I626" s="16">
        <f t="shared" si="17"/>
        <v>82.5</v>
      </c>
      <c r="J626" s="29">
        <v>65.0</v>
      </c>
      <c r="K626" s="16">
        <f t="shared" si="4"/>
        <v>2.725</v>
      </c>
      <c r="L626" s="19">
        <f t="shared" si="5"/>
        <v>0.007785714286</v>
      </c>
      <c r="M626" s="16">
        <f t="shared" si="6"/>
        <v>352.725</v>
      </c>
      <c r="N626" s="20"/>
    </row>
    <row r="627">
      <c r="A627" s="34" t="s">
        <v>1173</v>
      </c>
      <c r="B627" s="30" t="s">
        <v>1174</v>
      </c>
      <c r="C627" s="15" t="s">
        <v>1175</v>
      </c>
      <c r="D627" s="29">
        <v>1012.0</v>
      </c>
      <c r="E627" s="16">
        <f t="shared" si="1"/>
        <v>69.828</v>
      </c>
      <c r="F627" s="16">
        <f t="shared" si="2"/>
        <v>21.758</v>
      </c>
      <c r="G627" s="17">
        <v>775.43</v>
      </c>
      <c r="H627" s="18">
        <v>0.1</v>
      </c>
      <c r="I627" s="16">
        <f t="shared" si="17"/>
        <v>101.2</v>
      </c>
      <c r="J627" s="29">
        <v>62.5</v>
      </c>
      <c r="K627" s="16">
        <f t="shared" si="4"/>
        <v>-18.716</v>
      </c>
      <c r="L627" s="19">
        <f t="shared" si="5"/>
        <v>-0.02413628567</v>
      </c>
      <c r="M627" s="16">
        <f t="shared" si="6"/>
        <v>756.714</v>
      </c>
      <c r="N627" s="20"/>
    </row>
    <row r="628">
      <c r="A628" s="30"/>
      <c r="B628" s="30" t="s">
        <v>1176</v>
      </c>
      <c r="C628" s="15" t="s">
        <v>1177</v>
      </c>
      <c r="D628" s="16">
        <v>899.0</v>
      </c>
      <c r="E628" s="16">
        <f t="shared" si="1"/>
        <v>62.031</v>
      </c>
      <c r="F628" s="16">
        <f t="shared" si="2"/>
        <v>19.3285</v>
      </c>
      <c r="G628" s="17">
        <v>620.0</v>
      </c>
      <c r="H628" s="18">
        <v>0.1</v>
      </c>
      <c r="I628" s="16">
        <f t="shared" si="17"/>
        <v>89.9</v>
      </c>
      <c r="J628" s="29">
        <v>75.0</v>
      </c>
      <c r="K628" s="16">
        <f t="shared" si="4"/>
        <v>32.7405</v>
      </c>
      <c r="L628" s="19">
        <f t="shared" si="5"/>
        <v>0.05280725806</v>
      </c>
      <c r="M628" s="16">
        <f t="shared" si="6"/>
        <v>652.7405</v>
      </c>
      <c r="N628" s="20"/>
    </row>
    <row r="629">
      <c r="A629" s="30"/>
      <c r="B629" s="30" t="s">
        <v>1178</v>
      </c>
      <c r="C629" s="15" t="s">
        <v>1179</v>
      </c>
      <c r="D629" s="29">
        <v>8499.0</v>
      </c>
      <c r="E629" s="16">
        <f t="shared" si="1"/>
        <v>586.431</v>
      </c>
      <c r="F629" s="16">
        <f t="shared" si="2"/>
        <v>182.7285</v>
      </c>
      <c r="G629" s="32">
        <v>6576.0</v>
      </c>
      <c r="H629" s="18">
        <v>0.145</v>
      </c>
      <c r="I629" s="16">
        <f t="shared" si="17"/>
        <v>1232.355</v>
      </c>
      <c r="J629" s="29">
        <v>75.0</v>
      </c>
      <c r="K629" s="16">
        <f t="shared" si="4"/>
        <v>-153.5145</v>
      </c>
      <c r="L629" s="19">
        <f t="shared" si="5"/>
        <v>-0.02334466241</v>
      </c>
      <c r="M629" s="16">
        <f t="shared" si="6"/>
        <v>6422.4855</v>
      </c>
      <c r="N629" s="20"/>
    </row>
    <row r="630">
      <c r="A630" s="30"/>
      <c r="B630" s="30" t="s">
        <v>1180</v>
      </c>
      <c r="C630" s="15" t="s">
        <v>1179</v>
      </c>
      <c r="D630" s="29">
        <v>8399.0</v>
      </c>
      <c r="E630" s="16">
        <f t="shared" si="1"/>
        <v>579.531</v>
      </c>
      <c r="F630" s="16">
        <f t="shared" si="2"/>
        <v>180.5785</v>
      </c>
      <c r="G630" s="32">
        <v>6800.0</v>
      </c>
      <c r="H630" s="18">
        <v>0.1</v>
      </c>
      <c r="I630" s="16">
        <f t="shared" si="17"/>
        <v>839.9</v>
      </c>
      <c r="J630" s="29">
        <v>79.0</v>
      </c>
      <c r="K630" s="16">
        <f t="shared" si="4"/>
        <v>-80.0095</v>
      </c>
      <c r="L630" s="19">
        <f t="shared" si="5"/>
        <v>-0.01176610294</v>
      </c>
      <c r="M630" s="16">
        <f t="shared" si="6"/>
        <v>6719.9905</v>
      </c>
      <c r="N630" s="20"/>
    </row>
    <row r="631">
      <c r="A631" s="30"/>
      <c r="B631" s="30" t="s">
        <v>1181</v>
      </c>
      <c r="C631" s="15" t="s">
        <v>1182</v>
      </c>
      <c r="D631" s="29">
        <v>4389.0</v>
      </c>
      <c r="E631" s="16">
        <f t="shared" si="1"/>
        <v>302.841</v>
      </c>
      <c r="F631" s="16">
        <f t="shared" si="2"/>
        <v>94.3635</v>
      </c>
      <c r="G631" s="32">
        <v>3295.7</v>
      </c>
      <c r="H631" s="18">
        <v>0.145</v>
      </c>
      <c r="I631" s="16">
        <f t="shared" si="17"/>
        <v>636.405</v>
      </c>
      <c r="J631" s="29">
        <v>100.0</v>
      </c>
      <c r="K631" s="16">
        <f t="shared" si="4"/>
        <v>-40.3095</v>
      </c>
      <c r="L631" s="19">
        <f t="shared" si="5"/>
        <v>-0.01223093728</v>
      </c>
      <c r="M631" s="16">
        <f t="shared" si="6"/>
        <v>3255.3905</v>
      </c>
      <c r="N631" s="20"/>
    </row>
    <row r="632">
      <c r="A632" s="30"/>
      <c r="B632" s="30" t="s">
        <v>1183</v>
      </c>
      <c r="C632" s="15" t="s">
        <v>1184</v>
      </c>
      <c r="D632" s="16">
        <v>1399.0</v>
      </c>
      <c r="E632" s="16">
        <f t="shared" si="1"/>
        <v>96.531</v>
      </c>
      <c r="F632" s="16">
        <f t="shared" si="2"/>
        <v>30.0785</v>
      </c>
      <c r="G632" s="17">
        <v>699.0</v>
      </c>
      <c r="H632" s="18">
        <v>0.15</v>
      </c>
      <c r="I632" s="16">
        <f t="shared" si="17"/>
        <v>209.85</v>
      </c>
      <c r="J632" s="16"/>
      <c r="K632" s="16">
        <f t="shared" si="4"/>
        <v>363.5405</v>
      </c>
      <c r="L632" s="19">
        <f t="shared" si="5"/>
        <v>0.5200865522</v>
      </c>
      <c r="M632" s="16">
        <f t="shared" si="6"/>
        <v>1062.5405</v>
      </c>
      <c r="N632" s="20"/>
    </row>
    <row r="633">
      <c r="A633" s="34" t="s">
        <v>1185</v>
      </c>
      <c r="B633" s="30" t="s">
        <v>1186</v>
      </c>
      <c r="C633" s="15" t="s">
        <v>1187</v>
      </c>
      <c r="D633" s="29">
        <v>619.0</v>
      </c>
      <c r="E633" s="16">
        <f t="shared" si="1"/>
        <v>42.711</v>
      </c>
      <c r="F633" s="16">
        <f t="shared" si="2"/>
        <v>13.3085</v>
      </c>
      <c r="G633" s="32">
        <v>437.02</v>
      </c>
      <c r="H633" s="18">
        <v>0.1</v>
      </c>
      <c r="I633" s="16">
        <f t="shared" si="17"/>
        <v>61.9</v>
      </c>
      <c r="J633" s="29">
        <v>79.0</v>
      </c>
      <c r="K633" s="16">
        <f t="shared" si="4"/>
        <v>-14.9395</v>
      </c>
      <c r="L633" s="19">
        <f t="shared" si="5"/>
        <v>-0.03418493433</v>
      </c>
      <c r="M633" s="16">
        <f t="shared" si="6"/>
        <v>422.0805</v>
      </c>
      <c r="N633" s="20"/>
    </row>
    <row r="634">
      <c r="A634" s="34" t="s">
        <v>1188</v>
      </c>
      <c r="B634" s="30" t="s">
        <v>1189</v>
      </c>
      <c r="C634" s="15" t="s">
        <v>1190</v>
      </c>
      <c r="D634" s="29">
        <v>3899.0</v>
      </c>
      <c r="E634" s="16">
        <f t="shared" si="1"/>
        <v>269.031</v>
      </c>
      <c r="F634" s="16">
        <f t="shared" si="2"/>
        <v>83.8285</v>
      </c>
      <c r="G634" s="32">
        <v>2380.0</v>
      </c>
      <c r="H634" s="18">
        <v>0.15</v>
      </c>
      <c r="I634" s="16">
        <f t="shared" si="17"/>
        <v>584.85</v>
      </c>
      <c r="J634" s="29">
        <v>100.0</v>
      </c>
      <c r="K634" s="16">
        <f t="shared" si="4"/>
        <v>481.2905</v>
      </c>
      <c r="L634" s="19">
        <f t="shared" si="5"/>
        <v>0.2022228992</v>
      </c>
      <c r="M634" s="16">
        <f t="shared" si="6"/>
        <v>2861.2905</v>
      </c>
      <c r="N634" s="20"/>
    </row>
    <row r="635">
      <c r="A635" s="30"/>
      <c r="B635" s="30" t="s">
        <v>1191</v>
      </c>
      <c r="C635" s="15" t="s">
        <v>1192</v>
      </c>
      <c r="D635" s="29">
        <v>4191.0</v>
      </c>
      <c r="E635" s="16">
        <f t="shared" si="1"/>
        <v>289.179</v>
      </c>
      <c r="F635" s="16">
        <f t="shared" si="2"/>
        <v>90.1065</v>
      </c>
      <c r="G635" s="32">
        <v>3165.54</v>
      </c>
      <c r="H635" s="18">
        <v>0.145</v>
      </c>
      <c r="I635" s="16">
        <f t="shared" si="17"/>
        <v>607.695</v>
      </c>
      <c r="J635" s="29">
        <v>65.5</v>
      </c>
      <c r="K635" s="16">
        <f t="shared" si="4"/>
        <v>-27.0205</v>
      </c>
      <c r="L635" s="19">
        <f t="shared" si="5"/>
        <v>-0.008535826431</v>
      </c>
      <c r="M635" s="16">
        <f t="shared" si="6"/>
        <v>3138.5195</v>
      </c>
      <c r="N635" s="20"/>
    </row>
    <row r="636">
      <c r="A636" s="30"/>
      <c r="B636" s="30" t="s">
        <v>1193</v>
      </c>
      <c r="C636" s="15" t="s">
        <v>1194</v>
      </c>
      <c r="D636" s="29">
        <v>199.0</v>
      </c>
      <c r="E636" s="16">
        <f t="shared" si="1"/>
        <v>13.731</v>
      </c>
      <c r="F636" s="16">
        <f t="shared" si="2"/>
        <v>4.2785</v>
      </c>
      <c r="G636" s="17">
        <v>135.0</v>
      </c>
      <c r="H636" s="18">
        <v>0.15</v>
      </c>
      <c r="I636" s="16">
        <f t="shared" si="17"/>
        <v>29.85</v>
      </c>
      <c r="J636" s="29">
        <v>30.0</v>
      </c>
      <c r="K636" s="16">
        <f t="shared" si="4"/>
        <v>-13.8595</v>
      </c>
      <c r="L636" s="19">
        <f t="shared" si="5"/>
        <v>-0.102662963</v>
      </c>
      <c r="M636" s="16">
        <f t="shared" si="6"/>
        <v>121.1405</v>
      </c>
      <c r="N636" s="20"/>
    </row>
    <row r="637">
      <c r="A637" s="30"/>
      <c r="B637" s="30" t="s">
        <v>1195</v>
      </c>
      <c r="C637" s="15" t="s">
        <v>1194</v>
      </c>
      <c r="D637" s="29">
        <v>184.0</v>
      </c>
      <c r="E637" s="16">
        <f t="shared" si="1"/>
        <v>12.696</v>
      </c>
      <c r="F637" s="16">
        <f t="shared" si="2"/>
        <v>3.956</v>
      </c>
      <c r="G637" s="17">
        <v>135.0</v>
      </c>
      <c r="H637" s="18">
        <v>0.15</v>
      </c>
      <c r="I637" s="16">
        <f t="shared" si="17"/>
        <v>27.6</v>
      </c>
      <c r="J637" s="29">
        <v>30.0</v>
      </c>
      <c r="K637" s="16">
        <f t="shared" si="4"/>
        <v>-25.252</v>
      </c>
      <c r="L637" s="19">
        <f t="shared" si="5"/>
        <v>-0.1870518519</v>
      </c>
      <c r="M637" s="16">
        <f t="shared" si="6"/>
        <v>109.748</v>
      </c>
      <c r="N637" s="20"/>
    </row>
    <row r="638">
      <c r="A638" s="34" t="s">
        <v>1196</v>
      </c>
      <c r="B638" s="30" t="s">
        <v>1197</v>
      </c>
      <c r="C638" s="15" t="s">
        <v>1198</v>
      </c>
      <c r="D638" s="29">
        <v>210.0</v>
      </c>
      <c r="E638" s="16">
        <f t="shared" si="1"/>
        <v>14.49</v>
      </c>
      <c r="F638" s="16">
        <f t="shared" si="2"/>
        <v>4.515</v>
      </c>
      <c r="G638" s="17">
        <v>135.0</v>
      </c>
      <c r="H638" s="18">
        <v>0.15</v>
      </c>
      <c r="I638" s="16">
        <f t="shared" si="17"/>
        <v>31.5</v>
      </c>
      <c r="J638" s="29">
        <v>30.0</v>
      </c>
      <c r="K638" s="16">
        <f t="shared" si="4"/>
        <v>-5.505</v>
      </c>
      <c r="L638" s="19">
        <f t="shared" si="5"/>
        <v>-0.04077777778</v>
      </c>
      <c r="M638" s="16">
        <f t="shared" si="6"/>
        <v>129.495</v>
      </c>
      <c r="N638" s="20"/>
    </row>
    <row r="639">
      <c r="A639" s="34"/>
      <c r="B639" s="34" t="s">
        <v>1196</v>
      </c>
      <c r="C639" s="15" t="s">
        <v>1198</v>
      </c>
      <c r="D639" s="29">
        <v>210.0</v>
      </c>
      <c r="E639" s="16">
        <f t="shared" si="1"/>
        <v>14.49</v>
      </c>
      <c r="F639" s="16">
        <f t="shared" si="2"/>
        <v>4.515</v>
      </c>
      <c r="G639" s="17">
        <v>135.0</v>
      </c>
      <c r="H639" s="18">
        <v>0.15</v>
      </c>
      <c r="I639" s="16">
        <f t="shared" si="17"/>
        <v>31.5</v>
      </c>
      <c r="J639" s="29">
        <v>30.0</v>
      </c>
      <c r="K639" s="16">
        <f t="shared" si="4"/>
        <v>-5.505</v>
      </c>
      <c r="L639" s="19">
        <f t="shared" si="5"/>
        <v>-0.04077777778</v>
      </c>
      <c r="M639" s="16">
        <f t="shared" si="6"/>
        <v>129.495</v>
      </c>
      <c r="N639" s="20"/>
    </row>
    <row r="640">
      <c r="A640" s="30"/>
      <c r="B640" s="30" t="s">
        <v>1199</v>
      </c>
      <c r="C640" s="15" t="s">
        <v>1198</v>
      </c>
      <c r="D640" s="16">
        <v>299.0</v>
      </c>
      <c r="E640" s="16">
        <f t="shared" si="1"/>
        <v>20.631</v>
      </c>
      <c r="F640" s="16">
        <f t="shared" si="2"/>
        <v>6.4285</v>
      </c>
      <c r="G640" s="17">
        <v>135.0</v>
      </c>
      <c r="H640" s="18">
        <v>0.15</v>
      </c>
      <c r="I640" s="16">
        <f t="shared" si="17"/>
        <v>44.85</v>
      </c>
      <c r="J640" s="16"/>
      <c r="K640" s="16">
        <f t="shared" si="4"/>
        <v>92.0905</v>
      </c>
      <c r="L640" s="19">
        <f t="shared" si="5"/>
        <v>0.6821518519</v>
      </c>
      <c r="M640" s="16">
        <f t="shared" si="6"/>
        <v>227.0905</v>
      </c>
      <c r="N640" s="20"/>
    </row>
    <row r="641">
      <c r="A641" s="30"/>
      <c r="B641" s="30" t="s">
        <v>1200</v>
      </c>
      <c r="C641" s="15" t="s">
        <v>1201</v>
      </c>
      <c r="D641" s="29">
        <v>199.0</v>
      </c>
      <c r="E641" s="16">
        <f t="shared" si="1"/>
        <v>13.731</v>
      </c>
      <c r="F641" s="16">
        <f t="shared" si="2"/>
        <v>4.2785</v>
      </c>
      <c r="G641" s="17">
        <v>100.0</v>
      </c>
      <c r="H641" s="18">
        <v>0.15</v>
      </c>
      <c r="I641" s="16">
        <f t="shared" si="17"/>
        <v>29.85</v>
      </c>
      <c r="J641" s="29">
        <v>30.0</v>
      </c>
      <c r="K641" s="16">
        <f t="shared" si="4"/>
        <v>21.1405</v>
      </c>
      <c r="L641" s="19">
        <f t="shared" si="5"/>
        <v>0.211405</v>
      </c>
      <c r="M641" s="16">
        <f t="shared" si="6"/>
        <v>121.1405</v>
      </c>
      <c r="N641" s="20"/>
    </row>
    <row r="642">
      <c r="A642" s="30"/>
      <c r="B642" s="30" t="s">
        <v>1202</v>
      </c>
      <c r="C642" s="15" t="s">
        <v>1203</v>
      </c>
      <c r="D642" s="16">
        <v>7499.0</v>
      </c>
      <c r="E642" s="16">
        <f t="shared" si="1"/>
        <v>517.431</v>
      </c>
      <c r="F642" s="16">
        <f t="shared" si="2"/>
        <v>161.2285</v>
      </c>
      <c r="G642" s="17">
        <v>5732.56</v>
      </c>
      <c r="H642" s="18">
        <v>0.145</v>
      </c>
      <c r="I642" s="16">
        <f t="shared" si="17"/>
        <v>1087.355</v>
      </c>
      <c r="J642" s="29">
        <v>75.0</v>
      </c>
      <c r="K642" s="16">
        <f t="shared" si="4"/>
        <v>-74.5745</v>
      </c>
      <c r="L642" s="19">
        <f t="shared" si="5"/>
        <v>-0.01300893493</v>
      </c>
      <c r="M642" s="16">
        <f t="shared" si="6"/>
        <v>5657.9855</v>
      </c>
      <c r="N642" s="20"/>
    </row>
    <row r="643">
      <c r="A643" s="30"/>
      <c r="B643" s="30" t="s">
        <v>1204</v>
      </c>
      <c r="C643" s="15" t="s">
        <v>1205</v>
      </c>
      <c r="D643" s="16">
        <v>729.0</v>
      </c>
      <c r="E643" s="16">
        <f t="shared" si="1"/>
        <v>50.301</v>
      </c>
      <c r="F643" s="16">
        <f t="shared" si="2"/>
        <v>15.6735</v>
      </c>
      <c r="G643" s="32">
        <v>429.59</v>
      </c>
      <c r="H643" s="18">
        <v>0.1</v>
      </c>
      <c r="I643" s="16">
        <f t="shared" ref="I643:I644" si="18">H643*D643+30</f>
        <v>102.9</v>
      </c>
      <c r="J643" s="29">
        <v>65.5</v>
      </c>
      <c r="K643" s="16">
        <f t="shared" si="4"/>
        <v>65.0355</v>
      </c>
      <c r="L643" s="19">
        <f t="shared" si="5"/>
        <v>0.1513896972</v>
      </c>
      <c r="M643" s="16">
        <f t="shared" si="6"/>
        <v>494.6255</v>
      </c>
      <c r="N643" s="20"/>
    </row>
    <row r="644">
      <c r="A644" s="30"/>
      <c r="B644" s="30" t="s">
        <v>1206</v>
      </c>
      <c r="C644" s="15" t="s">
        <v>1207</v>
      </c>
      <c r="D644" s="29">
        <v>699.0</v>
      </c>
      <c r="E644" s="16">
        <f t="shared" si="1"/>
        <v>48.231</v>
      </c>
      <c r="F644" s="16">
        <f t="shared" si="2"/>
        <v>15.0285</v>
      </c>
      <c r="G644" s="32">
        <v>495.0</v>
      </c>
      <c r="H644" s="18">
        <v>0.15</v>
      </c>
      <c r="I644" s="16">
        <f t="shared" si="18"/>
        <v>134.85</v>
      </c>
      <c r="J644" s="16"/>
      <c r="K644" s="16">
        <f t="shared" si="4"/>
        <v>5.8905</v>
      </c>
      <c r="L644" s="19">
        <f t="shared" si="5"/>
        <v>0.0119</v>
      </c>
      <c r="M644" s="16">
        <f t="shared" si="6"/>
        <v>500.8905</v>
      </c>
      <c r="N644" s="20"/>
    </row>
    <row r="645">
      <c r="A645" s="34" t="s">
        <v>1208</v>
      </c>
      <c r="B645" s="34" t="s">
        <v>1209</v>
      </c>
      <c r="C645" s="20" t="s">
        <v>1210</v>
      </c>
      <c r="D645" s="29">
        <v>1015.0</v>
      </c>
      <c r="E645" s="16">
        <f t="shared" si="1"/>
        <v>70.035</v>
      </c>
      <c r="F645" s="16">
        <f t="shared" si="2"/>
        <v>21.8225</v>
      </c>
      <c r="G645" s="32">
        <v>899.0</v>
      </c>
      <c r="H645" s="18">
        <v>0.1</v>
      </c>
      <c r="I645" s="16">
        <f t="shared" ref="I645:I715" si="19">H645*D645</f>
        <v>101.5</v>
      </c>
      <c r="J645" s="29">
        <v>79.5</v>
      </c>
      <c r="K645" s="16">
        <f t="shared" si="4"/>
        <v>-156.8575</v>
      </c>
      <c r="L645" s="19">
        <f t="shared" si="5"/>
        <v>-0.1744799778</v>
      </c>
      <c r="M645" s="16">
        <f t="shared" si="6"/>
        <v>742.1425</v>
      </c>
      <c r="N645" s="20"/>
    </row>
    <row r="646">
      <c r="A646" s="34"/>
      <c r="B646" s="34" t="s">
        <v>1211</v>
      </c>
      <c r="C646" s="20" t="s">
        <v>1212</v>
      </c>
      <c r="D646" s="29">
        <v>842.0</v>
      </c>
      <c r="E646" s="16">
        <f t="shared" si="1"/>
        <v>58.098</v>
      </c>
      <c r="F646" s="16">
        <f t="shared" si="2"/>
        <v>18.103</v>
      </c>
      <c r="G646" s="32">
        <v>631.0</v>
      </c>
      <c r="H646" s="18">
        <v>0.1</v>
      </c>
      <c r="I646" s="16">
        <f t="shared" si="19"/>
        <v>84.2</v>
      </c>
      <c r="J646" s="29">
        <v>62.0</v>
      </c>
      <c r="K646" s="16">
        <f t="shared" si="4"/>
        <v>-11.401</v>
      </c>
      <c r="L646" s="19">
        <f t="shared" si="5"/>
        <v>-0.0180681458</v>
      </c>
      <c r="M646" s="16">
        <f t="shared" si="6"/>
        <v>619.599</v>
      </c>
      <c r="N646" s="20"/>
    </row>
    <row r="647">
      <c r="A647" s="34"/>
      <c r="B647" s="39" t="s">
        <v>1213</v>
      </c>
      <c r="C647" s="20" t="s">
        <v>1212</v>
      </c>
      <c r="D647" s="29">
        <v>842.0</v>
      </c>
      <c r="E647" s="16">
        <f t="shared" si="1"/>
        <v>58.098</v>
      </c>
      <c r="F647" s="16">
        <f t="shared" si="2"/>
        <v>18.103</v>
      </c>
      <c r="G647" s="32">
        <v>631.0</v>
      </c>
      <c r="H647" s="18">
        <v>0.1</v>
      </c>
      <c r="I647" s="16">
        <f t="shared" si="19"/>
        <v>84.2</v>
      </c>
      <c r="J647" s="29">
        <v>62.0</v>
      </c>
      <c r="K647" s="16">
        <f t="shared" si="4"/>
        <v>-11.401</v>
      </c>
      <c r="L647" s="19">
        <f t="shared" si="5"/>
        <v>-0.0180681458</v>
      </c>
      <c r="M647" s="16">
        <f t="shared" si="6"/>
        <v>619.599</v>
      </c>
      <c r="N647" s="20"/>
    </row>
    <row r="648">
      <c r="A648" s="34"/>
      <c r="B648" s="34" t="s">
        <v>1214</v>
      </c>
      <c r="C648" s="20" t="s">
        <v>1215</v>
      </c>
      <c r="D648" s="29">
        <v>899.0</v>
      </c>
      <c r="E648" s="16">
        <f t="shared" si="1"/>
        <v>62.031</v>
      </c>
      <c r="F648" s="16">
        <f t="shared" si="2"/>
        <v>19.3285</v>
      </c>
      <c r="G648" s="32">
        <v>756.0</v>
      </c>
      <c r="H648" s="18">
        <v>0.1</v>
      </c>
      <c r="I648" s="16">
        <f t="shared" si="19"/>
        <v>89.9</v>
      </c>
      <c r="J648" s="29">
        <v>95.0</v>
      </c>
      <c r="K648" s="16">
        <f t="shared" si="4"/>
        <v>-123.2595</v>
      </c>
      <c r="L648" s="19">
        <f t="shared" si="5"/>
        <v>-0.1630416667</v>
      </c>
      <c r="M648" s="16">
        <f t="shared" si="6"/>
        <v>632.7405</v>
      </c>
      <c r="N648" s="20"/>
    </row>
    <row r="649">
      <c r="A649" s="34"/>
      <c r="B649" s="34" t="s">
        <v>1216</v>
      </c>
      <c r="C649" s="20" t="s">
        <v>1217</v>
      </c>
      <c r="D649" s="29">
        <v>6825.0</v>
      </c>
      <c r="E649" s="16">
        <f t="shared" si="1"/>
        <v>470.925</v>
      </c>
      <c r="F649" s="16">
        <f t="shared" si="2"/>
        <v>146.7375</v>
      </c>
      <c r="G649" s="32">
        <v>5732.0</v>
      </c>
      <c r="H649" s="18">
        <v>0.145</v>
      </c>
      <c r="I649" s="16">
        <f t="shared" si="19"/>
        <v>989.625</v>
      </c>
      <c r="J649" s="29">
        <v>79.0</v>
      </c>
      <c r="K649" s="16">
        <f t="shared" si="4"/>
        <v>-593.2875</v>
      </c>
      <c r="L649" s="19">
        <f t="shared" si="5"/>
        <v>-0.1035044487</v>
      </c>
      <c r="M649" s="16">
        <f t="shared" si="6"/>
        <v>5138.7125</v>
      </c>
      <c r="N649" s="20"/>
    </row>
    <row r="650">
      <c r="A650" s="34"/>
      <c r="B650" s="34" t="s">
        <v>1218</v>
      </c>
      <c r="C650" s="20" t="s">
        <v>1219</v>
      </c>
      <c r="D650" s="29">
        <v>99.0</v>
      </c>
      <c r="E650" s="16">
        <f t="shared" si="1"/>
        <v>6.831</v>
      </c>
      <c r="F650" s="16">
        <f t="shared" si="2"/>
        <v>2.1285</v>
      </c>
      <c r="G650" s="32">
        <v>60.0</v>
      </c>
      <c r="H650" s="18">
        <v>0.1</v>
      </c>
      <c r="I650" s="16">
        <f t="shared" si="19"/>
        <v>9.9</v>
      </c>
      <c r="J650" s="29"/>
      <c r="K650" s="16">
        <f t="shared" si="4"/>
        <v>20.1405</v>
      </c>
      <c r="L650" s="19">
        <f t="shared" si="5"/>
        <v>0.335675</v>
      </c>
      <c r="M650" s="16">
        <f t="shared" si="6"/>
        <v>80.1405</v>
      </c>
      <c r="N650" s="20"/>
    </row>
    <row r="651">
      <c r="A651" s="34"/>
      <c r="B651" s="34" t="s">
        <v>1220</v>
      </c>
      <c r="C651" s="20" t="s">
        <v>1221</v>
      </c>
      <c r="D651" s="29">
        <v>12499.0</v>
      </c>
      <c r="E651" s="16">
        <f t="shared" si="1"/>
        <v>862.431</v>
      </c>
      <c r="F651" s="16">
        <f t="shared" si="2"/>
        <v>268.7285</v>
      </c>
      <c r="G651" s="32">
        <v>9578.0</v>
      </c>
      <c r="H651" s="18">
        <v>0.145</v>
      </c>
      <c r="I651" s="16">
        <f t="shared" si="19"/>
        <v>1812.355</v>
      </c>
      <c r="J651" s="29">
        <v>79.0</v>
      </c>
      <c r="K651" s="16">
        <f t="shared" si="4"/>
        <v>-101.5145</v>
      </c>
      <c r="L651" s="19">
        <f t="shared" si="5"/>
        <v>-0.01059871581</v>
      </c>
      <c r="M651" s="16">
        <f t="shared" si="6"/>
        <v>9476.4855</v>
      </c>
      <c r="N651" s="20"/>
    </row>
    <row r="652">
      <c r="A652" s="34"/>
      <c r="B652" s="34" t="s">
        <v>1222</v>
      </c>
      <c r="C652" s="20" t="s">
        <v>1221</v>
      </c>
      <c r="D652" s="29">
        <v>12352.0</v>
      </c>
      <c r="E652" s="16">
        <f t="shared" si="1"/>
        <v>852.288</v>
      </c>
      <c r="F652" s="16">
        <f t="shared" si="2"/>
        <v>265.568</v>
      </c>
      <c r="G652" s="32">
        <v>9578.0</v>
      </c>
      <c r="H652" s="18">
        <v>0.145</v>
      </c>
      <c r="I652" s="16">
        <f t="shared" si="19"/>
        <v>1791.04</v>
      </c>
      <c r="J652" s="29">
        <v>75.0</v>
      </c>
      <c r="K652" s="16">
        <f t="shared" si="4"/>
        <v>-209.896</v>
      </c>
      <c r="L652" s="19">
        <f t="shared" si="5"/>
        <v>-0.02191438714</v>
      </c>
      <c r="M652" s="16">
        <f t="shared" si="6"/>
        <v>9368.104</v>
      </c>
      <c r="N652" s="20"/>
    </row>
    <row r="653">
      <c r="A653" s="34"/>
      <c r="B653" s="34" t="s">
        <v>1223</v>
      </c>
      <c r="C653" s="20" t="s">
        <v>1221</v>
      </c>
      <c r="D653" s="29">
        <v>12499.0</v>
      </c>
      <c r="E653" s="16">
        <f t="shared" si="1"/>
        <v>862.431</v>
      </c>
      <c r="F653" s="16">
        <f t="shared" si="2"/>
        <v>268.7285</v>
      </c>
      <c r="G653" s="32">
        <v>9578.0</v>
      </c>
      <c r="H653" s="18">
        <v>0.145</v>
      </c>
      <c r="I653" s="16">
        <f t="shared" si="19"/>
        <v>1812.355</v>
      </c>
      <c r="J653" s="29">
        <v>75.0</v>
      </c>
      <c r="K653" s="16">
        <f t="shared" si="4"/>
        <v>-97.5145</v>
      </c>
      <c r="L653" s="19">
        <f t="shared" si="5"/>
        <v>-0.01018109209</v>
      </c>
      <c r="M653" s="16">
        <f t="shared" si="6"/>
        <v>9480.4855</v>
      </c>
      <c r="N653" s="20"/>
    </row>
    <row r="654">
      <c r="A654" s="34"/>
      <c r="B654" s="34" t="s">
        <v>1224</v>
      </c>
      <c r="C654" s="20" t="s">
        <v>1225</v>
      </c>
      <c r="D654" s="29">
        <v>380.0</v>
      </c>
      <c r="E654" s="16">
        <f t="shared" si="1"/>
        <v>26.22</v>
      </c>
      <c r="F654" s="16">
        <f t="shared" si="2"/>
        <v>8.17</v>
      </c>
      <c r="G654" s="32">
        <v>212.0</v>
      </c>
      <c r="H654" s="18">
        <v>0.1</v>
      </c>
      <c r="I654" s="16">
        <f t="shared" si="19"/>
        <v>38</v>
      </c>
      <c r="J654" s="29">
        <v>75.0</v>
      </c>
      <c r="K654" s="16">
        <f t="shared" si="4"/>
        <v>20.61</v>
      </c>
      <c r="L654" s="19">
        <f t="shared" si="5"/>
        <v>0.09721698113</v>
      </c>
      <c r="M654" s="16">
        <f t="shared" si="6"/>
        <v>232.61</v>
      </c>
      <c r="N654" s="20"/>
    </row>
    <row r="655">
      <c r="A655" s="34"/>
      <c r="B655" s="34" t="s">
        <v>1226</v>
      </c>
      <c r="C655" s="25" t="s">
        <v>1227</v>
      </c>
      <c r="D655" s="29">
        <v>669.0</v>
      </c>
      <c r="E655" s="16">
        <f t="shared" si="1"/>
        <v>46.161</v>
      </c>
      <c r="F655" s="16">
        <f t="shared" si="2"/>
        <v>14.3835</v>
      </c>
      <c r="G655" s="32">
        <v>448.0</v>
      </c>
      <c r="H655" s="18">
        <v>0.1</v>
      </c>
      <c r="I655" s="16">
        <f t="shared" si="19"/>
        <v>66.9</v>
      </c>
      <c r="J655" s="29">
        <v>75.0</v>
      </c>
      <c r="K655" s="16">
        <f t="shared" si="4"/>
        <v>18.5555</v>
      </c>
      <c r="L655" s="19">
        <f t="shared" si="5"/>
        <v>0.04141852679</v>
      </c>
      <c r="M655" s="16">
        <f t="shared" si="6"/>
        <v>466.5555</v>
      </c>
      <c r="N655" s="20"/>
    </row>
    <row r="656">
      <c r="A656" s="34"/>
      <c r="B656" s="34" t="s">
        <v>1228</v>
      </c>
      <c r="C656" s="20" t="s">
        <v>1229</v>
      </c>
      <c r="D656" s="29">
        <v>2499.0</v>
      </c>
      <c r="E656" s="16">
        <f t="shared" si="1"/>
        <v>172.431</v>
      </c>
      <c r="F656" s="16">
        <f t="shared" si="2"/>
        <v>53.7285</v>
      </c>
      <c r="G656" s="32">
        <v>1900.66</v>
      </c>
      <c r="H656" s="18">
        <v>0.145</v>
      </c>
      <c r="I656" s="16">
        <f t="shared" si="19"/>
        <v>362.355</v>
      </c>
      <c r="J656" s="29">
        <v>79.0</v>
      </c>
      <c r="K656" s="16">
        <f t="shared" si="4"/>
        <v>-69.1745</v>
      </c>
      <c r="L656" s="19">
        <f t="shared" si="5"/>
        <v>-0.03639498911</v>
      </c>
      <c r="M656" s="16">
        <f t="shared" si="6"/>
        <v>1831.4855</v>
      </c>
      <c r="N656" s="20"/>
    </row>
    <row r="657">
      <c r="A657" s="34"/>
      <c r="B657" s="34" t="s">
        <v>1230</v>
      </c>
      <c r="C657" s="20" t="s">
        <v>1229</v>
      </c>
      <c r="D657" s="29">
        <v>2499.0</v>
      </c>
      <c r="E657" s="16">
        <f t="shared" si="1"/>
        <v>172.431</v>
      </c>
      <c r="F657" s="16">
        <f t="shared" si="2"/>
        <v>53.7285</v>
      </c>
      <c r="G657" s="32">
        <v>1900.66</v>
      </c>
      <c r="H657" s="18">
        <v>0.145</v>
      </c>
      <c r="I657" s="16">
        <f t="shared" si="19"/>
        <v>362.355</v>
      </c>
      <c r="J657" s="29">
        <v>79.0</v>
      </c>
      <c r="K657" s="16">
        <f t="shared" si="4"/>
        <v>-69.1745</v>
      </c>
      <c r="L657" s="19">
        <f t="shared" si="5"/>
        <v>-0.03639498911</v>
      </c>
      <c r="M657" s="16">
        <f t="shared" si="6"/>
        <v>1831.4855</v>
      </c>
      <c r="N657" s="20"/>
    </row>
    <row r="658">
      <c r="A658" s="34" t="s">
        <v>1231</v>
      </c>
      <c r="B658" s="34" t="s">
        <v>1232</v>
      </c>
      <c r="C658" s="20" t="s">
        <v>1233</v>
      </c>
      <c r="D658" s="29">
        <v>5621.0</v>
      </c>
      <c r="E658" s="16">
        <f t="shared" si="1"/>
        <v>387.849</v>
      </c>
      <c r="F658" s="16">
        <f t="shared" si="2"/>
        <v>120.8515</v>
      </c>
      <c r="G658" s="40">
        <v>4387.34</v>
      </c>
      <c r="H658" s="18">
        <v>0.145</v>
      </c>
      <c r="I658" s="16">
        <f t="shared" si="19"/>
        <v>815.045</v>
      </c>
      <c r="J658" s="29">
        <v>134.0</v>
      </c>
      <c r="K658" s="16">
        <f t="shared" si="4"/>
        <v>-224.0855</v>
      </c>
      <c r="L658" s="19">
        <f t="shared" si="5"/>
        <v>-0.05107548082</v>
      </c>
      <c r="M658" s="16">
        <f t="shared" si="6"/>
        <v>4163.2545</v>
      </c>
      <c r="N658" s="20"/>
    </row>
    <row r="659">
      <c r="A659" s="34" t="s">
        <v>1234</v>
      </c>
      <c r="B659" s="34" t="s">
        <v>1235</v>
      </c>
      <c r="C659" s="20" t="s">
        <v>1236</v>
      </c>
      <c r="D659" s="29">
        <v>699.0</v>
      </c>
      <c r="E659" s="16">
        <f t="shared" si="1"/>
        <v>48.231</v>
      </c>
      <c r="F659" s="16">
        <f t="shared" si="2"/>
        <v>15.0285</v>
      </c>
      <c r="G659" s="32">
        <v>500.0</v>
      </c>
      <c r="H659" s="18">
        <v>0.1</v>
      </c>
      <c r="I659" s="16">
        <f t="shared" si="19"/>
        <v>69.9</v>
      </c>
      <c r="J659" s="29">
        <v>65.0</v>
      </c>
      <c r="K659" s="16">
        <f t="shared" si="4"/>
        <v>0.8405</v>
      </c>
      <c r="L659" s="19">
        <f t="shared" si="5"/>
        <v>0.001681</v>
      </c>
      <c r="M659" s="16">
        <f t="shared" si="6"/>
        <v>500.8405</v>
      </c>
      <c r="N659" s="20"/>
    </row>
    <row r="660">
      <c r="A660" s="34"/>
      <c r="B660" s="34" t="s">
        <v>1237</v>
      </c>
      <c r="C660" s="20" t="s">
        <v>1238</v>
      </c>
      <c r="D660" s="29">
        <v>773.0</v>
      </c>
      <c r="E660" s="16">
        <f t="shared" si="1"/>
        <v>53.337</v>
      </c>
      <c r="F660" s="16">
        <f t="shared" si="2"/>
        <v>16.6195</v>
      </c>
      <c r="G660" s="32">
        <v>516.0</v>
      </c>
      <c r="H660" s="18">
        <v>0.1</v>
      </c>
      <c r="I660" s="16">
        <f t="shared" si="19"/>
        <v>77.3</v>
      </c>
      <c r="J660" s="29">
        <v>63.0</v>
      </c>
      <c r="K660" s="16">
        <f t="shared" si="4"/>
        <v>46.7435</v>
      </c>
      <c r="L660" s="19">
        <f t="shared" si="5"/>
        <v>0.09058817829</v>
      </c>
      <c r="M660" s="16">
        <f t="shared" si="6"/>
        <v>562.7435</v>
      </c>
      <c r="N660" s="20"/>
    </row>
    <row r="661">
      <c r="A661" s="34"/>
      <c r="B661" s="34" t="s">
        <v>1239</v>
      </c>
      <c r="C661" s="20" t="s">
        <v>1240</v>
      </c>
      <c r="D661" s="29">
        <v>579.0</v>
      </c>
      <c r="E661" s="16">
        <f t="shared" si="1"/>
        <v>39.951</v>
      </c>
      <c r="F661" s="16">
        <f t="shared" si="2"/>
        <v>12.4485</v>
      </c>
      <c r="G661" s="32">
        <v>352.0</v>
      </c>
      <c r="H661" s="18">
        <v>0.1</v>
      </c>
      <c r="I661" s="16">
        <f t="shared" si="19"/>
        <v>57.9</v>
      </c>
      <c r="J661" s="29">
        <v>63.0</v>
      </c>
      <c r="K661" s="16">
        <f t="shared" si="4"/>
        <v>53.7005</v>
      </c>
      <c r="L661" s="19">
        <f t="shared" si="5"/>
        <v>0.1525582386</v>
      </c>
      <c r="M661" s="16">
        <f t="shared" si="6"/>
        <v>405.7005</v>
      </c>
      <c r="N661" s="20"/>
    </row>
    <row r="662">
      <c r="A662" s="34"/>
      <c r="B662" s="34" t="s">
        <v>1241</v>
      </c>
      <c r="C662" s="20" t="s">
        <v>1240</v>
      </c>
      <c r="D662" s="29">
        <v>707.0</v>
      </c>
      <c r="E662" s="16">
        <f t="shared" si="1"/>
        <v>48.783</v>
      </c>
      <c r="F662" s="16">
        <f t="shared" si="2"/>
        <v>15.2005</v>
      </c>
      <c r="G662" s="32">
        <v>352.0</v>
      </c>
      <c r="H662" s="18">
        <v>0.1</v>
      </c>
      <c r="I662" s="16">
        <f t="shared" si="19"/>
        <v>70.7</v>
      </c>
      <c r="J662" s="29">
        <v>63.0</v>
      </c>
      <c r="K662" s="16">
        <f t="shared" si="4"/>
        <v>157.3165</v>
      </c>
      <c r="L662" s="19">
        <f t="shared" si="5"/>
        <v>0.446921875</v>
      </c>
      <c r="M662" s="16">
        <f t="shared" si="6"/>
        <v>509.3165</v>
      </c>
      <c r="N662" s="20"/>
    </row>
    <row r="663">
      <c r="A663" s="34"/>
      <c r="B663" s="34" t="s">
        <v>1242</v>
      </c>
      <c r="C663" s="20" t="s">
        <v>1243</v>
      </c>
      <c r="D663" s="29">
        <v>138.0</v>
      </c>
      <c r="E663" s="16">
        <f t="shared" si="1"/>
        <v>9.522</v>
      </c>
      <c r="F663" s="16">
        <f t="shared" si="2"/>
        <v>2.967</v>
      </c>
      <c r="G663" s="32">
        <v>85.0</v>
      </c>
      <c r="H663" s="18">
        <v>0.15</v>
      </c>
      <c r="I663" s="16">
        <f t="shared" si="19"/>
        <v>20.7</v>
      </c>
      <c r="J663" s="29">
        <v>30.0</v>
      </c>
      <c r="K663" s="16">
        <f t="shared" si="4"/>
        <v>-10.189</v>
      </c>
      <c r="L663" s="19">
        <f t="shared" si="5"/>
        <v>-0.1198705882</v>
      </c>
      <c r="M663" s="16">
        <f t="shared" si="6"/>
        <v>74.811</v>
      </c>
      <c r="N663" s="20"/>
    </row>
    <row r="664">
      <c r="A664" s="34" t="s">
        <v>1244</v>
      </c>
      <c r="B664" s="34" t="s">
        <v>1245</v>
      </c>
      <c r="C664" s="20" t="s">
        <v>1246</v>
      </c>
      <c r="D664" s="29">
        <v>9999.0</v>
      </c>
      <c r="E664" s="16">
        <f t="shared" si="1"/>
        <v>689.931</v>
      </c>
      <c r="F664" s="16">
        <f t="shared" si="2"/>
        <v>214.9785</v>
      </c>
      <c r="G664" s="32">
        <v>7700.79</v>
      </c>
      <c r="H664" s="18">
        <v>0.145</v>
      </c>
      <c r="I664" s="16">
        <f t="shared" si="19"/>
        <v>1449.855</v>
      </c>
      <c r="J664" s="29">
        <v>270.0</v>
      </c>
      <c r="K664" s="16">
        <f t="shared" si="4"/>
        <v>-326.5545</v>
      </c>
      <c r="L664" s="19">
        <f t="shared" si="5"/>
        <v>-0.04240532465</v>
      </c>
      <c r="M664" s="16">
        <f t="shared" si="6"/>
        <v>7374.2355</v>
      </c>
      <c r="N664" s="20"/>
    </row>
    <row r="665">
      <c r="A665" s="34" t="s">
        <v>1247</v>
      </c>
      <c r="B665" s="34" t="s">
        <v>1248</v>
      </c>
      <c r="C665" s="20" t="s">
        <v>1249</v>
      </c>
      <c r="D665" s="29">
        <v>1099.0</v>
      </c>
      <c r="E665" s="16">
        <f t="shared" si="1"/>
        <v>75.831</v>
      </c>
      <c r="F665" s="16">
        <f t="shared" si="2"/>
        <v>23.6285</v>
      </c>
      <c r="G665" s="32">
        <v>765.0</v>
      </c>
      <c r="H665" s="18">
        <v>0.1</v>
      </c>
      <c r="I665" s="16">
        <f t="shared" si="19"/>
        <v>109.9</v>
      </c>
      <c r="J665" s="29">
        <v>65.0</v>
      </c>
      <c r="K665" s="16">
        <f t="shared" si="4"/>
        <v>59.6405</v>
      </c>
      <c r="L665" s="19">
        <f t="shared" si="5"/>
        <v>0.07796143791</v>
      </c>
      <c r="M665" s="16">
        <f t="shared" si="6"/>
        <v>824.6405</v>
      </c>
      <c r="N665" s="20"/>
    </row>
    <row r="666">
      <c r="A666" s="34" t="s">
        <v>1250</v>
      </c>
      <c r="B666" s="34" t="s">
        <v>1251</v>
      </c>
      <c r="C666" s="20" t="s">
        <v>1252</v>
      </c>
      <c r="D666" s="29">
        <v>6499.0</v>
      </c>
      <c r="E666" s="16">
        <f t="shared" si="1"/>
        <v>448.431</v>
      </c>
      <c r="F666" s="16">
        <f t="shared" si="2"/>
        <v>139.7285</v>
      </c>
      <c r="G666" s="32">
        <v>5490.0</v>
      </c>
      <c r="H666" s="18">
        <v>0.145</v>
      </c>
      <c r="I666" s="16">
        <f t="shared" si="19"/>
        <v>942.355</v>
      </c>
      <c r="J666" s="29">
        <v>95.0</v>
      </c>
      <c r="K666" s="16">
        <f t="shared" si="4"/>
        <v>-616.5145</v>
      </c>
      <c r="L666" s="19">
        <f t="shared" si="5"/>
        <v>-0.1122977231</v>
      </c>
      <c r="M666" s="16">
        <f t="shared" si="6"/>
        <v>4873.4855</v>
      </c>
      <c r="N666" s="20"/>
    </row>
    <row r="667">
      <c r="A667" s="34" t="s">
        <v>1253</v>
      </c>
      <c r="B667" s="34" t="s">
        <v>1254</v>
      </c>
      <c r="C667" s="20" t="s">
        <v>1255</v>
      </c>
      <c r="D667" s="29">
        <v>5699.0</v>
      </c>
      <c r="E667" s="16">
        <f t="shared" si="1"/>
        <v>393.231</v>
      </c>
      <c r="F667" s="16">
        <f t="shared" si="2"/>
        <v>122.5285</v>
      </c>
      <c r="G667" s="32">
        <v>4270.4</v>
      </c>
      <c r="H667" s="18">
        <v>0.145</v>
      </c>
      <c r="I667" s="16">
        <f t="shared" si="19"/>
        <v>826.355</v>
      </c>
      <c r="J667" s="29">
        <v>134.0</v>
      </c>
      <c r="K667" s="16">
        <f t="shared" si="4"/>
        <v>-47.5145</v>
      </c>
      <c r="L667" s="19">
        <f t="shared" si="5"/>
        <v>-0.01112647527</v>
      </c>
      <c r="M667" s="16">
        <f t="shared" si="6"/>
        <v>4222.8855</v>
      </c>
      <c r="N667" s="20"/>
    </row>
    <row r="668">
      <c r="A668" s="34" t="s">
        <v>1256</v>
      </c>
      <c r="B668" s="34" t="s">
        <v>1257</v>
      </c>
      <c r="C668" s="20" t="s">
        <v>1258</v>
      </c>
      <c r="D668" s="29">
        <v>4899.0</v>
      </c>
      <c r="E668" s="16">
        <f t="shared" si="1"/>
        <v>338.031</v>
      </c>
      <c r="F668" s="16">
        <f t="shared" si="2"/>
        <v>105.3285</v>
      </c>
      <c r="G668" s="32">
        <v>3621.89</v>
      </c>
      <c r="H668" s="18">
        <v>0.145</v>
      </c>
      <c r="I668" s="16">
        <f t="shared" si="19"/>
        <v>710.355</v>
      </c>
      <c r="J668" s="29">
        <v>122.5</v>
      </c>
      <c r="K668" s="16">
        <f t="shared" si="4"/>
        <v>0.8955</v>
      </c>
      <c r="L668" s="19">
        <f t="shared" si="5"/>
        <v>0.0002472466033</v>
      </c>
      <c r="M668" s="16">
        <f t="shared" si="6"/>
        <v>3622.7855</v>
      </c>
      <c r="N668" s="20"/>
    </row>
    <row r="669">
      <c r="A669" s="34" t="s">
        <v>1259</v>
      </c>
      <c r="B669" s="34" t="s">
        <v>1260</v>
      </c>
      <c r="C669" s="20" t="s">
        <v>1261</v>
      </c>
      <c r="D669" s="29">
        <v>4584.0</v>
      </c>
      <c r="E669" s="16">
        <f t="shared" si="1"/>
        <v>316.296</v>
      </c>
      <c r="F669" s="16">
        <f t="shared" si="2"/>
        <v>98.556</v>
      </c>
      <c r="G669" s="32">
        <v>3401.0</v>
      </c>
      <c r="H669" s="18">
        <v>0.145</v>
      </c>
      <c r="I669" s="16">
        <f t="shared" si="19"/>
        <v>664.68</v>
      </c>
      <c r="J669" s="29">
        <v>149.0</v>
      </c>
      <c r="K669" s="16">
        <f t="shared" si="4"/>
        <v>-45.532</v>
      </c>
      <c r="L669" s="19">
        <f t="shared" si="5"/>
        <v>-0.01338782711</v>
      </c>
      <c r="M669" s="16">
        <f t="shared" si="6"/>
        <v>3355.468</v>
      </c>
      <c r="N669" s="20"/>
    </row>
    <row r="670">
      <c r="A670" s="34" t="s">
        <v>1262</v>
      </c>
      <c r="B670" s="34" t="s">
        <v>1263</v>
      </c>
      <c r="C670" s="20" t="s">
        <v>1264</v>
      </c>
      <c r="D670" s="29">
        <v>319.0</v>
      </c>
      <c r="E670" s="16">
        <f t="shared" si="1"/>
        <v>22.011</v>
      </c>
      <c r="F670" s="16">
        <f t="shared" si="2"/>
        <v>6.8585</v>
      </c>
      <c r="G670" s="32">
        <v>184.0</v>
      </c>
      <c r="H670" s="18">
        <v>0.15</v>
      </c>
      <c r="I670" s="16">
        <f t="shared" si="19"/>
        <v>47.85</v>
      </c>
      <c r="J670" s="29">
        <v>63.0</v>
      </c>
      <c r="K670" s="16">
        <f t="shared" si="4"/>
        <v>-4.7195</v>
      </c>
      <c r="L670" s="19">
        <f t="shared" si="5"/>
        <v>-0.02564945652</v>
      </c>
      <c r="M670" s="16">
        <f t="shared" si="6"/>
        <v>179.2805</v>
      </c>
      <c r="N670" s="20"/>
    </row>
    <row r="671">
      <c r="A671" s="34"/>
      <c r="B671" s="34" t="s">
        <v>1265</v>
      </c>
      <c r="C671" s="20" t="s">
        <v>1266</v>
      </c>
      <c r="D671" s="29">
        <v>599.0</v>
      </c>
      <c r="E671" s="16">
        <f t="shared" si="1"/>
        <v>41.331</v>
      </c>
      <c r="F671" s="16">
        <f t="shared" si="2"/>
        <v>12.8785</v>
      </c>
      <c r="G671" s="32">
        <v>370.0</v>
      </c>
      <c r="H671" s="18">
        <v>0.15</v>
      </c>
      <c r="I671" s="16">
        <f t="shared" si="19"/>
        <v>89.85</v>
      </c>
      <c r="J671" s="29">
        <v>75.0</v>
      </c>
      <c r="K671" s="16">
        <f t="shared" si="4"/>
        <v>9.9405</v>
      </c>
      <c r="L671" s="19">
        <f t="shared" si="5"/>
        <v>0.02686621622</v>
      </c>
      <c r="M671" s="16">
        <f t="shared" si="6"/>
        <v>379.9405</v>
      </c>
      <c r="N671" s="20"/>
    </row>
    <row r="672">
      <c r="A672" s="34"/>
      <c r="B672" s="34" t="s">
        <v>1267</v>
      </c>
      <c r="C672" s="20" t="s">
        <v>1268</v>
      </c>
      <c r="D672" s="29">
        <v>699.0</v>
      </c>
      <c r="E672" s="16">
        <f t="shared" si="1"/>
        <v>48.231</v>
      </c>
      <c r="F672" s="16">
        <f t="shared" si="2"/>
        <v>15.0285</v>
      </c>
      <c r="G672" s="32">
        <v>460.0</v>
      </c>
      <c r="H672" s="18">
        <v>0.15</v>
      </c>
      <c r="I672" s="16">
        <f t="shared" si="19"/>
        <v>104.85</v>
      </c>
      <c r="J672" s="29">
        <v>75.0</v>
      </c>
      <c r="K672" s="16">
        <f t="shared" si="4"/>
        <v>-4.1095</v>
      </c>
      <c r="L672" s="19">
        <f t="shared" si="5"/>
        <v>-0.008933695652</v>
      </c>
      <c r="M672" s="16">
        <f t="shared" si="6"/>
        <v>455.8905</v>
      </c>
      <c r="N672" s="20"/>
    </row>
    <row r="673">
      <c r="A673" s="34"/>
      <c r="B673" s="34" t="s">
        <v>1269</v>
      </c>
      <c r="C673" s="20" t="s">
        <v>1270</v>
      </c>
      <c r="D673" s="29">
        <v>499.0</v>
      </c>
      <c r="E673" s="16">
        <f t="shared" si="1"/>
        <v>34.431</v>
      </c>
      <c r="F673" s="16">
        <f t="shared" si="2"/>
        <v>10.7285</v>
      </c>
      <c r="G673" s="32">
        <v>200.0</v>
      </c>
      <c r="H673" s="18">
        <v>0.195</v>
      </c>
      <c r="I673" s="16">
        <f t="shared" si="19"/>
        <v>97.305</v>
      </c>
      <c r="J673" s="29">
        <v>95.0</v>
      </c>
      <c r="K673" s="16">
        <f t="shared" si="4"/>
        <v>61.5355</v>
      </c>
      <c r="L673" s="19">
        <f t="shared" si="5"/>
        <v>0.3076775</v>
      </c>
      <c r="M673" s="16">
        <f t="shared" si="6"/>
        <v>261.5355</v>
      </c>
      <c r="N673" s="20"/>
    </row>
    <row r="674">
      <c r="A674" s="34"/>
      <c r="B674" s="34" t="s">
        <v>1271</v>
      </c>
      <c r="C674" s="20" t="s">
        <v>1272</v>
      </c>
      <c r="D674" s="29">
        <v>593.0</v>
      </c>
      <c r="E674" s="16">
        <f t="shared" si="1"/>
        <v>40.917</v>
      </c>
      <c r="F674" s="16">
        <f t="shared" si="2"/>
        <v>12.7495</v>
      </c>
      <c r="G674" s="32">
        <v>360.0</v>
      </c>
      <c r="H674" s="18">
        <v>0.15</v>
      </c>
      <c r="I674" s="16">
        <f t="shared" si="19"/>
        <v>88.95</v>
      </c>
      <c r="J674" s="29">
        <v>114.0</v>
      </c>
      <c r="K674" s="16">
        <f t="shared" si="4"/>
        <v>-23.6165</v>
      </c>
      <c r="L674" s="19">
        <f t="shared" si="5"/>
        <v>-0.06560138889</v>
      </c>
      <c r="M674" s="16">
        <f t="shared" si="6"/>
        <v>336.3835</v>
      </c>
      <c r="N674" s="20"/>
    </row>
    <row r="675">
      <c r="A675" s="34"/>
      <c r="B675" s="34" t="s">
        <v>1273</v>
      </c>
      <c r="C675" s="20" t="s">
        <v>1274</v>
      </c>
      <c r="D675" s="29">
        <v>597.0</v>
      </c>
      <c r="E675" s="16">
        <f t="shared" si="1"/>
        <v>41.193</v>
      </c>
      <c r="F675" s="16">
        <f t="shared" si="2"/>
        <v>12.8355</v>
      </c>
      <c r="G675" s="32">
        <v>360.0</v>
      </c>
      <c r="H675" s="18">
        <v>0.15</v>
      </c>
      <c r="I675" s="16">
        <f t="shared" si="19"/>
        <v>89.55</v>
      </c>
      <c r="J675" s="29">
        <v>110.0</v>
      </c>
      <c r="K675" s="16">
        <f t="shared" si="4"/>
        <v>-16.5785</v>
      </c>
      <c r="L675" s="19">
        <f t="shared" si="5"/>
        <v>-0.04605138889</v>
      </c>
      <c r="M675" s="16">
        <f t="shared" si="6"/>
        <v>343.4215</v>
      </c>
      <c r="N675" s="20"/>
    </row>
    <row r="676">
      <c r="A676" s="34"/>
      <c r="B676" s="34" t="s">
        <v>1275</v>
      </c>
      <c r="C676" s="20" t="s">
        <v>1276</v>
      </c>
      <c r="D676" s="29">
        <v>359.0</v>
      </c>
      <c r="E676" s="16">
        <f t="shared" si="1"/>
        <v>24.771</v>
      </c>
      <c r="F676" s="16">
        <f t="shared" si="2"/>
        <v>7.7185</v>
      </c>
      <c r="G676" s="32">
        <v>180.0</v>
      </c>
      <c r="H676" s="18">
        <v>0.15</v>
      </c>
      <c r="I676" s="16">
        <f t="shared" si="19"/>
        <v>53.85</v>
      </c>
      <c r="J676" s="29">
        <v>91.0</v>
      </c>
      <c r="K676" s="16">
        <f t="shared" si="4"/>
        <v>1.6605</v>
      </c>
      <c r="L676" s="19">
        <f t="shared" si="5"/>
        <v>0.009225</v>
      </c>
      <c r="M676" s="16">
        <f t="shared" si="6"/>
        <v>181.6605</v>
      </c>
      <c r="N676" s="20"/>
    </row>
    <row r="677">
      <c r="A677" s="34"/>
      <c r="B677" s="34" t="s">
        <v>1277</v>
      </c>
      <c r="C677" s="20" t="s">
        <v>1278</v>
      </c>
      <c r="D677" s="29">
        <v>525.0</v>
      </c>
      <c r="E677" s="16">
        <f t="shared" si="1"/>
        <v>36.225</v>
      </c>
      <c r="F677" s="16">
        <f t="shared" si="2"/>
        <v>11.2875</v>
      </c>
      <c r="G677" s="32">
        <v>380.0</v>
      </c>
      <c r="H677" s="18">
        <v>0.15</v>
      </c>
      <c r="I677" s="16">
        <f t="shared" si="19"/>
        <v>78.75</v>
      </c>
      <c r="J677" s="29">
        <v>75.0</v>
      </c>
      <c r="K677" s="16">
        <f t="shared" si="4"/>
        <v>-56.2625</v>
      </c>
      <c r="L677" s="19">
        <f t="shared" si="5"/>
        <v>-0.1480592105</v>
      </c>
      <c r="M677" s="16">
        <f t="shared" si="6"/>
        <v>323.7375</v>
      </c>
      <c r="N677" s="20"/>
    </row>
    <row r="678">
      <c r="A678" s="34" t="s">
        <v>1279</v>
      </c>
      <c r="B678" s="34" t="s">
        <v>1280</v>
      </c>
      <c r="C678" s="20" t="s">
        <v>1281</v>
      </c>
      <c r="D678" s="29">
        <v>883.0</v>
      </c>
      <c r="E678" s="16">
        <f t="shared" si="1"/>
        <v>60.927</v>
      </c>
      <c r="F678" s="16">
        <f t="shared" si="2"/>
        <v>18.9845</v>
      </c>
      <c r="G678" s="32">
        <v>620.0</v>
      </c>
      <c r="H678" s="18">
        <v>0.15</v>
      </c>
      <c r="I678" s="16">
        <f t="shared" si="19"/>
        <v>132.45</v>
      </c>
      <c r="J678" s="29">
        <v>79.5</v>
      </c>
      <c r="K678" s="16">
        <f t="shared" si="4"/>
        <v>-28.8615</v>
      </c>
      <c r="L678" s="19">
        <f t="shared" si="5"/>
        <v>-0.04655080645</v>
      </c>
      <c r="M678" s="16">
        <f t="shared" si="6"/>
        <v>591.1385</v>
      </c>
      <c r="N678" s="20"/>
    </row>
    <row r="679">
      <c r="A679" s="34"/>
      <c r="B679" s="34" t="s">
        <v>1282</v>
      </c>
      <c r="C679" s="15"/>
      <c r="D679" s="29">
        <v>749.0</v>
      </c>
      <c r="E679" s="16">
        <f t="shared" si="1"/>
        <v>51.681</v>
      </c>
      <c r="F679" s="16">
        <f t="shared" si="2"/>
        <v>16.1035</v>
      </c>
      <c r="G679" s="32">
        <v>516.0</v>
      </c>
      <c r="H679" s="18">
        <v>0.1</v>
      </c>
      <c r="I679" s="16">
        <f t="shared" si="19"/>
        <v>74.9</v>
      </c>
      <c r="J679" s="29">
        <v>62.0</v>
      </c>
      <c r="K679" s="16">
        <f t="shared" si="4"/>
        <v>28.3155</v>
      </c>
      <c r="L679" s="19">
        <f t="shared" si="5"/>
        <v>0.054875</v>
      </c>
      <c r="M679" s="16">
        <f t="shared" si="6"/>
        <v>544.3155</v>
      </c>
      <c r="N679" s="20"/>
    </row>
    <row r="680">
      <c r="A680" s="34"/>
      <c r="B680" s="34" t="s">
        <v>1283</v>
      </c>
      <c r="C680" s="20" t="s">
        <v>1284</v>
      </c>
      <c r="D680" s="29">
        <v>8999.0</v>
      </c>
      <c r="E680" s="16">
        <f t="shared" si="1"/>
        <v>620.931</v>
      </c>
      <c r="F680" s="16">
        <f t="shared" si="2"/>
        <v>193.4785</v>
      </c>
      <c r="G680" s="32">
        <v>7140.03</v>
      </c>
      <c r="H680" s="18">
        <v>0.145</v>
      </c>
      <c r="I680" s="16">
        <f t="shared" si="19"/>
        <v>1304.855</v>
      </c>
      <c r="J680" s="29">
        <v>155.0</v>
      </c>
      <c r="K680" s="16">
        <f t="shared" si="4"/>
        <v>-415.2945</v>
      </c>
      <c r="L680" s="19">
        <f t="shared" si="5"/>
        <v>-0.05816425141</v>
      </c>
      <c r="M680" s="16">
        <f t="shared" si="6"/>
        <v>6724.7355</v>
      </c>
      <c r="N680" s="20"/>
    </row>
    <row r="681">
      <c r="A681" s="34"/>
      <c r="B681" s="34" t="s">
        <v>1285</v>
      </c>
      <c r="C681" s="20" t="s">
        <v>1286</v>
      </c>
      <c r="D681" s="29">
        <v>6770.0</v>
      </c>
      <c r="E681" s="16">
        <f t="shared" si="1"/>
        <v>467.13</v>
      </c>
      <c r="F681" s="16">
        <f t="shared" si="2"/>
        <v>145.555</v>
      </c>
      <c r="G681" s="32">
        <v>5150.73</v>
      </c>
      <c r="H681" s="18">
        <v>0.145</v>
      </c>
      <c r="I681" s="16">
        <f t="shared" si="19"/>
        <v>981.65</v>
      </c>
      <c r="J681" s="29">
        <v>114.0</v>
      </c>
      <c r="K681" s="16">
        <f t="shared" si="4"/>
        <v>-89.065</v>
      </c>
      <c r="L681" s="19">
        <f t="shared" si="5"/>
        <v>-0.0172917237</v>
      </c>
      <c r="M681" s="16">
        <f t="shared" si="6"/>
        <v>5061.665</v>
      </c>
      <c r="N681" s="20"/>
    </row>
    <row r="682">
      <c r="A682" s="34"/>
      <c r="B682" s="34" t="s">
        <v>1287</v>
      </c>
      <c r="C682" s="20" t="s">
        <v>1288</v>
      </c>
      <c r="D682" s="29">
        <v>617.0</v>
      </c>
      <c r="E682" s="16">
        <f t="shared" si="1"/>
        <v>42.573</v>
      </c>
      <c r="F682" s="16">
        <f t="shared" si="2"/>
        <v>13.2655</v>
      </c>
      <c r="G682" s="32">
        <v>437.31</v>
      </c>
      <c r="H682" s="18">
        <v>0.1</v>
      </c>
      <c r="I682" s="16">
        <f t="shared" si="19"/>
        <v>61.7</v>
      </c>
      <c r="J682" s="29">
        <v>65.0</v>
      </c>
      <c r="K682" s="16">
        <f t="shared" si="4"/>
        <v>-2.8485</v>
      </c>
      <c r="L682" s="19">
        <f t="shared" si="5"/>
        <v>-0.006513685944</v>
      </c>
      <c r="M682" s="16">
        <f t="shared" si="6"/>
        <v>434.4615</v>
      </c>
      <c r="N682" s="20"/>
    </row>
    <row r="683">
      <c r="A683" s="34"/>
      <c r="B683" s="39" t="s">
        <v>1289</v>
      </c>
      <c r="C683" s="20" t="s">
        <v>1288</v>
      </c>
      <c r="D683" s="29">
        <v>765.0</v>
      </c>
      <c r="E683" s="16">
        <f t="shared" si="1"/>
        <v>52.785</v>
      </c>
      <c r="F683" s="16">
        <f t="shared" si="2"/>
        <v>16.4475</v>
      </c>
      <c r="G683" s="32">
        <v>437.31</v>
      </c>
      <c r="H683" s="18">
        <v>0.1</v>
      </c>
      <c r="I683" s="16">
        <f t="shared" si="19"/>
        <v>76.5</v>
      </c>
      <c r="J683" s="29">
        <v>65.0</v>
      </c>
      <c r="K683" s="16">
        <f t="shared" si="4"/>
        <v>116.9575</v>
      </c>
      <c r="L683" s="19">
        <f t="shared" si="5"/>
        <v>0.2674475772</v>
      </c>
      <c r="M683" s="16">
        <f t="shared" si="6"/>
        <v>554.2675</v>
      </c>
      <c r="N683" s="20"/>
    </row>
    <row r="684">
      <c r="A684" s="34"/>
      <c r="B684" s="34" t="s">
        <v>1290</v>
      </c>
      <c r="C684" s="20" t="s">
        <v>1291</v>
      </c>
      <c r="D684" s="29">
        <v>1209.0</v>
      </c>
      <c r="E684" s="16">
        <f t="shared" si="1"/>
        <v>83.421</v>
      </c>
      <c r="F684" s="16">
        <f t="shared" si="2"/>
        <v>25.9935</v>
      </c>
      <c r="G684" s="32">
        <v>882.51</v>
      </c>
      <c r="H684" s="18">
        <v>0.1</v>
      </c>
      <c r="I684" s="16">
        <f t="shared" si="19"/>
        <v>120.9</v>
      </c>
      <c r="J684" s="29">
        <v>65.0</v>
      </c>
      <c r="K684" s="16">
        <f t="shared" si="4"/>
        <v>31.1755</v>
      </c>
      <c r="L684" s="19">
        <f t="shared" si="5"/>
        <v>0.03532594532</v>
      </c>
      <c r="M684" s="16">
        <f t="shared" si="6"/>
        <v>913.6855</v>
      </c>
      <c r="N684" s="20"/>
    </row>
    <row r="685">
      <c r="A685" s="34"/>
      <c r="B685" s="34" t="s">
        <v>1292</v>
      </c>
      <c r="C685" s="20" t="s">
        <v>1293</v>
      </c>
      <c r="D685" s="29">
        <v>772.0</v>
      </c>
      <c r="E685" s="16">
        <f t="shared" si="1"/>
        <v>53.268</v>
      </c>
      <c r="F685" s="16">
        <f t="shared" si="2"/>
        <v>16.598</v>
      </c>
      <c r="G685" s="32">
        <v>576.57</v>
      </c>
      <c r="H685" s="18">
        <v>0.1</v>
      </c>
      <c r="I685" s="16">
        <f t="shared" si="19"/>
        <v>77.2</v>
      </c>
      <c r="J685" s="29">
        <v>65.0</v>
      </c>
      <c r="K685" s="16">
        <f t="shared" si="4"/>
        <v>-16.636</v>
      </c>
      <c r="L685" s="19">
        <f t="shared" si="5"/>
        <v>-0.02885339161</v>
      </c>
      <c r="M685" s="16">
        <f t="shared" si="6"/>
        <v>559.934</v>
      </c>
      <c r="N685" s="20"/>
    </row>
    <row r="686">
      <c r="A686" s="34"/>
      <c r="B686" s="34" t="s">
        <v>1294</v>
      </c>
      <c r="C686" s="20" t="s">
        <v>1295</v>
      </c>
      <c r="D686" s="29">
        <v>3299.0</v>
      </c>
      <c r="E686" s="16">
        <f t="shared" si="1"/>
        <v>227.631</v>
      </c>
      <c r="F686" s="16">
        <f t="shared" si="2"/>
        <v>70.9285</v>
      </c>
      <c r="G686" s="32">
        <v>2610.0</v>
      </c>
      <c r="H686" s="18">
        <v>0.145</v>
      </c>
      <c r="I686" s="16">
        <f t="shared" si="19"/>
        <v>478.355</v>
      </c>
      <c r="J686" s="29">
        <v>65.0</v>
      </c>
      <c r="K686" s="16">
        <f t="shared" si="4"/>
        <v>-152.9145</v>
      </c>
      <c r="L686" s="19">
        <f t="shared" si="5"/>
        <v>-0.05858793103</v>
      </c>
      <c r="M686" s="16">
        <f t="shared" si="6"/>
        <v>2457.0855</v>
      </c>
      <c r="N686" s="20"/>
    </row>
    <row r="687">
      <c r="A687" s="34"/>
      <c r="B687" s="34" t="s">
        <v>1296</v>
      </c>
      <c r="C687" s="20" t="s">
        <v>1297</v>
      </c>
      <c r="D687" s="29">
        <v>1299.0</v>
      </c>
      <c r="E687" s="16">
        <f t="shared" si="1"/>
        <v>89.631</v>
      </c>
      <c r="F687" s="16">
        <f t="shared" si="2"/>
        <v>27.9285</v>
      </c>
      <c r="G687" s="32">
        <v>763.94</v>
      </c>
      <c r="H687" s="18">
        <v>0.1</v>
      </c>
      <c r="I687" s="16">
        <f t="shared" si="19"/>
        <v>129.9</v>
      </c>
      <c r="J687" s="29">
        <v>62.0</v>
      </c>
      <c r="K687" s="16">
        <f t="shared" si="4"/>
        <v>225.6005</v>
      </c>
      <c r="L687" s="19">
        <f t="shared" si="5"/>
        <v>0.2953118046</v>
      </c>
      <c r="M687" s="16">
        <f t="shared" si="6"/>
        <v>989.5405</v>
      </c>
      <c r="N687" s="20"/>
    </row>
    <row r="688">
      <c r="A688" s="34"/>
      <c r="B688" s="34" t="s">
        <v>1298</v>
      </c>
      <c r="C688" s="20" t="s">
        <v>1299</v>
      </c>
      <c r="D688" s="29">
        <v>2792.0</v>
      </c>
      <c r="E688" s="16">
        <f t="shared" si="1"/>
        <v>192.648</v>
      </c>
      <c r="F688" s="16">
        <f t="shared" si="2"/>
        <v>60.028</v>
      </c>
      <c r="G688" s="32">
        <v>2355.0</v>
      </c>
      <c r="H688" s="18">
        <v>0.145</v>
      </c>
      <c r="I688" s="16">
        <f t="shared" si="19"/>
        <v>404.84</v>
      </c>
      <c r="J688" s="29">
        <v>73.0</v>
      </c>
      <c r="K688" s="16">
        <f t="shared" si="4"/>
        <v>-293.516</v>
      </c>
      <c r="L688" s="19">
        <f t="shared" si="5"/>
        <v>-0.1246352442</v>
      </c>
      <c r="M688" s="16">
        <f t="shared" si="6"/>
        <v>2061.484</v>
      </c>
      <c r="N688" s="20"/>
    </row>
    <row r="689">
      <c r="A689" s="34"/>
      <c r="B689" s="34" t="s">
        <v>1300</v>
      </c>
      <c r="C689" s="20" t="s">
        <v>1301</v>
      </c>
      <c r="D689" s="29">
        <v>1163.0</v>
      </c>
      <c r="E689" s="16">
        <f t="shared" si="1"/>
        <v>80.247</v>
      </c>
      <c r="F689" s="16">
        <f t="shared" si="2"/>
        <v>25.0045</v>
      </c>
      <c r="G689" s="32">
        <v>852.0</v>
      </c>
      <c r="H689" s="18">
        <v>0.1</v>
      </c>
      <c r="I689" s="16">
        <f t="shared" si="19"/>
        <v>116.3</v>
      </c>
      <c r="J689" s="29">
        <v>79.0</v>
      </c>
      <c r="K689" s="16">
        <f t="shared" si="4"/>
        <v>10.4485</v>
      </c>
      <c r="L689" s="19">
        <f t="shared" si="5"/>
        <v>0.01226349765</v>
      </c>
      <c r="M689" s="16">
        <f t="shared" si="6"/>
        <v>862.4485</v>
      </c>
      <c r="N689" s="20"/>
    </row>
    <row r="690">
      <c r="A690" s="34" t="s">
        <v>1302</v>
      </c>
      <c r="B690" s="34" t="s">
        <v>1303</v>
      </c>
      <c r="C690" s="20" t="s">
        <v>1304</v>
      </c>
      <c r="D690" s="29">
        <v>919.0</v>
      </c>
      <c r="E690" s="16">
        <f t="shared" si="1"/>
        <v>63.411</v>
      </c>
      <c r="F690" s="16">
        <f t="shared" si="2"/>
        <v>19.7585</v>
      </c>
      <c r="G690" s="32">
        <v>590.31</v>
      </c>
      <c r="H690" s="18">
        <v>0.1</v>
      </c>
      <c r="I690" s="16">
        <f t="shared" si="19"/>
        <v>91.9</v>
      </c>
      <c r="J690" s="29">
        <v>65.0</v>
      </c>
      <c r="K690" s="16">
        <f t="shared" si="4"/>
        <v>88.6205</v>
      </c>
      <c r="L690" s="19">
        <f t="shared" si="5"/>
        <v>0.1501253579</v>
      </c>
      <c r="M690" s="16">
        <f t="shared" si="6"/>
        <v>678.9305</v>
      </c>
      <c r="N690" s="20"/>
    </row>
    <row r="691">
      <c r="A691" s="34"/>
      <c r="B691" s="34" t="s">
        <v>1305</v>
      </c>
      <c r="C691" s="20" t="s">
        <v>1306</v>
      </c>
      <c r="D691" s="29">
        <v>999.0</v>
      </c>
      <c r="E691" s="16">
        <f t="shared" si="1"/>
        <v>68.931</v>
      </c>
      <c r="F691" s="16">
        <f t="shared" si="2"/>
        <v>21.4785</v>
      </c>
      <c r="G691" s="32">
        <v>738.21</v>
      </c>
      <c r="H691" s="18">
        <v>0.1</v>
      </c>
      <c r="I691" s="16">
        <f t="shared" si="19"/>
        <v>99.9</v>
      </c>
      <c r="J691" s="29">
        <v>65.0</v>
      </c>
      <c r="K691" s="16">
        <f t="shared" si="4"/>
        <v>5.4805</v>
      </c>
      <c r="L691" s="19">
        <f t="shared" si="5"/>
        <v>0.00742403923</v>
      </c>
      <c r="M691" s="16">
        <f t="shared" si="6"/>
        <v>743.6905</v>
      </c>
      <c r="N691" s="20"/>
    </row>
    <row r="692">
      <c r="A692" s="34"/>
      <c r="B692" s="34" t="s">
        <v>1307</v>
      </c>
      <c r="C692" s="20" t="s">
        <v>1306</v>
      </c>
      <c r="D692" s="29">
        <v>999.0</v>
      </c>
      <c r="E692" s="16">
        <f t="shared" si="1"/>
        <v>68.931</v>
      </c>
      <c r="F692" s="16">
        <f t="shared" si="2"/>
        <v>21.4785</v>
      </c>
      <c r="G692" s="32">
        <v>738.21</v>
      </c>
      <c r="H692" s="18">
        <v>0.1</v>
      </c>
      <c r="I692" s="16">
        <f t="shared" si="19"/>
        <v>99.9</v>
      </c>
      <c r="J692" s="29">
        <v>65.0</v>
      </c>
      <c r="K692" s="16">
        <f t="shared" si="4"/>
        <v>5.4805</v>
      </c>
      <c r="L692" s="19">
        <f t="shared" si="5"/>
        <v>0.00742403923</v>
      </c>
      <c r="M692" s="16">
        <f t="shared" si="6"/>
        <v>743.6905</v>
      </c>
      <c r="N692" s="20"/>
    </row>
    <row r="693">
      <c r="A693" s="34"/>
      <c r="B693" s="34" t="s">
        <v>1308</v>
      </c>
      <c r="C693" s="20" t="s">
        <v>1309</v>
      </c>
      <c r="D693" s="29">
        <v>1386.0</v>
      </c>
      <c r="E693" s="16">
        <f t="shared" si="1"/>
        <v>95.634</v>
      </c>
      <c r="F693" s="16">
        <f t="shared" si="2"/>
        <v>29.799</v>
      </c>
      <c r="G693" s="32">
        <v>1048.99</v>
      </c>
      <c r="H693" s="18">
        <v>0.1</v>
      </c>
      <c r="I693" s="16">
        <f t="shared" si="19"/>
        <v>138.6</v>
      </c>
      <c r="J693" s="29">
        <v>65.0</v>
      </c>
      <c r="K693" s="16">
        <f t="shared" si="4"/>
        <v>7.977</v>
      </c>
      <c r="L693" s="19">
        <f t="shared" si="5"/>
        <v>0.007604457621</v>
      </c>
      <c r="M693" s="16">
        <f t="shared" si="6"/>
        <v>1056.967</v>
      </c>
      <c r="N693" s="20"/>
    </row>
    <row r="694">
      <c r="A694" s="23"/>
      <c r="B694" s="23" t="s">
        <v>1310</v>
      </c>
      <c r="C694" s="25" t="s">
        <v>1311</v>
      </c>
      <c r="D694" s="25">
        <v>499.0</v>
      </c>
      <c r="E694" s="16">
        <f t="shared" si="1"/>
        <v>34.431</v>
      </c>
      <c r="F694" s="16">
        <f t="shared" si="2"/>
        <v>10.7285</v>
      </c>
      <c r="G694" s="26">
        <v>264.0</v>
      </c>
      <c r="H694" s="18">
        <v>0.1</v>
      </c>
      <c r="I694" s="16">
        <f t="shared" si="19"/>
        <v>49.9</v>
      </c>
      <c r="J694" s="29">
        <v>91.0</v>
      </c>
      <c r="K694" s="16">
        <f t="shared" si="4"/>
        <v>48.9405</v>
      </c>
      <c r="L694" s="19">
        <f t="shared" si="5"/>
        <v>0.1853806818</v>
      </c>
      <c r="M694" s="16">
        <f t="shared" si="6"/>
        <v>312.9405</v>
      </c>
      <c r="N694" s="20"/>
    </row>
    <row r="695">
      <c r="A695" s="23"/>
      <c r="B695" s="23" t="s">
        <v>1312</v>
      </c>
      <c r="C695" s="25" t="s">
        <v>1313</v>
      </c>
      <c r="D695" s="25">
        <v>1999.0</v>
      </c>
      <c r="E695" s="16">
        <f t="shared" si="1"/>
        <v>137.931</v>
      </c>
      <c r="F695" s="16">
        <f t="shared" si="2"/>
        <v>42.9785</v>
      </c>
      <c r="G695" s="26">
        <v>1484.27</v>
      </c>
      <c r="H695" s="18">
        <v>0.1</v>
      </c>
      <c r="I695" s="16">
        <f t="shared" si="19"/>
        <v>199.9</v>
      </c>
      <c r="J695" s="29">
        <v>65.0</v>
      </c>
      <c r="K695" s="16">
        <f t="shared" si="4"/>
        <v>68.9205</v>
      </c>
      <c r="L695" s="19">
        <f t="shared" si="5"/>
        <v>0.04643393722</v>
      </c>
      <c r="M695" s="16">
        <f t="shared" si="6"/>
        <v>1553.1905</v>
      </c>
      <c r="N695" s="20"/>
    </row>
    <row r="696">
      <c r="A696" s="23"/>
      <c r="B696" s="23" t="s">
        <v>1314</v>
      </c>
      <c r="C696" s="24"/>
      <c r="D696" s="25">
        <v>5499.0</v>
      </c>
      <c r="E696" s="16">
        <f t="shared" si="1"/>
        <v>379.431</v>
      </c>
      <c r="F696" s="16">
        <f t="shared" si="2"/>
        <v>118.2285</v>
      </c>
      <c r="G696" s="26">
        <v>4387.74</v>
      </c>
      <c r="H696" s="18">
        <v>0.145</v>
      </c>
      <c r="I696" s="16">
        <f t="shared" si="19"/>
        <v>797.355</v>
      </c>
      <c r="J696" s="29">
        <v>79.0</v>
      </c>
      <c r="K696" s="16">
        <f t="shared" si="4"/>
        <v>-262.7545</v>
      </c>
      <c r="L696" s="19">
        <f t="shared" si="5"/>
        <v>-0.05988378983</v>
      </c>
      <c r="M696" s="16">
        <f t="shared" si="6"/>
        <v>4124.9855</v>
      </c>
      <c r="N696" s="20"/>
    </row>
    <row r="697">
      <c r="A697" s="23"/>
      <c r="B697" s="23" t="s">
        <v>1315</v>
      </c>
      <c r="C697" s="25" t="s">
        <v>1316</v>
      </c>
      <c r="D697" s="25">
        <v>1299.0</v>
      </c>
      <c r="E697" s="16">
        <f t="shared" si="1"/>
        <v>89.631</v>
      </c>
      <c r="F697" s="16">
        <f t="shared" si="2"/>
        <v>27.9285</v>
      </c>
      <c r="G697" s="26">
        <v>937.25</v>
      </c>
      <c r="H697" s="18">
        <v>0.145</v>
      </c>
      <c r="I697" s="16">
        <f t="shared" si="19"/>
        <v>188.355</v>
      </c>
      <c r="J697" s="29">
        <v>65.0</v>
      </c>
      <c r="K697" s="16">
        <f t="shared" si="4"/>
        <v>-9.1645</v>
      </c>
      <c r="L697" s="19">
        <f t="shared" si="5"/>
        <v>-0.009778074153</v>
      </c>
      <c r="M697" s="16">
        <f t="shared" si="6"/>
        <v>928.0855</v>
      </c>
      <c r="N697" s="20"/>
    </row>
    <row r="698">
      <c r="A698" s="23"/>
      <c r="B698" s="23" t="s">
        <v>1317</v>
      </c>
      <c r="C698" s="25" t="s">
        <v>1318</v>
      </c>
      <c r="D698" s="25">
        <v>3399.0</v>
      </c>
      <c r="E698" s="16">
        <f t="shared" si="1"/>
        <v>234.531</v>
      </c>
      <c r="F698" s="16">
        <f t="shared" si="2"/>
        <v>73.0785</v>
      </c>
      <c r="G698" s="26">
        <v>2672.18</v>
      </c>
      <c r="H698" s="27">
        <v>0.1</v>
      </c>
      <c r="I698" s="28">
        <f t="shared" si="19"/>
        <v>339.9</v>
      </c>
      <c r="J698" s="25">
        <v>79.0</v>
      </c>
      <c r="K698" s="16">
        <f t="shared" si="4"/>
        <v>0.3105</v>
      </c>
      <c r="L698" s="19">
        <f t="shared" si="5"/>
        <v>0.0001161972622</v>
      </c>
      <c r="M698" s="16">
        <f t="shared" si="6"/>
        <v>2672.4905</v>
      </c>
      <c r="N698" s="20"/>
    </row>
    <row r="699">
      <c r="A699" s="23"/>
      <c r="B699" s="23" t="s">
        <v>1319</v>
      </c>
      <c r="C699" s="25" t="s">
        <v>1320</v>
      </c>
      <c r="D699" s="25">
        <v>799.0</v>
      </c>
      <c r="E699" s="16">
        <f t="shared" si="1"/>
        <v>55.131</v>
      </c>
      <c r="F699" s="16">
        <f t="shared" si="2"/>
        <v>17.1785</v>
      </c>
      <c r="G699" s="26">
        <v>596.04</v>
      </c>
      <c r="H699" s="27">
        <v>0.1</v>
      </c>
      <c r="I699" s="28">
        <f t="shared" si="19"/>
        <v>79.9</v>
      </c>
      <c r="J699" s="25">
        <v>65.0</v>
      </c>
      <c r="K699" s="16">
        <f t="shared" si="4"/>
        <v>-14.2495</v>
      </c>
      <c r="L699" s="19">
        <f t="shared" si="5"/>
        <v>-0.02390695255</v>
      </c>
      <c r="M699" s="16">
        <f t="shared" si="6"/>
        <v>581.7905</v>
      </c>
      <c r="N699" s="20"/>
    </row>
    <row r="700">
      <c r="A700" s="23"/>
      <c r="B700" s="23" t="s">
        <v>1321</v>
      </c>
      <c r="C700" s="25" t="s">
        <v>1322</v>
      </c>
      <c r="D700" s="25">
        <v>763.0</v>
      </c>
      <c r="E700" s="16">
        <f t="shared" si="1"/>
        <v>52.647</v>
      </c>
      <c r="F700" s="16">
        <f t="shared" si="2"/>
        <v>16.4045</v>
      </c>
      <c r="G700" s="26">
        <v>606.33</v>
      </c>
      <c r="H700" s="27">
        <v>0.1</v>
      </c>
      <c r="I700" s="28">
        <f t="shared" si="19"/>
        <v>76.3</v>
      </c>
      <c r="J700" s="25">
        <v>65.0</v>
      </c>
      <c r="K700" s="16">
        <f t="shared" si="4"/>
        <v>-53.6815</v>
      </c>
      <c r="L700" s="19">
        <f t="shared" si="5"/>
        <v>-0.08853512114</v>
      </c>
      <c r="M700" s="16">
        <f t="shared" si="6"/>
        <v>552.6485</v>
      </c>
      <c r="N700" s="20"/>
    </row>
    <row r="701">
      <c r="A701" s="23"/>
      <c r="B701" s="23" t="s">
        <v>1323</v>
      </c>
      <c r="C701" s="25" t="s">
        <v>1324</v>
      </c>
      <c r="D701" s="25">
        <v>3160.0</v>
      </c>
      <c r="E701" s="16">
        <f t="shared" si="1"/>
        <v>218.04</v>
      </c>
      <c r="F701" s="16">
        <f t="shared" si="2"/>
        <v>67.94</v>
      </c>
      <c r="G701" s="26">
        <v>2091.42</v>
      </c>
      <c r="H701" s="27">
        <v>0.195</v>
      </c>
      <c r="I701" s="28">
        <f t="shared" si="19"/>
        <v>616.2</v>
      </c>
      <c r="J701" s="25">
        <v>134.0</v>
      </c>
      <c r="K701" s="16">
        <f t="shared" si="4"/>
        <v>32.4</v>
      </c>
      <c r="L701" s="19">
        <f t="shared" si="5"/>
        <v>0.01549186677</v>
      </c>
      <c r="M701" s="16">
        <f t="shared" si="6"/>
        <v>2123.82</v>
      </c>
      <c r="N701" s="20"/>
    </row>
    <row r="702">
      <c r="A702" s="23"/>
      <c r="B702" s="23" t="s">
        <v>1325</v>
      </c>
      <c r="C702" s="25" t="s">
        <v>1326</v>
      </c>
      <c r="D702" s="25">
        <v>4455.0</v>
      </c>
      <c r="E702" s="16">
        <f t="shared" si="1"/>
        <v>307.395</v>
      </c>
      <c r="F702" s="16">
        <f t="shared" si="2"/>
        <v>95.7825</v>
      </c>
      <c r="G702" s="26">
        <v>3342.01</v>
      </c>
      <c r="H702" s="27">
        <v>0.195</v>
      </c>
      <c r="I702" s="28">
        <f t="shared" si="19"/>
        <v>868.725</v>
      </c>
      <c r="J702" s="25">
        <v>209.0</v>
      </c>
      <c r="K702" s="16">
        <f t="shared" si="4"/>
        <v>-367.9125</v>
      </c>
      <c r="L702" s="19">
        <f t="shared" si="5"/>
        <v>-0.110087193</v>
      </c>
      <c r="M702" s="16">
        <f t="shared" si="6"/>
        <v>2974.0975</v>
      </c>
      <c r="N702" s="20"/>
    </row>
    <row r="703">
      <c r="A703" s="23"/>
      <c r="B703" s="23" t="s">
        <v>1327</v>
      </c>
      <c r="C703" s="25" t="s">
        <v>1328</v>
      </c>
      <c r="D703" s="25">
        <v>3463.0</v>
      </c>
      <c r="E703" s="16">
        <f t="shared" si="1"/>
        <v>238.947</v>
      </c>
      <c r="F703" s="16">
        <f t="shared" si="2"/>
        <v>74.4545</v>
      </c>
      <c r="G703" s="26">
        <v>2611.17</v>
      </c>
      <c r="H703" s="27">
        <v>0.145</v>
      </c>
      <c r="I703" s="28">
        <f t="shared" si="19"/>
        <v>502.135</v>
      </c>
      <c r="J703" s="25">
        <v>134.0</v>
      </c>
      <c r="K703" s="16">
        <f t="shared" si="4"/>
        <v>-97.7065</v>
      </c>
      <c r="L703" s="19">
        <f t="shared" si="5"/>
        <v>-0.03741866673</v>
      </c>
      <c r="M703" s="16">
        <f t="shared" si="6"/>
        <v>2513.4635</v>
      </c>
      <c r="N703" s="20"/>
    </row>
    <row r="704">
      <c r="A704" s="23" t="s">
        <v>1329</v>
      </c>
      <c r="B704" s="23" t="s">
        <v>1330</v>
      </c>
      <c r="C704" s="25" t="s">
        <v>1331</v>
      </c>
      <c r="D704" s="25">
        <v>4699.0</v>
      </c>
      <c r="E704" s="16">
        <f t="shared" si="1"/>
        <v>324.231</v>
      </c>
      <c r="F704" s="16">
        <f t="shared" si="2"/>
        <v>101.0285</v>
      </c>
      <c r="G704" s="26">
        <v>3549.95</v>
      </c>
      <c r="H704" s="27">
        <v>0.145</v>
      </c>
      <c r="I704" s="28">
        <f t="shared" si="19"/>
        <v>681.355</v>
      </c>
      <c r="J704" s="25">
        <v>65.0</v>
      </c>
      <c r="K704" s="16">
        <f t="shared" si="4"/>
        <v>-22.5645</v>
      </c>
      <c r="L704" s="19">
        <f t="shared" si="5"/>
        <v>-0.006356286708</v>
      </c>
      <c r="M704" s="16">
        <f t="shared" si="6"/>
        <v>3527.3855</v>
      </c>
      <c r="N704" s="20"/>
    </row>
    <row r="705">
      <c r="A705" s="23"/>
      <c r="B705" s="23" t="s">
        <v>1332</v>
      </c>
      <c r="C705" s="25" t="s">
        <v>1331</v>
      </c>
      <c r="D705" s="25">
        <v>4999.0</v>
      </c>
      <c r="E705" s="16">
        <f t="shared" si="1"/>
        <v>344.931</v>
      </c>
      <c r="F705" s="16">
        <f t="shared" si="2"/>
        <v>107.4785</v>
      </c>
      <c r="G705" s="26">
        <v>3549.95</v>
      </c>
      <c r="H705" s="27">
        <v>0.145</v>
      </c>
      <c r="I705" s="28">
        <f t="shared" si="19"/>
        <v>724.855</v>
      </c>
      <c r="J705" s="25">
        <v>65.0</v>
      </c>
      <c r="K705" s="16">
        <f t="shared" si="4"/>
        <v>206.7855</v>
      </c>
      <c r="L705" s="19">
        <f t="shared" si="5"/>
        <v>0.05825025705</v>
      </c>
      <c r="M705" s="16">
        <f t="shared" si="6"/>
        <v>3756.7355</v>
      </c>
      <c r="N705" s="20"/>
    </row>
    <row r="706">
      <c r="A706" s="23" t="s">
        <v>1333</v>
      </c>
      <c r="B706" s="23" t="s">
        <v>1334</v>
      </c>
      <c r="C706" s="25" t="s">
        <v>1331</v>
      </c>
      <c r="D706" s="25">
        <v>4699.0</v>
      </c>
      <c r="E706" s="16">
        <f t="shared" si="1"/>
        <v>324.231</v>
      </c>
      <c r="F706" s="16">
        <f t="shared" si="2"/>
        <v>101.0285</v>
      </c>
      <c r="G706" s="26">
        <v>3549.95</v>
      </c>
      <c r="H706" s="27">
        <v>0.145</v>
      </c>
      <c r="I706" s="28">
        <f t="shared" si="19"/>
        <v>681.355</v>
      </c>
      <c r="J706" s="25">
        <v>65.0</v>
      </c>
      <c r="K706" s="16">
        <f t="shared" si="4"/>
        <v>-22.5645</v>
      </c>
      <c r="L706" s="19">
        <f t="shared" si="5"/>
        <v>-0.006356286708</v>
      </c>
      <c r="M706" s="16">
        <f t="shared" si="6"/>
        <v>3527.3855</v>
      </c>
      <c r="N706" s="20"/>
    </row>
    <row r="707">
      <c r="A707" s="23" t="s">
        <v>1335</v>
      </c>
      <c r="B707" s="23" t="s">
        <v>1336</v>
      </c>
      <c r="C707" s="25" t="s">
        <v>1337</v>
      </c>
      <c r="D707" s="25">
        <v>540.0</v>
      </c>
      <c r="E707" s="16">
        <f t="shared" si="1"/>
        <v>37.26</v>
      </c>
      <c r="F707" s="16">
        <f t="shared" si="2"/>
        <v>11.61</v>
      </c>
      <c r="G707" s="26">
        <v>331.37</v>
      </c>
      <c r="H707" s="27">
        <v>0.1</v>
      </c>
      <c r="I707" s="28">
        <f t="shared" si="19"/>
        <v>54</v>
      </c>
      <c r="J707" s="25">
        <v>65.0</v>
      </c>
      <c r="K707" s="16">
        <f t="shared" si="4"/>
        <v>40.76</v>
      </c>
      <c r="L707" s="19">
        <f t="shared" si="5"/>
        <v>0.1230044965</v>
      </c>
      <c r="M707" s="16">
        <f t="shared" si="6"/>
        <v>372.13</v>
      </c>
      <c r="N707" s="20"/>
    </row>
    <row r="708">
      <c r="A708" s="23" t="s">
        <v>1338</v>
      </c>
      <c r="B708" s="23" t="s">
        <v>1339</v>
      </c>
      <c r="C708" s="25" t="s">
        <v>1337</v>
      </c>
      <c r="D708" s="25">
        <v>496.0</v>
      </c>
      <c r="E708" s="16">
        <f t="shared" si="1"/>
        <v>34.224</v>
      </c>
      <c r="F708" s="16">
        <f t="shared" si="2"/>
        <v>10.664</v>
      </c>
      <c r="G708" s="26">
        <v>342.16</v>
      </c>
      <c r="H708" s="27">
        <v>0.1</v>
      </c>
      <c r="I708" s="28">
        <f t="shared" si="19"/>
        <v>49.6</v>
      </c>
      <c r="J708" s="25">
        <v>65.0</v>
      </c>
      <c r="K708" s="16">
        <f t="shared" si="4"/>
        <v>-5.648</v>
      </c>
      <c r="L708" s="19">
        <f t="shared" si="5"/>
        <v>-0.01650689736</v>
      </c>
      <c r="M708" s="16">
        <f t="shared" si="6"/>
        <v>336.512</v>
      </c>
      <c r="N708" s="20"/>
    </row>
    <row r="709">
      <c r="A709" s="23"/>
      <c r="B709" s="23" t="s">
        <v>1340</v>
      </c>
      <c r="C709" s="25" t="s">
        <v>1341</v>
      </c>
      <c r="D709" s="25">
        <v>2999.0</v>
      </c>
      <c r="E709" s="16">
        <f t="shared" si="1"/>
        <v>206.931</v>
      </c>
      <c r="F709" s="16">
        <f t="shared" si="2"/>
        <v>64.4785</v>
      </c>
      <c r="G709" s="26">
        <v>1750.19</v>
      </c>
      <c r="H709" s="27">
        <v>0.15</v>
      </c>
      <c r="I709" s="28">
        <f t="shared" si="19"/>
        <v>449.85</v>
      </c>
      <c r="J709" s="25">
        <v>114.0</v>
      </c>
      <c r="K709" s="16">
        <f t="shared" si="4"/>
        <v>413.5505</v>
      </c>
      <c r="L709" s="19">
        <f t="shared" si="5"/>
        <v>0.2362889172</v>
      </c>
      <c r="M709" s="16">
        <f t="shared" si="6"/>
        <v>2163.7405</v>
      </c>
      <c r="N709" s="20"/>
    </row>
    <row r="710">
      <c r="A710" s="23"/>
      <c r="B710" s="23" t="s">
        <v>1342</v>
      </c>
      <c r="C710" s="25" t="s">
        <v>1343</v>
      </c>
      <c r="D710" s="25">
        <v>899.0</v>
      </c>
      <c r="E710" s="16">
        <f t="shared" si="1"/>
        <v>62.031</v>
      </c>
      <c r="F710" s="16">
        <f t="shared" si="2"/>
        <v>19.3285</v>
      </c>
      <c r="G710" s="26">
        <v>586.39</v>
      </c>
      <c r="H710" s="27">
        <v>0.1</v>
      </c>
      <c r="I710" s="28">
        <f t="shared" si="19"/>
        <v>89.9</v>
      </c>
      <c r="J710" s="25">
        <v>73.0</v>
      </c>
      <c r="K710" s="16">
        <f t="shared" si="4"/>
        <v>68.3505</v>
      </c>
      <c r="L710" s="19">
        <f t="shared" si="5"/>
        <v>0.1165615034</v>
      </c>
      <c r="M710" s="16">
        <f t="shared" si="6"/>
        <v>654.7405</v>
      </c>
      <c r="N710" s="20"/>
    </row>
    <row r="711">
      <c r="A711" s="23"/>
      <c r="B711" s="23" t="s">
        <v>1344</v>
      </c>
      <c r="C711" s="25" t="s">
        <v>1345</v>
      </c>
      <c r="D711" s="25">
        <v>1459.0</v>
      </c>
      <c r="E711" s="16">
        <f t="shared" si="1"/>
        <v>100.671</v>
      </c>
      <c r="F711" s="16">
        <f t="shared" si="2"/>
        <v>31.3685</v>
      </c>
      <c r="G711" s="26">
        <v>1054.31</v>
      </c>
      <c r="H711" s="27">
        <v>0.145</v>
      </c>
      <c r="I711" s="28">
        <f t="shared" si="19"/>
        <v>211.555</v>
      </c>
      <c r="J711" s="25">
        <v>73.0</v>
      </c>
      <c r="K711" s="16">
        <f t="shared" si="4"/>
        <v>-11.9045</v>
      </c>
      <c r="L711" s="19">
        <f t="shared" si="5"/>
        <v>-0.01129127107</v>
      </c>
      <c r="M711" s="16">
        <f t="shared" si="6"/>
        <v>1042.4055</v>
      </c>
      <c r="N711" s="20"/>
    </row>
    <row r="712">
      <c r="A712" s="23"/>
      <c r="B712" s="23" t="s">
        <v>1346</v>
      </c>
      <c r="C712" s="25" t="s">
        <v>1347</v>
      </c>
      <c r="D712" s="25">
        <v>284.0</v>
      </c>
      <c r="E712" s="16">
        <f t="shared" si="1"/>
        <v>19.596</v>
      </c>
      <c r="F712" s="16">
        <f t="shared" si="2"/>
        <v>6.106</v>
      </c>
      <c r="G712" s="26">
        <v>153.56</v>
      </c>
      <c r="H712" s="27">
        <v>0.145</v>
      </c>
      <c r="I712" s="28">
        <f t="shared" si="19"/>
        <v>41.18</v>
      </c>
      <c r="J712" s="25">
        <v>65.0</v>
      </c>
      <c r="K712" s="16">
        <f t="shared" si="4"/>
        <v>-1.442</v>
      </c>
      <c r="L712" s="19">
        <f t="shared" si="5"/>
        <v>-0.009390466267</v>
      </c>
      <c r="M712" s="16">
        <f t="shared" si="6"/>
        <v>152.118</v>
      </c>
      <c r="N712" s="20"/>
    </row>
    <row r="713">
      <c r="A713" s="23"/>
      <c r="B713" s="23" t="s">
        <v>1348</v>
      </c>
      <c r="C713" s="25" t="s">
        <v>1349</v>
      </c>
      <c r="D713" s="25">
        <v>819.0</v>
      </c>
      <c r="E713" s="16">
        <f t="shared" si="1"/>
        <v>56.511</v>
      </c>
      <c r="F713" s="16">
        <f t="shared" si="2"/>
        <v>17.6085</v>
      </c>
      <c r="G713" s="26">
        <v>580.0</v>
      </c>
      <c r="H713" s="27">
        <v>0.145</v>
      </c>
      <c r="I713" s="28">
        <f t="shared" si="19"/>
        <v>118.755</v>
      </c>
      <c r="J713" s="25">
        <v>65.0</v>
      </c>
      <c r="K713" s="16">
        <f t="shared" si="4"/>
        <v>-18.8745</v>
      </c>
      <c r="L713" s="19">
        <f t="shared" si="5"/>
        <v>-0.03254224138</v>
      </c>
      <c r="M713" s="16">
        <f t="shared" si="6"/>
        <v>561.1255</v>
      </c>
      <c r="N713" s="20"/>
    </row>
    <row r="714">
      <c r="A714" s="23"/>
      <c r="B714" s="23" t="s">
        <v>1350</v>
      </c>
      <c r="C714" s="25" t="s">
        <v>1349</v>
      </c>
      <c r="D714" s="25">
        <v>819.0</v>
      </c>
      <c r="E714" s="16">
        <f t="shared" si="1"/>
        <v>56.511</v>
      </c>
      <c r="F714" s="16">
        <f t="shared" si="2"/>
        <v>17.6085</v>
      </c>
      <c r="G714" s="26">
        <v>580.0</v>
      </c>
      <c r="H714" s="27">
        <v>0.145</v>
      </c>
      <c r="I714" s="28">
        <f t="shared" si="19"/>
        <v>118.755</v>
      </c>
      <c r="J714" s="25">
        <v>65.0</v>
      </c>
      <c r="K714" s="16">
        <f t="shared" si="4"/>
        <v>-18.8745</v>
      </c>
      <c r="L714" s="19">
        <f t="shared" si="5"/>
        <v>-0.03254224138</v>
      </c>
      <c r="M714" s="16">
        <f t="shared" si="6"/>
        <v>561.1255</v>
      </c>
      <c r="N714" s="20"/>
    </row>
    <row r="715">
      <c r="A715" s="23"/>
      <c r="B715" s="23" t="s">
        <v>1351</v>
      </c>
      <c r="C715" s="25" t="s">
        <v>1352</v>
      </c>
      <c r="D715" s="25">
        <v>3999.0</v>
      </c>
      <c r="E715" s="16">
        <f t="shared" si="1"/>
        <v>275.931</v>
      </c>
      <c r="F715" s="16">
        <f t="shared" si="2"/>
        <v>85.9785</v>
      </c>
      <c r="G715" s="26">
        <v>2730.69</v>
      </c>
      <c r="H715" s="27">
        <v>0.195</v>
      </c>
      <c r="I715" s="28">
        <f t="shared" si="19"/>
        <v>779.805</v>
      </c>
      <c r="J715" s="25">
        <v>179.0</v>
      </c>
      <c r="K715" s="16">
        <f t="shared" si="4"/>
        <v>-52.4045</v>
      </c>
      <c r="L715" s="19">
        <f t="shared" si="5"/>
        <v>-0.01919093709</v>
      </c>
      <c r="M715" s="16">
        <f t="shared" si="6"/>
        <v>2678.2855</v>
      </c>
      <c r="N715" s="20"/>
    </row>
    <row r="716">
      <c r="A716" s="22"/>
      <c r="B716" s="23" t="s">
        <v>1353</v>
      </c>
      <c r="C716" s="25" t="s">
        <v>1354</v>
      </c>
      <c r="D716" s="25">
        <v>799.0</v>
      </c>
      <c r="E716" s="16">
        <f t="shared" si="1"/>
        <v>55.131</v>
      </c>
      <c r="F716" s="16">
        <f t="shared" si="2"/>
        <v>17.1785</v>
      </c>
      <c r="G716" s="26"/>
      <c r="H716" s="27"/>
      <c r="I716" s="28"/>
      <c r="J716" s="24"/>
      <c r="K716" s="16">
        <f t="shared" si="4"/>
        <v>726.6905</v>
      </c>
      <c r="L716" s="19" t="str">
        <f t="shared" si="5"/>
        <v>#DIV/0!</v>
      </c>
      <c r="M716" s="16">
        <f t="shared" si="6"/>
        <v>726.6905</v>
      </c>
      <c r="N716" s="20"/>
    </row>
    <row r="717">
      <c r="A717" s="23" t="s">
        <v>1355</v>
      </c>
      <c r="B717" s="23" t="s">
        <v>1356</v>
      </c>
      <c r="C717" s="25" t="s">
        <v>1357</v>
      </c>
      <c r="D717" s="25">
        <v>569.0</v>
      </c>
      <c r="E717" s="16">
        <f t="shared" si="1"/>
        <v>39.261</v>
      </c>
      <c r="F717" s="16">
        <f t="shared" si="2"/>
        <v>12.2335</v>
      </c>
      <c r="G717" s="26">
        <v>384.51</v>
      </c>
      <c r="H717" s="27">
        <v>0.1</v>
      </c>
      <c r="I717" s="28">
        <f t="shared" ref="I717:I729" si="20">H717*D717</f>
        <v>56.9</v>
      </c>
      <c r="J717" s="25">
        <v>65.0</v>
      </c>
      <c r="K717" s="16">
        <f t="shared" si="4"/>
        <v>11.0955</v>
      </c>
      <c r="L717" s="19">
        <f t="shared" si="5"/>
        <v>0.0288562066</v>
      </c>
      <c r="M717" s="16">
        <f t="shared" si="6"/>
        <v>395.6055</v>
      </c>
      <c r="N717" s="20"/>
    </row>
    <row r="718">
      <c r="A718" s="23" t="s">
        <v>1358</v>
      </c>
      <c r="B718" s="23" t="s">
        <v>1359</v>
      </c>
      <c r="C718" s="25" t="s">
        <v>1360</v>
      </c>
      <c r="D718" s="25">
        <v>2099.0</v>
      </c>
      <c r="E718" s="16">
        <f t="shared" si="1"/>
        <v>144.831</v>
      </c>
      <c r="F718" s="16">
        <f t="shared" si="2"/>
        <v>45.1285</v>
      </c>
      <c r="G718" s="26">
        <v>2589.49</v>
      </c>
      <c r="H718" s="27">
        <v>0.1</v>
      </c>
      <c r="I718" s="28">
        <f t="shared" si="20"/>
        <v>209.9</v>
      </c>
      <c r="J718" s="25">
        <v>79.0</v>
      </c>
      <c r="K718" s="16">
        <f t="shared" si="4"/>
        <v>-969.3495</v>
      </c>
      <c r="L718" s="19">
        <f t="shared" si="5"/>
        <v>-0.3743399279</v>
      </c>
      <c r="M718" s="16">
        <f t="shared" si="6"/>
        <v>1620.1405</v>
      </c>
      <c r="N718" s="20"/>
    </row>
    <row r="719">
      <c r="A719" s="23" t="s">
        <v>1361</v>
      </c>
      <c r="B719" s="23" t="s">
        <v>1362</v>
      </c>
      <c r="C719" s="25" t="s">
        <v>1363</v>
      </c>
      <c r="D719" s="25">
        <v>1499.0</v>
      </c>
      <c r="E719" s="16">
        <f t="shared" si="1"/>
        <v>103.431</v>
      </c>
      <c r="F719" s="16">
        <f t="shared" si="2"/>
        <v>32.2285</v>
      </c>
      <c r="G719" s="26">
        <v>765.78</v>
      </c>
      <c r="H719" s="27">
        <v>0.1</v>
      </c>
      <c r="I719" s="28">
        <f t="shared" si="20"/>
        <v>149.9</v>
      </c>
      <c r="J719" s="25">
        <v>65.0</v>
      </c>
      <c r="K719" s="16">
        <f t="shared" si="4"/>
        <v>382.6605</v>
      </c>
      <c r="L719" s="19">
        <f t="shared" si="5"/>
        <v>0.4997003056</v>
      </c>
      <c r="M719" s="16">
        <f t="shared" si="6"/>
        <v>1148.4405</v>
      </c>
      <c r="N719" s="20"/>
    </row>
    <row r="720">
      <c r="A720" s="23" t="s">
        <v>1364</v>
      </c>
      <c r="B720" s="22"/>
      <c r="C720" s="25" t="s">
        <v>1365</v>
      </c>
      <c r="D720" s="25">
        <v>792.0</v>
      </c>
      <c r="E720" s="16">
        <f t="shared" si="1"/>
        <v>54.648</v>
      </c>
      <c r="F720" s="16">
        <f t="shared" si="2"/>
        <v>17.028</v>
      </c>
      <c r="G720" s="26">
        <v>524.09</v>
      </c>
      <c r="H720" s="27">
        <v>0.145</v>
      </c>
      <c r="I720" s="28">
        <f t="shared" si="20"/>
        <v>114.84</v>
      </c>
      <c r="J720" s="25">
        <v>73.0</v>
      </c>
      <c r="K720" s="16">
        <f t="shared" si="4"/>
        <v>8.394</v>
      </c>
      <c r="L720" s="19">
        <f t="shared" si="5"/>
        <v>0.01601633307</v>
      </c>
      <c r="M720" s="16">
        <f t="shared" si="6"/>
        <v>532.484</v>
      </c>
      <c r="N720" s="20"/>
    </row>
    <row r="721">
      <c r="A721" s="23" t="s">
        <v>1366</v>
      </c>
      <c r="B721" s="22"/>
      <c r="C721" s="25" t="s">
        <v>1367</v>
      </c>
      <c r="D721" s="25">
        <v>1099.0</v>
      </c>
      <c r="E721" s="16">
        <f t="shared" si="1"/>
        <v>75.831</v>
      </c>
      <c r="F721" s="16">
        <f t="shared" si="2"/>
        <v>23.6285</v>
      </c>
      <c r="G721" s="26">
        <v>530.0</v>
      </c>
      <c r="H721" s="27">
        <v>0.12</v>
      </c>
      <c r="I721" s="28">
        <f t="shared" si="20"/>
        <v>131.88</v>
      </c>
      <c r="J721" s="25">
        <v>63.0</v>
      </c>
      <c r="K721" s="16">
        <f t="shared" si="4"/>
        <v>274.6605</v>
      </c>
      <c r="L721" s="19">
        <f t="shared" si="5"/>
        <v>0.5182273585</v>
      </c>
      <c r="M721" s="16">
        <f t="shared" si="6"/>
        <v>804.6605</v>
      </c>
      <c r="N721" s="20"/>
    </row>
    <row r="722">
      <c r="A722" s="23" t="s">
        <v>1368</v>
      </c>
      <c r="B722" s="22"/>
      <c r="C722" s="25" t="s">
        <v>1369</v>
      </c>
      <c r="D722" s="25">
        <v>149.0</v>
      </c>
      <c r="E722" s="16">
        <f t="shared" si="1"/>
        <v>10.281</v>
      </c>
      <c r="F722" s="16">
        <f t="shared" si="2"/>
        <v>3.2035</v>
      </c>
      <c r="G722" s="26">
        <v>30.0</v>
      </c>
      <c r="H722" s="27">
        <v>0.145</v>
      </c>
      <c r="I722" s="28">
        <f t="shared" si="20"/>
        <v>21.605</v>
      </c>
      <c r="J722" s="25">
        <v>30.0</v>
      </c>
      <c r="K722" s="16">
        <f t="shared" si="4"/>
        <v>53.9105</v>
      </c>
      <c r="L722" s="19">
        <f t="shared" si="5"/>
        <v>1.797016667</v>
      </c>
      <c r="M722" s="16">
        <f t="shared" si="6"/>
        <v>83.9105</v>
      </c>
      <c r="N722" s="20"/>
    </row>
    <row r="723">
      <c r="A723" s="23" t="s">
        <v>1370</v>
      </c>
      <c r="B723" s="22"/>
      <c r="C723" s="25" t="s">
        <v>1371</v>
      </c>
      <c r="D723" s="25">
        <v>149.0</v>
      </c>
      <c r="E723" s="16">
        <f t="shared" si="1"/>
        <v>10.281</v>
      </c>
      <c r="F723" s="16">
        <f t="shared" si="2"/>
        <v>3.2035</v>
      </c>
      <c r="G723" s="26">
        <v>50.0</v>
      </c>
      <c r="H723" s="27">
        <v>0.145</v>
      </c>
      <c r="I723" s="28">
        <f t="shared" si="20"/>
        <v>21.605</v>
      </c>
      <c r="J723" s="25">
        <v>30.0</v>
      </c>
      <c r="K723" s="16">
        <f t="shared" si="4"/>
        <v>33.9105</v>
      </c>
      <c r="L723" s="19">
        <f t="shared" si="5"/>
        <v>0.67821</v>
      </c>
      <c r="M723" s="16">
        <f t="shared" si="6"/>
        <v>83.9105</v>
      </c>
      <c r="N723" s="20"/>
    </row>
    <row r="724">
      <c r="A724" s="23" t="s">
        <v>1372</v>
      </c>
      <c r="B724" s="22"/>
      <c r="C724" s="25" t="s">
        <v>1373</v>
      </c>
      <c r="D724" s="25">
        <v>499.0</v>
      </c>
      <c r="E724" s="16">
        <f t="shared" si="1"/>
        <v>34.431</v>
      </c>
      <c r="F724" s="16">
        <f t="shared" si="2"/>
        <v>10.7285</v>
      </c>
      <c r="G724" s="26">
        <v>308.0</v>
      </c>
      <c r="H724" s="27">
        <v>0.145</v>
      </c>
      <c r="I724" s="28">
        <f t="shared" si="20"/>
        <v>72.355</v>
      </c>
      <c r="J724" s="25">
        <v>99.0</v>
      </c>
      <c r="K724" s="16">
        <f t="shared" si="4"/>
        <v>-25.5145</v>
      </c>
      <c r="L724" s="19">
        <f t="shared" si="5"/>
        <v>-0.08283928571</v>
      </c>
      <c r="M724" s="16">
        <f t="shared" si="6"/>
        <v>282.4855</v>
      </c>
      <c r="N724" s="20"/>
    </row>
    <row r="725" ht="15.0" customHeight="1">
      <c r="A725" s="23" t="s">
        <v>1374</v>
      </c>
      <c r="B725" s="22"/>
      <c r="C725" s="25" t="s">
        <v>1375</v>
      </c>
      <c r="D725" s="25">
        <v>1099.0</v>
      </c>
      <c r="E725" s="16">
        <f t="shared" si="1"/>
        <v>75.831</v>
      </c>
      <c r="F725" s="16">
        <f t="shared" si="2"/>
        <v>23.6285</v>
      </c>
      <c r="G725" s="26">
        <v>815.65</v>
      </c>
      <c r="H725" s="27">
        <v>0.145</v>
      </c>
      <c r="I725" s="28">
        <f t="shared" si="20"/>
        <v>159.355</v>
      </c>
      <c r="J725" s="25">
        <v>95.0</v>
      </c>
      <c r="K725" s="16">
        <f t="shared" si="4"/>
        <v>-70.4645</v>
      </c>
      <c r="L725" s="19">
        <f t="shared" si="5"/>
        <v>-0.08639060872</v>
      </c>
      <c r="M725" s="16">
        <f t="shared" si="6"/>
        <v>745.1855</v>
      </c>
      <c r="N725" s="20"/>
    </row>
    <row r="726">
      <c r="A726" s="23" t="s">
        <v>1376</v>
      </c>
      <c r="B726" s="23" t="s">
        <v>1377</v>
      </c>
      <c r="C726" s="25" t="s">
        <v>1378</v>
      </c>
      <c r="D726" s="25">
        <v>294.0</v>
      </c>
      <c r="E726" s="16">
        <f t="shared" si="1"/>
        <v>20.286</v>
      </c>
      <c r="F726" s="16">
        <f t="shared" si="2"/>
        <v>6.321</v>
      </c>
      <c r="G726" s="26">
        <v>196.93</v>
      </c>
      <c r="H726" s="27">
        <v>0.15</v>
      </c>
      <c r="I726" s="28">
        <f t="shared" si="20"/>
        <v>44.1</v>
      </c>
      <c r="J726" s="25">
        <v>30.0</v>
      </c>
      <c r="K726" s="16">
        <f t="shared" si="4"/>
        <v>-3.637</v>
      </c>
      <c r="L726" s="19">
        <f t="shared" si="5"/>
        <v>-0.01846849134</v>
      </c>
      <c r="M726" s="16">
        <f t="shared" si="6"/>
        <v>193.293</v>
      </c>
      <c r="N726" s="20"/>
    </row>
    <row r="727">
      <c r="A727" s="23" t="s">
        <v>1292</v>
      </c>
      <c r="B727" s="23" t="s">
        <v>1379</v>
      </c>
      <c r="C727" s="25" t="s">
        <v>1293</v>
      </c>
      <c r="D727" s="25">
        <v>908.0</v>
      </c>
      <c r="E727" s="16">
        <f t="shared" si="1"/>
        <v>62.652</v>
      </c>
      <c r="F727" s="16">
        <f t="shared" si="2"/>
        <v>19.522</v>
      </c>
      <c r="G727" s="26">
        <v>511.91</v>
      </c>
      <c r="H727" s="27">
        <v>0.1</v>
      </c>
      <c r="I727" s="28">
        <f t="shared" si="20"/>
        <v>90.8</v>
      </c>
      <c r="J727" s="25">
        <v>65.0</v>
      </c>
      <c r="K727" s="16">
        <f t="shared" si="4"/>
        <v>158.116</v>
      </c>
      <c r="L727" s="19">
        <f t="shared" si="5"/>
        <v>0.3088746069</v>
      </c>
      <c r="M727" s="16">
        <f t="shared" si="6"/>
        <v>670.026</v>
      </c>
      <c r="N727" s="20"/>
    </row>
    <row r="728">
      <c r="A728" s="23" t="s">
        <v>1380</v>
      </c>
      <c r="B728" s="23" t="s">
        <v>1381</v>
      </c>
      <c r="C728" s="25" t="s">
        <v>1382</v>
      </c>
      <c r="D728" s="25">
        <v>849.0</v>
      </c>
      <c r="E728" s="16">
        <f t="shared" si="1"/>
        <v>58.581</v>
      </c>
      <c r="F728" s="16">
        <f t="shared" si="2"/>
        <v>18.2535</v>
      </c>
      <c r="G728" s="26">
        <v>467.29</v>
      </c>
      <c r="H728" s="27">
        <v>0.1</v>
      </c>
      <c r="I728" s="28">
        <f t="shared" si="20"/>
        <v>84.9</v>
      </c>
      <c r="J728" s="25">
        <v>73.0</v>
      </c>
      <c r="K728" s="16">
        <f t="shared" si="4"/>
        <v>146.9755</v>
      </c>
      <c r="L728" s="19">
        <f t="shared" si="5"/>
        <v>0.3145273813</v>
      </c>
      <c r="M728" s="16">
        <f t="shared" si="6"/>
        <v>614.2655</v>
      </c>
      <c r="N728" s="20"/>
    </row>
    <row r="729">
      <c r="A729" s="23" t="s">
        <v>1383</v>
      </c>
      <c r="B729" s="23" t="s">
        <v>1384</v>
      </c>
      <c r="C729" s="25" t="s">
        <v>1385</v>
      </c>
      <c r="D729" s="25">
        <v>5179.0</v>
      </c>
      <c r="E729" s="16">
        <f t="shared" si="1"/>
        <v>357.351</v>
      </c>
      <c r="F729" s="16">
        <f t="shared" si="2"/>
        <v>111.3485</v>
      </c>
      <c r="G729" s="26">
        <v>3549.95</v>
      </c>
      <c r="H729" s="27">
        <v>0.145</v>
      </c>
      <c r="I729" s="28">
        <f t="shared" si="20"/>
        <v>750.955</v>
      </c>
      <c r="J729" s="25">
        <v>65.0</v>
      </c>
      <c r="K729" s="16">
        <f t="shared" si="4"/>
        <v>344.3955</v>
      </c>
      <c r="L729" s="19">
        <f t="shared" si="5"/>
        <v>0.0970141833</v>
      </c>
      <c r="M729" s="16">
        <f t="shared" si="6"/>
        <v>3894.3455</v>
      </c>
      <c r="N729" s="20"/>
    </row>
    <row r="730">
      <c r="A730" s="22"/>
      <c r="B730" s="23" t="s">
        <v>1386</v>
      </c>
      <c r="C730" s="25" t="s">
        <v>1387</v>
      </c>
      <c r="D730" s="25">
        <v>199.0</v>
      </c>
      <c r="E730" s="16">
        <f t="shared" si="1"/>
        <v>13.731</v>
      </c>
      <c r="F730" s="16">
        <f t="shared" si="2"/>
        <v>4.2785</v>
      </c>
      <c r="G730" s="26">
        <v>60.0</v>
      </c>
      <c r="H730" s="27">
        <v>0.15</v>
      </c>
      <c r="I730" s="28"/>
      <c r="J730" s="25">
        <v>30.0</v>
      </c>
      <c r="K730" s="16">
        <f t="shared" si="4"/>
        <v>90.9905</v>
      </c>
      <c r="L730" s="19">
        <f t="shared" si="5"/>
        <v>1.516508333</v>
      </c>
      <c r="M730" s="16">
        <f t="shared" si="6"/>
        <v>150.9905</v>
      </c>
      <c r="N730" s="20"/>
    </row>
    <row r="731">
      <c r="A731" s="22"/>
      <c r="B731" s="23" t="s">
        <v>1388</v>
      </c>
      <c r="C731" s="25" t="s">
        <v>1389</v>
      </c>
      <c r="D731" s="25">
        <v>399.0</v>
      </c>
      <c r="E731" s="16">
        <f t="shared" si="1"/>
        <v>27.531</v>
      </c>
      <c r="F731" s="16">
        <f t="shared" si="2"/>
        <v>8.5785</v>
      </c>
      <c r="G731" s="26">
        <v>242.0</v>
      </c>
      <c r="H731" s="27">
        <v>0.15</v>
      </c>
      <c r="I731" s="28">
        <f t="shared" ref="I731:I890" si="21">H731*D731</f>
        <v>59.85</v>
      </c>
      <c r="J731" s="25">
        <v>60.0</v>
      </c>
      <c r="K731" s="16">
        <f t="shared" si="4"/>
        <v>1.0405</v>
      </c>
      <c r="L731" s="19">
        <f t="shared" si="5"/>
        <v>0.004299586777</v>
      </c>
      <c r="M731" s="16">
        <f t="shared" si="6"/>
        <v>243.0405</v>
      </c>
      <c r="N731" s="20"/>
    </row>
    <row r="732">
      <c r="A732" s="23" t="s">
        <v>1390</v>
      </c>
      <c r="B732" s="23" t="s">
        <v>1391</v>
      </c>
      <c r="C732" s="25" t="s">
        <v>1392</v>
      </c>
      <c r="D732" s="25">
        <v>2801.0</v>
      </c>
      <c r="E732" s="16">
        <f t="shared" si="1"/>
        <v>193.269</v>
      </c>
      <c r="F732" s="16">
        <f t="shared" si="2"/>
        <v>60.2215</v>
      </c>
      <c r="G732" s="26">
        <v>1950.0</v>
      </c>
      <c r="H732" s="27">
        <v>0.195</v>
      </c>
      <c r="I732" s="28">
        <f t="shared" si="21"/>
        <v>546.195</v>
      </c>
      <c r="J732" s="25">
        <v>114.0</v>
      </c>
      <c r="K732" s="16">
        <f t="shared" si="4"/>
        <v>-62.6855</v>
      </c>
      <c r="L732" s="19">
        <f t="shared" si="5"/>
        <v>-0.03214641026</v>
      </c>
      <c r="M732" s="16">
        <f t="shared" si="6"/>
        <v>1887.3145</v>
      </c>
      <c r="N732" s="20"/>
    </row>
    <row r="733">
      <c r="A733" s="23" t="s">
        <v>1393</v>
      </c>
      <c r="B733" s="23" t="s">
        <v>1394</v>
      </c>
      <c r="C733" s="25" t="s">
        <v>1395</v>
      </c>
      <c r="D733" s="25">
        <v>1099.0</v>
      </c>
      <c r="E733" s="16">
        <f t="shared" si="1"/>
        <v>75.831</v>
      </c>
      <c r="F733" s="16">
        <f t="shared" si="2"/>
        <v>23.6285</v>
      </c>
      <c r="G733" s="26">
        <v>836.13</v>
      </c>
      <c r="H733" s="27">
        <v>0.1</v>
      </c>
      <c r="I733" s="28">
        <f t="shared" si="21"/>
        <v>109.9</v>
      </c>
      <c r="J733" s="25">
        <v>79.0</v>
      </c>
      <c r="K733" s="16">
        <f t="shared" si="4"/>
        <v>-25.4895</v>
      </c>
      <c r="L733" s="19">
        <f t="shared" si="5"/>
        <v>-0.03048509203</v>
      </c>
      <c r="M733" s="16">
        <f t="shared" si="6"/>
        <v>810.6405</v>
      </c>
      <c r="N733" s="20"/>
    </row>
    <row r="734">
      <c r="A734" s="22"/>
      <c r="B734" s="23" t="s">
        <v>1396</v>
      </c>
      <c r="C734" s="25" t="s">
        <v>1397</v>
      </c>
      <c r="D734" s="25">
        <v>2705.0</v>
      </c>
      <c r="E734" s="16">
        <f t="shared" si="1"/>
        <v>186.645</v>
      </c>
      <c r="F734" s="16">
        <f t="shared" si="2"/>
        <v>58.1575</v>
      </c>
      <c r="G734" s="26">
        <v>2279.01</v>
      </c>
      <c r="H734" s="27">
        <v>0.1</v>
      </c>
      <c r="I734" s="28">
        <f t="shared" si="21"/>
        <v>270.5</v>
      </c>
      <c r="J734" s="25">
        <v>79.0</v>
      </c>
      <c r="K734" s="16">
        <f t="shared" si="4"/>
        <v>-168.3125</v>
      </c>
      <c r="L734" s="19">
        <f t="shared" si="5"/>
        <v>-0.07385333983</v>
      </c>
      <c r="M734" s="16">
        <f t="shared" si="6"/>
        <v>2110.6975</v>
      </c>
      <c r="N734" s="20"/>
    </row>
    <row r="735">
      <c r="A735" s="22"/>
      <c r="B735" s="23" t="s">
        <v>1398</v>
      </c>
      <c r="C735" s="25" t="s">
        <v>1399</v>
      </c>
      <c r="D735" s="25">
        <v>2705.0</v>
      </c>
      <c r="E735" s="16">
        <f t="shared" si="1"/>
        <v>186.645</v>
      </c>
      <c r="F735" s="16">
        <f t="shared" si="2"/>
        <v>58.1575</v>
      </c>
      <c r="G735" s="26">
        <v>2279.01</v>
      </c>
      <c r="H735" s="27">
        <v>0.1</v>
      </c>
      <c r="I735" s="28">
        <f t="shared" si="21"/>
        <v>270.5</v>
      </c>
      <c r="J735" s="25">
        <v>79.0</v>
      </c>
      <c r="K735" s="16">
        <f t="shared" si="4"/>
        <v>-168.3125</v>
      </c>
      <c r="L735" s="19">
        <f t="shared" si="5"/>
        <v>-0.07385333983</v>
      </c>
      <c r="M735" s="16">
        <f t="shared" si="6"/>
        <v>2110.6975</v>
      </c>
      <c r="N735" s="20"/>
    </row>
    <row r="736">
      <c r="A736" s="22"/>
      <c r="B736" s="23" t="s">
        <v>1400</v>
      </c>
      <c r="C736" s="25" t="s">
        <v>1399</v>
      </c>
      <c r="D736" s="25">
        <v>2705.0</v>
      </c>
      <c r="E736" s="16">
        <f t="shared" si="1"/>
        <v>186.645</v>
      </c>
      <c r="F736" s="16">
        <f t="shared" si="2"/>
        <v>58.1575</v>
      </c>
      <c r="G736" s="26">
        <v>2279.01</v>
      </c>
      <c r="H736" s="27">
        <v>0.1</v>
      </c>
      <c r="I736" s="28">
        <f t="shared" si="21"/>
        <v>270.5</v>
      </c>
      <c r="J736" s="25">
        <v>79.0</v>
      </c>
      <c r="K736" s="16">
        <f t="shared" si="4"/>
        <v>-168.3125</v>
      </c>
      <c r="L736" s="19">
        <f t="shared" si="5"/>
        <v>-0.07385333983</v>
      </c>
      <c r="M736" s="16">
        <f t="shared" si="6"/>
        <v>2110.6975</v>
      </c>
      <c r="N736" s="20"/>
    </row>
    <row r="737">
      <c r="A737" s="23" t="s">
        <v>1401</v>
      </c>
      <c r="B737" s="23" t="s">
        <v>1402</v>
      </c>
      <c r="C737" s="25" t="s">
        <v>1403</v>
      </c>
      <c r="D737" s="25">
        <v>654.0</v>
      </c>
      <c r="E737" s="16">
        <f t="shared" si="1"/>
        <v>45.126</v>
      </c>
      <c r="F737" s="16">
        <f t="shared" si="2"/>
        <v>14.061</v>
      </c>
      <c r="G737" s="26">
        <v>488.49</v>
      </c>
      <c r="H737" s="27">
        <v>0.1</v>
      </c>
      <c r="I737" s="28">
        <f t="shared" si="21"/>
        <v>65.4</v>
      </c>
      <c r="J737" s="25">
        <v>79.0</v>
      </c>
      <c r="K737" s="16">
        <f t="shared" si="4"/>
        <v>-38.077</v>
      </c>
      <c r="L737" s="19">
        <f t="shared" si="5"/>
        <v>-0.07794837151</v>
      </c>
      <c r="M737" s="16">
        <f t="shared" si="6"/>
        <v>450.413</v>
      </c>
      <c r="N737" s="20"/>
    </row>
    <row r="738">
      <c r="A738" s="22"/>
      <c r="B738" s="23" t="s">
        <v>1404</v>
      </c>
      <c r="C738" s="25" t="s">
        <v>1405</v>
      </c>
      <c r="D738" s="25">
        <v>4466.0</v>
      </c>
      <c r="E738" s="16">
        <f t="shared" si="1"/>
        <v>308.154</v>
      </c>
      <c r="F738" s="16">
        <f t="shared" si="2"/>
        <v>96.019</v>
      </c>
      <c r="G738" s="26">
        <v>4914.79</v>
      </c>
      <c r="H738" s="27">
        <v>0.145</v>
      </c>
      <c r="I738" s="28">
        <f t="shared" si="21"/>
        <v>647.57</v>
      </c>
      <c r="J738" s="25">
        <v>79.0</v>
      </c>
      <c r="K738" s="16">
        <f t="shared" si="4"/>
        <v>-1579.533</v>
      </c>
      <c r="L738" s="19">
        <f t="shared" si="5"/>
        <v>-0.3213836196</v>
      </c>
      <c r="M738" s="16">
        <f t="shared" si="6"/>
        <v>3335.257</v>
      </c>
      <c r="N738" s="20"/>
    </row>
    <row r="739">
      <c r="A739" s="22"/>
      <c r="B739" s="23" t="s">
        <v>1406</v>
      </c>
      <c r="C739" s="25" t="s">
        <v>1407</v>
      </c>
      <c r="D739" s="25">
        <v>749.0</v>
      </c>
      <c r="E739" s="16">
        <f t="shared" si="1"/>
        <v>51.681</v>
      </c>
      <c r="F739" s="16">
        <f t="shared" si="2"/>
        <v>16.1035</v>
      </c>
      <c r="G739" s="26">
        <v>542.96</v>
      </c>
      <c r="H739" s="27">
        <v>0.1</v>
      </c>
      <c r="I739" s="28">
        <f t="shared" si="21"/>
        <v>74.9</v>
      </c>
      <c r="J739" s="25">
        <v>73.0</v>
      </c>
      <c r="K739" s="16">
        <f t="shared" si="4"/>
        <v>-9.6445</v>
      </c>
      <c r="L739" s="19">
        <f t="shared" si="5"/>
        <v>-0.01776281862</v>
      </c>
      <c r="M739" s="16">
        <f t="shared" si="6"/>
        <v>533.3155</v>
      </c>
      <c r="N739" s="20"/>
    </row>
    <row r="740">
      <c r="A740" s="23" t="s">
        <v>1408</v>
      </c>
      <c r="B740" s="23" t="s">
        <v>1409</v>
      </c>
      <c r="C740" s="25" t="s">
        <v>1410</v>
      </c>
      <c r="D740" s="25">
        <v>1399.0</v>
      </c>
      <c r="E740" s="16">
        <f t="shared" si="1"/>
        <v>96.531</v>
      </c>
      <c r="F740" s="16">
        <f t="shared" si="2"/>
        <v>30.0785</v>
      </c>
      <c r="G740" s="26">
        <v>1048.0</v>
      </c>
      <c r="H740" s="27">
        <v>0.1</v>
      </c>
      <c r="I740" s="28">
        <f t="shared" si="21"/>
        <v>139.9</v>
      </c>
      <c r="J740" s="25">
        <v>73.0</v>
      </c>
      <c r="K740" s="16">
        <f t="shared" si="4"/>
        <v>11.4905</v>
      </c>
      <c r="L740" s="19">
        <f t="shared" si="5"/>
        <v>0.01096421756</v>
      </c>
      <c r="M740" s="16">
        <f t="shared" si="6"/>
        <v>1059.4905</v>
      </c>
      <c r="N740" s="20"/>
    </row>
    <row r="741">
      <c r="A741" s="23" t="s">
        <v>1411</v>
      </c>
      <c r="B741" s="23" t="s">
        <v>1412</v>
      </c>
      <c r="C741" s="25" t="s">
        <v>1413</v>
      </c>
      <c r="D741" s="25">
        <v>419.0</v>
      </c>
      <c r="E741" s="16">
        <f t="shared" si="1"/>
        <v>28.911</v>
      </c>
      <c r="F741" s="16">
        <f t="shared" si="2"/>
        <v>9.0085</v>
      </c>
      <c r="G741" s="26">
        <v>271.59</v>
      </c>
      <c r="H741" s="27">
        <v>0.1</v>
      </c>
      <c r="I741" s="28">
        <f t="shared" si="21"/>
        <v>41.9</v>
      </c>
      <c r="J741" s="25">
        <v>73.0</v>
      </c>
      <c r="K741" s="16">
        <f t="shared" si="4"/>
        <v>-5.4095</v>
      </c>
      <c r="L741" s="19">
        <f t="shared" si="5"/>
        <v>-0.01991789094</v>
      </c>
      <c r="M741" s="16">
        <f t="shared" si="6"/>
        <v>266.1805</v>
      </c>
      <c r="N741" s="20"/>
    </row>
    <row r="742">
      <c r="A742" s="22"/>
      <c r="B742" s="23" t="s">
        <v>1414</v>
      </c>
      <c r="C742" s="25" t="s">
        <v>1415</v>
      </c>
      <c r="D742" s="25">
        <v>4455.0</v>
      </c>
      <c r="E742" s="16">
        <f t="shared" si="1"/>
        <v>307.395</v>
      </c>
      <c r="F742" s="16">
        <f t="shared" si="2"/>
        <v>95.7825</v>
      </c>
      <c r="G742" s="26">
        <v>3791.33</v>
      </c>
      <c r="H742" s="27">
        <v>0.145</v>
      </c>
      <c r="I742" s="28">
        <f t="shared" si="21"/>
        <v>645.975</v>
      </c>
      <c r="J742" s="25">
        <v>79.0</v>
      </c>
      <c r="K742" s="16">
        <f t="shared" si="4"/>
        <v>-464.4825</v>
      </c>
      <c r="L742" s="19">
        <f t="shared" si="5"/>
        <v>-0.1225117571</v>
      </c>
      <c r="M742" s="16">
        <f t="shared" si="6"/>
        <v>3326.8475</v>
      </c>
      <c r="N742" s="20"/>
    </row>
    <row r="743">
      <c r="A743" s="23" t="s">
        <v>1416</v>
      </c>
      <c r="B743" s="23" t="s">
        <v>1417</v>
      </c>
      <c r="C743" s="25" t="s">
        <v>1418</v>
      </c>
      <c r="D743" s="25">
        <v>6699.0</v>
      </c>
      <c r="E743" s="16">
        <f t="shared" si="1"/>
        <v>462.231</v>
      </c>
      <c r="F743" s="16">
        <f t="shared" si="2"/>
        <v>144.0285</v>
      </c>
      <c r="G743" s="26">
        <v>5037.18</v>
      </c>
      <c r="H743" s="27">
        <v>0.145</v>
      </c>
      <c r="I743" s="28">
        <f t="shared" si="21"/>
        <v>971.355</v>
      </c>
      <c r="J743" s="25">
        <v>155.0</v>
      </c>
      <c r="K743" s="16">
        <f t="shared" si="4"/>
        <v>-70.7945</v>
      </c>
      <c r="L743" s="19">
        <f t="shared" si="5"/>
        <v>-0.01405439154</v>
      </c>
      <c r="M743" s="16">
        <f t="shared" si="6"/>
        <v>4966.3855</v>
      </c>
      <c r="N743" s="20"/>
    </row>
    <row r="744">
      <c r="A744" s="23" t="s">
        <v>1419</v>
      </c>
      <c r="B744" s="23" t="s">
        <v>1420</v>
      </c>
      <c r="C744" s="25" t="s">
        <v>1421</v>
      </c>
      <c r="D744" s="25">
        <v>5699.0</v>
      </c>
      <c r="E744" s="16">
        <f t="shared" si="1"/>
        <v>393.231</v>
      </c>
      <c r="F744" s="16">
        <f t="shared" si="2"/>
        <v>122.5285</v>
      </c>
      <c r="G744" s="26">
        <v>4312.41</v>
      </c>
      <c r="H744" s="27">
        <v>0.145</v>
      </c>
      <c r="I744" s="28">
        <f t="shared" si="21"/>
        <v>826.355</v>
      </c>
      <c r="J744" s="25">
        <v>100.0</v>
      </c>
      <c r="K744" s="16">
        <f t="shared" si="4"/>
        <v>-55.5245</v>
      </c>
      <c r="L744" s="19">
        <f t="shared" si="5"/>
        <v>-0.01287551508</v>
      </c>
      <c r="M744" s="16">
        <f t="shared" si="6"/>
        <v>4256.8855</v>
      </c>
      <c r="N744" s="20"/>
    </row>
    <row r="745">
      <c r="A745" s="23" t="s">
        <v>1422</v>
      </c>
      <c r="B745" s="23" t="s">
        <v>1423</v>
      </c>
      <c r="C745" s="25" t="s">
        <v>1424</v>
      </c>
      <c r="D745" s="25">
        <v>2129.0</v>
      </c>
      <c r="E745" s="16">
        <f t="shared" si="1"/>
        <v>146.901</v>
      </c>
      <c r="F745" s="16">
        <f t="shared" si="2"/>
        <v>45.7735</v>
      </c>
      <c r="G745" s="26">
        <v>1588.1</v>
      </c>
      <c r="H745" s="27">
        <v>0.145</v>
      </c>
      <c r="I745" s="28">
        <f t="shared" si="21"/>
        <v>308.705</v>
      </c>
      <c r="J745" s="25">
        <v>79.0</v>
      </c>
      <c r="K745" s="16">
        <f t="shared" si="4"/>
        <v>-39.4795</v>
      </c>
      <c r="L745" s="19">
        <f t="shared" si="5"/>
        <v>-0.02485958063</v>
      </c>
      <c r="M745" s="16">
        <f t="shared" si="6"/>
        <v>1548.6205</v>
      </c>
      <c r="N745" s="20"/>
    </row>
    <row r="746">
      <c r="A746" s="22"/>
      <c r="B746" s="23" t="s">
        <v>1425</v>
      </c>
      <c r="C746" s="25" t="s">
        <v>1426</v>
      </c>
      <c r="D746" s="25">
        <v>1529.0</v>
      </c>
      <c r="E746" s="16">
        <f t="shared" si="1"/>
        <v>105.501</v>
      </c>
      <c r="F746" s="16">
        <f t="shared" si="2"/>
        <v>32.8735</v>
      </c>
      <c r="G746" s="26">
        <v>1078.1</v>
      </c>
      <c r="H746" s="27">
        <v>0.145</v>
      </c>
      <c r="I746" s="28">
        <f t="shared" si="21"/>
        <v>221.705</v>
      </c>
      <c r="J746" s="25">
        <v>79.0</v>
      </c>
      <c r="K746" s="16">
        <f t="shared" si="4"/>
        <v>11.8205</v>
      </c>
      <c r="L746" s="19">
        <f t="shared" si="5"/>
        <v>0.01096419627</v>
      </c>
      <c r="M746" s="16">
        <f t="shared" si="6"/>
        <v>1089.9205</v>
      </c>
      <c r="N746" s="20"/>
    </row>
    <row r="747">
      <c r="A747" s="23" t="s">
        <v>1427</v>
      </c>
      <c r="B747" s="23" t="s">
        <v>1428</v>
      </c>
      <c r="C747" s="25" t="s">
        <v>1429</v>
      </c>
      <c r="D747" s="25">
        <v>830.0</v>
      </c>
      <c r="E747" s="16">
        <f t="shared" si="1"/>
        <v>57.27</v>
      </c>
      <c r="F747" s="16">
        <f t="shared" si="2"/>
        <v>17.845</v>
      </c>
      <c r="G747" s="26">
        <v>600.0</v>
      </c>
      <c r="H747" s="27">
        <v>0.12</v>
      </c>
      <c r="I747" s="28">
        <f t="shared" si="21"/>
        <v>99.6</v>
      </c>
      <c r="J747" s="25">
        <v>73.0</v>
      </c>
      <c r="K747" s="16">
        <f t="shared" si="4"/>
        <v>-17.715</v>
      </c>
      <c r="L747" s="19">
        <f t="shared" si="5"/>
        <v>-0.029525</v>
      </c>
      <c r="M747" s="16">
        <f t="shared" si="6"/>
        <v>582.285</v>
      </c>
      <c r="N747" s="20"/>
    </row>
    <row r="748">
      <c r="A748" s="23" t="s">
        <v>1430</v>
      </c>
      <c r="B748" s="23" t="s">
        <v>1431</v>
      </c>
      <c r="C748" s="25" t="s">
        <v>1432</v>
      </c>
      <c r="D748" s="25">
        <v>1286.0</v>
      </c>
      <c r="E748" s="16">
        <f t="shared" si="1"/>
        <v>88.734</v>
      </c>
      <c r="F748" s="16">
        <f t="shared" si="2"/>
        <v>27.649</v>
      </c>
      <c r="G748" s="26">
        <v>950.0</v>
      </c>
      <c r="H748" s="27">
        <v>0.11</v>
      </c>
      <c r="I748" s="28">
        <f t="shared" si="21"/>
        <v>141.46</v>
      </c>
      <c r="J748" s="25">
        <v>65.0</v>
      </c>
      <c r="K748" s="16">
        <f t="shared" si="4"/>
        <v>13.157</v>
      </c>
      <c r="L748" s="19">
        <f t="shared" si="5"/>
        <v>0.01384947368</v>
      </c>
      <c r="M748" s="16">
        <f t="shared" si="6"/>
        <v>963.157</v>
      </c>
      <c r="N748" s="20"/>
    </row>
    <row r="749">
      <c r="A749" s="23" t="s">
        <v>1433</v>
      </c>
      <c r="B749" s="23" t="s">
        <v>1434</v>
      </c>
      <c r="C749" s="25" t="s">
        <v>1435</v>
      </c>
      <c r="D749" s="25">
        <v>4299.0</v>
      </c>
      <c r="E749" s="16">
        <f t="shared" si="1"/>
        <v>296.631</v>
      </c>
      <c r="F749" s="16">
        <f t="shared" si="2"/>
        <v>92.4285</v>
      </c>
      <c r="G749" s="26">
        <v>3411.58</v>
      </c>
      <c r="H749" s="27">
        <v>0.145</v>
      </c>
      <c r="I749" s="28">
        <f t="shared" si="21"/>
        <v>623.355</v>
      </c>
      <c r="J749" s="25">
        <v>65.0</v>
      </c>
      <c r="K749" s="16">
        <f t="shared" si="4"/>
        <v>-189.9945</v>
      </c>
      <c r="L749" s="19">
        <f t="shared" si="5"/>
        <v>-0.0556910581</v>
      </c>
      <c r="M749" s="16">
        <f t="shared" si="6"/>
        <v>3221.5855</v>
      </c>
      <c r="N749" s="20"/>
    </row>
    <row r="750">
      <c r="A750" s="23" t="s">
        <v>1436</v>
      </c>
      <c r="B750" s="23" t="s">
        <v>1437</v>
      </c>
      <c r="C750" s="25" t="s">
        <v>1438</v>
      </c>
      <c r="D750" s="25">
        <v>799.0</v>
      </c>
      <c r="E750" s="16">
        <f t="shared" si="1"/>
        <v>55.131</v>
      </c>
      <c r="F750" s="16">
        <f t="shared" si="2"/>
        <v>17.1785</v>
      </c>
      <c r="G750" s="26">
        <v>350.52</v>
      </c>
      <c r="H750" s="27">
        <v>0.145</v>
      </c>
      <c r="I750" s="28">
        <f t="shared" si="21"/>
        <v>115.855</v>
      </c>
      <c r="J750" s="25">
        <v>65.0</v>
      </c>
      <c r="K750" s="16">
        <f t="shared" si="4"/>
        <v>195.3155</v>
      </c>
      <c r="L750" s="19">
        <f t="shared" si="5"/>
        <v>0.5572164213</v>
      </c>
      <c r="M750" s="16">
        <f t="shared" si="6"/>
        <v>545.8355</v>
      </c>
      <c r="N750" s="20"/>
    </row>
    <row r="751">
      <c r="A751" s="22"/>
      <c r="B751" s="23" t="s">
        <v>1388</v>
      </c>
      <c r="C751" s="25" t="s">
        <v>1389</v>
      </c>
      <c r="D751" s="25">
        <v>399.0</v>
      </c>
      <c r="E751" s="16">
        <f t="shared" si="1"/>
        <v>27.531</v>
      </c>
      <c r="F751" s="16">
        <f t="shared" si="2"/>
        <v>8.5785</v>
      </c>
      <c r="G751" s="26">
        <v>230.0</v>
      </c>
      <c r="H751" s="27">
        <v>0.1</v>
      </c>
      <c r="I751" s="28">
        <f t="shared" si="21"/>
        <v>39.9</v>
      </c>
      <c r="J751" s="25">
        <v>63.0</v>
      </c>
      <c r="K751" s="16">
        <f t="shared" si="4"/>
        <v>29.9905</v>
      </c>
      <c r="L751" s="19">
        <f t="shared" si="5"/>
        <v>0.1303934783</v>
      </c>
      <c r="M751" s="16">
        <f t="shared" si="6"/>
        <v>259.9905</v>
      </c>
      <c r="N751" s="20"/>
    </row>
    <row r="752">
      <c r="A752" s="23"/>
      <c r="B752" s="23" t="s">
        <v>1439</v>
      </c>
      <c r="C752" s="25" t="s">
        <v>1440</v>
      </c>
      <c r="D752" s="25">
        <v>369.0</v>
      </c>
      <c r="E752" s="16">
        <f t="shared" si="1"/>
        <v>25.461</v>
      </c>
      <c r="F752" s="16">
        <f t="shared" si="2"/>
        <v>7.9335</v>
      </c>
      <c r="G752" s="26">
        <v>230.0</v>
      </c>
      <c r="H752" s="27">
        <v>0.1</v>
      </c>
      <c r="I752" s="28">
        <f t="shared" si="21"/>
        <v>36.9</v>
      </c>
      <c r="J752" s="25">
        <v>63.0</v>
      </c>
      <c r="K752" s="16">
        <f t="shared" si="4"/>
        <v>5.7055</v>
      </c>
      <c r="L752" s="19">
        <f t="shared" si="5"/>
        <v>0.02480652174</v>
      </c>
      <c r="M752" s="16">
        <f t="shared" si="6"/>
        <v>235.7055</v>
      </c>
      <c r="N752" s="20"/>
    </row>
    <row r="753">
      <c r="A753" s="23" t="s">
        <v>1441</v>
      </c>
      <c r="B753" s="23" t="s">
        <v>1442</v>
      </c>
      <c r="C753" s="25" t="s">
        <v>1443</v>
      </c>
      <c r="D753" s="25">
        <v>519.0</v>
      </c>
      <c r="E753" s="16">
        <f t="shared" si="1"/>
        <v>35.811</v>
      </c>
      <c r="F753" s="16">
        <f t="shared" si="2"/>
        <v>11.1585</v>
      </c>
      <c r="G753" s="26">
        <v>350.52</v>
      </c>
      <c r="H753" s="27">
        <v>0.1</v>
      </c>
      <c r="I753" s="28">
        <f t="shared" si="21"/>
        <v>51.9</v>
      </c>
      <c r="J753" s="25">
        <v>65.0</v>
      </c>
      <c r="K753" s="16">
        <f t="shared" si="4"/>
        <v>4.6105</v>
      </c>
      <c r="L753" s="19">
        <f t="shared" si="5"/>
        <v>0.01315331507</v>
      </c>
      <c r="M753" s="16">
        <f t="shared" si="6"/>
        <v>355.1305</v>
      </c>
      <c r="N753" s="20"/>
    </row>
    <row r="754">
      <c r="A754" s="22"/>
      <c r="B754" s="23" t="s">
        <v>1444</v>
      </c>
      <c r="C754" s="25" t="s">
        <v>1445</v>
      </c>
      <c r="D754" s="25">
        <v>649.0</v>
      </c>
      <c r="E754" s="16">
        <f t="shared" si="1"/>
        <v>44.781</v>
      </c>
      <c r="F754" s="16">
        <f t="shared" si="2"/>
        <v>13.9535</v>
      </c>
      <c r="G754" s="26">
        <v>423.34</v>
      </c>
      <c r="H754" s="27">
        <v>0.1</v>
      </c>
      <c r="I754" s="28">
        <f t="shared" si="21"/>
        <v>64.9</v>
      </c>
      <c r="J754" s="25">
        <v>65.0</v>
      </c>
      <c r="K754" s="16">
        <f t="shared" si="4"/>
        <v>37.0255</v>
      </c>
      <c r="L754" s="19">
        <f t="shared" si="5"/>
        <v>0.08746043369</v>
      </c>
      <c r="M754" s="16">
        <f t="shared" si="6"/>
        <v>460.3655</v>
      </c>
      <c r="N754" s="20"/>
    </row>
    <row r="755">
      <c r="A755" s="22"/>
      <c r="B755" s="23" t="s">
        <v>1446</v>
      </c>
      <c r="C755" s="25" t="s">
        <v>1445</v>
      </c>
      <c r="D755" s="25">
        <v>629.0</v>
      </c>
      <c r="E755" s="16">
        <f t="shared" si="1"/>
        <v>43.401</v>
      </c>
      <c r="F755" s="16">
        <f t="shared" si="2"/>
        <v>13.5235</v>
      </c>
      <c r="G755" s="26">
        <v>423.34</v>
      </c>
      <c r="H755" s="27">
        <v>0.1</v>
      </c>
      <c r="I755" s="28">
        <f t="shared" si="21"/>
        <v>62.9</v>
      </c>
      <c r="J755" s="25">
        <v>65.0</v>
      </c>
      <c r="K755" s="16">
        <f t="shared" si="4"/>
        <v>20.8355</v>
      </c>
      <c r="L755" s="19">
        <f t="shared" si="5"/>
        <v>0.04921694147</v>
      </c>
      <c r="M755" s="16">
        <f t="shared" si="6"/>
        <v>444.1755</v>
      </c>
      <c r="N755" s="20"/>
    </row>
    <row r="756">
      <c r="A756" s="22"/>
      <c r="B756" s="23" t="s">
        <v>1447</v>
      </c>
      <c r="C756" s="24"/>
      <c r="D756" s="25">
        <v>649.0</v>
      </c>
      <c r="E756" s="16">
        <f t="shared" si="1"/>
        <v>44.781</v>
      </c>
      <c r="F756" s="16">
        <f t="shared" si="2"/>
        <v>13.9535</v>
      </c>
      <c r="G756" s="26">
        <v>452.1</v>
      </c>
      <c r="H756" s="27">
        <v>0.1</v>
      </c>
      <c r="I756" s="28">
        <f t="shared" si="21"/>
        <v>64.9</v>
      </c>
      <c r="J756" s="25">
        <v>65.0</v>
      </c>
      <c r="K756" s="16">
        <f t="shared" si="4"/>
        <v>8.2655</v>
      </c>
      <c r="L756" s="19">
        <f t="shared" si="5"/>
        <v>0.01828245963</v>
      </c>
      <c r="M756" s="16">
        <f t="shared" si="6"/>
        <v>460.3655</v>
      </c>
      <c r="N756" s="20"/>
    </row>
    <row r="757">
      <c r="A757" s="22"/>
      <c r="B757" s="23" t="s">
        <v>1448</v>
      </c>
      <c r="C757" s="25" t="s">
        <v>1341</v>
      </c>
      <c r="D757" s="25">
        <v>2639.0</v>
      </c>
      <c r="E757" s="16">
        <f t="shared" si="1"/>
        <v>182.091</v>
      </c>
      <c r="F757" s="16">
        <f t="shared" si="2"/>
        <v>56.7385</v>
      </c>
      <c r="G757" s="26">
        <v>1921.77</v>
      </c>
      <c r="H757" s="27">
        <v>0.15</v>
      </c>
      <c r="I757" s="28">
        <f t="shared" si="21"/>
        <v>395.85</v>
      </c>
      <c r="J757" s="25">
        <v>122.0</v>
      </c>
      <c r="K757" s="16">
        <f t="shared" si="4"/>
        <v>-39.4495</v>
      </c>
      <c r="L757" s="19">
        <f t="shared" si="5"/>
        <v>-0.02052769062</v>
      </c>
      <c r="M757" s="16">
        <f t="shared" si="6"/>
        <v>1882.3205</v>
      </c>
      <c r="N757" s="20"/>
    </row>
    <row r="758">
      <c r="A758" s="22"/>
      <c r="B758" s="23" t="s">
        <v>1449</v>
      </c>
      <c r="C758" s="25" t="s">
        <v>1450</v>
      </c>
      <c r="D758" s="25">
        <v>3949.0</v>
      </c>
      <c r="E758" s="16">
        <f t="shared" si="1"/>
        <v>272.481</v>
      </c>
      <c r="F758" s="16">
        <f t="shared" si="2"/>
        <v>84.9035</v>
      </c>
      <c r="G758" s="26">
        <v>3122.35</v>
      </c>
      <c r="H758" s="27">
        <v>0.1</v>
      </c>
      <c r="I758" s="28">
        <f t="shared" si="21"/>
        <v>394.9</v>
      </c>
      <c r="J758" s="25">
        <v>73.0</v>
      </c>
      <c r="K758" s="16">
        <f t="shared" si="4"/>
        <v>1.3655</v>
      </c>
      <c r="L758" s="19">
        <f t="shared" si="5"/>
        <v>0.0004373308566</v>
      </c>
      <c r="M758" s="16">
        <f t="shared" si="6"/>
        <v>3123.7155</v>
      </c>
      <c r="N758" s="20"/>
    </row>
    <row r="759">
      <c r="A759" s="22"/>
      <c r="B759" s="23" t="s">
        <v>1451</v>
      </c>
      <c r="C759" s="25" t="s">
        <v>1452</v>
      </c>
      <c r="D759" s="41">
        <v>1287.0</v>
      </c>
      <c r="E759" s="16">
        <f t="shared" si="1"/>
        <v>88.803</v>
      </c>
      <c r="F759" s="16">
        <f t="shared" si="2"/>
        <v>27.6705</v>
      </c>
      <c r="G759" s="26">
        <v>900.0</v>
      </c>
      <c r="H759" s="27">
        <v>0.145</v>
      </c>
      <c r="I759" s="28">
        <f t="shared" si="21"/>
        <v>186.615</v>
      </c>
      <c r="J759" s="25">
        <v>79.0</v>
      </c>
      <c r="K759" s="16">
        <f t="shared" si="4"/>
        <v>4.9115</v>
      </c>
      <c r="L759" s="19">
        <f t="shared" si="5"/>
        <v>0.005457222222</v>
      </c>
      <c r="M759" s="16">
        <f t="shared" si="6"/>
        <v>904.9115</v>
      </c>
      <c r="N759" s="20"/>
    </row>
    <row r="760">
      <c r="A760" s="22"/>
      <c r="B760" s="23" t="s">
        <v>1453</v>
      </c>
      <c r="C760" s="25" t="s">
        <v>1454</v>
      </c>
      <c r="D760" s="25">
        <v>7739.0</v>
      </c>
      <c r="E760" s="16">
        <f t="shared" si="1"/>
        <v>533.991</v>
      </c>
      <c r="F760" s="16">
        <f t="shared" si="2"/>
        <v>166.3885</v>
      </c>
      <c r="G760" s="26">
        <v>6130.63</v>
      </c>
      <c r="H760" s="27">
        <v>0.145</v>
      </c>
      <c r="I760" s="28">
        <f t="shared" si="21"/>
        <v>1122.155</v>
      </c>
      <c r="J760" s="25">
        <v>73.0</v>
      </c>
      <c r="K760" s="16">
        <f t="shared" si="4"/>
        <v>-287.1645</v>
      </c>
      <c r="L760" s="19">
        <f t="shared" si="5"/>
        <v>-0.04684094457</v>
      </c>
      <c r="M760" s="16">
        <f t="shared" si="6"/>
        <v>5843.4655</v>
      </c>
      <c r="N760" s="20"/>
    </row>
    <row r="761">
      <c r="A761" s="22"/>
      <c r="B761" s="23" t="s">
        <v>1455</v>
      </c>
      <c r="C761" s="25" t="s">
        <v>1456</v>
      </c>
      <c r="D761" s="25">
        <v>8699.0</v>
      </c>
      <c r="E761" s="16">
        <f t="shared" si="1"/>
        <v>600.231</v>
      </c>
      <c r="F761" s="16">
        <f t="shared" si="2"/>
        <v>187.0285</v>
      </c>
      <c r="G761" s="26">
        <v>6199.42</v>
      </c>
      <c r="H761" s="27">
        <v>0.195</v>
      </c>
      <c r="I761" s="28">
        <f t="shared" si="21"/>
        <v>1696.305</v>
      </c>
      <c r="J761" s="25">
        <v>270.0</v>
      </c>
      <c r="K761" s="16">
        <f t="shared" si="4"/>
        <v>-253.9845</v>
      </c>
      <c r="L761" s="19">
        <f t="shared" si="5"/>
        <v>-0.04096907453</v>
      </c>
      <c r="M761" s="16">
        <f t="shared" si="6"/>
        <v>5945.4355</v>
      </c>
      <c r="N761" s="20"/>
    </row>
    <row r="762">
      <c r="A762" s="22"/>
      <c r="B762" s="23" t="s">
        <v>1457</v>
      </c>
      <c r="C762" s="25" t="s">
        <v>1458</v>
      </c>
      <c r="D762" s="25">
        <v>15899.0</v>
      </c>
      <c r="E762" s="16">
        <f t="shared" si="1"/>
        <v>1097.031</v>
      </c>
      <c r="F762" s="16">
        <f t="shared" si="2"/>
        <v>341.8285</v>
      </c>
      <c r="G762" s="26">
        <v>11852.47</v>
      </c>
      <c r="H762" s="27">
        <v>0.145</v>
      </c>
      <c r="I762" s="28">
        <f t="shared" si="21"/>
        <v>2305.355</v>
      </c>
      <c r="J762" s="25">
        <v>329.0</v>
      </c>
      <c r="K762" s="16">
        <f t="shared" si="4"/>
        <v>-26.6845</v>
      </c>
      <c r="L762" s="19">
        <f t="shared" si="5"/>
        <v>-0.002251387264</v>
      </c>
      <c r="M762" s="16">
        <f t="shared" si="6"/>
        <v>11825.7855</v>
      </c>
      <c r="N762" s="20"/>
    </row>
    <row r="763">
      <c r="A763" s="22"/>
      <c r="B763" s="23" t="s">
        <v>1459</v>
      </c>
      <c r="C763" s="25" t="s">
        <v>1460</v>
      </c>
      <c r="D763" s="25">
        <v>490.0</v>
      </c>
      <c r="E763" s="16">
        <f t="shared" si="1"/>
        <v>33.81</v>
      </c>
      <c r="F763" s="16">
        <f t="shared" si="2"/>
        <v>10.535</v>
      </c>
      <c r="G763" s="26">
        <v>270.0</v>
      </c>
      <c r="H763" s="27">
        <v>0.15</v>
      </c>
      <c r="I763" s="28">
        <f t="shared" si="21"/>
        <v>73.5</v>
      </c>
      <c r="J763" s="25">
        <v>73.0</v>
      </c>
      <c r="K763" s="16">
        <f t="shared" si="4"/>
        <v>29.155</v>
      </c>
      <c r="L763" s="19">
        <f t="shared" si="5"/>
        <v>0.1079814815</v>
      </c>
      <c r="M763" s="16">
        <f t="shared" si="6"/>
        <v>299.155</v>
      </c>
      <c r="N763" s="20"/>
    </row>
    <row r="764">
      <c r="A764" s="22"/>
      <c r="B764" s="23" t="s">
        <v>1461</v>
      </c>
      <c r="C764" s="25" t="s">
        <v>1460</v>
      </c>
      <c r="D764" s="25">
        <v>430.0</v>
      </c>
      <c r="E764" s="16">
        <f t="shared" si="1"/>
        <v>29.67</v>
      </c>
      <c r="F764" s="16">
        <f t="shared" si="2"/>
        <v>9.245</v>
      </c>
      <c r="G764" s="26">
        <v>250.0</v>
      </c>
      <c r="H764" s="27">
        <v>0.15</v>
      </c>
      <c r="I764" s="28">
        <f t="shared" si="21"/>
        <v>64.5</v>
      </c>
      <c r="J764" s="25">
        <v>73.0</v>
      </c>
      <c r="K764" s="16">
        <f t="shared" si="4"/>
        <v>3.585</v>
      </c>
      <c r="L764" s="19">
        <f t="shared" si="5"/>
        <v>0.01434</v>
      </c>
      <c r="M764" s="16">
        <f t="shared" si="6"/>
        <v>253.585</v>
      </c>
      <c r="N764" s="20"/>
    </row>
    <row r="765">
      <c r="A765" s="22"/>
      <c r="B765" s="23" t="s">
        <v>1462</v>
      </c>
      <c r="C765" s="25" t="s">
        <v>1463</v>
      </c>
      <c r="D765" s="25">
        <v>17999.0</v>
      </c>
      <c r="E765" s="16">
        <f t="shared" si="1"/>
        <v>1241.931</v>
      </c>
      <c r="F765" s="16">
        <f t="shared" si="2"/>
        <v>386.9785</v>
      </c>
      <c r="G765" s="26">
        <v>13773.65</v>
      </c>
      <c r="H765" s="27">
        <v>0.145</v>
      </c>
      <c r="I765" s="28">
        <f t="shared" si="21"/>
        <v>2609.855</v>
      </c>
      <c r="J765" s="25">
        <v>350.0</v>
      </c>
      <c r="K765" s="16">
        <f t="shared" si="4"/>
        <v>-363.4145</v>
      </c>
      <c r="L765" s="19">
        <f t="shared" si="5"/>
        <v>-0.02638476366</v>
      </c>
      <c r="M765" s="16">
        <f t="shared" si="6"/>
        <v>13410.2355</v>
      </c>
      <c r="N765" s="20"/>
    </row>
    <row r="766">
      <c r="A766" s="22"/>
      <c r="B766" s="23" t="s">
        <v>1464</v>
      </c>
      <c r="C766" s="25" t="s">
        <v>1465</v>
      </c>
      <c r="D766" s="25">
        <v>3099.0</v>
      </c>
      <c r="E766" s="16">
        <f t="shared" si="1"/>
        <v>213.831</v>
      </c>
      <c r="F766" s="16">
        <f t="shared" si="2"/>
        <v>66.6285</v>
      </c>
      <c r="G766" s="26">
        <v>2275.01</v>
      </c>
      <c r="H766" s="27">
        <v>0.145</v>
      </c>
      <c r="I766" s="28">
        <f t="shared" si="21"/>
        <v>449.355</v>
      </c>
      <c r="J766" s="25">
        <v>79.0</v>
      </c>
      <c r="K766" s="16">
        <f t="shared" si="4"/>
        <v>15.1755</v>
      </c>
      <c r="L766" s="19">
        <f t="shared" si="5"/>
        <v>0.00667052013</v>
      </c>
      <c r="M766" s="16">
        <f t="shared" si="6"/>
        <v>2290.1855</v>
      </c>
      <c r="N766" s="20"/>
    </row>
    <row r="767">
      <c r="A767" s="22"/>
      <c r="B767" s="23" t="s">
        <v>1466</v>
      </c>
      <c r="C767" s="25" t="s">
        <v>1467</v>
      </c>
      <c r="D767" s="25">
        <v>629.0</v>
      </c>
      <c r="E767" s="16">
        <f t="shared" si="1"/>
        <v>43.401</v>
      </c>
      <c r="F767" s="16">
        <f t="shared" si="2"/>
        <v>13.5235</v>
      </c>
      <c r="G767" s="26">
        <v>385.0</v>
      </c>
      <c r="H767" s="27">
        <v>0.195</v>
      </c>
      <c r="I767" s="28">
        <f t="shared" si="21"/>
        <v>122.655</v>
      </c>
      <c r="J767" s="25">
        <v>79.0</v>
      </c>
      <c r="K767" s="16">
        <f t="shared" si="4"/>
        <v>-14.5795</v>
      </c>
      <c r="L767" s="19">
        <f t="shared" si="5"/>
        <v>-0.03786883117</v>
      </c>
      <c r="M767" s="16">
        <f t="shared" si="6"/>
        <v>370.4205</v>
      </c>
      <c r="N767" s="20"/>
    </row>
    <row r="768">
      <c r="A768" s="22"/>
      <c r="B768" s="23" t="s">
        <v>1468</v>
      </c>
      <c r="C768" s="25" t="s">
        <v>1469</v>
      </c>
      <c r="D768" s="25">
        <v>12999.0</v>
      </c>
      <c r="E768" s="16">
        <f t="shared" si="1"/>
        <v>896.931</v>
      </c>
      <c r="F768" s="16">
        <f t="shared" si="2"/>
        <v>279.4785</v>
      </c>
      <c r="G768" s="26">
        <v>9722.15</v>
      </c>
      <c r="H768" s="27">
        <v>0.125</v>
      </c>
      <c r="I768" s="28">
        <f t="shared" si="21"/>
        <v>1624.875</v>
      </c>
      <c r="J768" s="25">
        <v>155.0</v>
      </c>
      <c r="K768" s="16">
        <f t="shared" si="4"/>
        <v>320.5655</v>
      </c>
      <c r="L768" s="19">
        <f t="shared" si="5"/>
        <v>0.03297269637</v>
      </c>
      <c r="M768" s="16">
        <f t="shared" si="6"/>
        <v>10042.7155</v>
      </c>
      <c r="N768" s="20"/>
    </row>
    <row r="769">
      <c r="A769" s="22"/>
      <c r="B769" s="23" t="s">
        <v>1470</v>
      </c>
      <c r="C769" s="25" t="s">
        <v>1471</v>
      </c>
      <c r="D769" s="25">
        <v>1819.0</v>
      </c>
      <c r="E769" s="16">
        <f t="shared" si="1"/>
        <v>125.511</v>
      </c>
      <c r="F769" s="16">
        <f t="shared" si="2"/>
        <v>39.1085</v>
      </c>
      <c r="G769" s="26">
        <v>1502.16</v>
      </c>
      <c r="H769" s="27">
        <v>0.1</v>
      </c>
      <c r="I769" s="28">
        <f t="shared" si="21"/>
        <v>181.9</v>
      </c>
      <c r="J769" s="25">
        <v>65.0</v>
      </c>
      <c r="K769" s="16">
        <f t="shared" si="4"/>
        <v>-94.6795</v>
      </c>
      <c r="L769" s="19">
        <f t="shared" si="5"/>
        <v>-0.06302890504</v>
      </c>
      <c r="M769" s="16">
        <f t="shared" si="6"/>
        <v>1407.4805</v>
      </c>
      <c r="N769" s="20"/>
    </row>
    <row r="770">
      <c r="A770" s="22"/>
      <c r="B770" s="23" t="s">
        <v>1472</v>
      </c>
      <c r="C770" s="25" t="s">
        <v>1473</v>
      </c>
      <c r="D770" s="25">
        <v>1199.0</v>
      </c>
      <c r="E770" s="16">
        <f t="shared" si="1"/>
        <v>82.731</v>
      </c>
      <c r="F770" s="16">
        <f t="shared" si="2"/>
        <v>25.7785</v>
      </c>
      <c r="G770" s="26">
        <v>757.0</v>
      </c>
      <c r="H770" s="27">
        <v>0.1</v>
      </c>
      <c r="I770" s="28">
        <f t="shared" si="21"/>
        <v>119.9</v>
      </c>
      <c r="J770" s="25">
        <v>65.0</v>
      </c>
      <c r="K770" s="16">
        <f t="shared" si="4"/>
        <v>148.5905</v>
      </c>
      <c r="L770" s="19">
        <f t="shared" si="5"/>
        <v>0.1962886394</v>
      </c>
      <c r="M770" s="16">
        <f t="shared" si="6"/>
        <v>905.5905</v>
      </c>
      <c r="N770" s="20"/>
    </row>
    <row r="771">
      <c r="A771" s="22"/>
      <c r="B771" s="23" t="s">
        <v>1474</v>
      </c>
      <c r="C771" s="25" t="s">
        <v>1475</v>
      </c>
      <c r="D771" s="25">
        <v>1999.0</v>
      </c>
      <c r="E771" s="16">
        <f t="shared" si="1"/>
        <v>137.931</v>
      </c>
      <c r="F771" s="16">
        <f t="shared" si="2"/>
        <v>42.9785</v>
      </c>
      <c r="G771" s="26">
        <v>1350.0</v>
      </c>
      <c r="H771" s="27">
        <v>0.15</v>
      </c>
      <c r="I771" s="28">
        <f t="shared" si="21"/>
        <v>299.85</v>
      </c>
      <c r="J771" s="25">
        <v>114.0</v>
      </c>
      <c r="K771" s="16">
        <f t="shared" si="4"/>
        <v>54.2405</v>
      </c>
      <c r="L771" s="19">
        <f t="shared" si="5"/>
        <v>0.04017814815</v>
      </c>
      <c r="M771" s="16">
        <f t="shared" si="6"/>
        <v>1404.2405</v>
      </c>
      <c r="N771" s="20"/>
    </row>
    <row r="772">
      <c r="A772" s="22"/>
      <c r="B772" s="23"/>
      <c r="C772" s="25" t="s">
        <v>1476</v>
      </c>
      <c r="D772" s="25">
        <v>599.0</v>
      </c>
      <c r="E772" s="16">
        <f t="shared" si="1"/>
        <v>41.331</v>
      </c>
      <c r="F772" s="16">
        <f t="shared" si="2"/>
        <v>12.8785</v>
      </c>
      <c r="G772" s="26">
        <v>430.0</v>
      </c>
      <c r="H772" s="27">
        <v>0.1</v>
      </c>
      <c r="I772" s="28">
        <f t="shared" si="21"/>
        <v>59.9</v>
      </c>
      <c r="J772" s="25">
        <v>65.0</v>
      </c>
      <c r="K772" s="16">
        <f t="shared" si="4"/>
        <v>-10.1095</v>
      </c>
      <c r="L772" s="19">
        <f t="shared" si="5"/>
        <v>-0.02351046512</v>
      </c>
      <c r="M772" s="16">
        <f t="shared" si="6"/>
        <v>419.8905</v>
      </c>
      <c r="N772" s="20"/>
    </row>
    <row r="773">
      <c r="A773" s="22"/>
      <c r="B773" s="23" t="s">
        <v>1477</v>
      </c>
      <c r="C773" s="24"/>
      <c r="D773" s="25">
        <v>2099.0</v>
      </c>
      <c r="E773" s="16">
        <f t="shared" si="1"/>
        <v>144.831</v>
      </c>
      <c r="F773" s="16">
        <f t="shared" si="2"/>
        <v>45.1285</v>
      </c>
      <c r="G773" s="26">
        <v>1528.81</v>
      </c>
      <c r="H773" s="27">
        <v>0.145</v>
      </c>
      <c r="I773" s="28">
        <f t="shared" si="21"/>
        <v>304.355</v>
      </c>
      <c r="J773" s="25">
        <v>65.0</v>
      </c>
      <c r="K773" s="16">
        <f t="shared" si="4"/>
        <v>10.8755</v>
      </c>
      <c r="L773" s="19">
        <f t="shared" si="5"/>
        <v>0.007113702815</v>
      </c>
      <c r="M773" s="16">
        <f t="shared" si="6"/>
        <v>1539.6855</v>
      </c>
      <c r="N773" s="20"/>
    </row>
    <row r="774" ht="33.0" customHeight="1">
      <c r="A774" s="22"/>
      <c r="B774" s="23" t="s">
        <v>1478</v>
      </c>
      <c r="C774" s="25" t="s">
        <v>1479</v>
      </c>
      <c r="D774" s="25">
        <v>5920.0</v>
      </c>
      <c r="E774" s="16">
        <f t="shared" si="1"/>
        <v>408.48</v>
      </c>
      <c r="F774" s="16">
        <f t="shared" si="2"/>
        <v>127.28</v>
      </c>
      <c r="G774" s="26">
        <v>4773.0</v>
      </c>
      <c r="H774" s="27">
        <v>0.145</v>
      </c>
      <c r="I774" s="28">
        <f t="shared" si="21"/>
        <v>858.4</v>
      </c>
      <c r="J774" s="25">
        <v>100.0</v>
      </c>
      <c r="K774" s="16">
        <f t="shared" si="4"/>
        <v>-347.16</v>
      </c>
      <c r="L774" s="19">
        <f t="shared" si="5"/>
        <v>-0.07273412948</v>
      </c>
      <c r="M774" s="16">
        <f t="shared" si="6"/>
        <v>4425.84</v>
      </c>
      <c r="N774" s="20"/>
    </row>
    <row r="775">
      <c r="A775" s="22"/>
      <c r="B775" s="23" t="s">
        <v>1480</v>
      </c>
      <c r="C775" s="25" t="s">
        <v>1481</v>
      </c>
      <c r="D775" s="25">
        <v>1299.0</v>
      </c>
      <c r="E775" s="16">
        <f t="shared" si="1"/>
        <v>89.631</v>
      </c>
      <c r="F775" s="16">
        <f t="shared" si="2"/>
        <v>27.9285</v>
      </c>
      <c r="G775" s="26">
        <v>995.18</v>
      </c>
      <c r="H775" s="27">
        <v>0.1</v>
      </c>
      <c r="I775" s="28">
        <f t="shared" si="21"/>
        <v>129.9</v>
      </c>
      <c r="J775" s="25">
        <v>65.0</v>
      </c>
      <c r="K775" s="16">
        <f t="shared" si="4"/>
        <v>-8.6395</v>
      </c>
      <c r="L775" s="19">
        <f t="shared" si="5"/>
        <v>-0.008681344078</v>
      </c>
      <c r="M775" s="16">
        <f t="shared" si="6"/>
        <v>986.5405</v>
      </c>
      <c r="N775" s="20"/>
    </row>
    <row r="776">
      <c r="A776" s="22"/>
      <c r="B776" s="23" t="s">
        <v>1482</v>
      </c>
      <c r="C776" s="25" t="s">
        <v>1483</v>
      </c>
      <c r="D776" s="25">
        <v>499.0</v>
      </c>
      <c r="E776" s="16">
        <f t="shared" si="1"/>
        <v>34.431</v>
      </c>
      <c r="F776" s="16">
        <f t="shared" si="2"/>
        <v>10.7285</v>
      </c>
      <c r="G776" s="26">
        <v>304.05</v>
      </c>
      <c r="H776" s="27">
        <v>0.1</v>
      </c>
      <c r="I776" s="28">
        <f t="shared" si="21"/>
        <v>49.9</v>
      </c>
      <c r="J776" s="25">
        <v>65.0</v>
      </c>
      <c r="K776" s="16">
        <f t="shared" si="4"/>
        <v>34.8905</v>
      </c>
      <c r="L776" s="19">
        <f t="shared" si="5"/>
        <v>0.1147525078</v>
      </c>
      <c r="M776" s="16">
        <f t="shared" si="6"/>
        <v>338.9405</v>
      </c>
      <c r="N776" s="20"/>
    </row>
    <row r="777">
      <c r="A777" s="22"/>
      <c r="B777" s="23" t="s">
        <v>1484</v>
      </c>
      <c r="C777" s="25" t="s">
        <v>1485</v>
      </c>
      <c r="D777" s="25">
        <v>286.0</v>
      </c>
      <c r="E777" s="16">
        <f t="shared" si="1"/>
        <v>19.734</v>
      </c>
      <c r="F777" s="16">
        <f t="shared" si="2"/>
        <v>6.149</v>
      </c>
      <c r="G777" s="26">
        <v>166.0</v>
      </c>
      <c r="H777" s="27">
        <v>0.1</v>
      </c>
      <c r="I777" s="28">
        <f t="shared" si="21"/>
        <v>28.6</v>
      </c>
      <c r="J777" s="25">
        <v>35.0</v>
      </c>
      <c r="K777" s="16">
        <f t="shared" si="4"/>
        <v>30.517</v>
      </c>
      <c r="L777" s="19">
        <f t="shared" si="5"/>
        <v>0.1838373494</v>
      </c>
      <c r="M777" s="16">
        <f t="shared" si="6"/>
        <v>196.517</v>
      </c>
      <c r="N777" s="20" t="s">
        <v>237</v>
      </c>
    </row>
    <row r="778">
      <c r="A778" s="22"/>
      <c r="B778" s="23" t="s">
        <v>1486</v>
      </c>
      <c r="C778" s="25" t="s">
        <v>1487</v>
      </c>
      <c r="D778" s="25">
        <v>599.0</v>
      </c>
      <c r="E778" s="16">
        <f t="shared" si="1"/>
        <v>41.331</v>
      </c>
      <c r="F778" s="16">
        <f t="shared" si="2"/>
        <v>12.8785</v>
      </c>
      <c r="G778" s="26">
        <v>440.0</v>
      </c>
      <c r="H778" s="27">
        <v>0.1</v>
      </c>
      <c r="I778" s="28">
        <f t="shared" si="21"/>
        <v>59.9</v>
      </c>
      <c r="J778" s="25">
        <v>65.0</v>
      </c>
      <c r="K778" s="16">
        <f t="shared" si="4"/>
        <v>-20.1095</v>
      </c>
      <c r="L778" s="19">
        <f t="shared" si="5"/>
        <v>-0.04570340909</v>
      </c>
      <c r="M778" s="16">
        <f t="shared" si="6"/>
        <v>419.8905</v>
      </c>
      <c r="N778" s="20"/>
    </row>
    <row r="779">
      <c r="A779" s="22"/>
      <c r="B779" s="23" t="s">
        <v>1488</v>
      </c>
      <c r="C779" s="25" t="s">
        <v>1489</v>
      </c>
      <c r="D779" s="25">
        <v>4249.0</v>
      </c>
      <c r="E779" s="16">
        <f t="shared" si="1"/>
        <v>293.181</v>
      </c>
      <c r="F779" s="16">
        <f t="shared" si="2"/>
        <v>91.3535</v>
      </c>
      <c r="G779" s="26">
        <v>2919.57</v>
      </c>
      <c r="H779" s="27">
        <v>0.195</v>
      </c>
      <c r="I779" s="28">
        <f t="shared" si="21"/>
        <v>828.555</v>
      </c>
      <c r="J779" s="25">
        <v>209.0</v>
      </c>
      <c r="K779" s="16">
        <f t="shared" si="4"/>
        <v>-92.6595</v>
      </c>
      <c r="L779" s="19">
        <f t="shared" si="5"/>
        <v>-0.03173737913</v>
      </c>
      <c r="M779" s="16">
        <f t="shared" si="6"/>
        <v>2826.9105</v>
      </c>
      <c r="N779" s="20"/>
    </row>
    <row r="780">
      <c r="A780" s="22"/>
      <c r="B780" s="23" t="s">
        <v>1490</v>
      </c>
      <c r="C780" s="25" t="s">
        <v>1491</v>
      </c>
      <c r="D780" s="25">
        <v>481.0</v>
      </c>
      <c r="E780" s="16">
        <f t="shared" si="1"/>
        <v>33.189</v>
      </c>
      <c r="F780" s="16">
        <f t="shared" si="2"/>
        <v>10.3415</v>
      </c>
      <c r="G780" s="26">
        <v>335.17</v>
      </c>
      <c r="H780" s="27">
        <v>0.1</v>
      </c>
      <c r="I780" s="28">
        <f t="shared" si="21"/>
        <v>48.1</v>
      </c>
      <c r="J780" s="25">
        <v>65.0</v>
      </c>
      <c r="K780" s="16">
        <f t="shared" si="4"/>
        <v>-10.8005</v>
      </c>
      <c r="L780" s="19">
        <f t="shared" si="5"/>
        <v>-0.03222394606</v>
      </c>
      <c r="M780" s="16">
        <f t="shared" si="6"/>
        <v>324.3695</v>
      </c>
      <c r="N780" s="20"/>
    </row>
    <row r="781">
      <c r="A781" s="22"/>
      <c r="B781" s="23" t="s">
        <v>1492</v>
      </c>
      <c r="C781" s="25" t="s">
        <v>1493</v>
      </c>
      <c r="D781" s="25">
        <v>2500.0</v>
      </c>
      <c r="E781" s="16">
        <f t="shared" si="1"/>
        <v>172.5</v>
      </c>
      <c r="F781" s="16">
        <f t="shared" si="2"/>
        <v>53.75</v>
      </c>
      <c r="G781" s="26">
        <v>1963.07</v>
      </c>
      <c r="H781" s="27">
        <v>0.1</v>
      </c>
      <c r="I781" s="28">
        <f t="shared" si="21"/>
        <v>250</v>
      </c>
      <c r="J781" s="25">
        <v>65.0</v>
      </c>
      <c r="K781" s="16">
        <f t="shared" si="4"/>
        <v>-4.32</v>
      </c>
      <c r="L781" s="19">
        <f t="shared" si="5"/>
        <v>-0.00220063472</v>
      </c>
      <c r="M781" s="16">
        <f t="shared" si="6"/>
        <v>1958.75</v>
      </c>
      <c r="N781" s="20"/>
    </row>
    <row r="782">
      <c r="A782" s="22"/>
      <c r="B782" s="23" t="s">
        <v>1494</v>
      </c>
      <c r="C782" s="25" t="s">
        <v>1493</v>
      </c>
      <c r="D782" s="25">
        <v>2500.0</v>
      </c>
      <c r="E782" s="16">
        <f t="shared" si="1"/>
        <v>172.5</v>
      </c>
      <c r="F782" s="16">
        <f t="shared" si="2"/>
        <v>53.75</v>
      </c>
      <c r="G782" s="26">
        <v>1963.07</v>
      </c>
      <c r="H782" s="27">
        <v>0.1</v>
      </c>
      <c r="I782" s="28">
        <f t="shared" si="21"/>
        <v>250</v>
      </c>
      <c r="J782" s="25">
        <v>65.0</v>
      </c>
      <c r="K782" s="16">
        <f t="shared" si="4"/>
        <v>-4.32</v>
      </c>
      <c r="L782" s="19">
        <f t="shared" si="5"/>
        <v>-0.00220063472</v>
      </c>
      <c r="M782" s="16">
        <f t="shared" si="6"/>
        <v>1958.75</v>
      </c>
      <c r="N782" s="20"/>
    </row>
    <row r="783">
      <c r="A783" s="22"/>
      <c r="B783" s="23" t="s">
        <v>1495</v>
      </c>
      <c r="C783" s="25" t="s">
        <v>1496</v>
      </c>
      <c r="D783" s="25">
        <v>499.0</v>
      </c>
      <c r="E783" s="16">
        <f t="shared" si="1"/>
        <v>34.431</v>
      </c>
      <c r="F783" s="16">
        <f t="shared" si="2"/>
        <v>10.7285</v>
      </c>
      <c r="G783" s="26">
        <v>340.0</v>
      </c>
      <c r="H783" s="27">
        <v>0.1</v>
      </c>
      <c r="I783" s="28">
        <f t="shared" si="21"/>
        <v>49.9</v>
      </c>
      <c r="J783" s="25">
        <v>65.0</v>
      </c>
      <c r="K783" s="16">
        <f t="shared" si="4"/>
        <v>-1.0595</v>
      </c>
      <c r="L783" s="19">
        <f t="shared" si="5"/>
        <v>-0.003116176471</v>
      </c>
      <c r="M783" s="16">
        <f t="shared" si="6"/>
        <v>338.9405</v>
      </c>
      <c r="N783" s="20"/>
    </row>
    <row r="784">
      <c r="A784" s="22"/>
      <c r="B784" s="23" t="s">
        <v>1497</v>
      </c>
      <c r="C784" s="25" t="s">
        <v>1498</v>
      </c>
      <c r="D784" s="25">
        <v>230.0</v>
      </c>
      <c r="E784" s="16">
        <f t="shared" si="1"/>
        <v>15.87</v>
      </c>
      <c r="F784" s="16">
        <f t="shared" si="2"/>
        <v>4.945</v>
      </c>
      <c r="G784" s="26">
        <v>160.0</v>
      </c>
      <c r="H784" s="27">
        <v>0.1</v>
      </c>
      <c r="I784" s="28">
        <f t="shared" si="21"/>
        <v>23</v>
      </c>
      <c r="J784" s="25">
        <v>35.0</v>
      </c>
      <c r="K784" s="16">
        <f t="shared" si="4"/>
        <v>-8.815</v>
      </c>
      <c r="L784" s="19">
        <f t="shared" si="5"/>
        <v>-0.05509375</v>
      </c>
      <c r="M784" s="16">
        <f t="shared" si="6"/>
        <v>151.185</v>
      </c>
      <c r="N784" s="20"/>
    </row>
    <row r="785">
      <c r="A785" s="22"/>
      <c r="B785" s="23" t="s">
        <v>1499</v>
      </c>
      <c r="C785" s="25" t="s">
        <v>1500</v>
      </c>
      <c r="D785" s="25">
        <v>591.85</v>
      </c>
      <c r="E785" s="16">
        <f t="shared" si="1"/>
        <v>40.83765</v>
      </c>
      <c r="F785" s="16">
        <f t="shared" si="2"/>
        <v>12.724775</v>
      </c>
      <c r="G785" s="26">
        <f>160+190</f>
        <v>350</v>
      </c>
      <c r="H785" s="27">
        <v>0.1283</v>
      </c>
      <c r="I785" s="28">
        <f t="shared" si="21"/>
        <v>75.934355</v>
      </c>
      <c r="J785" s="25">
        <v>70.0</v>
      </c>
      <c r="K785" s="16">
        <f t="shared" si="4"/>
        <v>42.35322</v>
      </c>
      <c r="L785" s="19">
        <f t="shared" si="5"/>
        <v>0.1210092</v>
      </c>
      <c r="M785" s="16">
        <f t="shared" si="6"/>
        <v>392.35322</v>
      </c>
      <c r="N785" s="20" t="s">
        <v>1501</v>
      </c>
    </row>
    <row r="786">
      <c r="A786" s="22"/>
      <c r="B786" s="23" t="s">
        <v>1502</v>
      </c>
      <c r="C786" s="25" t="s">
        <v>1503</v>
      </c>
      <c r="D786" s="25">
        <v>4999.0</v>
      </c>
      <c r="E786" s="16">
        <f t="shared" si="1"/>
        <v>344.931</v>
      </c>
      <c r="F786" s="16">
        <f t="shared" si="2"/>
        <v>107.4785</v>
      </c>
      <c r="G786" s="26">
        <v>3873.21</v>
      </c>
      <c r="H786" s="27">
        <v>0.1</v>
      </c>
      <c r="I786" s="28">
        <f t="shared" si="21"/>
        <v>499.9</v>
      </c>
      <c r="J786" s="25">
        <v>155.0</v>
      </c>
      <c r="K786" s="16">
        <f t="shared" si="4"/>
        <v>18.4805</v>
      </c>
      <c r="L786" s="19">
        <f t="shared" si="5"/>
        <v>0.004771365353</v>
      </c>
      <c r="M786" s="16">
        <f t="shared" si="6"/>
        <v>3891.6905</v>
      </c>
      <c r="N786" s="20"/>
    </row>
    <row r="787">
      <c r="A787" s="22"/>
      <c r="B787" s="23" t="s">
        <v>1504</v>
      </c>
      <c r="C787" s="25" t="s">
        <v>1505</v>
      </c>
      <c r="D787" s="25">
        <v>3364.0</v>
      </c>
      <c r="E787" s="16">
        <f t="shared" si="1"/>
        <v>232.116</v>
      </c>
      <c r="F787" s="16">
        <f t="shared" si="2"/>
        <v>72.326</v>
      </c>
      <c r="G787" s="26">
        <v>2659.33</v>
      </c>
      <c r="H787" s="27">
        <v>0.1</v>
      </c>
      <c r="I787" s="28">
        <f t="shared" si="21"/>
        <v>336.4</v>
      </c>
      <c r="J787" s="25">
        <v>100.0</v>
      </c>
      <c r="K787" s="16">
        <f t="shared" si="4"/>
        <v>-36.172</v>
      </c>
      <c r="L787" s="19">
        <f t="shared" si="5"/>
        <v>-0.01360192229</v>
      </c>
      <c r="M787" s="16">
        <f t="shared" si="6"/>
        <v>2623.158</v>
      </c>
      <c r="N787" s="20"/>
    </row>
    <row r="788">
      <c r="A788" s="22"/>
      <c r="B788" s="23" t="s">
        <v>1506</v>
      </c>
      <c r="C788" s="25" t="s">
        <v>1507</v>
      </c>
      <c r="D788" s="25">
        <v>940.0</v>
      </c>
      <c r="E788" s="16">
        <f t="shared" si="1"/>
        <v>64.86</v>
      </c>
      <c r="F788" s="16">
        <f t="shared" si="2"/>
        <v>20.21</v>
      </c>
      <c r="G788" s="26">
        <v>738.28</v>
      </c>
      <c r="H788" s="27">
        <v>0.1</v>
      </c>
      <c r="I788" s="28">
        <f t="shared" si="21"/>
        <v>94</v>
      </c>
      <c r="J788" s="25">
        <v>65.0</v>
      </c>
      <c r="K788" s="16">
        <f t="shared" si="4"/>
        <v>-42.35</v>
      </c>
      <c r="L788" s="19">
        <f t="shared" si="5"/>
        <v>-0.05736306009</v>
      </c>
      <c r="M788" s="16">
        <f t="shared" si="6"/>
        <v>695.93</v>
      </c>
      <c r="N788" s="20"/>
    </row>
    <row r="789">
      <c r="A789" s="22"/>
      <c r="B789" s="23" t="s">
        <v>1508</v>
      </c>
      <c r="C789" s="25" t="s">
        <v>1507</v>
      </c>
      <c r="D789" s="25">
        <v>615.0</v>
      </c>
      <c r="E789" s="16">
        <f t="shared" si="1"/>
        <v>42.435</v>
      </c>
      <c r="F789" s="16">
        <f t="shared" si="2"/>
        <v>13.2225</v>
      </c>
      <c r="G789" s="26">
        <v>738.28</v>
      </c>
      <c r="H789" s="27">
        <v>0.1</v>
      </c>
      <c r="I789" s="28">
        <f t="shared" si="21"/>
        <v>61.5</v>
      </c>
      <c r="J789" s="25">
        <v>65.0</v>
      </c>
      <c r="K789" s="16">
        <f t="shared" si="4"/>
        <v>-305.4375</v>
      </c>
      <c r="L789" s="19">
        <f t="shared" si="5"/>
        <v>-0.4137149862</v>
      </c>
      <c r="M789" s="16">
        <f t="shared" si="6"/>
        <v>432.8425</v>
      </c>
      <c r="N789" s="20"/>
    </row>
    <row r="790">
      <c r="A790" s="22"/>
      <c r="B790" s="23" t="s">
        <v>1509</v>
      </c>
      <c r="C790" s="25" t="s">
        <v>1510</v>
      </c>
      <c r="D790" s="25">
        <v>2099.0</v>
      </c>
      <c r="E790" s="16">
        <f t="shared" si="1"/>
        <v>144.831</v>
      </c>
      <c r="F790" s="16">
        <f t="shared" si="2"/>
        <v>45.1285</v>
      </c>
      <c r="G790" s="26">
        <v>1543.98</v>
      </c>
      <c r="H790" s="27">
        <v>0.15</v>
      </c>
      <c r="I790" s="28">
        <f t="shared" si="21"/>
        <v>314.85</v>
      </c>
      <c r="J790" s="25">
        <v>65.0</v>
      </c>
      <c r="K790" s="16">
        <f t="shared" si="4"/>
        <v>-14.7895</v>
      </c>
      <c r="L790" s="19">
        <f t="shared" si="5"/>
        <v>-0.009578815788</v>
      </c>
      <c r="M790" s="16">
        <f t="shared" si="6"/>
        <v>1529.1905</v>
      </c>
      <c r="N790" s="20"/>
    </row>
    <row r="791">
      <c r="A791" s="22"/>
      <c r="B791" s="23" t="s">
        <v>1511</v>
      </c>
      <c r="C791" s="25" t="s">
        <v>1512</v>
      </c>
      <c r="D791" s="25">
        <v>1399.0</v>
      </c>
      <c r="E791" s="16">
        <f t="shared" si="1"/>
        <v>96.531</v>
      </c>
      <c r="F791" s="16">
        <f t="shared" si="2"/>
        <v>30.0785</v>
      </c>
      <c r="G791" s="26">
        <v>943.64</v>
      </c>
      <c r="H791" s="27">
        <v>0.15</v>
      </c>
      <c r="I791" s="28">
        <f t="shared" si="21"/>
        <v>209.85</v>
      </c>
      <c r="J791" s="25">
        <v>65.0</v>
      </c>
      <c r="K791" s="16">
        <f t="shared" si="4"/>
        <v>53.9005</v>
      </c>
      <c r="L791" s="19">
        <f t="shared" si="5"/>
        <v>0.05711977025</v>
      </c>
      <c r="M791" s="16">
        <f t="shared" si="6"/>
        <v>997.5405</v>
      </c>
      <c r="N791" s="20"/>
    </row>
    <row r="792">
      <c r="A792" s="22"/>
      <c r="B792" s="23" t="s">
        <v>1513</v>
      </c>
      <c r="C792" s="25" t="s">
        <v>1514</v>
      </c>
      <c r="D792" s="25">
        <v>1499.0</v>
      </c>
      <c r="E792" s="16">
        <f t="shared" si="1"/>
        <v>103.431</v>
      </c>
      <c r="F792" s="16">
        <f t="shared" si="2"/>
        <v>32.2285</v>
      </c>
      <c r="G792" s="26">
        <v>1286.16</v>
      </c>
      <c r="H792" s="27">
        <v>0.1</v>
      </c>
      <c r="I792" s="28">
        <f t="shared" si="21"/>
        <v>149.9</v>
      </c>
      <c r="J792" s="25">
        <v>73.0</v>
      </c>
      <c r="K792" s="16">
        <f t="shared" si="4"/>
        <v>-145.7195</v>
      </c>
      <c r="L792" s="19">
        <f t="shared" si="5"/>
        <v>-0.1132981122</v>
      </c>
      <c r="M792" s="16">
        <f t="shared" si="6"/>
        <v>1140.4405</v>
      </c>
      <c r="N792" s="20"/>
    </row>
    <row r="793">
      <c r="A793" s="22"/>
      <c r="B793" s="23" t="s">
        <v>1515</v>
      </c>
      <c r="C793" s="25" t="s">
        <v>1516</v>
      </c>
      <c r="D793" s="25">
        <v>4999.0</v>
      </c>
      <c r="E793" s="16">
        <f t="shared" si="1"/>
        <v>344.931</v>
      </c>
      <c r="F793" s="16">
        <f t="shared" si="2"/>
        <v>107.4785</v>
      </c>
      <c r="G793" s="26">
        <v>3464.79</v>
      </c>
      <c r="H793" s="27">
        <v>0.1</v>
      </c>
      <c r="I793" s="28">
        <f t="shared" si="21"/>
        <v>499.9</v>
      </c>
      <c r="J793" s="25">
        <v>73.0</v>
      </c>
      <c r="K793" s="16">
        <f t="shared" si="4"/>
        <v>508.9005</v>
      </c>
      <c r="L793" s="19">
        <f t="shared" si="5"/>
        <v>0.1468777328</v>
      </c>
      <c r="M793" s="16">
        <f t="shared" si="6"/>
        <v>3973.6905</v>
      </c>
      <c r="N793" s="20"/>
    </row>
    <row r="794">
      <c r="A794" s="22"/>
      <c r="B794" s="23" t="s">
        <v>1517</v>
      </c>
      <c r="C794" s="25" t="s">
        <v>1518</v>
      </c>
      <c r="D794" s="25">
        <v>499.0</v>
      </c>
      <c r="E794" s="16">
        <f t="shared" si="1"/>
        <v>34.431</v>
      </c>
      <c r="F794" s="16">
        <f t="shared" si="2"/>
        <v>10.7285</v>
      </c>
      <c r="G794" s="26">
        <v>340.06</v>
      </c>
      <c r="H794" s="27">
        <v>0.1</v>
      </c>
      <c r="I794" s="28">
        <f t="shared" si="21"/>
        <v>49.9</v>
      </c>
      <c r="J794" s="25">
        <v>73.0</v>
      </c>
      <c r="K794" s="16">
        <f t="shared" si="4"/>
        <v>-9.1195</v>
      </c>
      <c r="L794" s="19">
        <f t="shared" si="5"/>
        <v>-0.02681732635</v>
      </c>
      <c r="M794" s="16">
        <f t="shared" si="6"/>
        <v>330.9405</v>
      </c>
      <c r="N794" s="20"/>
    </row>
    <row r="795">
      <c r="A795" s="22"/>
      <c r="B795" s="23" t="s">
        <v>1519</v>
      </c>
      <c r="C795" s="25" t="s">
        <v>1520</v>
      </c>
      <c r="D795" s="25">
        <v>5353.0</v>
      </c>
      <c r="E795" s="16">
        <f t="shared" si="1"/>
        <v>369.357</v>
      </c>
      <c r="F795" s="16">
        <f t="shared" si="2"/>
        <v>115.0895</v>
      </c>
      <c r="G795" s="26">
        <v>4341.38</v>
      </c>
      <c r="H795" s="27">
        <v>0.145</v>
      </c>
      <c r="I795" s="28">
        <f t="shared" si="21"/>
        <v>776.185</v>
      </c>
      <c r="J795" s="25">
        <v>73.0</v>
      </c>
      <c r="K795" s="16">
        <f t="shared" si="4"/>
        <v>-322.0115</v>
      </c>
      <c r="L795" s="19">
        <f t="shared" si="5"/>
        <v>-0.07417261332</v>
      </c>
      <c r="M795" s="16">
        <f t="shared" si="6"/>
        <v>4019.3685</v>
      </c>
      <c r="N795" s="20"/>
    </row>
    <row r="796">
      <c r="A796" s="22"/>
      <c r="B796" s="23" t="s">
        <v>1521</v>
      </c>
      <c r="C796" s="25" t="s">
        <v>1522</v>
      </c>
      <c r="D796" s="25">
        <v>2199.0</v>
      </c>
      <c r="E796" s="16">
        <f t="shared" si="1"/>
        <v>151.731</v>
      </c>
      <c r="F796" s="16">
        <f t="shared" si="2"/>
        <v>47.2785</v>
      </c>
      <c r="G796" s="26">
        <v>1580.6</v>
      </c>
      <c r="H796" s="27">
        <v>0.145</v>
      </c>
      <c r="I796" s="28">
        <f t="shared" si="21"/>
        <v>318.855</v>
      </c>
      <c r="J796" s="25">
        <v>73.0</v>
      </c>
      <c r="K796" s="16">
        <f t="shared" si="4"/>
        <v>27.5355</v>
      </c>
      <c r="L796" s="19">
        <f t="shared" si="5"/>
        <v>0.01742091611</v>
      </c>
      <c r="M796" s="16">
        <f t="shared" si="6"/>
        <v>1608.1355</v>
      </c>
      <c r="N796" s="20"/>
    </row>
    <row r="797">
      <c r="A797" s="22"/>
      <c r="B797" s="23" t="s">
        <v>1523</v>
      </c>
      <c r="C797" s="25" t="s">
        <v>1524</v>
      </c>
      <c r="D797" s="25">
        <v>499.0</v>
      </c>
      <c r="E797" s="16">
        <f t="shared" si="1"/>
        <v>34.431</v>
      </c>
      <c r="F797" s="16">
        <f t="shared" si="2"/>
        <v>10.7285</v>
      </c>
      <c r="G797" s="26">
        <v>340.38</v>
      </c>
      <c r="H797" s="27">
        <v>0.1</v>
      </c>
      <c r="I797" s="28">
        <f t="shared" si="21"/>
        <v>49.9</v>
      </c>
      <c r="J797" s="25">
        <v>65.0</v>
      </c>
      <c r="K797" s="16">
        <f t="shared" si="4"/>
        <v>-1.4395</v>
      </c>
      <c r="L797" s="19">
        <f t="shared" si="5"/>
        <v>-0.004229096892</v>
      </c>
      <c r="M797" s="16">
        <f t="shared" si="6"/>
        <v>338.9405</v>
      </c>
      <c r="N797" s="20"/>
    </row>
    <row r="798">
      <c r="A798" s="22"/>
      <c r="B798" s="23" t="s">
        <v>1525</v>
      </c>
      <c r="C798" s="25" t="s">
        <v>1526</v>
      </c>
      <c r="D798" s="25">
        <v>939.0</v>
      </c>
      <c r="E798" s="16">
        <f t="shared" si="1"/>
        <v>64.791</v>
      </c>
      <c r="F798" s="16">
        <f t="shared" si="2"/>
        <v>20.1885</v>
      </c>
      <c r="G798" s="26">
        <v>807.88</v>
      </c>
      <c r="H798" s="27">
        <v>0.1</v>
      </c>
      <c r="I798" s="28">
        <f t="shared" si="21"/>
        <v>93.9</v>
      </c>
      <c r="J798" s="25">
        <v>65.0</v>
      </c>
      <c r="K798" s="16">
        <f t="shared" si="4"/>
        <v>-112.7595</v>
      </c>
      <c r="L798" s="19">
        <f t="shared" si="5"/>
        <v>-0.1395745655</v>
      </c>
      <c r="M798" s="16">
        <f t="shared" si="6"/>
        <v>695.1205</v>
      </c>
      <c r="N798" s="20"/>
    </row>
    <row r="799">
      <c r="A799" s="22"/>
      <c r="B799" s="23" t="s">
        <v>1527</v>
      </c>
      <c r="C799" s="25" t="s">
        <v>1528</v>
      </c>
      <c r="D799" s="25">
        <v>5499.0</v>
      </c>
      <c r="E799" s="16">
        <f t="shared" si="1"/>
        <v>379.431</v>
      </c>
      <c r="F799" s="16">
        <f t="shared" si="2"/>
        <v>118.2285</v>
      </c>
      <c r="G799" s="26">
        <v>4350.08</v>
      </c>
      <c r="H799" s="27">
        <v>0.145</v>
      </c>
      <c r="I799" s="28">
        <f t="shared" si="21"/>
        <v>797.355</v>
      </c>
      <c r="J799" s="25">
        <v>95.0</v>
      </c>
      <c r="K799" s="16">
        <f t="shared" si="4"/>
        <v>-241.0945</v>
      </c>
      <c r="L799" s="19">
        <f t="shared" si="5"/>
        <v>-0.05542300371</v>
      </c>
      <c r="M799" s="16">
        <f t="shared" si="6"/>
        <v>4108.9855</v>
      </c>
      <c r="N799" s="20"/>
    </row>
    <row r="800">
      <c r="A800" s="22"/>
      <c r="B800" s="23" t="s">
        <v>1529</v>
      </c>
      <c r="C800" s="25" t="s">
        <v>1530</v>
      </c>
      <c r="D800" s="25">
        <v>993.0</v>
      </c>
      <c r="E800" s="16">
        <f t="shared" si="1"/>
        <v>68.517</v>
      </c>
      <c r="F800" s="16">
        <f t="shared" si="2"/>
        <v>21.3495</v>
      </c>
      <c r="G800" s="26">
        <v>807.88</v>
      </c>
      <c r="H800" s="27">
        <v>0.1</v>
      </c>
      <c r="I800" s="28">
        <f t="shared" si="21"/>
        <v>99.3</v>
      </c>
      <c r="J800" s="25">
        <v>65.0</v>
      </c>
      <c r="K800" s="16">
        <f t="shared" si="4"/>
        <v>-69.0465</v>
      </c>
      <c r="L800" s="19">
        <f t="shared" si="5"/>
        <v>-0.08546628212</v>
      </c>
      <c r="M800" s="16">
        <f t="shared" si="6"/>
        <v>738.8335</v>
      </c>
      <c r="N800" s="20"/>
    </row>
    <row r="801">
      <c r="A801" s="22"/>
      <c r="B801" s="23" t="s">
        <v>1531</v>
      </c>
      <c r="C801" s="25" t="s">
        <v>1530</v>
      </c>
      <c r="D801" s="25">
        <v>1059.0</v>
      </c>
      <c r="E801" s="16">
        <f t="shared" si="1"/>
        <v>73.071</v>
      </c>
      <c r="F801" s="16">
        <f t="shared" si="2"/>
        <v>22.7685</v>
      </c>
      <c r="G801" s="26">
        <v>807.88</v>
      </c>
      <c r="H801" s="27">
        <v>0.1</v>
      </c>
      <c r="I801" s="28">
        <f t="shared" si="21"/>
        <v>105.9</v>
      </c>
      <c r="J801" s="25">
        <v>65.0</v>
      </c>
      <c r="K801" s="16">
        <f t="shared" si="4"/>
        <v>-15.6195</v>
      </c>
      <c r="L801" s="19">
        <f t="shared" si="5"/>
        <v>-0.01933393573</v>
      </c>
      <c r="M801" s="16">
        <f t="shared" si="6"/>
        <v>792.2605</v>
      </c>
      <c r="N801" s="20"/>
    </row>
    <row r="802">
      <c r="A802" s="22"/>
      <c r="B802" s="23" t="s">
        <v>1532</v>
      </c>
      <c r="C802" s="25" t="s">
        <v>1533</v>
      </c>
      <c r="D802" s="25">
        <v>1499.0</v>
      </c>
      <c r="E802" s="16">
        <f t="shared" si="1"/>
        <v>103.431</v>
      </c>
      <c r="F802" s="16">
        <f t="shared" si="2"/>
        <v>32.2285</v>
      </c>
      <c r="G802" s="26">
        <v>1140.88</v>
      </c>
      <c r="H802" s="27">
        <v>0.1</v>
      </c>
      <c r="I802" s="28">
        <f t="shared" si="21"/>
        <v>149.9</v>
      </c>
      <c r="J802" s="25">
        <v>100.0</v>
      </c>
      <c r="K802" s="16">
        <f t="shared" si="4"/>
        <v>-27.4395</v>
      </c>
      <c r="L802" s="19">
        <f t="shared" si="5"/>
        <v>-0.02405117103</v>
      </c>
      <c r="M802" s="16">
        <f t="shared" si="6"/>
        <v>1113.4405</v>
      </c>
      <c r="N802" s="20"/>
    </row>
    <row r="803">
      <c r="A803" s="22"/>
      <c r="B803" s="23" t="s">
        <v>1534</v>
      </c>
      <c r="C803" s="25" t="s">
        <v>1460</v>
      </c>
      <c r="D803" s="25">
        <v>470.0</v>
      </c>
      <c r="E803" s="16">
        <f t="shared" si="1"/>
        <v>32.43</v>
      </c>
      <c r="F803" s="16">
        <f t="shared" si="2"/>
        <v>10.105</v>
      </c>
      <c r="G803" s="26">
        <v>290.0</v>
      </c>
      <c r="H803" s="27">
        <v>0.15</v>
      </c>
      <c r="I803" s="28">
        <f t="shared" si="21"/>
        <v>70.5</v>
      </c>
      <c r="J803" s="25">
        <v>79.0</v>
      </c>
      <c r="K803" s="16">
        <f t="shared" si="4"/>
        <v>-12.035</v>
      </c>
      <c r="L803" s="19">
        <f t="shared" si="5"/>
        <v>-0.0415</v>
      </c>
      <c r="M803" s="16">
        <f t="shared" si="6"/>
        <v>277.965</v>
      </c>
      <c r="N803" s="20"/>
    </row>
    <row r="804">
      <c r="A804" s="22"/>
      <c r="B804" s="23" t="s">
        <v>1535</v>
      </c>
      <c r="C804" s="25" t="s">
        <v>1536</v>
      </c>
      <c r="D804" s="25">
        <v>419.0</v>
      </c>
      <c r="E804" s="16">
        <f t="shared" si="1"/>
        <v>28.911</v>
      </c>
      <c r="F804" s="16">
        <f t="shared" si="2"/>
        <v>9.0085</v>
      </c>
      <c r="G804" s="26">
        <v>260.0</v>
      </c>
      <c r="H804" s="27">
        <v>0.15</v>
      </c>
      <c r="I804" s="28">
        <f t="shared" si="21"/>
        <v>62.85</v>
      </c>
      <c r="J804" s="25">
        <v>65.0</v>
      </c>
      <c r="K804" s="16">
        <f t="shared" si="4"/>
        <v>-6.7695</v>
      </c>
      <c r="L804" s="19">
        <f t="shared" si="5"/>
        <v>-0.02603653846</v>
      </c>
      <c r="M804" s="16">
        <f t="shared" si="6"/>
        <v>253.2305</v>
      </c>
      <c r="N804" s="20"/>
    </row>
    <row r="805">
      <c r="A805" s="22"/>
      <c r="B805" s="23" t="s">
        <v>1537</v>
      </c>
      <c r="C805" s="25" t="s">
        <v>1538</v>
      </c>
      <c r="D805" s="25">
        <v>2319.0</v>
      </c>
      <c r="E805" s="16">
        <f t="shared" si="1"/>
        <v>160.011</v>
      </c>
      <c r="F805" s="16">
        <f t="shared" si="2"/>
        <v>49.8585</v>
      </c>
      <c r="G805" s="26">
        <v>1540.0</v>
      </c>
      <c r="H805" s="27">
        <v>0.15</v>
      </c>
      <c r="I805" s="28">
        <f t="shared" si="21"/>
        <v>347.85</v>
      </c>
      <c r="J805" s="25">
        <v>155.0</v>
      </c>
      <c r="K805" s="16">
        <f t="shared" si="4"/>
        <v>66.2805</v>
      </c>
      <c r="L805" s="19">
        <f t="shared" si="5"/>
        <v>0.04303928571</v>
      </c>
      <c r="M805" s="16">
        <f t="shared" si="6"/>
        <v>1606.2805</v>
      </c>
      <c r="N805" s="20"/>
    </row>
    <row r="806">
      <c r="A806" s="22"/>
      <c r="B806" s="23" t="s">
        <v>1539</v>
      </c>
      <c r="C806" s="25" t="s">
        <v>1540</v>
      </c>
      <c r="D806" s="25">
        <v>799.0</v>
      </c>
      <c r="E806" s="16">
        <f t="shared" si="1"/>
        <v>55.131</v>
      </c>
      <c r="F806" s="16">
        <f t="shared" si="2"/>
        <v>17.1785</v>
      </c>
      <c r="G806" s="26">
        <v>580.0</v>
      </c>
      <c r="H806" s="27">
        <v>0.145</v>
      </c>
      <c r="I806" s="28">
        <f t="shared" si="21"/>
        <v>115.855</v>
      </c>
      <c r="J806" s="25">
        <v>65.0</v>
      </c>
      <c r="K806" s="16">
        <f t="shared" si="4"/>
        <v>-34.1645</v>
      </c>
      <c r="L806" s="19">
        <f t="shared" si="5"/>
        <v>-0.05890431034</v>
      </c>
      <c r="M806" s="16">
        <f t="shared" si="6"/>
        <v>545.8355</v>
      </c>
      <c r="N806" s="20"/>
    </row>
    <row r="807">
      <c r="A807" s="22"/>
      <c r="B807" s="23" t="s">
        <v>1541</v>
      </c>
      <c r="C807" s="25" t="s">
        <v>1542</v>
      </c>
      <c r="D807" s="25">
        <v>450.0</v>
      </c>
      <c r="E807" s="16">
        <f t="shared" si="1"/>
        <v>31.05</v>
      </c>
      <c r="F807" s="16">
        <f t="shared" si="2"/>
        <v>9.675</v>
      </c>
      <c r="G807" s="26">
        <v>280.73</v>
      </c>
      <c r="H807" s="27">
        <v>0.145</v>
      </c>
      <c r="I807" s="28">
        <f t="shared" si="21"/>
        <v>65.25</v>
      </c>
      <c r="J807" s="25">
        <v>65.0</v>
      </c>
      <c r="K807" s="16">
        <f t="shared" si="4"/>
        <v>-1.705</v>
      </c>
      <c r="L807" s="19">
        <f t="shared" si="5"/>
        <v>-0.006073451359</v>
      </c>
      <c r="M807" s="16">
        <f t="shared" si="6"/>
        <v>279.025</v>
      </c>
      <c r="N807" s="20"/>
    </row>
    <row r="808">
      <c r="A808" s="22"/>
      <c r="B808" s="23" t="s">
        <v>1543</v>
      </c>
      <c r="C808" s="25" t="s">
        <v>1544</v>
      </c>
      <c r="D808" s="25">
        <v>999.0</v>
      </c>
      <c r="E808" s="16">
        <f t="shared" si="1"/>
        <v>68.931</v>
      </c>
      <c r="F808" s="16">
        <f t="shared" si="2"/>
        <v>21.4785</v>
      </c>
      <c r="G808" s="26">
        <v>744.48</v>
      </c>
      <c r="H808" s="27">
        <v>0.1</v>
      </c>
      <c r="I808" s="28">
        <f t="shared" si="21"/>
        <v>99.9</v>
      </c>
      <c r="J808" s="25">
        <v>73.0</v>
      </c>
      <c r="K808" s="16">
        <f t="shared" si="4"/>
        <v>-8.7895</v>
      </c>
      <c r="L808" s="19">
        <f t="shared" si="5"/>
        <v>-0.01180622717</v>
      </c>
      <c r="M808" s="16">
        <f t="shared" si="6"/>
        <v>735.6905</v>
      </c>
      <c r="N808" s="20"/>
    </row>
    <row r="809" ht="19.5" customHeight="1">
      <c r="A809" s="22"/>
      <c r="B809" s="23" t="s">
        <v>1545</v>
      </c>
      <c r="C809" s="25" t="s">
        <v>1546</v>
      </c>
      <c r="D809" s="25">
        <v>1099.0</v>
      </c>
      <c r="E809" s="16">
        <f t="shared" si="1"/>
        <v>75.831</v>
      </c>
      <c r="F809" s="16">
        <f t="shared" si="2"/>
        <v>23.6285</v>
      </c>
      <c r="G809" s="26">
        <v>780.0</v>
      </c>
      <c r="H809" s="27">
        <v>0.15</v>
      </c>
      <c r="I809" s="28">
        <f t="shared" si="21"/>
        <v>164.85</v>
      </c>
      <c r="J809" s="25">
        <v>73.0</v>
      </c>
      <c r="K809" s="16">
        <f t="shared" si="4"/>
        <v>-18.3095</v>
      </c>
      <c r="L809" s="19">
        <f t="shared" si="5"/>
        <v>-0.02347371795</v>
      </c>
      <c r="M809" s="16">
        <f t="shared" si="6"/>
        <v>761.6905</v>
      </c>
      <c r="N809" s="20"/>
    </row>
    <row r="810">
      <c r="A810" s="22"/>
      <c r="B810" s="23" t="s">
        <v>1547</v>
      </c>
      <c r="C810" s="25" t="s">
        <v>1548</v>
      </c>
      <c r="D810" s="25">
        <v>479.0</v>
      </c>
      <c r="E810" s="16">
        <f t="shared" si="1"/>
        <v>33.051</v>
      </c>
      <c r="F810" s="16">
        <f t="shared" si="2"/>
        <v>10.2985</v>
      </c>
      <c r="G810" s="26">
        <v>300.0</v>
      </c>
      <c r="H810" s="27">
        <v>0.1</v>
      </c>
      <c r="I810" s="28">
        <f t="shared" si="21"/>
        <v>47.9</v>
      </c>
      <c r="J810" s="25">
        <v>52.0</v>
      </c>
      <c r="K810" s="16">
        <f t="shared" si="4"/>
        <v>35.7505</v>
      </c>
      <c r="L810" s="19">
        <f t="shared" si="5"/>
        <v>0.1191683333</v>
      </c>
      <c r="M810" s="16">
        <f t="shared" si="6"/>
        <v>335.7505</v>
      </c>
      <c r="N810" s="20"/>
    </row>
    <row r="811">
      <c r="A811" s="22"/>
      <c r="B811" s="23" t="s">
        <v>1549</v>
      </c>
      <c r="C811" s="25" t="s">
        <v>1550</v>
      </c>
      <c r="D811" s="25">
        <v>519.0</v>
      </c>
      <c r="E811" s="16">
        <f t="shared" si="1"/>
        <v>35.811</v>
      </c>
      <c r="F811" s="16">
        <f t="shared" si="2"/>
        <v>11.1585</v>
      </c>
      <c r="G811" s="26">
        <v>360.0</v>
      </c>
      <c r="H811" s="27">
        <v>0.1</v>
      </c>
      <c r="I811" s="28">
        <f t="shared" si="21"/>
        <v>51.9</v>
      </c>
      <c r="J811" s="25">
        <v>65.0</v>
      </c>
      <c r="K811" s="16">
        <f t="shared" si="4"/>
        <v>-4.8695</v>
      </c>
      <c r="L811" s="19">
        <f t="shared" si="5"/>
        <v>-0.01352638889</v>
      </c>
      <c r="M811" s="16">
        <f t="shared" si="6"/>
        <v>355.1305</v>
      </c>
      <c r="N811" s="20"/>
    </row>
    <row r="812">
      <c r="A812" s="22"/>
      <c r="B812" s="23" t="s">
        <v>1551</v>
      </c>
      <c r="C812" s="25" t="s">
        <v>1552</v>
      </c>
      <c r="D812" s="25">
        <v>2893.0</v>
      </c>
      <c r="E812" s="16">
        <f t="shared" si="1"/>
        <v>199.617</v>
      </c>
      <c r="F812" s="16">
        <f t="shared" si="2"/>
        <v>62.1995</v>
      </c>
      <c r="G812" s="26">
        <v>2319.36</v>
      </c>
      <c r="H812" s="27">
        <v>0.145</v>
      </c>
      <c r="I812" s="28">
        <f t="shared" si="21"/>
        <v>419.485</v>
      </c>
      <c r="J812" s="25">
        <v>73.0</v>
      </c>
      <c r="K812" s="16">
        <f t="shared" si="4"/>
        <v>-180.6615</v>
      </c>
      <c r="L812" s="19">
        <f t="shared" si="5"/>
        <v>-0.07789282388</v>
      </c>
      <c r="M812" s="16">
        <f t="shared" si="6"/>
        <v>2138.6985</v>
      </c>
      <c r="N812" s="20"/>
    </row>
    <row r="813">
      <c r="A813" s="22"/>
      <c r="B813" s="23" t="s">
        <v>1553</v>
      </c>
      <c r="C813" s="24"/>
      <c r="D813" s="24"/>
      <c r="E813" s="16">
        <f t="shared" si="1"/>
        <v>0</v>
      </c>
      <c r="F813" s="16">
        <f t="shared" si="2"/>
        <v>0</v>
      </c>
      <c r="G813" s="26">
        <v>440.2</v>
      </c>
      <c r="H813" s="27">
        <v>0.145</v>
      </c>
      <c r="I813" s="28">
        <f t="shared" si="21"/>
        <v>0</v>
      </c>
      <c r="J813" s="25">
        <v>73.0</v>
      </c>
      <c r="K813" s="16">
        <f t="shared" si="4"/>
        <v>-513.2</v>
      </c>
      <c r="L813" s="19">
        <f t="shared" si="5"/>
        <v>-1.165833712</v>
      </c>
      <c r="M813" s="16">
        <f t="shared" si="6"/>
        <v>-73</v>
      </c>
      <c r="N813" s="20"/>
    </row>
    <row r="814">
      <c r="A814" s="22"/>
      <c r="B814" s="23" t="s">
        <v>1554</v>
      </c>
      <c r="C814" s="25" t="s">
        <v>1555</v>
      </c>
      <c r="D814" s="25">
        <v>699.0</v>
      </c>
      <c r="E814" s="16">
        <f t="shared" si="1"/>
        <v>48.231</v>
      </c>
      <c r="F814" s="16">
        <f t="shared" si="2"/>
        <v>15.0285</v>
      </c>
      <c r="G814" s="26">
        <v>495.0</v>
      </c>
      <c r="H814" s="27">
        <v>0.1</v>
      </c>
      <c r="I814" s="28">
        <f t="shared" si="21"/>
        <v>69.9</v>
      </c>
      <c r="J814" s="25">
        <v>65.0</v>
      </c>
      <c r="K814" s="16">
        <f t="shared" si="4"/>
        <v>5.8405</v>
      </c>
      <c r="L814" s="19">
        <f t="shared" si="5"/>
        <v>0.0117989899</v>
      </c>
      <c r="M814" s="16">
        <f t="shared" si="6"/>
        <v>500.8405</v>
      </c>
      <c r="N814" s="20"/>
    </row>
    <row r="815">
      <c r="A815" s="22"/>
      <c r="B815" s="23" t="s">
        <v>1556</v>
      </c>
      <c r="C815" s="24"/>
      <c r="D815" s="25">
        <v>999.0</v>
      </c>
      <c r="E815" s="16">
        <f t="shared" si="1"/>
        <v>68.931</v>
      </c>
      <c r="F815" s="16">
        <f t="shared" si="2"/>
        <v>21.4785</v>
      </c>
      <c r="G815" s="26">
        <v>739.41</v>
      </c>
      <c r="H815" s="27">
        <v>0.1</v>
      </c>
      <c r="I815" s="28">
        <f t="shared" si="21"/>
        <v>99.9</v>
      </c>
      <c r="J815" s="25">
        <v>65.0</v>
      </c>
      <c r="K815" s="16">
        <f t="shared" si="4"/>
        <v>4.2805</v>
      </c>
      <c r="L815" s="19">
        <f t="shared" si="5"/>
        <v>0.005789075073</v>
      </c>
      <c r="M815" s="16">
        <f t="shared" si="6"/>
        <v>743.6905</v>
      </c>
      <c r="N815" s="20"/>
    </row>
    <row r="816">
      <c r="A816" s="22"/>
      <c r="B816" s="23" t="s">
        <v>1557</v>
      </c>
      <c r="C816" s="24"/>
      <c r="D816" s="25">
        <v>744.0</v>
      </c>
      <c r="E816" s="16">
        <f t="shared" si="1"/>
        <v>51.336</v>
      </c>
      <c r="F816" s="16">
        <f t="shared" si="2"/>
        <v>15.996</v>
      </c>
      <c r="G816" s="26">
        <v>596.04</v>
      </c>
      <c r="H816" s="27">
        <v>0.1</v>
      </c>
      <c r="I816" s="28">
        <f t="shared" si="21"/>
        <v>74.4</v>
      </c>
      <c r="J816" s="25">
        <v>65.0</v>
      </c>
      <c r="K816" s="16">
        <f t="shared" si="4"/>
        <v>-58.772</v>
      </c>
      <c r="L816" s="19">
        <f t="shared" si="5"/>
        <v>-0.09860412053</v>
      </c>
      <c r="M816" s="16">
        <f t="shared" si="6"/>
        <v>537.268</v>
      </c>
      <c r="N816" s="20"/>
    </row>
    <row r="817">
      <c r="A817" s="22"/>
      <c r="B817" s="23" t="s">
        <v>1558</v>
      </c>
      <c r="C817" s="24"/>
      <c r="D817" s="25">
        <v>450.0</v>
      </c>
      <c r="E817" s="16">
        <f t="shared" si="1"/>
        <v>31.05</v>
      </c>
      <c r="F817" s="16">
        <f t="shared" si="2"/>
        <v>9.675</v>
      </c>
      <c r="G817" s="26">
        <v>310.0</v>
      </c>
      <c r="H817" s="27">
        <v>0.1</v>
      </c>
      <c r="I817" s="28">
        <f t="shared" si="21"/>
        <v>45</v>
      </c>
      <c r="J817" s="25">
        <v>65.0</v>
      </c>
      <c r="K817" s="16">
        <f t="shared" si="4"/>
        <v>-10.725</v>
      </c>
      <c r="L817" s="19">
        <f t="shared" si="5"/>
        <v>-0.03459677419</v>
      </c>
      <c r="M817" s="16">
        <f t="shared" si="6"/>
        <v>299.275</v>
      </c>
      <c r="N817" s="20"/>
    </row>
    <row r="818">
      <c r="A818" s="22"/>
      <c r="B818" s="23" t="s">
        <v>1559</v>
      </c>
      <c r="C818" s="24"/>
      <c r="D818" s="25">
        <v>5699.0</v>
      </c>
      <c r="E818" s="16">
        <f t="shared" si="1"/>
        <v>393.231</v>
      </c>
      <c r="F818" s="16">
        <f t="shared" si="2"/>
        <v>122.5285</v>
      </c>
      <c r="G818" s="26">
        <v>4210.44</v>
      </c>
      <c r="H818" s="27">
        <v>0.145</v>
      </c>
      <c r="I818" s="28">
        <f t="shared" si="21"/>
        <v>826.355</v>
      </c>
      <c r="J818" s="25">
        <v>179.0</v>
      </c>
      <c r="K818" s="16">
        <f t="shared" si="4"/>
        <v>-32.5545</v>
      </c>
      <c r="L818" s="19">
        <f t="shared" si="5"/>
        <v>-0.007731852253</v>
      </c>
      <c r="M818" s="16">
        <f t="shared" si="6"/>
        <v>4177.8855</v>
      </c>
      <c r="N818" s="20"/>
    </row>
    <row r="819">
      <c r="A819" s="22"/>
      <c r="B819" s="23" t="s">
        <v>1560</v>
      </c>
      <c r="C819" s="25" t="s">
        <v>1561</v>
      </c>
      <c r="D819" s="25">
        <v>4699.0</v>
      </c>
      <c r="E819" s="16">
        <f t="shared" si="1"/>
        <v>324.231</v>
      </c>
      <c r="F819" s="16">
        <f t="shared" si="2"/>
        <v>101.0285</v>
      </c>
      <c r="G819" s="26">
        <v>3720.51</v>
      </c>
      <c r="H819" s="27">
        <v>0.1</v>
      </c>
      <c r="I819" s="28">
        <f t="shared" si="21"/>
        <v>469.9</v>
      </c>
      <c r="J819" s="25">
        <v>114.0</v>
      </c>
      <c r="K819" s="16">
        <f t="shared" si="4"/>
        <v>-30.6695</v>
      </c>
      <c r="L819" s="19">
        <f t="shared" si="5"/>
        <v>-0.008243359109</v>
      </c>
      <c r="M819" s="16">
        <f t="shared" si="6"/>
        <v>3689.8405</v>
      </c>
      <c r="N819" s="20"/>
    </row>
    <row r="820">
      <c r="A820" s="22"/>
      <c r="B820" s="23" t="s">
        <v>1562</v>
      </c>
      <c r="C820" s="25" t="s">
        <v>1563</v>
      </c>
      <c r="D820" s="25">
        <v>750.0</v>
      </c>
      <c r="E820" s="16">
        <f t="shared" si="1"/>
        <v>51.75</v>
      </c>
      <c r="F820" s="16">
        <f t="shared" si="2"/>
        <v>16.125</v>
      </c>
      <c r="G820" s="26">
        <v>458.94</v>
      </c>
      <c r="H820" s="27">
        <v>0.1</v>
      </c>
      <c r="I820" s="28">
        <f t="shared" si="21"/>
        <v>75</v>
      </c>
      <c r="J820" s="25">
        <v>79.0</v>
      </c>
      <c r="K820" s="16">
        <f t="shared" si="4"/>
        <v>69.185</v>
      </c>
      <c r="L820" s="19">
        <f t="shared" si="5"/>
        <v>0.1507495533</v>
      </c>
      <c r="M820" s="16">
        <f t="shared" si="6"/>
        <v>528.125</v>
      </c>
      <c r="N820" s="20"/>
    </row>
    <row r="821">
      <c r="A821" s="22"/>
      <c r="B821" s="22"/>
      <c r="C821" s="25" t="s">
        <v>1564</v>
      </c>
      <c r="D821" s="25">
        <v>4600.0</v>
      </c>
      <c r="E821" s="16">
        <f t="shared" si="1"/>
        <v>317.4</v>
      </c>
      <c r="F821" s="16">
        <f t="shared" si="2"/>
        <v>98.9</v>
      </c>
      <c r="G821" s="26">
        <v>3999.0</v>
      </c>
      <c r="H821" s="27">
        <v>0.1</v>
      </c>
      <c r="I821" s="28">
        <f t="shared" si="21"/>
        <v>460</v>
      </c>
      <c r="J821" s="25">
        <v>79.0</v>
      </c>
      <c r="K821" s="16">
        <f t="shared" si="4"/>
        <v>-354.3</v>
      </c>
      <c r="L821" s="19">
        <f t="shared" si="5"/>
        <v>-0.08859714929</v>
      </c>
      <c r="M821" s="16">
        <f t="shared" si="6"/>
        <v>3644.7</v>
      </c>
      <c r="N821" s="20"/>
    </row>
    <row r="822">
      <c r="A822" s="22"/>
      <c r="B822" s="23" t="s">
        <v>1565</v>
      </c>
      <c r="C822" s="25" t="s">
        <v>1566</v>
      </c>
      <c r="D822" s="25">
        <v>13621.0</v>
      </c>
      <c r="E822" s="16">
        <f t="shared" si="1"/>
        <v>939.849</v>
      </c>
      <c r="F822" s="16">
        <f t="shared" si="2"/>
        <v>292.8515</v>
      </c>
      <c r="G822" s="26">
        <v>10428.21</v>
      </c>
      <c r="H822" s="27">
        <v>0.145</v>
      </c>
      <c r="I822" s="28">
        <f t="shared" si="21"/>
        <v>1975.045</v>
      </c>
      <c r="J822" s="25">
        <v>134.0</v>
      </c>
      <c r="K822" s="16">
        <f t="shared" si="4"/>
        <v>-148.9555</v>
      </c>
      <c r="L822" s="19">
        <f t="shared" si="5"/>
        <v>-0.01428389915</v>
      </c>
      <c r="M822" s="16">
        <f t="shared" si="6"/>
        <v>10279.2545</v>
      </c>
      <c r="N822" s="20"/>
    </row>
    <row r="823">
      <c r="A823" s="22"/>
      <c r="B823" s="23" t="s">
        <v>1567</v>
      </c>
      <c r="C823" s="25" t="s">
        <v>1568</v>
      </c>
      <c r="D823" s="25">
        <v>15999.0</v>
      </c>
      <c r="E823" s="16">
        <f t="shared" si="1"/>
        <v>1103.931</v>
      </c>
      <c r="F823" s="16">
        <f t="shared" si="2"/>
        <v>343.9785</v>
      </c>
      <c r="G823" s="26">
        <v>16878.92</v>
      </c>
      <c r="H823" s="27">
        <v>0.125</v>
      </c>
      <c r="I823" s="28">
        <f t="shared" si="21"/>
        <v>1999.875</v>
      </c>
      <c r="J823" s="25">
        <v>114.0</v>
      </c>
      <c r="K823" s="16">
        <f t="shared" si="4"/>
        <v>-4441.7045</v>
      </c>
      <c r="L823" s="19">
        <f t="shared" si="5"/>
        <v>-0.2631509895</v>
      </c>
      <c r="M823" s="16">
        <f t="shared" si="6"/>
        <v>12437.2155</v>
      </c>
      <c r="N823" s="20"/>
    </row>
    <row r="824">
      <c r="A824" s="22"/>
      <c r="B824" s="23" t="s">
        <v>1569</v>
      </c>
      <c r="C824" s="25" t="s">
        <v>1570</v>
      </c>
      <c r="D824" s="25">
        <v>4599.0</v>
      </c>
      <c r="E824" s="16">
        <f t="shared" si="1"/>
        <v>317.331</v>
      </c>
      <c r="F824" s="16">
        <f t="shared" si="2"/>
        <v>98.8785</v>
      </c>
      <c r="G824" s="26">
        <v>3140.0</v>
      </c>
      <c r="H824" s="27">
        <v>0.195</v>
      </c>
      <c r="I824" s="28">
        <f t="shared" si="21"/>
        <v>896.805</v>
      </c>
      <c r="J824" s="25">
        <v>114.0</v>
      </c>
      <c r="K824" s="16">
        <f t="shared" si="4"/>
        <v>31.9855</v>
      </c>
      <c r="L824" s="19">
        <f t="shared" si="5"/>
        <v>0.01018646497</v>
      </c>
      <c r="M824" s="16">
        <f t="shared" si="6"/>
        <v>3171.9855</v>
      </c>
      <c r="N824" s="20"/>
    </row>
    <row r="825">
      <c r="A825" s="22"/>
      <c r="B825" s="23" t="s">
        <v>1571</v>
      </c>
      <c r="C825" s="25" t="s">
        <v>1572</v>
      </c>
      <c r="D825" s="25">
        <v>3399.0</v>
      </c>
      <c r="E825" s="16">
        <f t="shared" si="1"/>
        <v>234.531</v>
      </c>
      <c r="F825" s="16">
        <f t="shared" si="2"/>
        <v>73.0785</v>
      </c>
      <c r="G825" s="26">
        <v>2350.0</v>
      </c>
      <c r="H825" s="27">
        <v>0.195</v>
      </c>
      <c r="I825" s="28">
        <f t="shared" si="21"/>
        <v>662.805</v>
      </c>
      <c r="J825" s="25">
        <v>134.0</v>
      </c>
      <c r="K825" s="16">
        <f t="shared" si="4"/>
        <v>-55.4145</v>
      </c>
      <c r="L825" s="19">
        <f t="shared" si="5"/>
        <v>-0.0235806383</v>
      </c>
      <c r="M825" s="16">
        <f t="shared" si="6"/>
        <v>2294.5855</v>
      </c>
      <c r="N825" s="20"/>
    </row>
    <row r="826">
      <c r="A826" s="22"/>
      <c r="B826" s="23" t="s">
        <v>1573</v>
      </c>
      <c r="C826" s="25" t="s">
        <v>1574</v>
      </c>
      <c r="D826" s="25">
        <v>749.0</v>
      </c>
      <c r="E826" s="16">
        <f t="shared" si="1"/>
        <v>51.681</v>
      </c>
      <c r="F826" s="16">
        <f t="shared" si="2"/>
        <v>16.1035</v>
      </c>
      <c r="G826" s="26">
        <v>462.0</v>
      </c>
      <c r="H826" s="27">
        <v>0.135</v>
      </c>
      <c r="I826" s="28">
        <f t="shared" si="21"/>
        <v>101.115</v>
      </c>
      <c r="J826" s="25">
        <v>134.0</v>
      </c>
      <c r="K826" s="16">
        <f t="shared" si="4"/>
        <v>-15.8995</v>
      </c>
      <c r="L826" s="19">
        <f t="shared" si="5"/>
        <v>-0.03441450216</v>
      </c>
      <c r="M826" s="16">
        <f t="shared" si="6"/>
        <v>446.1005</v>
      </c>
      <c r="N826" s="20"/>
    </row>
    <row r="827">
      <c r="A827" s="22"/>
      <c r="B827" s="23" t="s">
        <v>1575</v>
      </c>
      <c r="C827" s="25" t="s">
        <v>1576</v>
      </c>
      <c r="D827" s="25">
        <v>1414.0</v>
      </c>
      <c r="E827" s="16">
        <f t="shared" si="1"/>
        <v>97.566</v>
      </c>
      <c r="F827" s="16">
        <f t="shared" si="2"/>
        <v>30.401</v>
      </c>
      <c r="G827" s="26">
        <v>1108.99</v>
      </c>
      <c r="H827" s="27">
        <v>0.1</v>
      </c>
      <c r="I827" s="28">
        <f t="shared" si="21"/>
        <v>141.4</v>
      </c>
      <c r="J827" s="25">
        <v>79.5</v>
      </c>
      <c r="K827" s="16">
        <f t="shared" si="4"/>
        <v>-43.857</v>
      </c>
      <c r="L827" s="19">
        <f t="shared" si="5"/>
        <v>-0.03954679483</v>
      </c>
      <c r="M827" s="16">
        <f t="shared" si="6"/>
        <v>1065.133</v>
      </c>
      <c r="N827" s="20"/>
    </row>
    <row r="828">
      <c r="A828" s="22"/>
      <c r="B828" s="23" t="s">
        <v>1577</v>
      </c>
      <c r="C828" s="25" t="s">
        <v>1576</v>
      </c>
      <c r="D828" s="25">
        <v>1161.0</v>
      </c>
      <c r="E828" s="16">
        <f t="shared" si="1"/>
        <v>80.109</v>
      </c>
      <c r="F828" s="16">
        <f t="shared" si="2"/>
        <v>24.9615</v>
      </c>
      <c r="G828" s="26">
        <v>1137.75</v>
      </c>
      <c r="H828" s="27">
        <v>0.1</v>
      </c>
      <c r="I828" s="28">
        <f t="shared" si="21"/>
        <v>116.1</v>
      </c>
      <c r="J828" s="25">
        <v>79.5</v>
      </c>
      <c r="K828" s="16">
        <f t="shared" si="4"/>
        <v>-277.4205</v>
      </c>
      <c r="L828" s="19">
        <f t="shared" si="5"/>
        <v>-0.2438325643</v>
      </c>
      <c r="M828" s="16">
        <f t="shared" si="6"/>
        <v>860.3295</v>
      </c>
      <c r="N828" s="20"/>
    </row>
    <row r="829">
      <c r="A829" s="22"/>
      <c r="B829" s="39" t="s">
        <v>1578</v>
      </c>
      <c r="C829" s="25" t="s">
        <v>1576</v>
      </c>
      <c r="D829" s="25">
        <v>1161.0</v>
      </c>
      <c r="E829" s="16">
        <f t="shared" si="1"/>
        <v>80.109</v>
      </c>
      <c r="F829" s="16">
        <f t="shared" si="2"/>
        <v>24.9615</v>
      </c>
      <c r="G829" s="26">
        <v>1137.75</v>
      </c>
      <c r="H829" s="27">
        <v>0.1</v>
      </c>
      <c r="I829" s="28">
        <f t="shared" si="21"/>
        <v>116.1</v>
      </c>
      <c r="J829" s="25">
        <v>79.5</v>
      </c>
      <c r="K829" s="16">
        <f t="shared" si="4"/>
        <v>-277.4205</v>
      </c>
      <c r="L829" s="19">
        <f t="shared" si="5"/>
        <v>-0.2438325643</v>
      </c>
      <c r="M829" s="16">
        <f t="shared" si="6"/>
        <v>860.3295</v>
      </c>
      <c r="N829" s="20"/>
    </row>
    <row r="830">
      <c r="A830" s="22"/>
      <c r="B830" s="23" t="s">
        <v>1579</v>
      </c>
      <c r="C830" s="25" t="s">
        <v>1580</v>
      </c>
      <c r="D830" s="25">
        <v>4419.0</v>
      </c>
      <c r="E830" s="16">
        <f t="shared" si="1"/>
        <v>304.911</v>
      </c>
      <c r="F830" s="16">
        <f t="shared" si="2"/>
        <v>95.0085</v>
      </c>
      <c r="G830" s="26">
        <v>3404.81</v>
      </c>
      <c r="H830" s="27">
        <v>0.145</v>
      </c>
      <c r="I830" s="28">
        <f t="shared" si="21"/>
        <v>640.755</v>
      </c>
      <c r="J830" s="25">
        <v>73.0</v>
      </c>
      <c r="K830" s="16">
        <f t="shared" si="4"/>
        <v>-99.4845</v>
      </c>
      <c r="L830" s="19">
        <f t="shared" si="5"/>
        <v>-0.02921881103</v>
      </c>
      <c r="M830" s="16">
        <f t="shared" si="6"/>
        <v>3305.3255</v>
      </c>
      <c r="N830" s="20"/>
    </row>
    <row r="831">
      <c r="A831" s="22"/>
      <c r="B831" s="23" t="s">
        <v>1581</v>
      </c>
      <c r="C831" s="25" t="s">
        <v>1582</v>
      </c>
      <c r="D831" s="25">
        <v>489.0</v>
      </c>
      <c r="E831" s="16">
        <f t="shared" si="1"/>
        <v>33.741</v>
      </c>
      <c r="F831" s="16">
        <f t="shared" si="2"/>
        <v>10.5135</v>
      </c>
      <c r="G831" s="26">
        <v>290.0</v>
      </c>
      <c r="H831" s="27">
        <v>0.145</v>
      </c>
      <c r="I831" s="28">
        <f t="shared" si="21"/>
        <v>70.905</v>
      </c>
      <c r="J831" s="25">
        <v>73.0</v>
      </c>
      <c r="K831" s="16">
        <f t="shared" si="4"/>
        <v>10.8405</v>
      </c>
      <c r="L831" s="19">
        <f t="shared" si="5"/>
        <v>0.03738103448</v>
      </c>
      <c r="M831" s="16">
        <f t="shared" si="6"/>
        <v>300.8405</v>
      </c>
      <c r="N831" s="20"/>
    </row>
    <row r="832">
      <c r="A832" s="22"/>
      <c r="B832" s="23" t="s">
        <v>1583</v>
      </c>
      <c r="C832" s="25" t="s">
        <v>1582</v>
      </c>
      <c r="D832" s="25">
        <v>589.0</v>
      </c>
      <c r="E832" s="16">
        <f t="shared" si="1"/>
        <v>40.641</v>
      </c>
      <c r="F832" s="16">
        <f t="shared" si="2"/>
        <v>12.6635</v>
      </c>
      <c r="G832" s="26">
        <v>319.1</v>
      </c>
      <c r="H832" s="27">
        <v>0.145</v>
      </c>
      <c r="I832" s="28">
        <f t="shared" si="21"/>
        <v>85.405</v>
      </c>
      <c r="J832" s="25">
        <v>73.0</v>
      </c>
      <c r="K832" s="16">
        <f t="shared" si="4"/>
        <v>58.1905</v>
      </c>
      <c r="L832" s="19">
        <f t="shared" si="5"/>
        <v>0.1823581949</v>
      </c>
      <c r="M832" s="16">
        <f t="shared" si="6"/>
        <v>377.2905</v>
      </c>
      <c r="N832" s="20"/>
    </row>
    <row r="833">
      <c r="A833" s="22"/>
      <c r="B833" s="23" t="s">
        <v>1584</v>
      </c>
      <c r="C833" s="25" t="s">
        <v>1585</v>
      </c>
      <c r="D833" s="25">
        <v>649.0</v>
      </c>
      <c r="E833" s="16">
        <f t="shared" si="1"/>
        <v>44.781</v>
      </c>
      <c r="F833" s="16">
        <f t="shared" si="2"/>
        <v>13.9535</v>
      </c>
      <c r="G833" s="26">
        <v>455.73</v>
      </c>
      <c r="H833" s="27">
        <v>0.1</v>
      </c>
      <c r="I833" s="28">
        <f t="shared" si="21"/>
        <v>64.9</v>
      </c>
      <c r="J833" s="25">
        <v>65.0</v>
      </c>
      <c r="K833" s="16">
        <f t="shared" si="4"/>
        <v>4.6355</v>
      </c>
      <c r="L833" s="19">
        <f t="shared" si="5"/>
        <v>0.01017159283</v>
      </c>
      <c r="M833" s="16">
        <f t="shared" si="6"/>
        <v>460.3655</v>
      </c>
      <c r="N833" s="20"/>
    </row>
    <row r="834">
      <c r="A834" s="22"/>
      <c r="B834" s="23" t="s">
        <v>1586</v>
      </c>
      <c r="C834" s="25" t="s">
        <v>1587</v>
      </c>
      <c r="D834" s="25">
        <v>2110.0</v>
      </c>
      <c r="E834" s="16">
        <f t="shared" si="1"/>
        <v>145.59</v>
      </c>
      <c r="F834" s="16">
        <f t="shared" si="2"/>
        <v>45.365</v>
      </c>
      <c r="G834" s="26">
        <v>1540.0</v>
      </c>
      <c r="H834" s="27">
        <v>0.145</v>
      </c>
      <c r="I834" s="28">
        <f t="shared" si="21"/>
        <v>305.95</v>
      </c>
      <c r="J834" s="25">
        <v>73.0</v>
      </c>
      <c r="K834" s="16">
        <f t="shared" si="4"/>
        <v>0.095</v>
      </c>
      <c r="L834" s="19">
        <f t="shared" si="5"/>
        <v>0.00006168831169</v>
      </c>
      <c r="M834" s="16">
        <f t="shared" si="6"/>
        <v>1540.095</v>
      </c>
      <c r="N834" s="20"/>
    </row>
    <row r="835">
      <c r="A835" s="22"/>
      <c r="B835" s="23" t="s">
        <v>1588</v>
      </c>
      <c r="C835" s="25" t="s">
        <v>1585</v>
      </c>
      <c r="D835" s="25">
        <v>640.0</v>
      </c>
      <c r="E835" s="16">
        <f t="shared" si="1"/>
        <v>44.16</v>
      </c>
      <c r="F835" s="16">
        <f t="shared" si="2"/>
        <v>13.76</v>
      </c>
      <c r="G835" s="26">
        <v>433.0</v>
      </c>
      <c r="H835" s="27">
        <v>0.1</v>
      </c>
      <c r="I835" s="28">
        <f t="shared" si="21"/>
        <v>64</v>
      </c>
      <c r="J835" s="25">
        <v>65.0</v>
      </c>
      <c r="K835" s="16">
        <f t="shared" si="4"/>
        <v>20.08</v>
      </c>
      <c r="L835" s="19">
        <f t="shared" si="5"/>
        <v>0.04637413395</v>
      </c>
      <c r="M835" s="16">
        <f t="shared" si="6"/>
        <v>453.08</v>
      </c>
      <c r="N835" s="20" t="s">
        <v>237</v>
      </c>
    </row>
    <row r="836">
      <c r="A836" s="22"/>
      <c r="B836" s="23" t="s">
        <v>1589</v>
      </c>
      <c r="C836" s="25" t="s">
        <v>1585</v>
      </c>
      <c r="D836" s="25">
        <v>565.0</v>
      </c>
      <c r="E836" s="16">
        <f t="shared" si="1"/>
        <v>38.985</v>
      </c>
      <c r="F836" s="16">
        <f t="shared" si="2"/>
        <v>12.1475</v>
      </c>
      <c r="G836" s="26">
        <v>396.85</v>
      </c>
      <c r="H836" s="27">
        <v>0.1</v>
      </c>
      <c r="I836" s="28">
        <f t="shared" si="21"/>
        <v>56.5</v>
      </c>
      <c r="J836" s="25">
        <v>65.0</v>
      </c>
      <c r="K836" s="16">
        <f t="shared" si="4"/>
        <v>-4.4825</v>
      </c>
      <c r="L836" s="19">
        <f t="shared" si="5"/>
        <v>-0.0112951997</v>
      </c>
      <c r="M836" s="16">
        <f t="shared" si="6"/>
        <v>392.3675</v>
      </c>
      <c r="N836" s="20"/>
    </row>
    <row r="837">
      <c r="A837" s="22"/>
      <c r="B837" s="23" t="s">
        <v>1590</v>
      </c>
      <c r="C837" s="25" t="s">
        <v>1591</v>
      </c>
      <c r="D837" s="25">
        <v>5299.0</v>
      </c>
      <c r="E837" s="16">
        <f t="shared" si="1"/>
        <v>365.631</v>
      </c>
      <c r="F837" s="16">
        <f t="shared" si="2"/>
        <v>113.9285</v>
      </c>
      <c r="G837" s="26">
        <v>3934.14</v>
      </c>
      <c r="H837" s="27">
        <v>0.145</v>
      </c>
      <c r="I837" s="28">
        <f t="shared" si="21"/>
        <v>768.355</v>
      </c>
      <c r="J837" s="25">
        <v>79.0</v>
      </c>
      <c r="K837" s="16">
        <f t="shared" si="4"/>
        <v>37.9455</v>
      </c>
      <c r="L837" s="19">
        <f t="shared" si="5"/>
        <v>0.009645182937</v>
      </c>
      <c r="M837" s="16">
        <f t="shared" si="6"/>
        <v>3972.0855</v>
      </c>
      <c r="N837" s="20"/>
    </row>
    <row r="838">
      <c r="A838" s="22"/>
      <c r="B838" s="23" t="s">
        <v>1592</v>
      </c>
      <c r="C838" s="25" t="s">
        <v>1593</v>
      </c>
      <c r="D838" s="25">
        <v>605.0</v>
      </c>
      <c r="E838" s="16">
        <f t="shared" si="1"/>
        <v>41.745</v>
      </c>
      <c r="F838" s="16">
        <f t="shared" si="2"/>
        <v>13.0075</v>
      </c>
      <c r="G838" s="26">
        <v>420.0</v>
      </c>
      <c r="H838" s="27">
        <v>0.1</v>
      </c>
      <c r="I838" s="28">
        <f t="shared" si="21"/>
        <v>60.5</v>
      </c>
      <c r="J838" s="25">
        <v>73.0</v>
      </c>
      <c r="K838" s="16">
        <f t="shared" si="4"/>
        <v>-3.2525</v>
      </c>
      <c r="L838" s="19">
        <f t="shared" si="5"/>
        <v>-0.007744047619</v>
      </c>
      <c r="M838" s="16">
        <f t="shared" si="6"/>
        <v>416.7475</v>
      </c>
      <c r="N838" s="20"/>
    </row>
    <row r="839">
      <c r="A839" s="22"/>
      <c r="B839" s="23" t="s">
        <v>1594</v>
      </c>
      <c r="C839" s="25" t="s">
        <v>1212</v>
      </c>
      <c r="D839" s="25">
        <v>959.0</v>
      </c>
      <c r="E839" s="16">
        <f t="shared" si="1"/>
        <v>66.171</v>
      </c>
      <c r="F839" s="16">
        <f t="shared" si="2"/>
        <v>20.6185</v>
      </c>
      <c r="G839" s="26">
        <v>747.09</v>
      </c>
      <c r="H839" s="27">
        <v>0.1</v>
      </c>
      <c r="I839" s="28">
        <f t="shared" si="21"/>
        <v>95.9</v>
      </c>
      <c r="J839" s="25">
        <v>65.0</v>
      </c>
      <c r="K839" s="16">
        <f t="shared" si="4"/>
        <v>-35.7795</v>
      </c>
      <c r="L839" s="19">
        <f t="shared" si="5"/>
        <v>-0.04789182026</v>
      </c>
      <c r="M839" s="16">
        <f t="shared" si="6"/>
        <v>711.3105</v>
      </c>
      <c r="N839" s="20"/>
    </row>
    <row r="840">
      <c r="A840" s="23" t="s">
        <v>1595</v>
      </c>
      <c r="B840" s="23" t="s">
        <v>1596</v>
      </c>
      <c r="C840" s="25" t="s">
        <v>1597</v>
      </c>
      <c r="D840" s="25">
        <v>341.0</v>
      </c>
      <c r="E840" s="16">
        <f t="shared" si="1"/>
        <v>23.529</v>
      </c>
      <c r="F840" s="16">
        <f t="shared" si="2"/>
        <v>7.3315</v>
      </c>
      <c r="G840" s="26">
        <v>249.05</v>
      </c>
      <c r="H840" s="27">
        <v>0.1</v>
      </c>
      <c r="I840" s="28">
        <f t="shared" si="21"/>
        <v>34.1</v>
      </c>
      <c r="J840" s="25">
        <v>65.0</v>
      </c>
      <c r="K840" s="16">
        <f t="shared" si="4"/>
        <v>-38.0105</v>
      </c>
      <c r="L840" s="19">
        <f t="shared" si="5"/>
        <v>-0.1526219635</v>
      </c>
      <c r="M840" s="16">
        <f t="shared" si="6"/>
        <v>211.0395</v>
      </c>
      <c r="N840" s="20"/>
    </row>
    <row r="841">
      <c r="A841" s="23"/>
      <c r="B841" s="23" t="s">
        <v>1595</v>
      </c>
      <c r="C841" s="25" t="s">
        <v>1597</v>
      </c>
      <c r="D841" s="25">
        <v>341.0</v>
      </c>
      <c r="E841" s="16">
        <f t="shared" si="1"/>
        <v>23.529</v>
      </c>
      <c r="F841" s="16">
        <f t="shared" si="2"/>
        <v>7.3315</v>
      </c>
      <c r="G841" s="26">
        <v>249.05</v>
      </c>
      <c r="H841" s="27">
        <v>0.1</v>
      </c>
      <c r="I841" s="28">
        <f t="shared" si="21"/>
        <v>34.1</v>
      </c>
      <c r="J841" s="25">
        <v>65.0</v>
      </c>
      <c r="K841" s="16">
        <f t="shared" si="4"/>
        <v>-38.0105</v>
      </c>
      <c r="L841" s="19">
        <f t="shared" si="5"/>
        <v>-0.1526219635</v>
      </c>
      <c r="M841" s="16">
        <f t="shared" si="6"/>
        <v>211.0395</v>
      </c>
      <c r="N841" s="20"/>
    </row>
    <row r="842">
      <c r="A842" s="22"/>
      <c r="B842" s="23" t="s">
        <v>1598</v>
      </c>
      <c r="C842" s="25" t="s">
        <v>1599</v>
      </c>
      <c r="D842" s="25">
        <v>5188.0</v>
      </c>
      <c r="E842" s="16">
        <f t="shared" si="1"/>
        <v>357.972</v>
      </c>
      <c r="F842" s="16">
        <f t="shared" si="2"/>
        <v>111.542</v>
      </c>
      <c r="G842" s="26">
        <v>3791.94</v>
      </c>
      <c r="H842" s="27">
        <v>0.145</v>
      </c>
      <c r="I842" s="28">
        <f t="shared" si="21"/>
        <v>752.26</v>
      </c>
      <c r="J842" s="25">
        <v>222.0</v>
      </c>
      <c r="K842" s="16">
        <f t="shared" si="4"/>
        <v>-47.714</v>
      </c>
      <c r="L842" s="19">
        <f t="shared" si="5"/>
        <v>-0.01258300501</v>
      </c>
      <c r="M842" s="16">
        <f t="shared" si="6"/>
        <v>3744.226</v>
      </c>
      <c r="N842" s="20"/>
    </row>
    <row r="843">
      <c r="A843" s="22"/>
      <c r="B843" s="23" t="s">
        <v>1457</v>
      </c>
      <c r="C843" s="25" t="s">
        <v>1600</v>
      </c>
      <c r="D843" s="25">
        <v>15999.0</v>
      </c>
      <c r="E843" s="16">
        <f t="shared" si="1"/>
        <v>1103.931</v>
      </c>
      <c r="F843" s="16">
        <f t="shared" si="2"/>
        <v>343.9785</v>
      </c>
      <c r="G843" s="26">
        <v>12161.05</v>
      </c>
      <c r="H843" s="27">
        <v>0.145</v>
      </c>
      <c r="I843" s="28">
        <f t="shared" si="21"/>
        <v>2319.855</v>
      </c>
      <c r="J843" s="25">
        <v>329.0</v>
      </c>
      <c r="K843" s="16">
        <f t="shared" si="4"/>
        <v>-258.8145</v>
      </c>
      <c r="L843" s="19">
        <f t="shared" si="5"/>
        <v>-0.02128224948</v>
      </c>
      <c r="M843" s="16">
        <f t="shared" si="6"/>
        <v>11902.2355</v>
      </c>
      <c r="N843" s="20"/>
    </row>
    <row r="844">
      <c r="A844" s="22"/>
      <c r="B844" s="23" t="s">
        <v>1601</v>
      </c>
      <c r="C844" s="25" t="s">
        <v>1602</v>
      </c>
      <c r="D844" s="25">
        <v>8999.0</v>
      </c>
      <c r="E844" s="16">
        <f t="shared" si="1"/>
        <v>620.931</v>
      </c>
      <c r="F844" s="16">
        <f t="shared" si="2"/>
        <v>193.4785</v>
      </c>
      <c r="G844" s="26">
        <v>7136.09</v>
      </c>
      <c r="H844" s="27">
        <v>0.145</v>
      </c>
      <c r="I844" s="28">
        <f t="shared" si="21"/>
        <v>1304.855</v>
      </c>
      <c r="J844" s="25">
        <v>329.0</v>
      </c>
      <c r="K844" s="16">
        <f t="shared" si="4"/>
        <v>-585.3545</v>
      </c>
      <c r="L844" s="19">
        <f t="shared" si="5"/>
        <v>-0.0820273427</v>
      </c>
      <c r="M844" s="16">
        <f t="shared" si="6"/>
        <v>6550.7355</v>
      </c>
      <c r="N844" s="20"/>
    </row>
    <row r="845">
      <c r="A845" s="22"/>
      <c r="B845" s="23" t="s">
        <v>1603</v>
      </c>
      <c r="C845" s="25" t="s">
        <v>1604</v>
      </c>
      <c r="D845" s="25">
        <v>2699.0</v>
      </c>
      <c r="E845" s="16">
        <f t="shared" si="1"/>
        <v>186.231</v>
      </c>
      <c r="F845" s="16">
        <f t="shared" si="2"/>
        <v>58.0285</v>
      </c>
      <c r="G845" s="26">
        <v>1715.0</v>
      </c>
      <c r="H845" s="27">
        <v>0.145</v>
      </c>
      <c r="I845" s="28">
        <f t="shared" si="21"/>
        <v>391.355</v>
      </c>
      <c r="J845" s="25">
        <v>100.0</v>
      </c>
      <c r="K845" s="16">
        <f t="shared" si="4"/>
        <v>248.3855</v>
      </c>
      <c r="L845" s="19">
        <f t="shared" si="5"/>
        <v>0.1448311953</v>
      </c>
      <c r="M845" s="16">
        <f t="shared" si="6"/>
        <v>1963.3855</v>
      </c>
      <c r="N845" s="20"/>
    </row>
    <row r="846">
      <c r="A846" s="22"/>
      <c r="B846" s="23" t="s">
        <v>1605</v>
      </c>
      <c r="C846" s="25" t="s">
        <v>1606</v>
      </c>
      <c r="D846" s="25">
        <v>18399.0</v>
      </c>
      <c r="E846" s="16">
        <f t="shared" si="1"/>
        <v>1269.531</v>
      </c>
      <c r="F846" s="16">
        <f t="shared" si="2"/>
        <v>395.5785</v>
      </c>
      <c r="G846" s="26">
        <v>14189.96</v>
      </c>
      <c r="H846" s="27">
        <v>0.145</v>
      </c>
      <c r="I846" s="28">
        <f t="shared" si="21"/>
        <v>2667.855</v>
      </c>
      <c r="J846" s="25">
        <v>100.0</v>
      </c>
      <c r="K846" s="16">
        <f t="shared" si="4"/>
        <v>-223.9245</v>
      </c>
      <c r="L846" s="19">
        <f t="shared" si="5"/>
        <v>-0.01578048846</v>
      </c>
      <c r="M846" s="16">
        <f t="shared" si="6"/>
        <v>13966.0355</v>
      </c>
      <c r="N846" s="20"/>
    </row>
    <row r="847">
      <c r="A847" s="22"/>
      <c r="B847" s="23" t="s">
        <v>1607</v>
      </c>
      <c r="C847" s="25" t="s">
        <v>1608</v>
      </c>
      <c r="D847" s="25">
        <v>8304.0</v>
      </c>
      <c r="E847" s="16">
        <f t="shared" si="1"/>
        <v>572.976</v>
      </c>
      <c r="F847" s="16">
        <f t="shared" si="2"/>
        <v>178.536</v>
      </c>
      <c r="G847" s="26">
        <v>6362.75</v>
      </c>
      <c r="H847" s="27">
        <v>0.195</v>
      </c>
      <c r="I847" s="28">
        <f t="shared" si="21"/>
        <v>1619.28</v>
      </c>
      <c r="J847" s="25">
        <v>79.0</v>
      </c>
      <c r="K847" s="16">
        <f t="shared" si="4"/>
        <v>-508.542</v>
      </c>
      <c r="L847" s="19">
        <f t="shared" si="5"/>
        <v>-0.07992487525</v>
      </c>
      <c r="M847" s="16">
        <f t="shared" si="6"/>
        <v>5854.208</v>
      </c>
      <c r="N847" s="20"/>
    </row>
    <row r="848">
      <c r="A848" s="22"/>
      <c r="B848" s="23" t="s">
        <v>1609</v>
      </c>
      <c r="C848" s="25" t="s">
        <v>1610</v>
      </c>
      <c r="D848" s="25">
        <v>599.0</v>
      </c>
      <c r="E848" s="16">
        <f t="shared" si="1"/>
        <v>41.331</v>
      </c>
      <c r="F848" s="16">
        <f t="shared" si="2"/>
        <v>12.8785</v>
      </c>
      <c r="G848" s="26">
        <v>340.91</v>
      </c>
      <c r="H848" s="27">
        <v>0.1</v>
      </c>
      <c r="I848" s="28">
        <f t="shared" si="21"/>
        <v>59.9</v>
      </c>
      <c r="J848" s="25">
        <v>65.0</v>
      </c>
      <c r="K848" s="16">
        <f t="shared" si="4"/>
        <v>78.9805</v>
      </c>
      <c r="L848" s="19">
        <f t="shared" si="5"/>
        <v>0.2316755155</v>
      </c>
      <c r="M848" s="16">
        <f t="shared" si="6"/>
        <v>419.8905</v>
      </c>
      <c r="N848" s="20"/>
    </row>
    <row r="849">
      <c r="A849" s="22"/>
      <c r="B849" s="39" t="s">
        <v>1611</v>
      </c>
      <c r="C849" s="25" t="s">
        <v>1610</v>
      </c>
      <c r="D849" s="25">
        <v>599.0</v>
      </c>
      <c r="E849" s="16">
        <f t="shared" si="1"/>
        <v>41.331</v>
      </c>
      <c r="F849" s="16">
        <f t="shared" si="2"/>
        <v>12.8785</v>
      </c>
      <c r="G849" s="26">
        <v>340.91</v>
      </c>
      <c r="H849" s="27">
        <v>0.1</v>
      </c>
      <c r="I849" s="28">
        <f t="shared" si="21"/>
        <v>59.9</v>
      </c>
      <c r="J849" s="25">
        <v>65.0</v>
      </c>
      <c r="K849" s="16">
        <f t="shared" si="4"/>
        <v>78.9805</v>
      </c>
      <c r="L849" s="19">
        <f t="shared" si="5"/>
        <v>0.2316755155</v>
      </c>
      <c r="M849" s="16">
        <f t="shared" si="6"/>
        <v>419.8905</v>
      </c>
      <c r="N849" s="20"/>
    </row>
    <row r="850">
      <c r="A850" s="22"/>
      <c r="B850" s="23" t="s">
        <v>1612</v>
      </c>
      <c r="C850" s="25" t="s">
        <v>1613</v>
      </c>
      <c r="D850" s="25">
        <v>999.0</v>
      </c>
      <c r="E850" s="16">
        <f t="shared" si="1"/>
        <v>68.931</v>
      </c>
      <c r="F850" s="16">
        <f t="shared" si="2"/>
        <v>21.4785</v>
      </c>
      <c r="G850" s="26">
        <v>769.0</v>
      </c>
      <c r="H850" s="27">
        <v>0.1</v>
      </c>
      <c r="I850" s="28">
        <f t="shared" si="21"/>
        <v>99.9</v>
      </c>
      <c r="J850" s="25">
        <v>65.0</v>
      </c>
      <c r="K850" s="16">
        <f t="shared" si="4"/>
        <v>-25.3095</v>
      </c>
      <c r="L850" s="19">
        <f t="shared" si="5"/>
        <v>-0.03291222367</v>
      </c>
      <c r="M850" s="16">
        <f t="shared" si="6"/>
        <v>743.6905</v>
      </c>
      <c r="N850" s="20"/>
    </row>
    <row r="851">
      <c r="A851" s="22"/>
      <c r="B851" s="39" t="s">
        <v>1614</v>
      </c>
      <c r="C851" s="25" t="s">
        <v>1613</v>
      </c>
      <c r="D851" s="25">
        <v>999.0</v>
      </c>
      <c r="E851" s="16">
        <f t="shared" si="1"/>
        <v>68.931</v>
      </c>
      <c r="F851" s="16">
        <f t="shared" si="2"/>
        <v>21.4785</v>
      </c>
      <c r="G851" s="26">
        <v>769.0</v>
      </c>
      <c r="H851" s="27">
        <v>0.1</v>
      </c>
      <c r="I851" s="28">
        <f t="shared" si="21"/>
        <v>99.9</v>
      </c>
      <c r="J851" s="25">
        <v>65.0</v>
      </c>
      <c r="K851" s="16">
        <f t="shared" si="4"/>
        <v>-25.3095</v>
      </c>
      <c r="L851" s="19">
        <f t="shared" si="5"/>
        <v>-0.03291222367</v>
      </c>
      <c r="M851" s="16">
        <f t="shared" si="6"/>
        <v>743.6905</v>
      </c>
      <c r="N851" s="20"/>
    </row>
    <row r="852">
      <c r="A852" s="22"/>
      <c r="B852" s="23" t="s">
        <v>1615</v>
      </c>
      <c r="C852" s="25" t="s">
        <v>1616</v>
      </c>
      <c r="D852" s="25">
        <v>469.0</v>
      </c>
      <c r="E852" s="16">
        <f t="shared" si="1"/>
        <v>32.361</v>
      </c>
      <c r="F852" s="16">
        <f t="shared" si="2"/>
        <v>10.0835</v>
      </c>
      <c r="G852" s="26">
        <v>360.0</v>
      </c>
      <c r="H852" s="27">
        <v>0.1</v>
      </c>
      <c r="I852" s="28">
        <f t="shared" si="21"/>
        <v>46.9</v>
      </c>
      <c r="J852" s="25">
        <v>65.0</v>
      </c>
      <c r="K852" s="16">
        <f t="shared" si="4"/>
        <v>-45.3445</v>
      </c>
      <c r="L852" s="19">
        <f t="shared" si="5"/>
        <v>-0.1259569444</v>
      </c>
      <c r="M852" s="16">
        <f t="shared" si="6"/>
        <v>314.6555</v>
      </c>
      <c r="N852" s="20"/>
    </row>
    <row r="853">
      <c r="A853" s="30"/>
      <c r="B853" s="39" t="s">
        <v>1617</v>
      </c>
      <c r="C853" s="42" t="s">
        <v>1616</v>
      </c>
      <c r="D853" s="42">
        <v>444.0</v>
      </c>
      <c r="E853" s="16">
        <f t="shared" si="1"/>
        <v>30.636</v>
      </c>
      <c r="F853" s="16">
        <f t="shared" si="2"/>
        <v>9.546</v>
      </c>
      <c r="G853" s="17">
        <v>309.62</v>
      </c>
      <c r="H853" s="19">
        <v>0.1</v>
      </c>
      <c r="I853" s="16">
        <f t="shared" si="21"/>
        <v>44.4</v>
      </c>
      <c r="J853" s="42">
        <v>65.0</v>
      </c>
      <c r="K853" s="16">
        <f t="shared" si="4"/>
        <v>-15.202</v>
      </c>
      <c r="L853" s="19">
        <f t="shared" si="5"/>
        <v>-0.04909889542</v>
      </c>
      <c r="M853" s="16">
        <f t="shared" si="6"/>
        <v>294.418</v>
      </c>
      <c r="N853" s="20"/>
    </row>
    <row r="854">
      <c r="A854" s="22"/>
      <c r="B854" s="23" t="s">
        <v>1618</v>
      </c>
      <c r="C854" s="25" t="s">
        <v>1619</v>
      </c>
      <c r="D854" s="25">
        <v>359.0</v>
      </c>
      <c r="E854" s="16">
        <f t="shared" si="1"/>
        <v>24.771</v>
      </c>
      <c r="F854" s="16">
        <f t="shared" si="2"/>
        <v>7.7185</v>
      </c>
      <c r="G854" s="26">
        <v>212.83</v>
      </c>
      <c r="H854" s="27">
        <v>0.1</v>
      </c>
      <c r="I854" s="28">
        <f t="shared" si="21"/>
        <v>35.9</v>
      </c>
      <c r="J854" s="25">
        <v>52.4</v>
      </c>
      <c r="K854" s="16">
        <f t="shared" si="4"/>
        <v>25.3805</v>
      </c>
      <c r="L854" s="19">
        <f t="shared" si="5"/>
        <v>0.119252455</v>
      </c>
      <c r="M854" s="16">
        <f t="shared" si="6"/>
        <v>238.2105</v>
      </c>
      <c r="N854" s="20" t="s">
        <v>237</v>
      </c>
    </row>
    <row r="855">
      <c r="A855" s="22"/>
      <c r="B855" s="39" t="s">
        <v>1620</v>
      </c>
      <c r="C855" s="25" t="s">
        <v>1619</v>
      </c>
      <c r="D855" s="25">
        <v>347.0</v>
      </c>
      <c r="E855" s="16">
        <f t="shared" si="1"/>
        <v>23.943</v>
      </c>
      <c r="F855" s="16">
        <f t="shared" si="2"/>
        <v>7.4605</v>
      </c>
      <c r="G855" s="26">
        <v>225.0</v>
      </c>
      <c r="H855" s="27">
        <v>0.1</v>
      </c>
      <c r="I855" s="28">
        <f t="shared" si="21"/>
        <v>34.7</v>
      </c>
      <c r="J855" s="25">
        <v>52.0</v>
      </c>
      <c r="K855" s="16">
        <f t="shared" si="4"/>
        <v>3.8965</v>
      </c>
      <c r="L855" s="19">
        <f t="shared" si="5"/>
        <v>0.01731777778</v>
      </c>
      <c r="M855" s="16">
        <f t="shared" si="6"/>
        <v>228.8965</v>
      </c>
      <c r="N855" s="20"/>
    </row>
    <row r="856">
      <c r="A856" s="22"/>
      <c r="B856" s="23" t="s">
        <v>1621</v>
      </c>
      <c r="C856" s="25" t="s">
        <v>1622</v>
      </c>
      <c r="D856" s="25">
        <v>6616.0</v>
      </c>
      <c r="E856" s="16">
        <f t="shared" si="1"/>
        <v>456.504</v>
      </c>
      <c r="F856" s="16">
        <f t="shared" si="2"/>
        <v>142.244</v>
      </c>
      <c r="G856" s="26">
        <v>5246.42</v>
      </c>
      <c r="H856" s="27">
        <v>0.1</v>
      </c>
      <c r="I856" s="28">
        <f t="shared" si="21"/>
        <v>661.6</v>
      </c>
      <c r="J856" s="25">
        <v>209.0</v>
      </c>
      <c r="K856" s="16">
        <f t="shared" si="4"/>
        <v>-99.768</v>
      </c>
      <c r="L856" s="19">
        <f t="shared" si="5"/>
        <v>-0.01901639594</v>
      </c>
      <c r="M856" s="16">
        <f t="shared" si="6"/>
        <v>5146.652</v>
      </c>
      <c r="N856" s="20"/>
    </row>
    <row r="857">
      <c r="A857" s="22"/>
      <c r="B857" s="23" t="s">
        <v>1623</v>
      </c>
      <c r="C857" s="25" t="s">
        <v>1624</v>
      </c>
      <c r="D857" s="25">
        <v>1746.0</v>
      </c>
      <c r="E857" s="16">
        <f t="shared" si="1"/>
        <v>120.474</v>
      </c>
      <c r="F857" s="16">
        <f t="shared" si="2"/>
        <v>37.539</v>
      </c>
      <c r="G857" s="26">
        <v>1516.45</v>
      </c>
      <c r="H857" s="27">
        <v>0.1</v>
      </c>
      <c r="I857" s="28">
        <f t="shared" si="21"/>
        <v>174.6</v>
      </c>
      <c r="J857" s="25">
        <v>73.0</v>
      </c>
      <c r="K857" s="16">
        <f t="shared" si="4"/>
        <v>-176.063</v>
      </c>
      <c r="L857" s="19">
        <f t="shared" si="5"/>
        <v>-0.1161020805</v>
      </c>
      <c r="M857" s="16">
        <f t="shared" si="6"/>
        <v>1340.387</v>
      </c>
      <c r="N857" s="20"/>
    </row>
    <row r="858">
      <c r="A858" s="22"/>
      <c r="B858" s="23" t="s">
        <v>1625</v>
      </c>
      <c r="C858" s="25" t="s">
        <v>1626</v>
      </c>
      <c r="D858" s="25">
        <v>759.0</v>
      </c>
      <c r="E858" s="16">
        <f t="shared" si="1"/>
        <v>52.371</v>
      </c>
      <c r="F858" s="16">
        <f t="shared" si="2"/>
        <v>16.3185</v>
      </c>
      <c r="G858" s="26">
        <v>700.0</v>
      </c>
      <c r="H858" s="27">
        <v>0.1</v>
      </c>
      <c r="I858" s="28">
        <f t="shared" si="21"/>
        <v>75.9</v>
      </c>
      <c r="J858" s="25">
        <v>65.0</v>
      </c>
      <c r="K858" s="16">
        <f t="shared" si="4"/>
        <v>-150.5895</v>
      </c>
      <c r="L858" s="19">
        <f t="shared" si="5"/>
        <v>-0.2151278571</v>
      </c>
      <c r="M858" s="16">
        <f t="shared" si="6"/>
        <v>549.4105</v>
      </c>
      <c r="N858" s="20"/>
    </row>
    <row r="859">
      <c r="A859" s="22"/>
      <c r="B859" s="39" t="s">
        <v>1627</v>
      </c>
      <c r="C859" s="25" t="s">
        <v>1626</v>
      </c>
      <c r="D859" s="25">
        <v>1025.0</v>
      </c>
      <c r="E859" s="16">
        <f t="shared" si="1"/>
        <v>70.725</v>
      </c>
      <c r="F859" s="16">
        <f t="shared" si="2"/>
        <v>22.0375</v>
      </c>
      <c r="G859" s="26">
        <v>769.0</v>
      </c>
      <c r="H859" s="27">
        <v>0.1</v>
      </c>
      <c r="I859" s="28">
        <f t="shared" si="21"/>
        <v>102.5</v>
      </c>
      <c r="J859" s="25">
        <v>65.0</v>
      </c>
      <c r="K859" s="16">
        <f t="shared" si="4"/>
        <v>-4.2625</v>
      </c>
      <c r="L859" s="19">
        <f t="shared" si="5"/>
        <v>-0.005542912874</v>
      </c>
      <c r="M859" s="16">
        <f t="shared" si="6"/>
        <v>764.7375</v>
      </c>
      <c r="N859" s="20"/>
    </row>
    <row r="860">
      <c r="A860" s="22"/>
      <c r="B860" s="23" t="s">
        <v>1628</v>
      </c>
      <c r="C860" s="25" t="s">
        <v>1629</v>
      </c>
      <c r="D860" s="25">
        <v>799.0</v>
      </c>
      <c r="E860" s="16">
        <f t="shared" si="1"/>
        <v>55.131</v>
      </c>
      <c r="F860" s="16">
        <f t="shared" si="2"/>
        <v>17.1785</v>
      </c>
      <c r="G860" s="26">
        <v>543.99</v>
      </c>
      <c r="H860" s="27">
        <v>0.1</v>
      </c>
      <c r="I860" s="28">
        <f t="shared" si="21"/>
        <v>79.9</v>
      </c>
      <c r="J860" s="25">
        <v>65.0</v>
      </c>
      <c r="K860" s="16">
        <f t="shared" si="4"/>
        <v>37.8005</v>
      </c>
      <c r="L860" s="19">
        <f t="shared" si="5"/>
        <v>0.06948749058</v>
      </c>
      <c r="M860" s="16">
        <f t="shared" si="6"/>
        <v>581.7905</v>
      </c>
      <c r="N860" s="20"/>
    </row>
    <row r="861">
      <c r="A861" s="22"/>
      <c r="B861" s="23" t="s">
        <v>1630</v>
      </c>
      <c r="C861" s="25" t="s">
        <v>1631</v>
      </c>
      <c r="D861" s="25">
        <v>3999.0</v>
      </c>
      <c r="E861" s="16">
        <f t="shared" si="1"/>
        <v>275.931</v>
      </c>
      <c r="F861" s="16">
        <f t="shared" si="2"/>
        <v>85.9785</v>
      </c>
      <c r="G861" s="26">
        <v>3118.84</v>
      </c>
      <c r="H861" s="27">
        <v>0.1</v>
      </c>
      <c r="I861" s="28">
        <f t="shared" si="21"/>
        <v>399.9</v>
      </c>
      <c r="J861" s="25">
        <v>65.0</v>
      </c>
      <c r="K861" s="16">
        <f t="shared" si="4"/>
        <v>53.3505</v>
      </c>
      <c r="L861" s="19">
        <f t="shared" si="5"/>
        <v>0.01710587911</v>
      </c>
      <c r="M861" s="16">
        <f t="shared" si="6"/>
        <v>3172.1905</v>
      </c>
      <c r="N861" s="20"/>
    </row>
    <row r="862">
      <c r="A862" s="22"/>
      <c r="B862" s="23" t="s">
        <v>1632</v>
      </c>
      <c r="C862" s="24"/>
      <c r="D862" s="25">
        <v>3899.0</v>
      </c>
      <c r="E862" s="16">
        <f t="shared" si="1"/>
        <v>269.031</v>
      </c>
      <c r="F862" s="16">
        <f t="shared" si="2"/>
        <v>83.8285</v>
      </c>
      <c r="G862" s="26">
        <v>3118.84</v>
      </c>
      <c r="H862" s="27">
        <v>0.1</v>
      </c>
      <c r="I862" s="28">
        <f t="shared" si="21"/>
        <v>389.9</v>
      </c>
      <c r="J862" s="25">
        <v>65.0</v>
      </c>
      <c r="K862" s="16">
        <f t="shared" si="4"/>
        <v>-27.5995</v>
      </c>
      <c r="L862" s="19">
        <f t="shared" si="5"/>
        <v>-0.008849283708</v>
      </c>
      <c r="M862" s="16">
        <f t="shared" si="6"/>
        <v>3091.2405</v>
      </c>
      <c r="N862" s="20"/>
    </row>
    <row r="863">
      <c r="A863" s="30"/>
      <c r="B863" s="34" t="s">
        <v>1633</v>
      </c>
      <c r="C863" s="15"/>
      <c r="D863" s="42">
        <v>559.0</v>
      </c>
      <c r="E863" s="16">
        <f t="shared" si="1"/>
        <v>38.571</v>
      </c>
      <c r="F863" s="16">
        <f t="shared" si="2"/>
        <v>12.0185</v>
      </c>
      <c r="G863" s="17">
        <v>399.01</v>
      </c>
      <c r="H863" s="19">
        <v>0.1</v>
      </c>
      <c r="I863" s="16">
        <f t="shared" si="21"/>
        <v>55.9</v>
      </c>
      <c r="J863" s="42">
        <v>65.0</v>
      </c>
      <c r="K863" s="16">
        <f t="shared" si="4"/>
        <v>-11.4995</v>
      </c>
      <c r="L863" s="19">
        <f t="shared" si="5"/>
        <v>-0.0288200797</v>
      </c>
      <c r="M863" s="16">
        <f t="shared" si="6"/>
        <v>387.5105</v>
      </c>
      <c r="N863" s="20"/>
    </row>
    <row r="864">
      <c r="A864" s="22"/>
      <c r="B864" s="23" t="s">
        <v>1634</v>
      </c>
      <c r="C864" s="24"/>
      <c r="D864" s="25">
        <v>464.0</v>
      </c>
      <c r="E864" s="16">
        <f t="shared" si="1"/>
        <v>32.016</v>
      </c>
      <c r="F864" s="16">
        <f t="shared" si="2"/>
        <v>9.976</v>
      </c>
      <c r="G864" s="26">
        <v>399.01</v>
      </c>
      <c r="H864" s="27">
        <v>0.1</v>
      </c>
      <c r="I864" s="28">
        <f t="shared" si="21"/>
        <v>46.4</v>
      </c>
      <c r="J864" s="25">
        <v>65.0</v>
      </c>
      <c r="K864" s="16">
        <f t="shared" si="4"/>
        <v>-88.402</v>
      </c>
      <c r="L864" s="19">
        <f t="shared" si="5"/>
        <v>-0.2215533445</v>
      </c>
      <c r="M864" s="16">
        <f t="shared" si="6"/>
        <v>310.608</v>
      </c>
      <c r="N864" s="20"/>
    </row>
    <row r="865">
      <c r="A865" s="22"/>
      <c r="B865" s="23" t="s">
        <v>1635</v>
      </c>
      <c r="C865" s="24"/>
      <c r="D865" s="25">
        <v>5499.0</v>
      </c>
      <c r="E865" s="16">
        <f t="shared" si="1"/>
        <v>379.431</v>
      </c>
      <c r="F865" s="16">
        <f t="shared" si="2"/>
        <v>118.2285</v>
      </c>
      <c r="G865" s="26">
        <v>4762.87</v>
      </c>
      <c r="H865" s="27">
        <v>0.145</v>
      </c>
      <c r="I865" s="28">
        <f t="shared" si="21"/>
        <v>797.355</v>
      </c>
      <c r="J865" s="25">
        <v>65.0</v>
      </c>
      <c r="K865" s="16">
        <f t="shared" si="4"/>
        <v>-623.8845</v>
      </c>
      <c r="L865" s="19">
        <f t="shared" si="5"/>
        <v>-0.1309891935</v>
      </c>
      <c r="M865" s="16">
        <f t="shared" si="6"/>
        <v>4138.9855</v>
      </c>
      <c r="N865" s="20"/>
    </row>
    <row r="866">
      <c r="A866" s="22"/>
      <c r="B866" s="23" t="s">
        <v>1636</v>
      </c>
      <c r="C866" s="24"/>
      <c r="D866" s="25">
        <v>437.0</v>
      </c>
      <c r="E866" s="16">
        <f t="shared" si="1"/>
        <v>30.153</v>
      </c>
      <c r="F866" s="16">
        <f t="shared" si="2"/>
        <v>9.3955</v>
      </c>
      <c r="G866" s="26">
        <v>309.62</v>
      </c>
      <c r="H866" s="27">
        <v>0.1</v>
      </c>
      <c r="I866" s="28">
        <f t="shared" si="21"/>
        <v>43.7</v>
      </c>
      <c r="J866" s="25">
        <v>65.0</v>
      </c>
      <c r="K866" s="16">
        <f t="shared" si="4"/>
        <v>-20.8685</v>
      </c>
      <c r="L866" s="19">
        <f t="shared" si="5"/>
        <v>-0.06740036173</v>
      </c>
      <c r="M866" s="16">
        <f t="shared" si="6"/>
        <v>288.7515</v>
      </c>
      <c r="N866" s="20"/>
    </row>
    <row r="867">
      <c r="A867" s="22"/>
      <c r="B867" s="39" t="s">
        <v>1637</v>
      </c>
      <c r="C867" s="24"/>
      <c r="D867" s="25">
        <v>499.0</v>
      </c>
      <c r="E867" s="16">
        <f t="shared" si="1"/>
        <v>34.431</v>
      </c>
      <c r="F867" s="16">
        <f t="shared" si="2"/>
        <v>10.7285</v>
      </c>
      <c r="G867" s="26">
        <v>309.62</v>
      </c>
      <c r="H867" s="27">
        <v>0.1</v>
      </c>
      <c r="I867" s="28">
        <f t="shared" si="21"/>
        <v>49.9</v>
      </c>
      <c r="J867" s="25">
        <v>65.0</v>
      </c>
      <c r="K867" s="16">
        <f t="shared" si="4"/>
        <v>29.3205</v>
      </c>
      <c r="L867" s="19">
        <f t="shared" si="5"/>
        <v>0.0946983399</v>
      </c>
      <c r="M867" s="16">
        <f t="shared" si="6"/>
        <v>338.9405</v>
      </c>
      <c r="N867" s="20"/>
    </row>
    <row r="868">
      <c r="A868" s="22"/>
      <c r="B868" s="23" t="s">
        <v>1638</v>
      </c>
      <c r="C868" s="25" t="s">
        <v>1639</v>
      </c>
      <c r="D868" s="25">
        <v>1682.0</v>
      </c>
      <c r="E868" s="16">
        <f t="shared" si="1"/>
        <v>116.058</v>
      </c>
      <c r="F868" s="16">
        <f t="shared" si="2"/>
        <v>36.163</v>
      </c>
      <c r="G868" s="26">
        <v>1279.06</v>
      </c>
      <c r="H868" s="27">
        <v>0.1</v>
      </c>
      <c r="I868" s="28">
        <f t="shared" si="21"/>
        <v>168.2</v>
      </c>
      <c r="J868" s="25">
        <v>65.0</v>
      </c>
      <c r="K868" s="16">
        <f t="shared" si="4"/>
        <v>17.519</v>
      </c>
      <c r="L868" s="19">
        <f t="shared" si="5"/>
        <v>0.01369677732</v>
      </c>
      <c r="M868" s="16">
        <f t="shared" si="6"/>
        <v>1296.579</v>
      </c>
      <c r="N868" s="20"/>
    </row>
    <row r="869">
      <c r="A869" s="22"/>
      <c r="B869" s="23" t="s">
        <v>1640</v>
      </c>
      <c r="C869" s="25" t="s">
        <v>1641</v>
      </c>
      <c r="D869" s="25">
        <v>9999.0</v>
      </c>
      <c r="E869" s="16">
        <f t="shared" si="1"/>
        <v>689.931</v>
      </c>
      <c r="F869" s="16">
        <f t="shared" si="2"/>
        <v>214.9785</v>
      </c>
      <c r="G869" s="26">
        <v>7680.05</v>
      </c>
      <c r="H869" s="27">
        <v>0.145</v>
      </c>
      <c r="I869" s="28">
        <f t="shared" si="21"/>
        <v>1449.855</v>
      </c>
      <c r="J869" s="25">
        <v>270.0</v>
      </c>
      <c r="K869" s="16">
        <f t="shared" si="4"/>
        <v>-305.8145</v>
      </c>
      <c r="L869" s="19">
        <f t="shared" si="5"/>
        <v>-0.03981933711</v>
      </c>
      <c r="M869" s="16">
        <f t="shared" si="6"/>
        <v>7374.2355</v>
      </c>
      <c r="N869" s="20"/>
    </row>
    <row r="870">
      <c r="A870" s="22"/>
      <c r="B870" s="23" t="s">
        <v>1642</v>
      </c>
      <c r="C870" s="25" t="s">
        <v>1643</v>
      </c>
      <c r="D870" s="25">
        <v>6999.0</v>
      </c>
      <c r="E870" s="16">
        <f t="shared" si="1"/>
        <v>482.931</v>
      </c>
      <c r="F870" s="16">
        <f t="shared" si="2"/>
        <v>150.4785</v>
      </c>
      <c r="G870" s="26">
        <v>4907.94</v>
      </c>
      <c r="H870" s="27">
        <v>0.145</v>
      </c>
      <c r="I870" s="28">
        <f t="shared" si="21"/>
        <v>1014.855</v>
      </c>
      <c r="J870" s="25">
        <v>499.0</v>
      </c>
      <c r="K870" s="16">
        <f t="shared" si="4"/>
        <v>-56.2045</v>
      </c>
      <c r="L870" s="19">
        <f t="shared" si="5"/>
        <v>-0.01145174961</v>
      </c>
      <c r="M870" s="16">
        <f t="shared" si="6"/>
        <v>4851.7355</v>
      </c>
      <c r="N870" s="20"/>
    </row>
    <row r="871">
      <c r="A871" s="22"/>
      <c r="B871" s="23" t="s">
        <v>1644</v>
      </c>
      <c r="C871" s="25" t="s">
        <v>1645</v>
      </c>
      <c r="D871" s="25">
        <v>799.0</v>
      </c>
      <c r="E871" s="16">
        <f t="shared" si="1"/>
        <v>55.131</v>
      </c>
      <c r="F871" s="16">
        <f t="shared" si="2"/>
        <v>17.1785</v>
      </c>
      <c r="G871" s="26">
        <v>543.99</v>
      </c>
      <c r="H871" s="27">
        <v>0.1</v>
      </c>
      <c r="I871" s="28">
        <f t="shared" si="21"/>
        <v>79.9</v>
      </c>
      <c r="J871" s="25">
        <v>65.0</v>
      </c>
      <c r="K871" s="16">
        <f t="shared" si="4"/>
        <v>37.8005</v>
      </c>
      <c r="L871" s="19">
        <f t="shared" si="5"/>
        <v>0.06948749058</v>
      </c>
      <c r="M871" s="16">
        <f t="shared" si="6"/>
        <v>581.7905</v>
      </c>
      <c r="N871" s="20"/>
    </row>
    <row r="872">
      <c r="A872" s="22"/>
      <c r="B872" s="23" t="s">
        <v>1646</v>
      </c>
      <c r="C872" s="25" t="s">
        <v>1647</v>
      </c>
      <c r="D872" s="25">
        <v>899.0</v>
      </c>
      <c r="E872" s="16">
        <f t="shared" si="1"/>
        <v>62.031</v>
      </c>
      <c r="F872" s="16">
        <f t="shared" si="2"/>
        <v>19.3285</v>
      </c>
      <c r="G872" s="26">
        <v>652.78</v>
      </c>
      <c r="H872" s="27">
        <v>0.1</v>
      </c>
      <c r="I872" s="28">
        <f t="shared" si="21"/>
        <v>89.9</v>
      </c>
      <c r="J872" s="25">
        <v>65.0</v>
      </c>
      <c r="K872" s="16">
        <f t="shared" si="4"/>
        <v>9.9605</v>
      </c>
      <c r="L872" s="19">
        <f t="shared" si="5"/>
        <v>0.01525858635</v>
      </c>
      <c r="M872" s="16">
        <f t="shared" si="6"/>
        <v>662.7405</v>
      </c>
      <c r="N872" s="20"/>
    </row>
    <row r="873">
      <c r="A873" s="22"/>
      <c r="B873" s="23" t="s">
        <v>1648</v>
      </c>
      <c r="C873" s="25" t="s">
        <v>1649</v>
      </c>
      <c r="D873" s="25">
        <v>2927.0</v>
      </c>
      <c r="E873" s="16">
        <f t="shared" si="1"/>
        <v>201.963</v>
      </c>
      <c r="F873" s="16">
        <f t="shared" si="2"/>
        <v>62.9305</v>
      </c>
      <c r="G873" s="26">
        <v>1410.08</v>
      </c>
      <c r="H873" s="27">
        <v>0.195</v>
      </c>
      <c r="I873" s="28">
        <f t="shared" si="21"/>
        <v>570.765</v>
      </c>
      <c r="J873" s="25">
        <v>65.0</v>
      </c>
      <c r="K873" s="16">
        <f t="shared" si="4"/>
        <v>616.2615</v>
      </c>
      <c r="L873" s="19">
        <f t="shared" si="5"/>
        <v>0.437040097</v>
      </c>
      <c r="M873" s="16">
        <f t="shared" si="6"/>
        <v>2026.3415</v>
      </c>
      <c r="N873" s="20"/>
    </row>
    <row r="874">
      <c r="A874" s="22"/>
      <c r="B874" s="23" t="s">
        <v>1650</v>
      </c>
      <c r="C874" s="25" t="s">
        <v>1651</v>
      </c>
      <c r="D874" s="25">
        <v>2399.0</v>
      </c>
      <c r="E874" s="16">
        <f t="shared" si="1"/>
        <v>165.531</v>
      </c>
      <c r="F874" s="16">
        <f t="shared" si="2"/>
        <v>51.5785</v>
      </c>
      <c r="G874" s="26">
        <v>1692.08</v>
      </c>
      <c r="H874" s="27">
        <v>0.15</v>
      </c>
      <c r="I874" s="28">
        <f t="shared" si="21"/>
        <v>359.85</v>
      </c>
      <c r="J874" s="25">
        <v>134.0</v>
      </c>
      <c r="K874" s="16">
        <f t="shared" si="4"/>
        <v>-4.0395</v>
      </c>
      <c r="L874" s="19">
        <f t="shared" si="5"/>
        <v>-0.002387298473</v>
      </c>
      <c r="M874" s="16">
        <f t="shared" si="6"/>
        <v>1688.0405</v>
      </c>
      <c r="N874" s="20"/>
    </row>
    <row r="875">
      <c r="A875" s="22"/>
      <c r="B875" s="23" t="s">
        <v>1652</v>
      </c>
      <c r="C875" s="25" t="s">
        <v>1653</v>
      </c>
      <c r="D875" s="25">
        <v>4499.0</v>
      </c>
      <c r="E875" s="16">
        <f t="shared" si="1"/>
        <v>310.431</v>
      </c>
      <c r="F875" s="16">
        <f t="shared" si="2"/>
        <v>96.7285</v>
      </c>
      <c r="G875" s="26">
        <v>3357.52</v>
      </c>
      <c r="H875" s="27">
        <v>0.145</v>
      </c>
      <c r="I875" s="28">
        <f t="shared" si="21"/>
        <v>652.355</v>
      </c>
      <c r="J875" s="25">
        <v>65.5</v>
      </c>
      <c r="K875" s="16">
        <f t="shared" si="4"/>
        <v>16.4655</v>
      </c>
      <c r="L875" s="19">
        <f t="shared" si="5"/>
        <v>0.004904066096</v>
      </c>
      <c r="M875" s="16">
        <f t="shared" si="6"/>
        <v>3373.9855</v>
      </c>
      <c r="N875" s="20"/>
    </row>
    <row r="876">
      <c r="A876" s="22"/>
      <c r="B876" s="23" t="s">
        <v>1654</v>
      </c>
      <c r="C876" s="25" t="s">
        <v>1655</v>
      </c>
      <c r="D876" s="25">
        <v>1399.0</v>
      </c>
      <c r="E876" s="16">
        <f t="shared" si="1"/>
        <v>96.531</v>
      </c>
      <c r="F876" s="16">
        <f t="shared" si="2"/>
        <v>30.0785</v>
      </c>
      <c r="G876" s="26">
        <v>905.01</v>
      </c>
      <c r="H876" s="27">
        <v>0.15</v>
      </c>
      <c r="I876" s="28">
        <f t="shared" si="21"/>
        <v>209.85</v>
      </c>
      <c r="J876" s="25">
        <v>79.0</v>
      </c>
      <c r="K876" s="16">
        <f t="shared" si="4"/>
        <v>78.5305</v>
      </c>
      <c r="L876" s="19">
        <f t="shared" si="5"/>
        <v>0.08677307433</v>
      </c>
      <c r="M876" s="16">
        <f t="shared" si="6"/>
        <v>983.5405</v>
      </c>
      <c r="N876" s="20"/>
    </row>
    <row r="877">
      <c r="A877" s="22"/>
      <c r="B877" s="23" t="s">
        <v>1656</v>
      </c>
      <c r="C877" s="24"/>
      <c r="D877" s="25">
        <v>1299.0</v>
      </c>
      <c r="E877" s="16">
        <f t="shared" si="1"/>
        <v>89.631</v>
      </c>
      <c r="F877" s="16">
        <f t="shared" si="2"/>
        <v>27.9285</v>
      </c>
      <c r="G877" s="26">
        <v>998.21</v>
      </c>
      <c r="H877" s="27">
        <v>0.145</v>
      </c>
      <c r="I877" s="28">
        <f t="shared" si="21"/>
        <v>188.355</v>
      </c>
      <c r="J877" s="25">
        <v>65.0</v>
      </c>
      <c r="K877" s="16">
        <f t="shared" si="4"/>
        <v>-70.1245</v>
      </c>
      <c r="L877" s="19">
        <f t="shared" si="5"/>
        <v>-0.07025024794</v>
      </c>
      <c r="M877" s="16">
        <f t="shared" si="6"/>
        <v>928.0855</v>
      </c>
      <c r="N877" s="20"/>
    </row>
    <row r="878">
      <c r="A878" s="22"/>
      <c r="B878" s="23" t="s">
        <v>1657</v>
      </c>
      <c r="C878" s="24"/>
      <c r="D878" s="25">
        <v>699.0</v>
      </c>
      <c r="E878" s="16">
        <f t="shared" si="1"/>
        <v>48.231</v>
      </c>
      <c r="F878" s="16">
        <f t="shared" si="2"/>
        <v>15.0285</v>
      </c>
      <c r="G878" s="26">
        <v>440.2</v>
      </c>
      <c r="H878" s="27">
        <v>0.15</v>
      </c>
      <c r="I878" s="28">
        <f t="shared" si="21"/>
        <v>104.85</v>
      </c>
      <c r="J878" s="25">
        <v>122.0</v>
      </c>
      <c r="K878" s="16">
        <f t="shared" si="4"/>
        <v>-31.3095</v>
      </c>
      <c r="L878" s="19">
        <f t="shared" si="5"/>
        <v>-0.07112562472</v>
      </c>
      <c r="M878" s="16">
        <f t="shared" si="6"/>
        <v>408.8905</v>
      </c>
      <c r="N878" s="20"/>
    </row>
    <row r="879">
      <c r="A879" s="22"/>
      <c r="B879" s="23" t="s">
        <v>1658</v>
      </c>
      <c r="C879" s="25" t="s">
        <v>1659</v>
      </c>
      <c r="D879" s="25">
        <v>4299.0</v>
      </c>
      <c r="E879" s="16">
        <f t="shared" si="1"/>
        <v>296.631</v>
      </c>
      <c r="F879" s="16">
        <f t="shared" si="2"/>
        <v>92.4285</v>
      </c>
      <c r="G879" s="26">
        <v>2998.6</v>
      </c>
      <c r="H879" s="27">
        <v>0.15</v>
      </c>
      <c r="I879" s="28">
        <f t="shared" si="21"/>
        <v>644.85</v>
      </c>
      <c r="J879" s="25">
        <v>161.0</v>
      </c>
      <c r="K879" s="16">
        <f t="shared" si="4"/>
        <v>105.4905</v>
      </c>
      <c r="L879" s="19">
        <f t="shared" si="5"/>
        <v>0.03517991729</v>
      </c>
      <c r="M879" s="16">
        <f t="shared" si="6"/>
        <v>3104.0905</v>
      </c>
      <c r="N879" s="20" t="s">
        <v>1660</v>
      </c>
    </row>
    <row r="880">
      <c r="A880" s="22"/>
      <c r="B880" s="23" t="s">
        <v>1661</v>
      </c>
      <c r="C880" s="25" t="s">
        <v>1662</v>
      </c>
      <c r="D880" s="25">
        <v>2399.0</v>
      </c>
      <c r="E880" s="16">
        <f t="shared" si="1"/>
        <v>165.531</v>
      </c>
      <c r="F880" s="16">
        <f t="shared" si="2"/>
        <v>51.5785</v>
      </c>
      <c r="G880" s="26">
        <v>1692.08</v>
      </c>
      <c r="H880" s="27">
        <v>0.15</v>
      </c>
      <c r="I880" s="28">
        <f t="shared" si="21"/>
        <v>359.85</v>
      </c>
      <c r="J880" s="25">
        <v>114.0</v>
      </c>
      <c r="K880" s="16">
        <f t="shared" si="4"/>
        <v>15.9605</v>
      </c>
      <c r="L880" s="19">
        <f t="shared" si="5"/>
        <v>0.009432473642</v>
      </c>
      <c r="M880" s="16">
        <f t="shared" si="6"/>
        <v>1708.0405</v>
      </c>
      <c r="N880" s="20"/>
    </row>
    <row r="881">
      <c r="A881" s="22"/>
      <c r="B881" s="23" t="s">
        <v>1663</v>
      </c>
      <c r="C881" s="25" t="s">
        <v>1664</v>
      </c>
      <c r="D881" s="25">
        <v>2999.0</v>
      </c>
      <c r="E881" s="16">
        <f t="shared" si="1"/>
        <v>206.931</v>
      </c>
      <c r="F881" s="16">
        <f t="shared" si="2"/>
        <v>64.4785</v>
      </c>
      <c r="G881" s="26">
        <v>2204.85</v>
      </c>
      <c r="H881" s="27">
        <v>0.195</v>
      </c>
      <c r="I881" s="28">
        <f t="shared" si="21"/>
        <v>584.805</v>
      </c>
      <c r="J881" s="25">
        <v>114.0</v>
      </c>
      <c r="K881" s="16">
        <f t="shared" si="4"/>
        <v>-176.0645</v>
      </c>
      <c r="L881" s="19">
        <f t="shared" si="5"/>
        <v>-0.079853278</v>
      </c>
      <c r="M881" s="16">
        <f t="shared" si="6"/>
        <v>2028.7855</v>
      </c>
      <c r="N881" s="20"/>
    </row>
    <row r="882">
      <c r="A882" s="22"/>
      <c r="B882" s="23" t="s">
        <v>1665</v>
      </c>
      <c r="C882" s="25" t="s">
        <v>1666</v>
      </c>
      <c r="D882" s="25">
        <v>6858.0</v>
      </c>
      <c r="E882" s="16">
        <f t="shared" si="1"/>
        <v>473.202</v>
      </c>
      <c r="F882" s="16">
        <f t="shared" si="2"/>
        <v>147.447</v>
      </c>
      <c r="G882" s="26">
        <v>4800.0</v>
      </c>
      <c r="H882" s="27">
        <v>0.195</v>
      </c>
      <c r="I882" s="28">
        <f t="shared" si="21"/>
        <v>1337.31</v>
      </c>
      <c r="J882" s="25">
        <v>270.0</v>
      </c>
      <c r="K882" s="16">
        <f t="shared" si="4"/>
        <v>-169.959</v>
      </c>
      <c r="L882" s="19">
        <f t="shared" si="5"/>
        <v>-0.035408125</v>
      </c>
      <c r="M882" s="16">
        <f t="shared" si="6"/>
        <v>4630.041</v>
      </c>
      <c r="N882" s="20"/>
    </row>
    <row r="883">
      <c r="A883" s="22"/>
      <c r="B883" s="23" t="s">
        <v>1667</v>
      </c>
      <c r="C883" s="25" t="s">
        <v>1668</v>
      </c>
      <c r="D883" s="25">
        <v>3999.0</v>
      </c>
      <c r="E883" s="16">
        <f t="shared" si="1"/>
        <v>275.931</v>
      </c>
      <c r="F883" s="16">
        <f t="shared" si="2"/>
        <v>85.9785</v>
      </c>
      <c r="G883" s="26">
        <v>3020.0</v>
      </c>
      <c r="H883" s="27">
        <v>0.145</v>
      </c>
      <c r="I883" s="28">
        <f t="shared" si="21"/>
        <v>579.855</v>
      </c>
      <c r="J883" s="25">
        <v>73.0</v>
      </c>
      <c r="K883" s="16">
        <f t="shared" si="4"/>
        <v>-35.7645</v>
      </c>
      <c r="L883" s="19">
        <f t="shared" si="5"/>
        <v>-0.01184254967</v>
      </c>
      <c r="M883" s="16">
        <f t="shared" si="6"/>
        <v>2984.2355</v>
      </c>
      <c r="N883" s="20"/>
    </row>
    <row r="884">
      <c r="A884" s="22"/>
      <c r="B884" s="23" t="s">
        <v>1669</v>
      </c>
      <c r="C884" s="25" t="s">
        <v>1668</v>
      </c>
      <c r="D884" s="25">
        <v>3999.0</v>
      </c>
      <c r="E884" s="16">
        <f t="shared" si="1"/>
        <v>275.931</v>
      </c>
      <c r="F884" s="16">
        <f t="shared" si="2"/>
        <v>85.9785</v>
      </c>
      <c r="G884" s="26">
        <v>3020.0</v>
      </c>
      <c r="H884" s="27">
        <v>0.145</v>
      </c>
      <c r="I884" s="28">
        <f t="shared" si="21"/>
        <v>579.855</v>
      </c>
      <c r="J884" s="25">
        <v>73.0</v>
      </c>
      <c r="K884" s="16">
        <f t="shared" si="4"/>
        <v>-35.7645</v>
      </c>
      <c r="L884" s="19">
        <f t="shared" si="5"/>
        <v>-0.01184254967</v>
      </c>
      <c r="M884" s="16">
        <f t="shared" si="6"/>
        <v>2984.2355</v>
      </c>
      <c r="N884" s="20"/>
    </row>
    <row r="885">
      <c r="A885" s="22"/>
      <c r="B885" s="23" t="s">
        <v>1670</v>
      </c>
      <c r="C885" s="25" t="s">
        <v>1671</v>
      </c>
      <c r="D885" s="25">
        <v>3799.0</v>
      </c>
      <c r="E885" s="16">
        <f t="shared" si="1"/>
        <v>262.131</v>
      </c>
      <c r="F885" s="16">
        <f t="shared" si="2"/>
        <v>81.6785</v>
      </c>
      <c r="G885" s="26">
        <v>2826.76</v>
      </c>
      <c r="H885" s="27">
        <v>0.145</v>
      </c>
      <c r="I885" s="28">
        <f t="shared" si="21"/>
        <v>550.855</v>
      </c>
      <c r="J885" s="25">
        <v>73.0</v>
      </c>
      <c r="K885" s="16">
        <f t="shared" si="4"/>
        <v>4.5755</v>
      </c>
      <c r="L885" s="19">
        <f t="shared" si="5"/>
        <v>0.001618637592</v>
      </c>
      <c r="M885" s="16">
        <f t="shared" si="6"/>
        <v>2831.3355</v>
      </c>
      <c r="N885" s="20"/>
    </row>
    <row r="886">
      <c r="A886" s="22"/>
      <c r="B886" s="23" t="s">
        <v>1672</v>
      </c>
      <c r="C886" s="25" t="s">
        <v>1673</v>
      </c>
      <c r="D886" s="25">
        <v>764.0</v>
      </c>
      <c r="E886" s="16">
        <f t="shared" si="1"/>
        <v>52.716</v>
      </c>
      <c r="F886" s="16">
        <f t="shared" si="2"/>
        <v>16.426</v>
      </c>
      <c r="G886" s="26">
        <v>564.59</v>
      </c>
      <c r="H886" s="27">
        <v>0.1</v>
      </c>
      <c r="I886" s="28">
        <f t="shared" si="21"/>
        <v>76.4</v>
      </c>
      <c r="J886" s="25">
        <v>73.0</v>
      </c>
      <c r="K886" s="16">
        <f t="shared" si="4"/>
        <v>-19.132</v>
      </c>
      <c r="L886" s="19">
        <f t="shared" si="5"/>
        <v>-0.03388653713</v>
      </c>
      <c r="M886" s="16">
        <f t="shared" si="6"/>
        <v>545.458</v>
      </c>
      <c r="N886" s="20"/>
    </row>
    <row r="887">
      <c r="A887" s="22"/>
      <c r="B887" s="39" t="s">
        <v>1674</v>
      </c>
      <c r="C887" s="25" t="s">
        <v>1675</v>
      </c>
      <c r="D887" s="25">
        <v>289.0</v>
      </c>
      <c r="E887" s="16">
        <f t="shared" si="1"/>
        <v>19.941</v>
      </c>
      <c r="F887" s="16">
        <f t="shared" si="2"/>
        <v>6.2135</v>
      </c>
      <c r="G887" s="26">
        <v>153.0</v>
      </c>
      <c r="H887" s="27">
        <v>0.1</v>
      </c>
      <c r="I887" s="28">
        <f t="shared" si="21"/>
        <v>28.9</v>
      </c>
      <c r="J887" s="25">
        <v>37.0</v>
      </c>
      <c r="K887" s="16">
        <f t="shared" si="4"/>
        <v>43.9455</v>
      </c>
      <c r="L887" s="19">
        <f t="shared" si="5"/>
        <v>0.2872254902</v>
      </c>
      <c r="M887" s="16">
        <f t="shared" si="6"/>
        <v>196.9455</v>
      </c>
      <c r="N887" s="20"/>
    </row>
    <row r="888">
      <c r="A888" s="22"/>
      <c r="B888" s="23" t="s">
        <v>1676</v>
      </c>
      <c r="C888" s="25" t="s">
        <v>1675</v>
      </c>
      <c r="D888" s="25">
        <v>236.0</v>
      </c>
      <c r="E888" s="16">
        <f t="shared" si="1"/>
        <v>16.284</v>
      </c>
      <c r="F888" s="16">
        <f t="shared" si="2"/>
        <v>5.074</v>
      </c>
      <c r="G888" s="26">
        <v>135.37</v>
      </c>
      <c r="H888" s="27">
        <v>0.1</v>
      </c>
      <c r="I888" s="28">
        <f t="shared" si="21"/>
        <v>23.6</v>
      </c>
      <c r="J888" s="25">
        <v>28.6</v>
      </c>
      <c r="K888" s="16">
        <f t="shared" si="4"/>
        <v>27.072</v>
      </c>
      <c r="L888" s="19">
        <f t="shared" si="5"/>
        <v>0.1999852257</v>
      </c>
      <c r="M888" s="16">
        <f t="shared" si="6"/>
        <v>162.442</v>
      </c>
      <c r="N888" s="20"/>
    </row>
    <row r="889">
      <c r="A889" s="22"/>
      <c r="B889" s="23" t="s">
        <v>1677</v>
      </c>
      <c r="C889" s="25" t="s">
        <v>1678</v>
      </c>
      <c r="D889" s="25">
        <v>6573.0</v>
      </c>
      <c r="E889" s="16">
        <f t="shared" si="1"/>
        <v>453.537</v>
      </c>
      <c r="F889" s="16">
        <f t="shared" si="2"/>
        <v>141.3195</v>
      </c>
      <c r="G889" s="26">
        <v>5150.73</v>
      </c>
      <c r="H889" s="27">
        <v>0.145</v>
      </c>
      <c r="I889" s="28">
        <f t="shared" si="21"/>
        <v>953.085</v>
      </c>
      <c r="J889" s="25">
        <v>95.0</v>
      </c>
      <c r="K889" s="16">
        <f t="shared" si="4"/>
        <v>-220.6715</v>
      </c>
      <c r="L889" s="19">
        <f t="shared" si="5"/>
        <v>-0.04284276209</v>
      </c>
      <c r="M889" s="16">
        <f t="shared" si="6"/>
        <v>4930.0585</v>
      </c>
      <c r="N889" s="20"/>
    </row>
    <row r="890">
      <c r="A890" s="22"/>
      <c r="B890" s="23" t="s">
        <v>1679</v>
      </c>
      <c r="C890" s="25" t="s">
        <v>1668</v>
      </c>
      <c r="D890" s="25">
        <v>4200.0</v>
      </c>
      <c r="E890" s="16">
        <f t="shared" si="1"/>
        <v>289.8</v>
      </c>
      <c r="F890" s="16">
        <f t="shared" si="2"/>
        <v>90.3</v>
      </c>
      <c r="G890" s="26">
        <v>3020.0</v>
      </c>
      <c r="H890" s="27">
        <v>0.145</v>
      </c>
      <c r="I890" s="28">
        <f t="shared" si="21"/>
        <v>609</v>
      </c>
      <c r="J890" s="25">
        <v>95.0</v>
      </c>
      <c r="K890" s="16">
        <f t="shared" si="4"/>
        <v>95.9</v>
      </c>
      <c r="L890" s="19">
        <f t="shared" si="5"/>
        <v>0.03175496689</v>
      </c>
      <c r="M890" s="16">
        <f t="shared" si="6"/>
        <v>3115.9</v>
      </c>
      <c r="N890" s="20"/>
    </row>
    <row r="891">
      <c r="A891" s="22"/>
      <c r="B891" s="23" t="s">
        <v>1680</v>
      </c>
      <c r="C891" s="25" t="s">
        <v>1681</v>
      </c>
      <c r="D891" s="24"/>
      <c r="E891" s="16">
        <f t="shared" si="1"/>
        <v>0</v>
      </c>
      <c r="F891" s="16">
        <f t="shared" si="2"/>
        <v>0</v>
      </c>
      <c r="G891" s="26">
        <v>440.0</v>
      </c>
      <c r="H891" s="43"/>
      <c r="I891" s="28"/>
      <c r="J891" s="24"/>
      <c r="K891" s="16">
        <f t="shared" si="4"/>
        <v>-440</v>
      </c>
      <c r="L891" s="19">
        <f t="shared" si="5"/>
        <v>-1</v>
      </c>
      <c r="M891" s="16">
        <f t="shared" si="6"/>
        <v>0</v>
      </c>
      <c r="N891" s="20"/>
    </row>
    <row r="892">
      <c r="A892" s="22"/>
      <c r="B892" s="23" t="s">
        <v>1682</v>
      </c>
      <c r="C892" s="25" t="s">
        <v>1683</v>
      </c>
      <c r="D892" s="25">
        <v>249.0</v>
      </c>
      <c r="E892" s="16">
        <f t="shared" si="1"/>
        <v>17.181</v>
      </c>
      <c r="F892" s="16">
        <f t="shared" si="2"/>
        <v>5.3535</v>
      </c>
      <c r="G892" s="26">
        <v>170.0</v>
      </c>
      <c r="H892" s="27">
        <v>0.1</v>
      </c>
      <c r="I892" s="28">
        <f t="shared" ref="I892:I932" si="22">H892*D892</f>
        <v>24.9</v>
      </c>
      <c r="J892" s="25">
        <v>30.0</v>
      </c>
      <c r="K892" s="16">
        <f t="shared" si="4"/>
        <v>1.5655</v>
      </c>
      <c r="L892" s="19">
        <f t="shared" si="5"/>
        <v>0.009208823529</v>
      </c>
      <c r="M892" s="16">
        <f t="shared" si="6"/>
        <v>171.5655</v>
      </c>
      <c r="N892" s="20"/>
    </row>
    <row r="893">
      <c r="A893" s="22"/>
      <c r="B893" s="23" t="s">
        <v>1684</v>
      </c>
      <c r="C893" s="25" t="s">
        <v>1685</v>
      </c>
      <c r="D893" s="25">
        <v>1999.0</v>
      </c>
      <c r="E893" s="16">
        <f t="shared" si="1"/>
        <v>137.931</v>
      </c>
      <c r="F893" s="16">
        <f t="shared" si="2"/>
        <v>42.9785</v>
      </c>
      <c r="G893" s="26">
        <v>1692.08</v>
      </c>
      <c r="H893" s="27">
        <v>0.15</v>
      </c>
      <c r="I893" s="28">
        <f t="shared" si="22"/>
        <v>299.85</v>
      </c>
      <c r="J893" s="25">
        <v>95.0</v>
      </c>
      <c r="K893" s="16">
        <f t="shared" si="4"/>
        <v>-268.8395</v>
      </c>
      <c r="L893" s="19">
        <f t="shared" si="5"/>
        <v>-0.1588810813</v>
      </c>
      <c r="M893" s="16">
        <f t="shared" si="6"/>
        <v>1423.2405</v>
      </c>
      <c r="N893" s="20"/>
    </row>
    <row r="894">
      <c r="A894" s="22"/>
      <c r="B894" s="23" t="s">
        <v>1686</v>
      </c>
      <c r="C894" s="25" t="s">
        <v>1687</v>
      </c>
      <c r="D894" s="25">
        <v>2399.0</v>
      </c>
      <c r="E894" s="16">
        <f t="shared" si="1"/>
        <v>165.531</v>
      </c>
      <c r="F894" s="16">
        <f t="shared" si="2"/>
        <v>51.5785</v>
      </c>
      <c r="G894" s="26">
        <v>1716.3</v>
      </c>
      <c r="H894" s="27">
        <v>0.145</v>
      </c>
      <c r="I894" s="28">
        <f t="shared" si="22"/>
        <v>347.855</v>
      </c>
      <c r="J894" s="25">
        <v>100.0</v>
      </c>
      <c r="K894" s="16">
        <f t="shared" si="4"/>
        <v>17.7355</v>
      </c>
      <c r="L894" s="19">
        <f t="shared" si="5"/>
        <v>0.01033356639</v>
      </c>
      <c r="M894" s="16">
        <f t="shared" si="6"/>
        <v>1734.0355</v>
      </c>
      <c r="N894" s="20"/>
    </row>
    <row r="895">
      <c r="A895" s="22"/>
      <c r="B895" s="23" t="s">
        <v>1688</v>
      </c>
      <c r="C895" s="25" t="s">
        <v>1689</v>
      </c>
      <c r="D895" s="44">
        <v>421.0</v>
      </c>
      <c r="E895" s="16">
        <f t="shared" si="1"/>
        <v>29.049</v>
      </c>
      <c r="F895" s="16">
        <f t="shared" si="2"/>
        <v>9.0515</v>
      </c>
      <c r="G895" s="26">
        <v>300.0</v>
      </c>
      <c r="H895" s="27">
        <v>0.1</v>
      </c>
      <c r="I895" s="28">
        <f t="shared" si="22"/>
        <v>42.1</v>
      </c>
      <c r="J895" s="25">
        <v>52.5</v>
      </c>
      <c r="K895" s="16">
        <f t="shared" si="4"/>
        <v>-11.7005</v>
      </c>
      <c r="L895" s="19">
        <f t="shared" si="5"/>
        <v>-0.03900166667</v>
      </c>
      <c r="M895" s="16">
        <f t="shared" si="6"/>
        <v>288.2995</v>
      </c>
      <c r="N895" s="20"/>
    </row>
    <row r="896">
      <c r="A896" s="22"/>
      <c r="B896" s="23" t="s">
        <v>1690</v>
      </c>
      <c r="C896" s="25" t="s">
        <v>1691</v>
      </c>
      <c r="D896" s="25">
        <v>4291.0</v>
      </c>
      <c r="E896" s="16">
        <f t="shared" si="1"/>
        <v>296.079</v>
      </c>
      <c r="F896" s="16">
        <f t="shared" si="2"/>
        <v>92.2565</v>
      </c>
      <c r="G896" s="26">
        <v>3179.73</v>
      </c>
      <c r="H896" s="27">
        <v>0.145</v>
      </c>
      <c r="I896" s="28">
        <f t="shared" si="22"/>
        <v>622.195</v>
      </c>
      <c r="J896" s="25">
        <v>270.0</v>
      </c>
      <c r="K896" s="16">
        <f t="shared" si="4"/>
        <v>-169.2605</v>
      </c>
      <c r="L896" s="19">
        <f t="shared" si="5"/>
        <v>-0.05323109195</v>
      </c>
      <c r="M896" s="16">
        <f t="shared" si="6"/>
        <v>3010.4695</v>
      </c>
      <c r="N896" s="20"/>
    </row>
    <row r="897">
      <c r="A897" s="22"/>
      <c r="B897" s="23" t="s">
        <v>1692</v>
      </c>
      <c r="C897" s="25" t="s">
        <v>1693</v>
      </c>
      <c r="D897" s="25">
        <v>1377.0</v>
      </c>
      <c r="E897" s="16">
        <f t="shared" si="1"/>
        <v>95.013</v>
      </c>
      <c r="F897" s="16">
        <f t="shared" si="2"/>
        <v>29.6055</v>
      </c>
      <c r="G897" s="26">
        <v>1052.22</v>
      </c>
      <c r="H897" s="27">
        <v>0.1</v>
      </c>
      <c r="I897" s="28">
        <f t="shared" si="22"/>
        <v>137.7</v>
      </c>
      <c r="J897" s="25">
        <v>65.0</v>
      </c>
      <c r="K897" s="16">
        <f t="shared" si="4"/>
        <v>-2.5385</v>
      </c>
      <c r="L897" s="19">
        <f t="shared" si="5"/>
        <v>-0.002412518295</v>
      </c>
      <c r="M897" s="16">
        <f t="shared" si="6"/>
        <v>1049.6815</v>
      </c>
      <c r="N897" s="20"/>
    </row>
    <row r="898">
      <c r="A898" s="22"/>
      <c r="B898" s="23" t="s">
        <v>1694</v>
      </c>
      <c r="C898" s="25" t="s">
        <v>1695</v>
      </c>
      <c r="D898" s="25">
        <v>389.0</v>
      </c>
      <c r="E898" s="16">
        <f t="shared" si="1"/>
        <v>26.841</v>
      </c>
      <c r="F898" s="16">
        <f t="shared" si="2"/>
        <v>8.3635</v>
      </c>
      <c r="G898" s="26">
        <v>226.52</v>
      </c>
      <c r="H898" s="27">
        <v>0.1</v>
      </c>
      <c r="I898" s="28">
        <f t="shared" si="22"/>
        <v>38.9</v>
      </c>
      <c r="J898" s="25">
        <v>52.0</v>
      </c>
      <c r="K898" s="16">
        <f t="shared" si="4"/>
        <v>36.3755</v>
      </c>
      <c r="L898" s="19">
        <f t="shared" si="5"/>
        <v>0.1605840544</v>
      </c>
      <c r="M898" s="16">
        <f t="shared" si="6"/>
        <v>262.8955</v>
      </c>
      <c r="N898" s="20"/>
    </row>
    <row r="899">
      <c r="A899" s="22"/>
      <c r="B899" s="39" t="s">
        <v>1696</v>
      </c>
      <c r="C899" s="25" t="s">
        <v>1695</v>
      </c>
      <c r="D899" s="25">
        <v>339.0</v>
      </c>
      <c r="E899" s="16">
        <f t="shared" si="1"/>
        <v>23.391</v>
      </c>
      <c r="F899" s="16">
        <f t="shared" si="2"/>
        <v>7.2885</v>
      </c>
      <c r="G899" s="26">
        <v>226.52</v>
      </c>
      <c r="H899" s="27">
        <v>0.1</v>
      </c>
      <c r="I899" s="28">
        <f t="shared" si="22"/>
        <v>33.9</v>
      </c>
      <c r="J899" s="25">
        <v>52.0</v>
      </c>
      <c r="K899" s="16">
        <f t="shared" si="4"/>
        <v>-4.0995</v>
      </c>
      <c r="L899" s="19">
        <f t="shared" si="5"/>
        <v>-0.01809773971</v>
      </c>
      <c r="M899" s="16">
        <f t="shared" si="6"/>
        <v>222.4205</v>
      </c>
      <c r="N899" s="20"/>
    </row>
    <row r="900">
      <c r="A900" s="22"/>
      <c r="B900" s="39"/>
      <c r="C900" s="25"/>
      <c r="D900" s="25">
        <v>641.0</v>
      </c>
      <c r="E900" s="16">
        <f t="shared" si="1"/>
        <v>44.229</v>
      </c>
      <c r="F900" s="16">
        <f t="shared" si="2"/>
        <v>13.7815</v>
      </c>
      <c r="G900" s="26">
        <v>392.52</v>
      </c>
      <c r="H900" s="27">
        <v>0.1</v>
      </c>
      <c r="I900" s="28">
        <f t="shared" si="22"/>
        <v>64.1</v>
      </c>
      <c r="J900" s="25">
        <v>52.0</v>
      </c>
      <c r="K900" s="16">
        <f t="shared" si="4"/>
        <v>74.3695</v>
      </c>
      <c r="L900" s="19">
        <f t="shared" si="5"/>
        <v>0.1894667788</v>
      </c>
      <c r="M900" s="16">
        <f t="shared" si="6"/>
        <v>466.8895</v>
      </c>
      <c r="N900" s="20"/>
    </row>
    <row r="901">
      <c r="A901" s="22"/>
      <c r="B901" s="23" t="s">
        <v>1697</v>
      </c>
      <c r="C901" s="25" t="s">
        <v>1698</v>
      </c>
      <c r="D901" s="25">
        <v>3199.0</v>
      </c>
      <c r="E901" s="16">
        <f t="shared" si="1"/>
        <v>220.731</v>
      </c>
      <c r="F901" s="16">
        <f t="shared" si="2"/>
        <v>68.7785</v>
      </c>
      <c r="G901" s="26">
        <v>2271.86</v>
      </c>
      <c r="H901" s="27">
        <v>0.15</v>
      </c>
      <c r="I901" s="28">
        <f t="shared" si="22"/>
        <v>479.85</v>
      </c>
      <c r="J901" s="25">
        <v>155.0</v>
      </c>
      <c r="K901" s="16">
        <f t="shared" si="4"/>
        <v>2.7805</v>
      </c>
      <c r="L901" s="19">
        <f t="shared" si="5"/>
        <v>0.001223887035</v>
      </c>
      <c r="M901" s="16">
        <f t="shared" si="6"/>
        <v>2274.6405</v>
      </c>
      <c r="N901" s="20"/>
    </row>
    <row r="902">
      <c r="A902" s="22"/>
      <c r="B902" s="23" t="s">
        <v>1699</v>
      </c>
      <c r="C902" s="25" t="s">
        <v>1698</v>
      </c>
      <c r="D902" s="25">
        <v>3199.0</v>
      </c>
      <c r="E902" s="16">
        <f t="shared" si="1"/>
        <v>220.731</v>
      </c>
      <c r="F902" s="16">
        <f t="shared" si="2"/>
        <v>68.7785</v>
      </c>
      <c r="G902" s="26">
        <v>2271.86</v>
      </c>
      <c r="H902" s="27">
        <v>0.15</v>
      </c>
      <c r="I902" s="28">
        <f t="shared" si="22"/>
        <v>479.85</v>
      </c>
      <c r="J902" s="25">
        <v>155.0</v>
      </c>
      <c r="K902" s="16">
        <f t="shared" si="4"/>
        <v>2.7805</v>
      </c>
      <c r="L902" s="19">
        <f t="shared" si="5"/>
        <v>0.001223887035</v>
      </c>
      <c r="M902" s="16">
        <f t="shared" si="6"/>
        <v>2274.6405</v>
      </c>
      <c r="N902" s="20"/>
    </row>
    <row r="903">
      <c r="A903" s="22"/>
      <c r="B903" s="23" t="s">
        <v>1700</v>
      </c>
      <c r="C903" s="25" t="s">
        <v>1701</v>
      </c>
      <c r="D903" s="25">
        <v>2312.0</v>
      </c>
      <c r="E903" s="16">
        <f t="shared" si="1"/>
        <v>159.528</v>
      </c>
      <c r="F903" s="16">
        <f t="shared" si="2"/>
        <v>49.708</v>
      </c>
      <c r="G903" s="26">
        <v>1967.2</v>
      </c>
      <c r="H903" s="27">
        <v>0.1</v>
      </c>
      <c r="I903" s="28">
        <f t="shared" si="22"/>
        <v>231.2</v>
      </c>
      <c r="J903" s="25">
        <v>79.0</v>
      </c>
      <c r="K903" s="16">
        <f t="shared" si="4"/>
        <v>-174.636</v>
      </c>
      <c r="L903" s="19">
        <f t="shared" si="5"/>
        <v>-0.08877389183</v>
      </c>
      <c r="M903" s="16">
        <f t="shared" si="6"/>
        <v>1792.564</v>
      </c>
      <c r="N903" s="20"/>
    </row>
    <row r="904">
      <c r="A904" s="22"/>
      <c r="B904" s="23" t="s">
        <v>1702</v>
      </c>
      <c r="C904" s="25" t="s">
        <v>1701</v>
      </c>
      <c r="D904" s="25">
        <v>2499.0</v>
      </c>
      <c r="E904" s="16">
        <f t="shared" si="1"/>
        <v>172.431</v>
      </c>
      <c r="F904" s="16">
        <f t="shared" si="2"/>
        <v>53.7285</v>
      </c>
      <c r="G904" s="26">
        <v>1967.2</v>
      </c>
      <c r="H904" s="27">
        <v>0.1</v>
      </c>
      <c r="I904" s="28">
        <f t="shared" si="22"/>
        <v>249.9</v>
      </c>
      <c r="J904" s="25">
        <v>79.0</v>
      </c>
      <c r="K904" s="16">
        <f t="shared" si="4"/>
        <v>-23.2595</v>
      </c>
      <c r="L904" s="19">
        <f t="shared" si="5"/>
        <v>-0.01182365799</v>
      </c>
      <c r="M904" s="16">
        <f t="shared" si="6"/>
        <v>1943.9405</v>
      </c>
      <c r="N904" s="20"/>
    </row>
    <row r="905">
      <c r="A905" s="22"/>
      <c r="B905" s="23" t="s">
        <v>1703</v>
      </c>
      <c r="C905" s="25" t="s">
        <v>1704</v>
      </c>
      <c r="D905" s="25">
        <v>395.0</v>
      </c>
      <c r="E905" s="16">
        <f t="shared" si="1"/>
        <v>27.255</v>
      </c>
      <c r="F905" s="16">
        <f t="shared" si="2"/>
        <v>8.4925</v>
      </c>
      <c r="G905" s="26">
        <v>270.73</v>
      </c>
      <c r="H905" s="27">
        <v>0.1</v>
      </c>
      <c r="I905" s="28">
        <f t="shared" si="22"/>
        <v>39.5</v>
      </c>
      <c r="J905" s="25">
        <v>52.5</v>
      </c>
      <c r="K905" s="16">
        <f t="shared" si="4"/>
        <v>-3.4775</v>
      </c>
      <c r="L905" s="19">
        <f t="shared" si="5"/>
        <v>-0.01284490082</v>
      </c>
      <c r="M905" s="16">
        <f t="shared" si="6"/>
        <v>267.2525</v>
      </c>
      <c r="N905" s="20"/>
    </row>
    <row r="906">
      <c r="A906" s="22"/>
      <c r="B906" s="39" t="s">
        <v>1705</v>
      </c>
      <c r="C906" s="25" t="s">
        <v>1706</v>
      </c>
      <c r="D906" s="25">
        <v>799.0</v>
      </c>
      <c r="E906" s="16">
        <f t="shared" si="1"/>
        <v>55.131</v>
      </c>
      <c r="F906" s="16">
        <f t="shared" si="2"/>
        <v>17.1785</v>
      </c>
      <c r="G906" s="26">
        <v>437.31</v>
      </c>
      <c r="H906" s="27">
        <v>0.1</v>
      </c>
      <c r="I906" s="28">
        <f t="shared" si="22"/>
        <v>79.9</v>
      </c>
      <c r="J906" s="25">
        <v>65.0</v>
      </c>
      <c r="K906" s="16">
        <f t="shared" si="4"/>
        <v>144.4805</v>
      </c>
      <c r="L906" s="19">
        <f t="shared" si="5"/>
        <v>0.3303846242</v>
      </c>
      <c r="M906" s="16">
        <f t="shared" si="6"/>
        <v>581.7905</v>
      </c>
      <c r="N906" s="20"/>
    </row>
    <row r="907">
      <c r="A907" s="22"/>
      <c r="B907" s="23" t="s">
        <v>1707</v>
      </c>
      <c r="C907" s="25" t="s">
        <v>1706</v>
      </c>
      <c r="D907" s="25">
        <v>699.0</v>
      </c>
      <c r="E907" s="16">
        <f t="shared" si="1"/>
        <v>48.231</v>
      </c>
      <c r="F907" s="16">
        <f t="shared" si="2"/>
        <v>15.0285</v>
      </c>
      <c r="G907" s="26">
        <v>437.31</v>
      </c>
      <c r="H907" s="27">
        <v>0.1</v>
      </c>
      <c r="I907" s="28">
        <f t="shared" si="22"/>
        <v>69.9</v>
      </c>
      <c r="J907" s="25">
        <v>65.0</v>
      </c>
      <c r="K907" s="16">
        <f t="shared" si="4"/>
        <v>63.5305</v>
      </c>
      <c r="L907" s="19">
        <f t="shared" si="5"/>
        <v>0.1452756626</v>
      </c>
      <c r="M907" s="16">
        <f t="shared" si="6"/>
        <v>500.8405</v>
      </c>
      <c r="N907" s="20"/>
    </row>
    <row r="908">
      <c r="A908" s="22"/>
      <c r="B908" s="23" t="s">
        <v>1708</v>
      </c>
      <c r="C908" s="25" t="s">
        <v>1709</v>
      </c>
      <c r="D908" s="25">
        <v>899.0</v>
      </c>
      <c r="E908" s="16">
        <f t="shared" si="1"/>
        <v>62.031</v>
      </c>
      <c r="F908" s="16">
        <f t="shared" si="2"/>
        <v>19.3285</v>
      </c>
      <c r="G908" s="26">
        <v>630.0</v>
      </c>
      <c r="H908" s="27">
        <v>0.1</v>
      </c>
      <c r="I908" s="28">
        <f t="shared" si="22"/>
        <v>89.9</v>
      </c>
      <c r="J908" s="25">
        <v>73.0</v>
      </c>
      <c r="K908" s="16">
        <f t="shared" si="4"/>
        <v>24.7405</v>
      </c>
      <c r="L908" s="19">
        <f t="shared" si="5"/>
        <v>0.03927063492</v>
      </c>
      <c r="M908" s="16">
        <f t="shared" si="6"/>
        <v>654.7405</v>
      </c>
      <c r="N908" s="20"/>
    </row>
    <row r="909">
      <c r="A909" s="22"/>
      <c r="B909" s="23" t="s">
        <v>1710</v>
      </c>
      <c r="C909" s="25" t="s">
        <v>1711</v>
      </c>
      <c r="D909" s="25">
        <v>760.0</v>
      </c>
      <c r="E909" s="16">
        <f t="shared" si="1"/>
        <v>52.44</v>
      </c>
      <c r="F909" s="16">
        <f t="shared" si="2"/>
        <v>16.34</v>
      </c>
      <c r="G909" s="26">
        <v>617.87</v>
      </c>
      <c r="H909" s="27">
        <v>0.1</v>
      </c>
      <c r="I909" s="28">
        <f t="shared" si="22"/>
        <v>76</v>
      </c>
      <c r="J909" s="25">
        <v>70.0</v>
      </c>
      <c r="K909" s="16">
        <f t="shared" si="4"/>
        <v>-72.65</v>
      </c>
      <c r="L909" s="19">
        <f t="shared" si="5"/>
        <v>-0.1175813682</v>
      </c>
      <c r="M909" s="16">
        <f t="shared" si="6"/>
        <v>545.22</v>
      </c>
      <c r="N909" s="20"/>
    </row>
    <row r="910">
      <c r="A910" s="22"/>
      <c r="B910" s="23" t="s">
        <v>1712</v>
      </c>
      <c r="C910" s="25" t="s">
        <v>1713</v>
      </c>
      <c r="D910" s="25">
        <v>249.0</v>
      </c>
      <c r="E910" s="16">
        <f t="shared" si="1"/>
        <v>17.181</v>
      </c>
      <c r="F910" s="16">
        <f t="shared" si="2"/>
        <v>5.3535</v>
      </c>
      <c r="G910" s="26">
        <v>170.0</v>
      </c>
      <c r="H910" s="27">
        <v>0.1</v>
      </c>
      <c r="I910" s="28">
        <f t="shared" si="22"/>
        <v>24.9</v>
      </c>
      <c r="J910" s="25">
        <v>30.0</v>
      </c>
      <c r="K910" s="16">
        <f t="shared" si="4"/>
        <v>1.5655</v>
      </c>
      <c r="L910" s="19">
        <f t="shared" si="5"/>
        <v>0.009208823529</v>
      </c>
      <c r="M910" s="16">
        <f t="shared" si="6"/>
        <v>171.5655</v>
      </c>
      <c r="N910" s="20"/>
    </row>
    <row r="911">
      <c r="A911" s="22"/>
      <c r="B911" s="23" t="s">
        <v>1714</v>
      </c>
      <c r="C911" s="25" t="s">
        <v>1715</v>
      </c>
      <c r="D911" s="25">
        <v>4999.0</v>
      </c>
      <c r="E911" s="16">
        <f t="shared" si="1"/>
        <v>344.931</v>
      </c>
      <c r="F911" s="16">
        <f t="shared" si="2"/>
        <v>107.4785</v>
      </c>
      <c r="G911" s="26">
        <v>3740.19</v>
      </c>
      <c r="H911" s="27">
        <v>0.145</v>
      </c>
      <c r="I911" s="28">
        <f t="shared" si="22"/>
        <v>724.855</v>
      </c>
      <c r="J911" s="25">
        <v>114.0</v>
      </c>
      <c r="K911" s="16">
        <f t="shared" si="4"/>
        <v>-32.4545</v>
      </c>
      <c r="L911" s="19">
        <f t="shared" si="5"/>
        <v>-0.008677232975</v>
      </c>
      <c r="M911" s="16">
        <f t="shared" si="6"/>
        <v>3707.7355</v>
      </c>
      <c r="N911" s="20"/>
    </row>
    <row r="912">
      <c r="A912" s="22"/>
      <c r="B912" s="23" t="s">
        <v>1716</v>
      </c>
      <c r="C912" s="25" t="s">
        <v>1520</v>
      </c>
      <c r="D912" s="25">
        <v>4699.0</v>
      </c>
      <c r="E912" s="16">
        <f t="shared" si="1"/>
        <v>324.231</v>
      </c>
      <c r="F912" s="16">
        <f t="shared" si="2"/>
        <v>101.0285</v>
      </c>
      <c r="G912" s="26">
        <v>3569.2</v>
      </c>
      <c r="H912" s="27">
        <v>0.145</v>
      </c>
      <c r="I912" s="28">
        <f t="shared" si="22"/>
        <v>681.355</v>
      </c>
      <c r="J912" s="25">
        <v>73.0</v>
      </c>
      <c r="K912" s="16">
        <f t="shared" si="4"/>
        <v>-49.8145</v>
      </c>
      <c r="L912" s="19">
        <f t="shared" si="5"/>
        <v>-0.01395676902</v>
      </c>
      <c r="M912" s="16">
        <f t="shared" si="6"/>
        <v>3519.3855</v>
      </c>
      <c r="N912" s="20"/>
    </row>
    <row r="913">
      <c r="A913" s="22"/>
      <c r="B913" s="23" t="s">
        <v>1717</v>
      </c>
      <c r="C913" s="25" t="s">
        <v>1718</v>
      </c>
      <c r="D913" s="25">
        <v>4766.0</v>
      </c>
      <c r="E913" s="16">
        <f t="shared" si="1"/>
        <v>328.854</v>
      </c>
      <c r="F913" s="16">
        <f t="shared" si="2"/>
        <v>102.469</v>
      </c>
      <c r="G913" s="26">
        <v>3740.19</v>
      </c>
      <c r="H913" s="27">
        <v>0.145</v>
      </c>
      <c r="I913" s="28">
        <f t="shared" si="22"/>
        <v>691.07</v>
      </c>
      <c r="J913" s="25">
        <v>73.0</v>
      </c>
      <c r="K913" s="16">
        <f t="shared" si="4"/>
        <v>-169.583</v>
      </c>
      <c r="L913" s="19">
        <f t="shared" si="5"/>
        <v>-0.04534074472</v>
      </c>
      <c r="M913" s="16">
        <f t="shared" si="6"/>
        <v>3570.607</v>
      </c>
      <c r="N913" s="20"/>
    </row>
    <row r="914">
      <c r="A914" s="22"/>
      <c r="B914" s="23" t="s">
        <v>1719</v>
      </c>
      <c r="C914" s="25" t="s">
        <v>1718</v>
      </c>
      <c r="D914" s="25">
        <v>4999.0</v>
      </c>
      <c r="E914" s="16">
        <f t="shared" si="1"/>
        <v>344.931</v>
      </c>
      <c r="F914" s="16">
        <f t="shared" si="2"/>
        <v>107.4785</v>
      </c>
      <c r="G914" s="26">
        <v>3740.19</v>
      </c>
      <c r="H914" s="27">
        <v>0.145</v>
      </c>
      <c r="I914" s="28">
        <f t="shared" si="22"/>
        <v>724.855</v>
      </c>
      <c r="J914" s="25">
        <v>73.0</v>
      </c>
      <c r="K914" s="16">
        <f t="shared" si="4"/>
        <v>8.5455</v>
      </c>
      <c r="L914" s="19">
        <f t="shared" si="5"/>
        <v>0.002284776977</v>
      </c>
      <c r="M914" s="16">
        <f t="shared" si="6"/>
        <v>3748.7355</v>
      </c>
      <c r="N914" s="20"/>
    </row>
    <row r="915">
      <c r="A915" s="22"/>
      <c r="B915" s="23" t="s">
        <v>1720</v>
      </c>
      <c r="C915" s="25" t="s">
        <v>1721</v>
      </c>
      <c r="D915" s="25">
        <v>291.0</v>
      </c>
      <c r="E915" s="16">
        <f t="shared" si="1"/>
        <v>20.079</v>
      </c>
      <c r="F915" s="16">
        <f t="shared" si="2"/>
        <v>6.2565</v>
      </c>
      <c r="G915" s="26">
        <v>150.0</v>
      </c>
      <c r="H915" s="27">
        <v>0.1</v>
      </c>
      <c r="I915" s="28">
        <f t="shared" si="22"/>
        <v>29.1</v>
      </c>
      <c r="J915" s="25">
        <v>29.0</v>
      </c>
      <c r="K915" s="16">
        <f t="shared" si="4"/>
        <v>56.5645</v>
      </c>
      <c r="L915" s="19">
        <f t="shared" si="5"/>
        <v>0.3770966667</v>
      </c>
      <c r="M915" s="16">
        <f t="shared" si="6"/>
        <v>206.5645</v>
      </c>
      <c r="N915" s="20"/>
    </row>
    <row r="916">
      <c r="A916" s="22"/>
      <c r="B916" s="23" t="s">
        <v>1722</v>
      </c>
      <c r="C916" s="25" t="s">
        <v>1723</v>
      </c>
      <c r="D916" s="25">
        <v>1844.0</v>
      </c>
      <c r="E916" s="16">
        <f t="shared" si="1"/>
        <v>127.236</v>
      </c>
      <c r="F916" s="16">
        <f t="shared" si="2"/>
        <v>39.646</v>
      </c>
      <c r="G916" s="26">
        <v>700.0</v>
      </c>
      <c r="H916" s="27">
        <v>0.1</v>
      </c>
      <c r="I916" s="28">
        <f t="shared" si="22"/>
        <v>184.4</v>
      </c>
      <c r="J916" s="25">
        <v>65.0</v>
      </c>
      <c r="K916" s="16">
        <f t="shared" si="4"/>
        <v>727.718</v>
      </c>
      <c r="L916" s="19">
        <f t="shared" si="5"/>
        <v>1.039597143</v>
      </c>
      <c r="M916" s="16">
        <f t="shared" si="6"/>
        <v>1427.718</v>
      </c>
      <c r="N916" s="20"/>
    </row>
    <row r="917">
      <c r="A917" s="22"/>
      <c r="B917" s="23" t="s">
        <v>1724</v>
      </c>
      <c r="C917" s="25" t="s">
        <v>1725</v>
      </c>
      <c r="D917" s="25">
        <v>1029.0</v>
      </c>
      <c r="E917" s="16">
        <f t="shared" si="1"/>
        <v>71.001</v>
      </c>
      <c r="F917" s="16">
        <f t="shared" si="2"/>
        <v>22.1235</v>
      </c>
      <c r="G917" s="26">
        <v>777.51</v>
      </c>
      <c r="H917" s="27">
        <v>0.1</v>
      </c>
      <c r="I917" s="28">
        <f t="shared" si="22"/>
        <v>102.9</v>
      </c>
      <c r="J917" s="25">
        <v>65.0</v>
      </c>
      <c r="K917" s="16">
        <f t="shared" si="4"/>
        <v>-9.5345</v>
      </c>
      <c r="L917" s="19">
        <f t="shared" si="5"/>
        <v>-0.01226286479</v>
      </c>
      <c r="M917" s="16">
        <f t="shared" si="6"/>
        <v>767.9755</v>
      </c>
      <c r="N917" s="20"/>
    </row>
    <row r="918">
      <c r="A918" s="22"/>
      <c r="B918" s="23" t="s">
        <v>1726</v>
      </c>
      <c r="C918" s="25" t="s">
        <v>1727</v>
      </c>
      <c r="D918" s="25">
        <v>1299.0</v>
      </c>
      <c r="E918" s="16">
        <f t="shared" si="1"/>
        <v>89.631</v>
      </c>
      <c r="F918" s="16">
        <f t="shared" si="2"/>
        <v>27.9285</v>
      </c>
      <c r="G918" s="26">
        <v>943.8</v>
      </c>
      <c r="H918" s="27">
        <v>0.145</v>
      </c>
      <c r="I918" s="28">
        <f t="shared" si="22"/>
        <v>188.355</v>
      </c>
      <c r="J918" s="25">
        <v>65.0</v>
      </c>
      <c r="K918" s="16">
        <f t="shared" si="4"/>
        <v>-15.7145</v>
      </c>
      <c r="L918" s="19">
        <f t="shared" si="5"/>
        <v>-0.0166502437</v>
      </c>
      <c r="M918" s="16">
        <f t="shared" si="6"/>
        <v>928.0855</v>
      </c>
      <c r="N918" s="20"/>
    </row>
    <row r="919">
      <c r="A919" s="22"/>
      <c r="B919" s="39" t="s">
        <v>1728</v>
      </c>
      <c r="C919" s="25" t="s">
        <v>1727</v>
      </c>
      <c r="D919" s="25">
        <v>1227.0</v>
      </c>
      <c r="E919" s="16">
        <f t="shared" si="1"/>
        <v>84.663</v>
      </c>
      <c r="F919" s="16">
        <f t="shared" si="2"/>
        <v>26.3805</v>
      </c>
      <c r="G919" s="26">
        <v>943.8</v>
      </c>
      <c r="H919" s="27">
        <v>0.145</v>
      </c>
      <c r="I919" s="28">
        <f t="shared" si="22"/>
        <v>177.915</v>
      </c>
      <c r="J919" s="25">
        <v>65.0</v>
      </c>
      <c r="K919" s="16">
        <f t="shared" si="4"/>
        <v>-70.7585</v>
      </c>
      <c r="L919" s="19">
        <f t="shared" si="5"/>
        <v>-0.07497192202</v>
      </c>
      <c r="M919" s="16">
        <f t="shared" si="6"/>
        <v>873.0415</v>
      </c>
      <c r="N919" s="20"/>
    </row>
    <row r="920">
      <c r="A920" s="22"/>
      <c r="B920" s="23" t="s">
        <v>1729</v>
      </c>
      <c r="C920" s="25" t="s">
        <v>1730</v>
      </c>
      <c r="D920" s="25">
        <v>689.0</v>
      </c>
      <c r="E920" s="16">
        <f t="shared" si="1"/>
        <v>47.541</v>
      </c>
      <c r="F920" s="16">
        <f t="shared" si="2"/>
        <v>14.8135</v>
      </c>
      <c r="G920" s="26">
        <v>509.22</v>
      </c>
      <c r="H920" s="27">
        <v>0.1</v>
      </c>
      <c r="I920" s="28">
        <f t="shared" si="22"/>
        <v>68.9</v>
      </c>
      <c r="J920" s="25">
        <v>65.0</v>
      </c>
      <c r="K920" s="16">
        <f t="shared" si="4"/>
        <v>-16.4745</v>
      </c>
      <c r="L920" s="19">
        <f t="shared" si="5"/>
        <v>-0.03235242135</v>
      </c>
      <c r="M920" s="16">
        <f t="shared" si="6"/>
        <v>492.7455</v>
      </c>
      <c r="N920" s="20"/>
    </row>
    <row r="921">
      <c r="A921" s="22"/>
      <c r="B921" s="23" t="s">
        <v>1731</v>
      </c>
      <c r="C921" s="25" t="s">
        <v>1732</v>
      </c>
      <c r="D921" s="25">
        <v>710.0</v>
      </c>
      <c r="E921" s="16">
        <f t="shared" si="1"/>
        <v>48.99</v>
      </c>
      <c r="F921" s="16">
        <f t="shared" si="2"/>
        <v>15.265</v>
      </c>
      <c r="G921" s="26">
        <v>509.22</v>
      </c>
      <c r="H921" s="27">
        <v>0.1</v>
      </c>
      <c r="I921" s="28">
        <f t="shared" si="22"/>
        <v>71</v>
      </c>
      <c r="J921" s="25">
        <v>65.0</v>
      </c>
      <c r="K921" s="16">
        <f t="shared" si="4"/>
        <v>0.525</v>
      </c>
      <c r="L921" s="19">
        <f t="shared" si="5"/>
        <v>0.001030988571</v>
      </c>
      <c r="M921" s="16">
        <f t="shared" si="6"/>
        <v>509.745</v>
      </c>
      <c r="N921" s="20"/>
    </row>
    <row r="922">
      <c r="A922" s="22"/>
      <c r="B922" s="23" t="s">
        <v>1733</v>
      </c>
      <c r="C922" s="25" t="s">
        <v>1734</v>
      </c>
      <c r="D922" s="25">
        <v>658.0</v>
      </c>
      <c r="E922" s="16">
        <f t="shared" si="1"/>
        <v>45.402</v>
      </c>
      <c r="F922" s="16">
        <f t="shared" si="2"/>
        <v>14.147</v>
      </c>
      <c r="G922" s="26">
        <v>509.22</v>
      </c>
      <c r="H922" s="27">
        <v>0.1</v>
      </c>
      <c r="I922" s="28">
        <f t="shared" si="22"/>
        <v>65.8</v>
      </c>
      <c r="J922" s="25">
        <v>65.0</v>
      </c>
      <c r="K922" s="16">
        <f t="shared" si="4"/>
        <v>-41.569</v>
      </c>
      <c r="L922" s="19">
        <f t="shared" si="5"/>
        <v>-0.08163269314</v>
      </c>
      <c r="M922" s="16">
        <f t="shared" si="6"/>
        <v>467.651</v>
      </c>
      <c r="N922" s="20"/>
    </row>
    <row r="923">
      <c r="A923" s="22"/>
      <c r="B923" s="23" t="s">
        <v>1735</v>
      </c>
      <c r="C923" s="25" t="s">
        <v>1736</v>
      </c>
      <c r="D923" s="25">
        <v>120.0</v>
      </c>
      <c r="E923" s="16">
        <f t="shared" si="1"/>
        <v>8.28</v>
      </c>
      <c r="F923" s="16">
        <f t="shared" si="2"/>
        <v>2.58</v>
      </c>
      <c r="G923" s="26">
        <v>78.0</v>
      </c>
      <c r="H923" s="27">
        <v>0.145</v>
      </c>
      <c r="I923" s="28">
        <f t="shared" si="22"/>
        <v>17.4</v>
      </c>
      <c r="J923" s="25">
        <v>37.0</v>
      </c>
      <c r="K923" s="16">
        <f t="shared" si="4"/>
        <v>-23.26</v>
      </c>
      <c r="L923" s="19">
        <f t="shared" si="5"/>
        <v>-0.2982051282</v>
      </c>
      <c r="M923" s="16">
        <f t="shared" si="6"/>
        <v>54.74</v>
      </c>
      <c r="N923" s="20"/>
    </row>
    <row r="924">
      <c r="A924" s="22"/>
      <c r="B924" s="23" t="s">
        <v>1737</v>
      </c>
      <c r="C924" s="25" t="s">
        <v>1738</v>
      </c>
      <c r="D924" s="25">
        <v>2799.0</v>
      </c>
      <c r="E924" s="16">
        <f t="shared" si="1"/>
        <v>193.131</v>
      </c>
      <c r="F924" s="16">
        <f t="shared" si="2"/>
        <v>60.1785</v>
      </c>
      <c r="G924" s="26">
        <v>2063.21</v>
      </c>
      <c r="H924" s="27">
        <v>0.145</v>
      </c>
      <c r="I924" s="28">
        <f t="shared" si="22"/>
        <v>405.855</v>
      </c>
      <c r="J924" s="25">
        <v>65.0</v>
      </c>
      <c r="K924" s="16">
        <f t="shared" si="4"/>
        <v>11.6255</v>
      </c>
      <c r="L924" s="19">
        <f t="shared" si="5"/>
        <v>0.005634666369</v>
      </c>
      <c r="M924" s="16">
        <f t="shared" si="6"/>
        <v>2074.8355</v>
      </c>
      <c r="N924" s="20"/>
    </row>
    <row r="925">
      <c r="A925" s="22"/>
      <c r="B925" s="23" t="s">
        <v>1739</v>
      </c>
      <c r="C925" s="25" t="s">
        <v>1740</v>
      </c>
      <c r="D925" s="25">
        <v>6999.0</v>
      </c>
      <c r="E925" s="16">
        <f t="shared" si="1"/>
        <v>482.931</v>
      </c>
      <c r="F925" s="16">
        <f t="shared" si="2"/>
        <v>150.4785</v>
      </c>
      <c r="G925" s="26">
        <v>6220.2</v>
      </c>
      <c r="H925" s="27">
        <v>0.15</v>
      </c>
      <c r="I925" s="28">
        <f t="shared" si="22"/>
        <v>1049.85</v>
      </c>
      <c r="J925" s="25">
        <v>110.0</v>
      </c>
      <c r="K925" s="16">
        <f t="shared" si="4"/>
        <v>-1014.4595</v>
      </c>
      <c r="L925" s="19">
        <f t="shared" si="5"/>
        <v>-0.1630911385</v>
      </c>
      <c r="M925" s="16">
        <f t="shared" si="6"/>
        <v>5205.7405</v>
      </c>
      <c r="N925" s="20"/>
    </row>
    <row r="926">
      <c r="A926" s="22"/>
      <c r="B926" s="23" t="s">
        <v>1741</v>
      </c>
      <c r="C926" s="25" t="s">
        <v>1742</v>
      </c>
      <c r="D926" s="25">
        <v>1479.0</v>
      </c>
      <c r="E926" s="16">
        <f t="shared" si="1"/>
        <v>102.051</v>
      </c>
      <c r="F926" s="16">
        <f t="shared" si="2"/>
        <v>31.7985</v>
      </c>
      <c r="G926" s="35">
        <v>1375.1751875968673</v>
      </c>
      <c r="H926" s="27">
        <v>0.1</v>
      </c>
      <c r="I926" s="28">
        <f t="shared" si="22"/>
        <v>147.9</v>
      </c>
      <c r="J926" s="25">
        <v>65.0</v>
      </c>
      <c r="K926" s="16">
        <f t="shared" si="4"/>
        <v>-242.9246876</v>
      </c>
      <c r="L926" s="19">
        <f t="shared" si="5"/>
        <v>-0.1766499932</v>
      </c>
      <c r="M926" s="16">
        <f t="shared" si="6"/>
        <v>1132.2505</v>
      </c>
      <c r="N926" s="20"/>
    </row>
    <row r="927">
      <c r="A927" s="22"/>
      <c r="B927" s="39" t="s">
        <v>1743</v>
      </c>
      <c r="C927" s="25" t="s">
        <v>1742</v>
      </c>
      <c r="D927" s="25">
        <v>1999.0</v>
      </c>
      <c r="E927" s="16">
        <f t="shared" si="1"/>
        <v>137.931</v>
      </c>
      <c r="F927" s="16">
        <f t="shared" si="2"/>
        <v>42.9785</v>
      </c>
      <c r="G927" s="35">
        <v>1375.1751875968673</v>
      </c>
      <c r="H927" s="27">
        <v>0.1</v>
      </c>
      <c r="I927" s="28">
        <f t="shared" si="22"/>
        <v>199.9</v>
      </c>
      <c r="J927" s="25">
        <v>65.0</v>
      </c>
      <c r="K927" s="16">
        <f t="shared" si="4"/>
        <v>178.0153124</v>
      </c>
      <c r="L927" s="19">
        <f t="shared" si="5"/>
        <v>0.1294491887</v>
      </c>
      <c r="M927" s="16">
        <f t="shared" si="6"/>
        <v>1553.1905</v>
      </c>
      <c r="N927" s="20"/>
    </row>
    <row r="928">
      <c r="A928" s="22"/>
      <c r="B928" s="23" t="s">
        <v>1744</v>
      </c>
      <c r="C928" s="25" t="s">
        <v>703</v>
      </c>
      <c r="D928" s="25">
        <v>799.0</v>
      </c>
      <c r="E928" s="16">
        <f t="shared" si="1"/>
        <v>55.131</v>
      </c>
      <c r="F928" s="16">
        <f t="shared" si="2"/>
        <v>17.1785</v>
      </c>
      <c r="G928" s="26">
        <v>539.17</v>
      </c>
      <c r="H928" s="27">
        <v>0.1</v>
      </c>
      <c r="I928" s="28">
        <f t="shared" si="22"/>
        <v>79.9</v>
      </c>
      <c r="J928" s="25">
        <v>65.0</v>
      </c>
      <c r="K928" s="16">
        <f t="shared" si="4"/>
        <v>42.6205</v>
      </c>
      <c r="L928" s="19">
        <f t="shared" si="5"/>
        <v>0.0790483521</v>
      </c>
      <c r="M928" s="16">
        <f t="shared" si="6"/>
        <v>581.7905</v>
      </c>
      <c r="N928" s="20"/>
    </row>
    <row r="929">
      <c r="A929" s="22"/>
      <c r="B929" s="23" t="s">
        <v>1745</v>
      </c>
      <c r="C929" s="25" t="s">
        <v>1746</v>
      </c>
      <c r="D929" s="25">
        <v>17999.0</v>
      </c>
      <c r="E929" s="16">
        <f t="shared" si="1"/>
        <v>1241.931</v>
      </c>
      <c r="F929" s="16">
        <f t="shared" si="2"/>
        <v>386.9785</v>
      </c>
      <c r="G929" s="26">
        <v>14189.96</v>
      </c>
      <c r="H929" s="27">
        <v>0.145</v>
      </c>
      <c r="I929" s="28">
        <f t="shared" si="22"/>
        <v>2609.855</v>
      </c>
      <c r="J929" s="25">
        <v>426.0</v>
      </c>
      <c r="K929" s="16">
        <f t="shared" si="4"/>
        <v>-855.7245</v>
      </c>
      <c r="L929" s="19">
        <f t="shared" si="5"/>
        <v>-0.06030492686</v>
      </c>
      <c r="M929" s="16">
        <f t="shared" si="6"/>
        <v>13334.2355</v>
      </c>
      <c r="N929" s="20"/>
    </row>
    <row r="930">
      <c r="A930" s="22"/>
      <c r="B930" s="23" t="s">
        <v>1747</v>
      </c>
      <c r="C930" s="25" t="s">
        <v>1748</v>
      </c>
      <c r="D930" s="25">
        <v>749.0</v>
      </c>
      <c r="E930" s="16">
        <f t="shared" si="1"/>
        <v>51.681</v>
      </c>
      <c r="F930" s="16">
        <f t="shared" si="2"/>
        <v>16.1035</v>
      </c>
      <c r="G930" s="26">
        <v>509.79</v>
      </c>
      <c r="H930" s="27">
        <v>0.145</v>
      </c>
      <c r="I930" s="28">
        <f t="shared" si="22"/>
        <v>108.605</v>
      </c>
      <c r="J930" s="25">
        <v>72.0</v>
      </c>
      <c r="K930" s="16">
        <f t="shared" si="4"/>
        <v>-9.1795</v>
      </c>
      <c r="L930" s="19">
        <f t="shared" si="5"/>
        <v>-0.01800643402</v>
      </c>
      <c r="M930" s="16">
        <f t="shared" si="6"/>
        <v>500.6105</v>
      </c>
      <c r="N930" s="20"/>
    </row>
    <row r="931">
      <c r="A931" s="22"/>
      <c r="B931" s="23" t="s">
        <v>1749</v>
      </c>
      <c r="C931" s="24"/>
      <c r="D931" s="25">
        <v>2899.0</v>
      </c>
      <c r="E931" s="16">
        <f t="shared" si="1"/>
        <v>200.031</v>
      </c>
      <c r="F931" s="16">
        <f t="shared" si="2"/>
        <v>62.3285</v>
      </c>
      <c r="G931" s="26">
        <v>2287.62</v>
      </c>
      <c r="H931" s="27">
        <v>0.1</v>
      </c>
      <c r="I931" s="28">
        <f t="shared" si="22"/>
        <v>289.9</v>
      </c>
      <c r="J931" s="25">
        <v>79.0</v>
      </c>
      <c r="K931" s="16">
        <f t="shared" si="4"/>
        <v>-19.8795</v>
      </c>
      <c r="L931" s="19">
        <f t="shared" si="5"/>
        <v>-0.008690035933</v>
      </c>
      <c r="M931" s="16">
        <f t="shared" si="6"/>
        <v>2267.7405</v>
      </c>
      <c r="N931" s="20"/>
    </row>
    <row r="932">
      <c r="A932" s="22"/>
      <c r="B932" s="23" t="s">
        <v>1750</v>
      </c>
      <c r="C932" s="25" t="s">
        <v>1751</v>
      </c>
      <c r="D932" s="25">
        <v>1959.0</v>
      </c>
      <c r="E932" s="16">
        <f t="shared" si="1"/>
        <v>135.171</v>
      </c>
      <c r="F932" s="16">
        <f t="shared" si="2"/>
        <v>42.1185</v>
      </c>
      <c r="G932" s="26">
        <v>1576.56</v>
      </c>
      <c r="H932" s="27">
        <v>0.1</v>
      </c>
      <c r="I932" s="28">
        <f t="shared" si="22"/>
        <v>195.9</v>
      </c>
      <c r="J932" s="25">
        <v>65.0</v>
      </c>
      <c r="K932" s="16">
        <f t="shared" si="4"/>
        <v>-55.7495</v>
      </c>
      <c r="L932" s="19">
        <f t="shared" si="5"/>
        <v>-0.03536148323</v>
      </c>
      <c r="M932" s="16">
        <f t="shared" si="6"/>
        <v>1520.8105</v>
      </c>
      <c r="N932" s="20"/>
    </row>
    <row r="933">
      <c r="A933" s="22"/>
      <c r="B933" s="23" t="s">
        <v>1752</v>
      </c>
      <c r="C933" s="24"/>
      <c r="D933" s="24"/>
      <c r="E933" s="16">
        <f t="shared" si="1"/>
        <v>0</v>
      </c>
      <c r="F933" s="16">
        <f t="shared" si="2"/>
        <v>0</v>
      </c>
      <c r="G933" s="26">
        <v>3256.0</v>
      </c>
      <c r="H933" s="43"/>
      <c r="I933" s="28"/>
      <c r="J933" s="24"/>
      <c r="K933" s="16">
        <f t="shared" si="4"/>
        <v>-3256</v>
      </c>
      <c r="L933" s="19">
        <f t="shared" si="5"/>
        <v>-1</v>
      </c>
      <c r="M933" s="16">
        <f t="shared" si="6"/>
        <v>0</v>
      </c>
      <c r="N933" s="20"/>
    </row>
    <row r="934">
      <c r="A934" s="22"/>
      <c r="B934" s="23" t="s">
        <v>1753</v>
      </c>
      <c r="C934" s="24"/>
      <c r="D934" s="25">
        <v>799.0</v>
      </c>
      <c r="E934" s="16">
        <f t="shared" si="1"/>
        <v>55.131</v>
      </c>
      <c r="F934" s="16">
        <f t="shared" si="2"/>
        <v>17.1785</v>
      </c>
      <c r="G934" s="26">
        <v>550.0</v>
      </c>
      <c r="H934" s="27">
        <v>0.135</v>
      </c>
      <c r="I934" s="28">
        <f t="shared" ref="I934:I979" si="23">H934*D934</f>
        <v>107.865</v>
      </c>
      <c r="J934" s="25">
        <v>70.0</v>
      </c>
      <c r="K934" s="16">
        <f t="shared" si="4"/>
        <v>-1.1745</v>
      </c>
      <c r="L934" s="19">
        <f t="shared" si="5"/>
        <v>-0.002135454545</v>
      </c>
      <c r="M934" s="16">
        <f t="shared" si="6"/>
        <v>548.8255</v>
      </c>
      <c r="N934" s="20"/>
    </row>
    <row r="935">
      <c r="A935" s="22"/>
      <c r="B935" s="23" t="s">
        <v>1754</v>
      </c>
      <c r="C935" s="24"/>
      <c r="D935" s="25">
        <v>799.0</v>
      </c>
      <c r="E935" s="16">
        <f t="shared" si="1"/>
        <v>55.131</v>
      </c>
      <c r="F935" s="16">
        <f t="shared" si="2"/>
        <v>17.1785</v>
      </c>
      <c r="G935" s="26">
        <v>509.79</v>
      </c>
      <c r="H935" s="27">
        <v>0.1</v>
      </c>
      <c r="I935" s="28">
        <f t="shared" si="23"/>
        <v>79.9</v>
      </c>
      <c r="J935" s="25">
        <v>74.0</v>
      </c>
      <c r="K935" s="16">
        <f t="shared" si="4"/>
        <v>63.0005</v>
      </c>
      <c r="L935" s="19">
        <f t="shared" si="5"/>
        <v>0.1235812786</v>
      </c>
      <c r="M935" s="16">
        <f t="shared" si="6"/>
        <v>572.7905</v>
      </c>
      <c r="N935" s="20"/>
    </row>
    <row r="936">
      <c r="A936" s="22"/>
      <c r="B936" s="23" t="s">
        <v>1755</v>
      </c>
      <c r="C936" s="25" t="s">
        <v>1756</v>
      </c>
      <c r="D936" s="25">
        <v>999.0</v>
      </c>
      <c r="E936" s="16">
        <f t="shared" si="1"/>
        <v>68.931</v>
      </c>
      <c r="F936" s="16">
        <f t="shared" si="2"/>
        <v>21.4785</v>
      </c>
      <c r="G936" s="26">
        <v>436.14</v>
      </c>
      <c r="H936" s="27">
        <v>0.1</v>
      </c>
      <c r="I936" s="28">
        <f t="shared" si="23"/>
        <v>99.9</v>
      </c>
      <c r="J936" s="25">
        <v>65.0</v>
      </c>
      <c r="K936" s="16">
        <f t="shared" si="4"/>
        <v>307.5505</v>
      </c>
      <c r="L936" s="19">
        <f t="shared" si="5"/>
        <v>0.705164626</v>
      </c>
      <c r="M936" s="16">
        <f t="shared" si="6"/>
        <v>743.6905</v>
      </c>
      <c r="N936" s="20"/>
    </row>
    <row r="937">
      <c r="A937" s="22"/>
      <c r="B937" s="23" t="s">
        <v>1757</v>
      </c>
      <c r="C937" s="24"/>
      <c r="D937" s="25">
        <v>600.0</v>
      </c>
      <c r="E937" s="16">
        <f t="shared" si="1"/>
        <v>41.4</v>
      </c>
      <c r="F937" s="16">
        <f t="shared" si="2"/>
        <v>12.9</v>
      </c>
      <c r="G937" s="26">
        <v>436.14</v>
      </c>
      <c r="H937" s="27">
        <v>0.1</v>
      </c>
      <c r="I937" s="28">
        <f t="shared" si="23"/>
        <v>60</v>
      </c>
      <c r="J937" s="25">
        <v>65.0</v>
      </c>
      <c r="K937" s="16">
        <f t="shared" si="4"/>
        <v>-15.44</v>
      </c>
      <c r="L937" s="19">
        <f t="shared" si="5"/>
        <v>-0.03540147659</v>
      </c>
      <c r="M937" s="16">
        <f t="shared" si="6"/>
        <v>420.7</v>
      </c>
      <c r="N937" s="20"/>
    </row>
    <row r="938">
      <c r="A938" s="22"/>
      <c r="B938" s="23" t="s">
        <v>1758</v>
      </c>
      <c r="C938" s="25" t="s">
        <v>1759</v>
      </c>
      <c r="D938" s="25">
        <v>749.0</v>
      </c>
      <c r="E938" s="16">
        <f t="shared" si="1"/>
        <v>51.681</v>
      </c>
      <c r="F938" s="16">
        <f t="shared" si="2"/>
        <v>16.1035</v>
      </c>
      <c r="G938" s="26">
        <v>445.0</v>
      </c>
      <c r="H938" s="27">
        <v>0.195</v>
      </c>
      <c r="I938" s="28">
        <f t="shared" si="23"/>
        <v>146.055</v>
      </c>
      <c r="J938" s="25">
        <v>110.0</v>
      </c>
      <c r="K938" s="16">
        <f t="shared" si="4"/>
        <v>-19.8395</v>
      </c>
      <c r="L938" s="19">
        <f t="shared" si="5"/>
        <v>-0.04458314607</v>
      </c>
      <c r="M938" s="16">
        <f t="shared" si="6"/>
        <v>425.1605</v>
      </c>
      <c r="N938" s="20"/>
    </row>
    <row r="939">
      <c r="A939" s="22"/>
      <c r="B939" s="23" t="s">
        <v>1760</v>
      </c>
      <c r="C939" s="25" t="s">
        <v>1761</v>
      </c>
      <c r="D939" s="25">
        <v>4399.0</v>
      </c>
      <c r="E939" s="16">
        <f t="shared" si="1"/>
        <v>303.531</v>
      </c>
      <c r="F939" s="16">
        <f t="shared" si="2"/>
        <v>94.5785</v>
      </c>
      <c r="G939" s="26">
        <v>3479.0</v>
      </c>
      <c r="H939" s="27">
        <v>0.1</v>
      </c>
      <c r="I939" s="28">
        <f t="shared" si="23"/>
        <v>439.9</v>
      </c>
      <c r="J939" s="25">
        <v>84.0</v>
      </c>
      <c r="K939" s="16">
        <f t="shared" si="4"/>
        <v>-2.0095</v>
      </c>
      <c r="L939" s="19">
        <f t="shared" si="5"/>
        <v>-0.0005776085082</v>
      </c>
      <c r="M939" s="16">
        <f t="shared" si="6"/>
        <v>3476.9905</v>
      </c>
      <c r="N939" s="20"/>
    </row>
    <row r="940">
      <c r="A940" s="22"/>
      <c r="B940" s="23" t="s">
        <v>1762</v>
      </c>
      <c r="C940" s="25" t="s">
        <v>1763</v>
      </c>
      <c r="D940" s="25">
        <v>3487.0</v>
      </c>
      <c r="E940" s="16">
        <f t="shared" si="1"/>
        <v>240.603</v>
      </c>
      <c r="F940" s="16">
        <f t="shared" si="2"/>
        <v>74.9705</v>
      </c>
      <c r="G940" s="26">
        <v>3479.0</v>
      </c>
      <c r="H940" s="27">
        <v>0.1</v>
      </c>
      <c r="I940" s="28">
        <f t="shared" si="23"/>
        <v>348.7</v>
      </c>
      <c r="J940" s="25">
        <v>84.0</v>
      </c>
      <c r="K940" s="16">
        <f t="shared" si="4"/>
        <v>-740.2735</v>
      </c>
      <c r="L940" s="19">
        <f t="shared" si="5"/>
        <v>-0.2127834148</v>
      </c>
      <c r="M940" s="16">
        <f t="shared" si="6"/>
        <v>2738.7265</v>
      </c>
      <c r="N940" s="20"/>
    </row>
    <row r="941">
      <c r="A941" s="22"/>
      <c r="B941" s="23" t="s">
        <v>1764</v>
      </c>
      <c r="C941" s="25" t="s">
        <v>1765</v>
      </c>
      <c r="D941" s="25">
        <v>4399.0</v>
      </c>
      <c r="E941" s="16">
        <f t="shared" si="1"/>
        <v>303.531</v>
      </c>
      <c r="F941" s="16">
        <f t="shared" si="2"/>
        <v>94.5785</v>
      </c>
      <c r="G941" s="26">
        <v>3479.0</v>
      </c>
      <c r="H941" s="27">
        <v>0.1</v>
      </c>
      <c r="I941" s="28">
        <f t="shared" si="23"/>
        <v>439.9</v>
      </c>
      <c r="J941" s="25">
        <v>84.0</v>
      </c>
      <c r="K941" s="16">
        <f t="shared" si="4"/>
        <v>-2.0095</v>
      </c>
      <c r="L941" s="19">
        <f t="shared" si="5"/>
        <v>-0.0005776085082</v>
      </c>
      <c r="M941" s="16">
        <f t="shared" si="6"/>
        <v>3476.9905</v>
      </c>
      <c r="N941" s="20"/>
    </row>
    <row r="942">
      <c r="A942" s="22"/>
      <c r="B942" s="23" t="s">
        <v>1766</v>
      </c>
      <c r="C942" s="25" t="s">
        <v>1767</v>
      </c>
      <c r="D942" s="25">
        <v>4699.0</v>
      </c>
      <c r="E942" s="16">
        <f t="shared" si="1"/>
        <v>324.231</v>
      </c>
      <c r="F942" s="16">
        <f t="shared" si="2"/>
        <v>101.0285</v>
      </c>
      <c r="G942" s="26">
        <v>3779.0</v>
      </c>
      <c r="H942" s="27">
        <v>0.1</v>
      </c>
      <c r="I942" s="28">
        <f t="shared" si="23"/>
        <v>469.9</v>
      </c>
      <c r="J942" s="25">
        <v>84.0</v>
      </c>
      <c r="K942" s="16">
        <f t="shared" si="4"/>
        <v>-59.1595</v>
      </c>
      <c r="L942" s="19">
        <f t="shared" si="5"/>
        <v>-0.01565480286</v>
      </c>
      <c r="M942" s="16">
        <f t="shared" si="6"/>
        <v>3719.8405</v>
      </c>
      <c r="N942" s="20"/>
    </row>
    <row r="943">
      <c r="A943" s="22"/>
      <c r="B943" s="23" t="s">
        <v>1768</v>
      </c>
      <c r="C943" s="25" t="s">
        <v>1767</v>
      </c>
      <c r="D943" s="25">
        <v>4284.0</v>
      </c>
      <c r="E943" s="16">
        <f t="shared" si="1"/>
        <v>295.596</v>
      </c>
      <c r="F943" s="16">
        <f t="shared" si="2"/>
        <v>92.106</v>
      </c>
      <c r="G943" s="26">
        <v>3779.0</v>
      </c>
      <c r="H943" s="27">
        <v>0.1</v>
      </c>
      <c r="I943" s="28">
        <f t="shared" si="23"/>
        <v>428.4</v>
      </c>
      <c r="J943" s="25">
        <v>84.0</v>
      </c>
      <c r="K943" s="16">
        <f t="shared" si="4"/>
        <v>-395.102</v>
      </c>
      <c r="L943" s="19">
        <f t="shared" si="5"/>
        <v>-0.1045519979</v>
      </c>
      <c r="M943" s="16">
        <f t="shared" si="6"/>
        <v>3383.898</v>
      </c>
      <c r="N943" s="20"/>
    </row>
    <row r="944">
      <c r="A944" s="22"/>
      <c r="B944" s="23" t="s">
        <v>1769</v>
      </c>
      <c r="C944" s="25" t="s">
        <v>1767</v>
      </c>
      <c r="D944" s="25">
        <v>4599.0</v>
      </c>
      <c r="E944" s="16">
        <f t="shared" si="1"/>
        <v>317.331</v>
      </c>
      <c r="F944" s="16">
        <f t="shared" si="2"/>
        <v>98.8785</v>
      </c>
      <c r="G944" s="26">
        <v>3779.0</v>
      </c>
      <c r="H944" s="27">
        <v>0.1</v>
      </c>
      <c r="I944" s="28">
        <f t="shared" si="23"/>
        <v>459.9</v>
      </c>
      <c r="J944" s="25">
        <v>84.0</v>
      </c>
      <c r="K944" s="16">
        <f t="shared" si="4"/>
        <v>-140.1095</v>
      </c>
      <c r="L944" s="19">
        <f t="shared" si="5"/>
        <v>-0.03707581371</v>
      </c>
      <c r="M944" s="16">
        <f t="shared" si="6"/>
        <v>3638.8905</v>
      </c>
      <c r="N944" s="20"/>
    </row>
    <row r="945">
      <c r="A945" s="22"/>
      <c r="B945" s="23" t="s">
        <v>1770</v>
      </c>
      <c r="C945" s="25" t="s">
        <v>1771</v>
      </c>
      <c r="D945" s="25">
        <v>6699.0</v>
      </c>
      <c r="E945" s="16">
        <f t="shared" si="1"/>
        <v>462.231</v>
      </c>
      <c r="F945" s="16">
        <f t="shared" si="2"/>
        <v>144.0285</v>
      </c>
      <c r="G945" s="26">
        <v>5399.0</v>
      </c>
      <c r="H945" s="27">
        <v>0.1</v>
      </c>
      <c r="I945" s="28">
        <f t="shared" si="23"/>
        <v>669.9</v>
      </c>
      <c r="J945" s="25">
        <v>84.0</v>
      </c>
      <c r="K945" s="16">
        <f t="shared" si="4"/>
        <v>-60.1595</v>
      </c>
      <c r="L945" s="19">
        <f t="shared" si="5"/>
        <v>-0.01114271161</v>
      </c>
      <c r="M945" s="16">
        <f t="shared" si="6"/>
        <v>5338.8405</v>
      </c>
      <c r="N945" s="20"/>
    </row>
    <row r="946">
      <c r="A946" s="22"/>
      <c r="B946" s="23" t="s">
        <v>1772</v>
      </c>
      <c r="C946" s="25" t="s">
        <v>1773</v>
      </c>
      <c r="D946" s="25">
        <v>6699.0</v>
      </c>
      <c r="E946" s="16">
        <f t="shared" si="1"/>
        <v>462.231</v>
      </c>
      <c r="F946" s="16">
        <f t="shared" si="2"/>
        <v>144.0285</v>
      </c>
      <c r="G946" s="26">
        <v>5399.0</v>
      </c>
      <c r="H946" s="27">
        <v>0.1</v>
      </c>
      <c r="I946" s="28">
        <f t="shared" si="23"/>
        <v>669.9</v>
      </c>
      <c r="J946" s="25">
        <v>84.0</v>
      </c>
      <c r="K946" s="16">
        <f t="shared" si="4"/>
        <v>-60.1595</v>
      </c>
      <c r="L946" s="19">
        <f t="shared" si="5"/>
        <v>-0.01114271161</v>
      </c>
      <c r="M946" s="16">
        <f t="shared" si="6"/>
        <v>5338.8405</v>
      </c>
      <c r="N946" s="20"/>
    </row>
    <row r="947">
      <c r="A947" s="22"/>
      <c r="B947" s="23" t="s">
        <v>1774</v>
      </c>
      <c r="C947" s="25" t="s">
        <v>1775</v>
      </c>
      <c r="D947" s="25">
        <v>989.0</v>
      </c>
      <c r="E947" s="16">
        <f t="shared" si="1"/>
        <v>68.241</v>
      </c>
      <c r="F947" s="16">
        <f t="shared" si="2"/>
        <v>21.2635</v>
      </c>
      <c r="G947" s="26">
        <v>590.0</v>
      </c>
      <c r="H947" s="27">
        <v>0.145</v>
      </c>
      <c r="I947" s="28">
        <f t="shared" si="23"/>
        <v>143.405</v>
      </c>
      <c r="J947" s="25">
        <v>84.0</v>
      </c>
      <c r="K947" s="16">
        <f t="shared" si="4"/>
        <v>82.0905</v>
      </c>
      <c r="L947" s="19">
        <f t="shared" si="5"/>
        <v>0.1391364407</v>
      </c>
      <c r="M947" s="16">
        <f t="shared" si="6"/>
        <v>672.0905</v>
      </c>
      <c r="N947" s="20"/>
    </row>
    <row r="948">
      <c r="A948" s="22"/>
      <c r="B948" s="23" t="s">
        <v>1776</v>
      </c>
      <c r="C948" s="25" t="s">
        <v>1777</v>
      </c>
      <c r="D948" s="25">
        <v>13299.0</v>
      </c>
      <c r="E948" s="16">
        <f t="shared" si="1"/>
        <v>917.631</v>
      </c>
      <c r="F948" s="16">
        <f t="shared" si="2"/>
        <v>285.9285</v>
      </c>
      <c r="G948" s="26">
        <v>10668.0</v>
      </c>
      <c r="H948" s="27">
        <v>0.15</v>
      </c>
      <c r="I948" s="28">
        <f t="shared" si="23"/>
        <v>1994.85</v>
      </c>
      <c r="J948" s="25">
        <v>84.0</v>
      </c>
      <c r="K948" s="16">
        <f t="shared" si="4"/>
        <v>-651.4095</v>
      </c>
      <c r="L948" s="19">
        <f t="shared" si="5"/>
        <v>-0.06106200787</v>
      </c>
      <c r="M948" s="16">
        <f t="shared" si="6"/>
        <v>10016.5905</v>
      </c>
      <c r="N948" s="20"/>
    </row>
    <row r="949">
      <c r="A949" s="22"/>
      <c r="B949" s="23" t="s">
        <v>1778</v>
      </c>
      <c r="C949" s="25" t="s">
        <v>1779</v>
      </c>
      <c r="D949" s="25">
        <v>369.0</v>
      </c>
      <c r="E949" s="16">
        <f t="shared" si="1"/>
        <v>25.461</v>
      </c>
      <c r="F949" s="16">
        <f t="shared" si="2"/>
        <v>7.9335</v>
      </c>
      <c r="G949" s="26">
        <v>230.74</v>
      </c>
      <c r="H949" s="27">
        <v>0.1</v>
      </c>
      <c r="I949" s="28">
        <f t="shared" si="23"/>
        <v>36.9</v>
      </c>
      <c r="J949" s="25">
        <v>65.0</v>
      </c>
      <c r="K949" s="16">
        <f t="shared" si="4"/>
        <v>2.9655</v>
      </c>
      <c r="L949" s="19">
        <f t="shared" si="5"/>
        <v>0.01285212794</v>
      </c>
      <c r="M949" s="16">
        <f t="shared" si="6"/>
        <v>233.7055</v>
      </c>
      <c r="N949" s="20"/>
    </row>
    <row r="950">
      <c r="A950" s="22"/>
      <c r="B950" s="23" t="s">
        <v>1780</v>
      </c>
      <c r="C950" s="25" t="s">
        <v>1779</v>
      </c>
      <c r="D950" s="25">
        <v>369.0</v>
      </c>
      <c r="E950" s="16">
        <f t="shared" si="1"/>
        <v>25.461</v>
      </c>
      <c r="F950" s="16">
        <f t="shared" si="2"/>
        <v>7.9335</v>
      </c>
      <c r="G950" s="26">
        <v>230.74</v>
      </c>
      <c r="H950" s="27">
        <v>0.1</v>
      </c>
      <c r="I950" s="28">
        <f t="shared" si="23"/>
        <v>36.9</v>
      </c>
      <c r="J950" s="25">
        <v>65.0</v>
      </c>
      <c r="K950" s="16">
        <f t="shared" si="4"/>
        <v>2.9655</v>
      </c>
      <c r="L950" s="19">
        <f t="shared" si="5"/>
        <v>0.01285212794</v>
      </c>
      <c r="M950" s="16">
        <f t="shared" si="6"/>
        <v>233.7055</v>
      </c>
      <c r="N950" s="20"/>
    </row>
    <row r="951">
      <c r="A951" s="22"/>
      <c r="B951" s="23" t="s">
        <v>1781</v>
      </c>
      <c r="C951" s="25" t="s">
        <v>1782</v>
      </c>
      <c r="D951" s="25">
        <v>799.0</v>
      </c>
      <c r="E951" s="16">
        <f t="shared" si="1"/>
        <v>55.131</v>
      </c>
      <c r="F951" s="16">
        <f t="shared" si="2"/>
        <v>17.1785</v>
      </c>
      <c r="G951" s="26">
        <v>600.0</v>
      </c>
      <c r="H951" s="27">
        <v>0.1</v>
      </c>
      <c r="I951" s="28">
        <f t="shared" si="23"/>
        <v>79.9</v>
      </c>
      <c r="J951" s="25">
        <v>65.0</v>
      </c>
      <c r="K951" s="16">
        <f t="shared" si="4"/>
        <v>-18.2095</v>
      </c>
      <c r="L951" s="19">
        <f t="shared" si="5"/>
        <v>-0.03034916667</v>
      </c>
      <c r="M951" s="16">
        <f t="shared" si="6"/>
        <v>581.7905</v>
      </c>
      <c r="N951" s="20"/>
    </row>
    <row r="952">
      <c r="A952" s="22"/>
      <c r="B952" s="23" t="s">
        <v>1783</v>
      </c>
      <c r="C952" s="25" t="s">
        <v>1784</v>
      </c>
      <c r="D952" s="25">
        <v>999.0</v>
      </c>
      <c r="E952" s="16">
        <f t="shared" si="1"/>
        <v>68.931</v>
      </c>
      <c r="F952" s="16">
        <f t="shared" si="2"/>
        <v>21.4785</v>
      </c>
      <c r="G952" s="26">
        <v>550.0</v>
      </c>
      <c r="H952" s="27">
        <v>0.1</v>
      </c>
      <c r="I952" s="28">
        <f t="shared" si="23"/>
        <v>99.9</v>
      </c>
      <c r="J952" s="25">
        <v>84.0</v>
      </c>
      <c r="K952" s="16">
        <f t="shared" si="4"/>
        <v>174.6905</v>
      </c>
      <c r="L952" s="19">
        <f t="shared" si="5"/>
        <v>0.3176190909</v>
      </c>
      <c r="M952" s="16">
        <f t="shared" si="6"/>
        <v>724.6905</v>
      </c>
      <c r="N952" s="20"/>
    </row>
    <row r="953">
      <c r="A953" s="22"/>
      <c r="B953" s="23" t="s">
        <v>1785</v>
      </c>
      <c r="C953" s="24"/>
      <c r="D953" s="25">
        <v>5999.0</v>
      </c>
      <c r="E953" s="16">
        <f t="shared" si="1"/>
        <v>413.931</v>
      </c>
      <c r="F953" s="16">
        <f t="shared" si="2"/>
        <v>128.9785</v>
      </c>
      <c r="G953" s="26">
        <v>4683.02</v>
      </c>
      <c r="H953" s="27">
        <v>0.1</v>
      </c>
      <c r="I953" s="28">
        <f t="shared" si="23"/>
        <v>599.9</v>
      </c>
      <c r="J953" s="25">
        <v>110.0</v>
      </c>
      <c r="K953" s="16">
        <f t="shared" si="4"/>
        <v>63.1705</v>
      </c>
      <c r="L953" s="19">
        <f t="shared" si="5"/>
        <v>0.01348926547</v>
      </c>
      <c r="M953" s="16">
        <f t="shared" si="6"/>
        <v>4746.1905</v>
      </c>
      <c r="N953" s="20"/>
    </row>
    <row r="954">
      <c r="A954" s="22"/>
      <c r="B954" s="23" t="s">
        <v>1786</v>
      </c>
      <c r="C954" s="24"/>
      <c r="D954" s="25">
        <v>3200.0</v>
      </c>
      <c r="E954" s="16">
        <f t="shared" si="1"/>
        <v>220.8</v>
      </c>
      <c r="F954" s="16">
        <f t="shared" si="2"/>
        <v>68.8</v>
      </c>
      <c r="G954" s="26">
        <v>2288.41</v>
      </c>
      <c r="H954" s="27">
        <v>0.145</v>
      </c>
      <c r="I954" s="28">
        <f t="shared" si="23"/>
        <v>464</v>
      </c>
      <c r="J954" s="25">
        <v>139.0</v>
      </c>
      <c r="K954" s="16">
        <f t="shared" si="4"/>
        <v>18.99</v>
      </c>
      <c r="L954" s="19">
        <f t="shared" si="5"/>
        <v>0.008298338147</v>
      </c>
      <c r="M954" s="16">
        <f t="shared" si="6"/>
        <v>2307.4</v>
      </c>
      <c r="N954" s="20"/>
    </row>
    <row r="955">
      <c r="A955" s="22"/>
      <c r="B955" s="23" t="s">
        <v>1787</v>
      </c>
      <c r="C955" s="24"/>
      <c r="D955" s="25">
        <v>531.0</v>
      </c>
      <c r="E955" s="16">
        <f t="shared" si="1"/>
        <v>36.639</v>
      </c>
      <c r="F955" s="16">
        <f t="shared" si="2"/>
        <v>11.4165</v>
      </c>
      <c r="G955" s="26">
        <v>350.0</v>
      </c>
      <c r="H955" s="27">
        <v>0.145</v>
      </c>
      <c r="I955" s="28">
        <f t="shared" si="23"/>
        <v>76.995</v>
      </c>
      <c r="J955" s="25">
        <v>74.5</v>
      </c>
      <c r="K955" s="16">
        <f t="shared" si="4"/>
        <v>-18.5505</v>
      </c>
      <c r="L955" s="19">
        <f t="shared" si="5"/>
        <v>-0.05300142857</v>
      </c>
      <c r="M955" s="16">
        <f t="shared" si="6"/>
        <v>331.4495</v>
      </c>
      <c r="N955" s="20"/>
    </row>
    <row r="956">
      <c r="A956" s="22"/>
      <c r="B956" s="23" t="s">
        <v>1788</v>
      </c>
      <c r="C956" s="25" t="s">
        <v>1789</v>
      </c>
      <c r="D956" s="25">
        <v>1189.0</v>
      </c>
      <c r="E956" s="16">
        <f t="shared" si="1"/>
        <v>82.041</v>
      </c>
      <c r="F956" s="16">
        <f t="shared" si="2"/>
        <v>25.5635</v>
      </c>
      <c r="G956" s="26">
        <v>943.8</v>
      </c>
      <c r="H956" s="27">
        <v>0.1</v>
      </c>
      <c r="I956" s="28">
        <f t="shared" si="23"/>
        <v>118.9</v>
      </c>
      <c r="J956" s="25">
        <v>65.0</v>
      </c>
      <c r="K956" s="16">
        <f t="shared" si="4"/>
        <v>-46.3045</v>
      </c>
      <c r="L956" s="19">
        <f t="shared" si="5"/>
        <v>-0.04906177156</v>
      </c>
      <c r="M956" s="16">
        <f t="shared" si="6"/>
        <v>897.4955</v>
      </c>
      <c r="N956" s="20"/>
    </row>
    <row r="957">
      <c r="A957" s="22"/>
      <c r="B957" s="23" t="s">
        <v>1790</v>
      </c>
      <c r="C957" s="24"/>
      <c r="D957" s="25">
        <v>394.0</v>
      </c>
      <c r="E957" s="16">
        <f t="shared" si="1"/>
        <v>27.186</v>
      </c>
      <c r="F957" s="16">
        <f t="shared" si="2"/>
        <v>8.471</v>
      </c>
      <c r="G957" s="26">
        <v>250.0</v>
      </c>
      <c r="H957" s="27">
        <v>0.14</v>
      </c>
      <c r="I957" s="28">
        <f t="shared" si="23"/>
        <v>55.16</v>
      </c>
      <c r="J957" s="25">
        <v>67.0</v>
      </c>
      <c r="K957" s="16">
        <f t="shared" si="4"/>
        <v>-13.817</v>
      </c>
      <c r="L957" s="19">
        <f t="shared" si="5"/>
        <v>-0.055268</v>
      </c>
      <c r="M957" s="16">
        <f t="shared" si="6"/>
        <v>236.183</v>
      </c>
      <c r="N957" s="20"/>
    </row>
    <row r="958">
      <c r="A958" s="22"/>
      <c r="B958" s="23" t="s">
        <v>1791</v>
      </c>
      <c r="C958" s="24"/>
      <c r="D958" s="25">
        <v>649.0</v>
      </c>
      <c r="E958" s="16">
        <f t="shared" si="1"/>
        <v>44.781</v>
      </c>
      <c r="F958" s="16">
        <f t="shared" si="2"/>
        <v>13.9535</v>
      </c>
      <c r="G958" s="26">
        <v>455.0</v>
      </c>
      <c r="H958" s="27">
        <v>0.1</v>
      </c>
      <c r="I958" s="28">
        <f t="shared" si="23"/>
        <v>64.9</v>
      </c>
      <c r="J958" s="25">
        <v>65.0</v>
      </c>
      <c r="K958" s="16">
        <f t="shared" si="4"/>
        <v>5.3655</v>
      </c>
      <c r="L958" s="19">
        <f t="shared" si="5"/>
        <v>0.01179230769</v>
      </c>
      <c r="M958" s="16">
        <f t="shared" si="6"/>
        <v>460.3655</v>
      </c>
      <c r="N958" s="20" t="s">
        <v>237</v>
      </c>
    </row>
    <row r="959">
      <c r="A959" s="22"/>
      <c r="B959" s="23" t="s">
        <v>1792</v>
      </c>
      <c r="C959" s="25" t="s">
        <v>1793</v>
      </c>
      <c r="D959" s="25">
        <v>3699.0</v>
      </c>
      <c r="E959" s="16">
        <f t="shared" si="1"/>
        <v>255.231</v>
      </c>
      <c r="F959" s="16">
        <f t="shared" si="2"/>
        <v>79.5285</v>
      </c>
      <c r="G959" s="26">
        <v>2513.86</v>
      </c>
      <c r="H959" s="27">
        <v>0.145</v>
      </c>
      <c r="I959" s="28">
        <f t="shared" si="23"/>
        <v>536.355</v>
      </c>
      <c r="J959" s="25">
        <v>65.0</v>
      </c>
      <c r="K959" s="16">
        <f t="shared" si="4"/>
        <v>249.0255</v>
      </c>
      <c r="L959" s="19">
        <f t="shared" si="5"/>
        <v>0.09906100578</v>
      </c>
      <c r="M959" s="16">
        <f t="shared" si="6"/>
        <v>2762.8855</v>
      </c>
      <c r="N959" s="20"/>
    </row>
    <row r="960">
      <c r="A960" s="22"/>
      <c r="B960" s="23" t="s">
        <v>1794</v>
      </c>
      <c r="C960" s="24"/>
      <c r="D960" s="25">
        <v>2499.0</v>
      </c>
      <c r="E960" s="16">
        <f t="shared" si="1"/>
        <v>172.431</v>
      </c>
      <c r="F960" s="16">
        <f t="shared" si="2"/>
        <v>53.7285</v>
      </c>
      <c r="G960" s="26">
        <v>1590.0</v>
      </c>
      <c r="H960" s="27">
        <v>0.15</v>
      </c>
      <c r="I960" s="28">
        <f t="shared" si="23"/>
        <v>374.85</v>
      </c>
      <c r="J960" s="25">
        <v>110.0</v>
      </c>
      <c r="K960" s="16">
        <f t="shared" si="4"/>
        <v>197.9905</v>
      </c>
      <c r="L960" s="19">
        <f t="shared" si="5"/>
        <v>0.124522327</v>
      </c>
      <c r="M960" s="16">
        <f t="shared" si="6"/>
        <v>1787.9905</v>
      </c>
      <c r="N960" s="20"/>
    </row>
    <row r="961">
      <c r="A961" s="22"/>
      <c r="B961" s="23" t="s">
        <v>1795</v>
      </c>
      <c r="C961" s="25" t="s">
        <v>1587</v>
      </c>
      <c r="D961" s="25">
        <v>1429.0</v>
      </c>
      <c r="E961" s="16">
        <f t="shared" si="1"/>
        <v>98.601</v>
      </c>
      <c r="F961" s="16">
        <f t="shared" si="2"/>
        <v>30.7235</v>
      </c>
      <c r="G961" s="26">
        <v>980.0</v>
      </c>
      <c r="H961" s="27">
        <v>0.14</v>
      </c>
      <c r="I961" s="28">
        <f t="shared" si="23"/>
        <v>200.06</v>
      </c>
      <c r="J961" s="25">
        <v>135.0</v>
      </c>
      <c r="K961" s="16">
        <f t="shared" si="4"/>
        <v>-15.3845</v>
      </c>
      <c r="L961" s="19">
        <f t="shared" si="5"/>
        <v>-0.01569846939</v>
      </c>
      <c r="M961" s="16">
        <f t="shared" si="6"/>
        <v>964.6155</v>
      </c>
      <c r="N961" s="20"/>
    </row>
    <row r="962">
      <c r="A962" s="22"/>
      <c r="B962" s="23" t="s">
        <v>1796</v>
      </c>
      <c r="C962" s="25" t="s">
        <v>1797</v>
      </c>
      <c r="D962" s="25">
        <v>619.0</v>
      </c>
      <c r="E962" s="16">
        <f t="shared" si="1"/>
        <v>42.711</v>
      </c>
      <c r="F962" s="16">
        <f t="shared" si="2"/>
        <v>13.3085</v>
      </c>
      <c r="G962" s="26">
        <v>379.74</v>
      </c>
      <c r="H962" s="27">
        <v>0.1</v>
      </c>
      <c r="I962" s="28">
        <f t="shared" si="23"/>
        <v>61.9</v>
      </c>
      <c r="J962" s="25">
        <v>65.0</v>
      </c>
      <c r="K962" s="16">
        <f t="shared" si="4"/>
        <v>56.3405</v>
      </c>
      <c r="L962" s="19">
        <f t="shared" si="5"/>
        <v>0.1483659873</v>
      </c>
      <c r="M962" s="16">
        <f t="shared" si="6"/>
        <v>436.0805</v>
      </c>
      <c r="N962" s="20"/>
    </row>
    <row r="963">
      <c r="A963" s="22"/>
      <c r="B963" s="23" t="s">
        <v>1798</v>
      </c>
      <c r="C963" s="25" t="s">
        <v>1797</v>
      </c>
      <c r="D963" s="25">
        <v>619.0</v>
      </c>
      <c r="E963" s="16">
        <f t="shared" si="1"/>
        <v>42.711</v>
      </c>
      <c r="F963" s="16">
        <f t="shared" si="2"/>
        <v>13.3085</v>
      </c>
      <c r="G963" s="26">
        <v>379.74</v>
      </c>
      <c r="H963" s="27">
        <v>0.1</v>
      </c>
      <c r="I963" s="28">
        <f t="shared" si="23"/>
        <v>61.9</v>
      </c>
      <c r="J963" s="25">
        <v>65.0</v>
      </c>
      <c r="K963" s="16">
        <f t="shared" si="4"/>
        <v>56.3405</v>
      </c>
      <c r="L963" s="19">
        <f t="shared" si="5"/>
        <v>0.1483659873</v>
      </c>
      <c r="M963" s="16">
        <f t="shared" si="6"/>
        <v>436.0805</v>
      </c>
      <c r="N963" s="20"/>
    </row>
    <row r="964">
      <c r="A964" s="22"/>
      <c r="B964" s="23" t="s">
        <v>1799</v>
      </c>
      <c r="C964" s="25" t="s">
        <v>1797</v>
      </c>
      <c r="D964" s="25">
        <v>619.0</v>
      </c>
      <c r="E964" s="16">
        <f t="shared" si="1"/>
        <v>42.711</v>
      </c>
      <c r="F964" s="16">
        <f t="shared" si="2"/>
        <v>13.3085</v>
      </c>
      <c r="G964" s="26">
        <v>379.74</v>
      </c>
      <c r="H964" s="27">
        <v>0.1</v>
      </c>
      <c r="I964" s="28">
        <f t="shared" si="23"/>
        <v>61.9</v>
      </c>
      <c r="J964" s="25">
        <v>65.0</v>
      </c>
      <c r="K964" s="16">
        <f t="shared" si="4"/>
        <v>56.3405</v>
      </c>
      <c r="L964" s="19">
        <f t="shared" si="5"/>
        <v>0.1483659873</v>
      </c>
      <c r="M964" s="16">
        <f t="shared" si="6"/>
        <v>436.0805</v>
      </c>
      <c r="N964" s="20"/>
    </row>
    <row r="965">
      <c r="A965" s="22"/>
      <c r="B965" s="23" t="s">
        <v>1800</v>
      </c>
      <c r="C965" s="25" t="s">
        <v>1801</v>
      </c>
      <c r="D965" s="25">
        <v>1999.0</v>
      </c>
      <c r="E965" s="16">
        <f t="shared" si="1"/>
        <v>137.931</v>
      </c>
      <c r="F965" s="16">
        <f t="shared" si="2"/>
        <v>42.9785</v>
      </c>
      <c r="G965" s="26">
        <v>1479.0</v>
      </c>
      <c r="H965" s="27">
        <v>0.125</v>
      </c>
      <c r="I965" s="28">
        <f t="shared" si="23"/>
        <v>249.875</v>
      </c>
      <c r="J965" s="25">
        <v>70.0</v>
      </c>
      <c r="K965" s="16">
        <f t="shared" si="4"/>
        <v>19.2155</v>
      </c>
      <c r="L965" s="19">
        <f t="shared" si="5"/>
        <v>0.01299222448</v>
      </c>
      <c r="M965" s="16">
        <f t="shared" si="6"/>
        <v>1498.2155</v>
      </c>
      <c r="N965" s="20"/>
    </row>
    <row r="966">
      <c r="A966" s="22"/>
      <c r="B966" s="23" t="s">
        <v>1802</v>
      </c>
      <c r="C966" s="25" t="s">
        <v>1803</v>
      </c>
      <c r="D966" s="25">
        <v>1999.0</v>
      </c>
      <c r="E966" s="16">
        <f t="shared" si="1"/>
        <v>137.931</v>
      </c>
      <c r="F966" s="16">
        <f t="shared" si="2"/>
        <v>42.9785</v>
      </c>
      <c r="G966" s="26">
        <v>1479.0</v>
      </c>
      <c r="H966" s="27">
        <v>0.125</v>
      </c>
      <c r="I966" s="28">
        <f t="shared" si="23"/>
        <v>249.875</v>
      </c>
      <c r="J966" s="25">
        <v>70.0</v>
      </c>
      <c r="K966" s="16">
        <f t="shared" si="4"/>
        <v>19.2155</v>
      </c>
      <c r="L966" s="19">
        <f t="shared" si="5"/>
        <v>0.01299222448</v>
      </c>
      <c r="M966" s="16">
        <f t="shared" si="6"/>
        <v>1498.2155</v>
      </c>
      <c r="N966" s="20"/>
    </row>
    <row r="967">
      <c r="A967" s="22"/>
      <c r="B967" s="23" t="s">
        <v>1804</v>
      </c>
      <c r="C967" s="25" t="s">
        <v>1803</v>
      </c>
      <c r="D967" s="25">
        <v>1999.0</v>
      </c>
      <c r="E967" s="16">
        <f t="shared" si="1"/>
        <v>137.931</v>
      </c>
      <c r="F967" s="16">
        <f t="shared" si="2"/>
        <v>42.9785</v>
      </c>
      <c r="G967" s="26">
        <v>1479.0</v>
      </c>
      <c r="H967" s="27">
        <v>0.125</v>
      </c>
      <c r="I967" s="28">
        <f t="shared" si="23"/>
        <v>249.875</v>
      </c>
      <c r="J967" s="25">
        <v>70.0</v>
      </c>
      <c r="K967" s="16">
        <f t="shared" si="4"/>
        <v>19.2155</v>
      </c>
      <c r="L967" s="19">
        <f t="shared" si="5"/>
        <v>0.01299222448</v>
      </c>
      <c r="M967" s="16">
        <f t="shared" si="6"/>
        <v>1498.2155</v>
      </c>
      <c r="N967" s="20"/>
    </row>
    <row r="968">
      <c r="A968" s="22"/>
      <c r="B968" s="23" t="s">
        <v>1805</v>
      </c>
      <c r="C968" s="25" t="s">
        <v>1806</v>
      </c>
      <c r="D968" s="25">
        <v>1999.0</v>
      </c>
      <c r="E968" s="16">
        <f t="shared" si="1"/>
        <v>137.931</v>
      </c>
      <c r="F968" s="16">
        <f t="shared" si="2"/>
        <v>42.9785</v>
      </c>
      <c r="G968" s="26">
        <v>1479.0</v>
      </c>
      <c r="H968" s="27">
        <v>0.125</v>
      </c>
      <c r="I968" s="28">
        <f t="shared" si="23"/>
        <v>249.875</v>
      </c>
      <c r="J968" s="25">
        <v>70.0</v>
      </c>
      <c r="K968" s="16">
        <f t="shared" si="4"/>
        <v>19.2155</v>
      </c>
      <c r="L968" s="19">
        <f t="shared" si="5"/>
        <v>0.01299222448</v>
      </c>
      <c r="M968" s="16">
        <f t="shared" si="6"/>
        <v>1498.2155</v>
      </c>
      <c r="N968" s="20"/>
    </row>
    <row r="969">
      <c r="A969" s="22"/>
      <c r="B969" s="23" t="s">
        <v>1807</v>
      </c>
      <c r="C969" s="25" t="s">
        <v>1808</v>
      </c>
      <c r="D969" s="25">
        <v>449.0</v>
      </c>
      <c r="E969" s="16">
        <f t="shared" si="1"/>
        <v>30.981</v>
      </c>
      <c r="F969" s="16">
        <f t="shared" si="2"/>
        <v>9.6535</v>
      </c>
      <c r="G969" s="26">
        <v>325.13</v>
      </c>
      <c r="H969" s="27">
        <v>0.1</v>
      </c>
      <c r="I969" s="28">
        <f t="shared" si="23"/>
        <v>44.9</v>
      </c>
      <c r="J969" s="25">
        <v>65.0</v>
      </c>
      <c r="K969" s="16">
        <f t="shared" si="4"/>
        <v>-26.6645</v>
      </c>
      <c r="L969" s="19">
        <f t="shared" si="5"/>
        <v>-0.08201181066</v>
      </c>
      <c r="M969" s="16">
        <f t="shared" si="6"/>
        <v>298.4655</v>
      </c>
      <c r="N969" s="20"/>
    </row>
    <row r="970">
      <c r="A970" s="22"/>
      <c r="B970" s="23" t="s">
        <v>1809</v>
      </c>
      <c r="C970" s="25" t="s">
        <v>1808</v>
      </c>
      <c r="D970" s="25">
        <v>449.0</v>
      </c>
      <c r="E970" s="16">
        <f t="shared" si="1"/>
        <v>30.981</v>
      </c>
      <c r="F970" s="16">
        <f t="shared" si="2"/>
        <v>9.6535</v>
      </c>
      <c r="G970" s="26">
        <v>325.13</v>
      </c>
      <c r="H970" s="27">
        <v>0.1</v>
      </c>
      <c r="I970" s="28">
        <f t="shared" si="23"/>
        <v>44.9</v>
      </c>
      <c r="J970" s="25">
        <v>65.0</v>
      </c>
      <c r="K970" s="16">
        <f t="shared" si="4"/>
        <v>-26.6645</v>
      </c>
      <c r="L970" s="19">
        <f t="shared" si="5"/>
        <v>-0.08201181066</v>
      </c>
      <c r="M970" s="16">
        <f t="shared" si="6"/>
        <v>298.4655</v>
      </c>
      <c r="N970" s="20"/>
    </row>
    <row r="971">
      <c r="A971" s="22"/>
      <c r="B971" s="23" t="s">
        <v>1810</v>
      </c>
      <c r="C971" s="25" t="s">
        <v>1811</v>
      </c>
      <c r="D971" s="25">
        <v>999.0</v>
      </c>
      <c r="E971" s="16">
        <f t="shared" si="1"/>
        <v>68.931</v>
      </c>
      <c r="F971" s="16">
        <f t="shared" si="2"/>
        <v>21.4785</v>
      </c>
      <c r="G971" s="26">
        <v>697.07</v>
      </c>
      <c r="H971" s="27">
        <v>0.1</v>
      </c>
      <c r="I971" s="28">
        <f t="shared" si="23"/>
        <v>99.9</v>
      </c>
      <c r="J971" s="25">
        <v>74.0</v>
      </c>
      <c r="K971" s="16">
        <f t="shared" si="4"/>
        <v>37.6205</v>
      </c>
      <c r="L971" s="19">
        <f t="shared" si="5"/>
        <v>0.05396947222</v>
      </c>
      <c r="M971" s="16">
        <f t="shared" si="6"/>
        <v>734.6905</v>
      </c>
      <c r="N971" s="20"/>
    </row>
    <row r="972">
      <c r="A972" s="22"/>
      <c r="B972" s="23" t="s">
        <v>1812</v>
      </c>
      <c r="C972" s="25" t="s">
        <v>1813</v>
      </c>
      <c r="D972" s="25">
        <v>1776.0</v>
      </c>
      <c r="E972" s="16">
        <f t="shared" si="1"/>
        <v>122.544</v>
      </c>
      <c r="F972" s="16">
        <f t="shared" si="2"/>
        <v>38.184</v>
      </c>
      <c r="G972" s="26">
        <v>1364.55</v>
      </c>
      <c r="H972" s="27">
        <v>0.15</v>
      </c>
      <c r="I972" s="28">
        <f t="shared" si="23"/>
        <v>266.4</v>
      </c>
      <c r="J972" s="25">
        <v>70.0</v>
      </c>
      <c r="K972" s="16">
        <f t="shared" si="4"/>
        <v>-85.678</v>
      </c>
      <c r="L972" s="19">
        <f t="shared" si="5"/>
        <v>-0.06278846506</v>
      </c>
      <c r="M972" s="16">
        <f t="shared" si="6"/>
        <v>1278.872</v>
      </c>
      <c r="N972" s="20"/>
    </row>
    <row r="973">
      <c r="A973" s="22"/>
      <c r="B973" s="23" t="s">
        <v>1814</v>
      </c>
      <c r="C973" s="24"/>
      <c r="D973" s="25">
        <v>2207.0</v>
      </c>
      <c r="E973" s="16">
        <f t="shared" si="1"/>
        <v>152.283</v>
      </c>
      <c r="F973" s="16">
        <f t="shared" si="2"/>
        <v>47.4505</v>
      </c>
      <c r="G973" s="26">
        <v>1807.78</v>
      </c>
      <c r="H973" s="27">
        <v>0.1</v>
      </c>
      <c r="I973" s="28">
        <f t="shared" si="23"/>
        <v>220.7</v>
      </c>
      <c r="J973" s="25">
        <v>74.0</v>
      </c>
      <c r="K973" s="16">
        <f t="shared" si="4"/>
        <v>-95.2135</v>
      </c>
      <c r="L973" s="19">
        <f t="shared" si="5"/>
        <v>-0.05266874288</v>
      </c>
      <c r="M973" s="16">
        <f t="shared" si="6"/>
        <v>1712.5665</v>
      </c>
      <c r="N973" s="20"/>
    </row>
    <row r="974">
      <c r="A974" s="22"/>
      <c r="B974" s="39" t="s">
        <v>1815</v>
      </c>
      <c r="C974" s="24"/>
      <c r="D974" s="25">
        <v>2207.0</v>
      </c>
      <c r="E974" s="16">
        <f t="shared" si="1"/>
        <v>152.283</v>
      </c>
      <c r="F974" s="16">
        <f t="shared" si="2"/>
        <v>47.4505</v>
      </c>
      <c r="G974" s="26">
        <v>1807.78</v>
      </c>
      <c r="H974" s="27">
        <v>0.1</v>
      </c>
      <c r="I974" s="28">
        <f t="shared" si="23"/>
        <v>220.7</v>
      </c>
      <c r="J974" s="25">
        <v>74.0</v>
      </c>
      <c r="K974" s="16">
        <f t="shared" si="4"/>
        <v>-95.2135</v>
      </c>
      <c r="L974" s="19">
        <f t="shared" si="5"/>
        <v>-0.05266874288</v>
      </c>
      <c r="M974" s="16">
        <f t="shared" si="6"/>
        <v>1712.5665</v>
      </c>
      <c r="N974" s="20"/>
    </row>
    <row r="975">
      <c r="A975" s="22"/>
      <c r="B975" s="23" t="s">
        <v>1816</v>
      </c>
      <c r="C975" s="24"/>
      <c r="D975" s="25">
        <v>2299.0</v>
      </c>
      <c r="E975" s="16">
        <f t="shared" si="1"/>
        <v>158.631</v>
      </c>
      <c r="F975" s="16">
        <f t="shared" si="2"/>
        <v>49.4285</v>
      </c>
      <c r="G975" s="26">
        <v>1807.78</v>
      </c>
      <c r="H975" s="27">
        <v>0.1</v>
      </c>
      <c r="I975" s="28">
        <f t="shared" si="23"/>
        <v>229.9</v>
      </c>
      <c r="J975" s="25">
        <v>74.0</v>
      </c>
      <c r="K975" s="16">
        <f t="shared" si="4"/>
        <v>-20.7395</v>
      </c>
      <c r="L975" s="19">
        <f t="shared" si="5"/>
        <v>-0.01147235836</v>
      </c>
      <c r="M975" s="16">
        <f t="shared" si="6"/>
        <v>1787.0405</v>
      </c>
      <c r="N975" s="20"/>
    </row>
    <row r="976">
      <c r="A976" s="22"/>
      <c r="B976" s="23" t="s">
        <v>1817</v>
      </c>
      <c r="C976" s="24"/>
      <c r="D976" s="25">
        <v>329.0</v>
      </c>
      <c r="E976" s="16">
        <f t="shared" si="1"/>
        <v>22.701</v>
      </c>
      <c r="F976" s="16">
        <f t="shared" si="2"/>
        <v>7.0735</v>
      </c>
      <c r="G976" s="26">
        <v>210.0</v>
      </c>
      <c r="H976" s="27">
        <v>0.1</v>
      </c>
      <c r="I976" s="28">
        <f t="shared" si="23"/>
        <v>32.9</v>
      </c>
      <c r="J976" s="25">
        <v>52.5</v>
      </c>
      <c r="K976" s="16">
        <f t="shared" si="4"/>
        <v>3.8255</v>
      </c>
      <c r="L976" s="19">
        <f t="shared" si="5"/>
        <v>0.01821666667</v>
      </c>
      <c r="M976" s="16">
        <f t="shared" si="6"/>
        <v>213.8255</v>
      </c>
      <c r="N976" s="20"/>
    </row>
    <row r="977">
      <c r="A977" s="22"/>
      <c r="B977" s="23" t="s">
        <v>1818</v>
      </c>
      <c r="C977" s="24"/>
      <c r="D977" s="25">
        <v>1899.0</v>
      </c>
      <c r="E977" s="16">
        <f t="shared" si="1"/>
        <v>131.031</v>
      </c>
      <c r="F977" s="16">
        <f t="shared" si="2"/>
        <v>40.8285</v>
      </c>
      <c r="G977" s="26">
        <v>1276.5</v>
      </c>
      <c r="H977" s="27">
        <v>0.15</v>
      </c>
      <c r="I977" s="28">
        <f t="shared" si="23"/>
        <v>284.85</v>
      </c>
      <c r="J977" s="25">
        <v>74.0</v>
      </c>
      <c r="K977" s="16">
        <f t="shared" si="4"/>
        <v>91.7905</v>
      </c>
      <c r="L977" s="19">
        <f t="shared" si="5"/>
        <v>0.07190795143</v>
      </c>
      <c r="M977" s="16">
        <f t="shared" si="6"/>
        <v>1368.2905</v>
      </c>
      <c r="N977" s="20"/>
    </row>
    <row r="978">
      <c r="A978" s="22"/>
      <c r="B978" s="23" t="s">
        <v>1819</v>
      </c>
      <c r="C978" s="25" t="s">
        <v>1820</v>
      </c>
      <c r="D978" s="25">
        <v>2800.0</v>
      </c>
      <c r="E978" s="16">
        <f t="shared" si="1"/>
        <v>193.2</v>
      </c>
      <c r="F978" s="16">
        <f t="shared" si="2"/>
        <v>60.2</v>
      </c>
      <c r="G978" s="26">
        <v>2079.6</v>
      </c>
      <c r="H978" s="27">
        <v>0.145</v>
      </c>
      <c r="I978" s="28">
        <f t="shared" si="23"/>
        <v>406</v>
      </c>
      <c r="J978" s="25">
        <v>74.0</v>
      </c>
      <c r="K978" s="16">
        <f t="shared" si="4"/>
        <v>-13</v>
      </c>
      <c r="L978" s="19">
        <f t="shared" si="5"/>
        <v>-0.006251202154</v>
      </c>
      <c r="M978" s="16">
        <f t="shared" si="6"/>
        <v>2066.6</v>
      </c>
      <c r="N978" s="20"/>
    </row>
    <row r="979">
      <c r="A979" s="22"/>
      <c r="B979" s="23" t="s">
        <v>1821</v>
      </c>
      <c r="C979" s="25" t="s">
        <v>1822</v>
      </c>
      <c r="D979" s="25">
        <v>679.0</v>
      </c>
      <c r="E979" s="16">
        <f t="shared" si="1"/>
        <v>46.851</v>
      </c>
      <c r="F979" s="16">
        <f t="shared" si="2"/>
        <v>14.5985</v>
      </c>
      <c r="G979" s="26">
        <v>450.0</v>
      </c>
      <c r="H979" s="27">
        <v>0.13</v>
      </c>
      <c r="I979" s="28">
        <f t="shared" si="23"/>
        <v>88.27</v>
      </c>
      <c r="J979" s="25">
        <v>74.0</v>
      </c>
      <c r="K979" s="16">
        <f t="shared" si="4"/>
        <v>5.2805</v>
      </c>
      <c r="L979" s="19">
        <f t="shared" si="5"/>
        <v>0.01173444444</v>
      </c>
      <c r="M979" s="16">
        <f t="shared" si="6"/>
        <v>455.2805</v>
      </c>
      <c r="N979" s="20"/>
    </row>
    <row r="980">
      <c r="A980" s="22"/>
      <c r="B980" s="23" t="s">
        <v>1823</v>
      </c>
      <c r="C980" s="24"/>
      <c r="D980" s="24"/>
      <c r="E980" s="16">
        <f t="shared" si="1"/>
        <v>0</v>
      </c>
      <c r="F980" s="16">
        <f t="shared" si="2"/>
        <v>0</v>
      </c>
      <c r="G980" s="26">
        <v>90.0</v>
      </c>
      <c r="H980" s="43"/>
      <c r="I980" s="28"/>
      <c r="J980" s="24"/>
      <c r="K980" s="16">
        <f t="shared" si="4"/>
        <v>-90</v>
      </c>
      <c r="L980" s="19">
        <f t="shared" si="5"/>
        <v>-1</v>
      </c>
      <c r="M980" s="16">
        <f t="shared" si="6"/>
        <v>0</v>
      </c>
      <c r="N980" s="20"/>
    </row>
    <row r="981">
      <c r="A981" s="22"/>
      <c r="B981" s="23" t="s">
        <v>1824</v>
      </c>
      <c r="C981" s="24"/>
      <c r="D981" s="24"/>
      <c r="E981" s="16">
        <f t="shared" si="1"/>
        <v>0</v>
      </c>
      <c r="F981" s="16">
        <f t="shared" si="2"/>
        <v>0</v>
      </c>
      <c r="G981" s="26">
        <v>333.0</v>
      </c>
      <c r="H981" s="43"/>
      <c r="I981" s="28"/>
      <c r="J981" s="24"/>
      <c r="K981" s="16">
        <f t="shared" si="4"/>
        <v>-333</v>
      </c>
      <c r="L981" s="19">
        <f t="shared" si="5"/>
        <v>-1</v>
      </c>
      <c r="M981" s="16">
        <f t="shared" si="6"/>
        <v>0</v>
      </c>
      <c r="N981" s="20"/>
    </row>
    <row r="982">
      <c r="A982" s="22"/>
      <c r="B982" s="23" t="s">
        <v>1825</v>
      </c>
      <c r="C982" s="24"/>
      <c r="D982" s="24"/>
      <c r="E982" s="16">
        <f t="shared" si="1"/>
        <v>0</v>
      </c>
      <c r="F982" s="16">
        <f t="shared" si="2"/>
        <v>0</v>
      </c>
      <c r="G982" s="26">
        <v>1499.0</v>
      </c>
      <c r="H982" s="43"/>
      <c r="I982" s="28"/>
      <c r="J982" s="24"/>
      <c r="K982" s="16">
        <f t="shared" si="4"/>
        <v>-1499</v>
      </c>
      <c r="L982" s="19">
        <f t="shared" si="5"/>
        <v>-1</v>
      </c>
      <c r="M982" s="16">
        <f t="shared" si="6"/>
        <v>0</v>
      </c>
      <c r="N982" s="20"/>
    </row>
    <row r="983">
      <c r="A983" s="22"/>
      <c r="B983" s="23" t="s">
        <v>1826</v>
      </c>
      <c r="C983" s="25" t="s">
        <v>1827</v>
      </c>
      <c r="D983" s="25">
        <v>1740.0</v>
      </c>
      <c r="E983" s="16">
        <f t="shared" si="1"/>
        <v>120.06</v>
      </c>
      <c r="F983" s="16">
        <f t="shared" si="2"/>
        <v>37.41</v>
      </c>
      <c r="G983" s="26">
        <v>1288.88</v>
      </c>
      <c r="H983" s="27">
        <v>0.13</v>
      </c>
      <c r="I983" s="28">
        <f t="shared" ref="I983:I1120" si="24">H983*D983</f>
        <v>226.2</v>
      </c>
      <c r="J983" s="25">
        <v>74.0</v>
      </c>
      <c r="K983" s="16">
        <f t="shared" si="4"/>
        <v>-6.55</v>
      </c>
      <c r="L983" s="19">
        <f t="shared" si="5"/>
        <v>-0.0050819316</v>
      </c>
      <c r="M983" s="16">
        <f t="shared" si="6"/>
        <v>1282.33</v>
      </c>
      <c r="N983" s="20"/>
    </row>
    <row r="984">
      <c r="A984" s="22"/>
      <c r="B984" s="23" t="s">
        <v>1828</v>
      </c>
      <c r="C984" s="25" t="s">
        <v>1829</v>
      </c>
      <c r="D984" s="25">
        <v>4799.0</v>
      </c>
      <c r="E984" s="16">
        <f t="shared" si="1"/>
        <v>331.131</v>
      </c>
      <c r="F984" s="16">
        <f t="shared" si="2"/>
        <v>103.1785</v>
      </c>
      <c r="G984" s="26">
        <v>3873.78</v>
      </c>
      <c r="H984" s="27">
        <v>0.145</v>
      </c>
      <c r="I984" s="28">
        <f t="shared" si="24"/>
        <v>695.855</v>
      </c>
      <c r="J984" s="25">
        <v>103.0</v>
      </c>
      <c r="K984" s="16">
        <f t="shared" si="4"/>
        <v>-307.9445</v>
      </c>
      <c r="L984" s="19">
        <f t="shared" si="5"/>
        <v>-0.07949457636</v>
      </c>
      <c r="M984" s="16">
        <f t="shared" si="6"/>
        <v>3565.8355</v>
      </c>
      <c r="N984" s="20"/>
    </row>
    <row r="985">
      <c r="A985" s="22"/>
      <c r="B985" s="23" t="s">
        <v>1830</v>
      </c>
      <c r="C985" s="25" t="s">
        <v>1831</v>
      </c>
      <c r="D985" s="25">
        <v>888.0</v>
      </c>
      <c r="E985" s="16">
        <f t="shared" si="1"/>
        <v>61.272</v>
      </c>
      <c r="F985" s="16">
        <f t="shared" si="2"/>
        <v>19.092</v>
      </c>
      <c r="G985" s="26">
        <v>515.55</v>
      </c>
      <c r="H985" s="27">
        <v>0.15</v>
      </c>
      <c r="I985" s="28">
        <f t="shared" si="24"/>
        <v>133.2</v>
      </c>
      <c r="J985" s="25">
        <v>65.0</v>
      </c>
      <c r="K985" s="16">
        <f t="shared" si="4"/>
        <v>93.886</v>
      </c>
      <c r="L985" s="19">
        <f t="shared" si="5"/>
        <v>0.1821084279</v>
      </c>
      <c r="M985" s="16">
        <f t="shared" si="6"/>
        <v>609.436</v>
      </c>
      <c r="N985" s="20"/>
    </row>
    <row r="986">
      <c r="A986" s="22"/>
      <c r="B986" s="23" t="s">
        <v>1832</v>
      </c>
      <c r="C986" s="25" t="s">
        <v>1833</v>
      </c>
      <c r="D986" s="25">
        <v>999.0</v>
      </c>
      <c r="E986" s="16">
        <f t="shared" si="1"/>
        <v>68.931</v>
      </c>
      <c r="F986" s="16">
        <f t="shared" si="2"/>
        <v>21.4785</v>
      </c>
      <c r="G986" s="26">
        <v>766.94</v>
      </c>
      <c r="H986" s="27">
        <v>0.145</v>
      </c>
      <c r="I986" s="28">
        <f t="shared" si="24"/>
        <v>144.855</v>
      </c>
      <c r="J986" s="25">
        <v>65.0</v>
      </c>
      <c r="K986" s="16">
        <f t="shared" si="4"/>
        <v>-68.2045</v>
      </c>
      <c r="L986" s="19">
        <f t="shared" si="5"/>
        <v>-0.08893068558</v>
      </c>
      <c r="M986" s="16">
        <f t="shared" si="6"/>
        <v>698.7355</v>
      </c>
      <c r="N986" s="20"/>
    </row>
    <row r="987">
      <c r="A987" s="22"/>
      <c r="B987" s="23" t="s">
        <v>1834</v>
      </c>
      <c r="C987" s="25" t="s">
        <v>1833</v>
      </c>
      <c r="D987" s="25">
        <v>559.0</v>
      </c>
      <c r="E987" s="16">
        <f t="shared" si="1"/>
        <v>38.571</v>
      </c>
      <c r="F987" s="16">
        <f t="shared" si="2"/>
        <v>12.0185</v>
      </c>
      <c r="G987" s="26">
        <v>384.92</v>
      </c>
      <c r="H987" s="27">
        <v>0.1</v>
      </c>
      <c r="I987" s="28">
        <f t="shared" si="24"/>
        <v>55.9</v>
      </c>
      <c r="J987" s="25">
        <v>65.0</v>
      </c>
      <c r="K987" s="16">
        <f t="shared" si="4"/>
        <v>2.5905</v>
      </c>
      <c r="L987" s="19">
        <f t="shared" si="5"/>
        <v>0.006729969864</v>
      </c>
      <c r="M987" s="16">
        <f t="shared" si="6"/>
        <v>387.5105</v>
      </c>
      <c r="N987" s="20"/>
    </row>
    <row r="988">
      <c r="A988" s="22"/>
      <c r="B988" s="23" t="s">
        <v>1835</v>
      </c>
      <c r="C988" s="25" t="s">
        <v>1424</v>
      </c>
      <c r="D988" s="25">
        <v>2399.0</v>
      </c>
      <c r="E988" s="16">
        <f t="shared" si="1"/>
        <v>165.531</v>
      </c>
      <c r="F988" s="16">
        <f t="shared" si="2"/>
        <v>51.5785</v>
      </c>
      <c r="G988" s="26">
        <v>1623.53</v>
      </c>
      <c r="H988" s="27">
        <v>0.1</v>
      </c>
      <c r="I988" s="28">
        <f t="shared" si="24"/>
        <v>239.9</v>
      </c>
      <c r="J988" s="25">
        <v>84.0</v>
      </c>
      <c r="K988" s="16">
        <f t="shared" si="4"/>
        <v>234.4605</v>
      </c>
      <c r="L988" s="19">
        <f t="shared" si="5"/>
        <v>0.1444140238</v>
      </c>
      <c r="M988" s="16">
        <f t="shared" si="6"/>
        <v>1857.9905</v>
      </c>
      <c r="N988" s="20"/>
    </row>
    <row r="989">
      <c r="A989" s="22"/>
      <c r="B989" s="23" t="s">
        <v>1836</v>
      </c>
      <c r="C989" s="25" t="s">
        <v>1837</v>
      </c>
      <c r="D989" s="25">
        <v>929.0</v>
      </c>
      <c r="E989" s="16">
        <f t="shared" si="1"/>
        <v>64.101</v>
      </c>
      <c r="F989" s="16">
        <f t="shared" si="2"/>
        <v>19.9735</v>
      </c>
      <c r="G989" s="26">
        <v>620.0</v>
      </c>
      <c r="H989" s="27">
        <v>0.1</v>
      </c>
      <c r="I989" s="28">
        <f t="shared" si="24"/>
        <v>92.9</v>
      </c>
      <c r="J989" s="25">
        <v>74.0</v>
      </c>
      <c r="K989" s="16">
        <f t="shared" si="4"/>
        <v>58.0255</v>
      </c>
      <c r="L989" s="19">
        <f t="shared" si="5"/>
        <v>0.09358951613</v>
      </c>
      <c r="M989" s="16">
        <f t="shared" si="6"/>
        <v>678.0255</v>
      </c>
      <c r="N989" s="20"/>
    </row>
    <row r="990">
      <c r="A990" s="22"/>
      <c r="B990" s="39" t="s">
        <v>1838</v>
      </c>
      <c r="C990" s="25" t="s">
        <v>1837</v>
      </c>
      <c r="D990" s="25">
        <v>925.0</v>
      </c>
      <c r="E990" s="16">
        <f t="shared" si="1"/>
        <v>63.825</v>
      </c>
      <c r="F990" s="16">
        <f t="shared" si="2"/>
        <v>19.8875</v>
      </c>
      <c r="G990" s="26">
        <v>611.0</v>
      </c>
      <c r="H990" s="27">
        <v>0.1</v>
      </c>
      <c r="I990" s="28">
        <f t="shared" si="24"/>
        <v>92.5</v>
      </c>
      <c r="J990" s="25">
        <v>74.0</v>
      </c>
      <c r="K990" s="16">
        <f t="shared" si="4"/>
        <v>63.7875</v>
      </c>
      <c r="L990" s="19">
        <f t="shared" si="5"/>
        <v>0.104398527</v>
      </c>
      <c r="M990" s="16">
        <f t="shared" si="6"/>
        <v>674.7875</v>
      </c>
      <c r="N990" s="20"/>
    </row>
    <row r="991">
      <c r="A991" s="22"/>
      <c r="B991" s="23" t="s">
        <v>1839</v>
      </c>
      <c r="C991" s="25" t="s">
        <v>1840</v>
      </c>
      <c r="D991" s="25">
        <v>599.0</v>
      </c>
      <c r="E991" s="16">
        <f t="shared" si="1"/>
        <v>41.331</v>
      </c>
      <c r="F991" s="16">
        <f t="shared" si="2"/>
        <v>12.8785</v>
      </c>
      <c r="G991" s="26">
        <v>399.01</v>
      </c>
      <c r="H991" s="27">
        <v>0.15</v>
      </c>
      <c r="I991" s="28">
        <f t="shared" si="24"/>
        <v>89.85</v>
      </c>
      <c r="J991" s="25">
        <v>70.0</v>
      </c>
      <c r="K991" s="16">
        <f t="shared" si="4"/>
        <v>-14.0695</v>
      </c>
      <c r="L991" s="19">
        <f t="shared" si="5"/>
        <v>-0.03526102103</v>
      </c>
      <c r="M991" s="16">
        <f t="shared" si="6"/>
        <v>384.9405</v>
      </c>
      <c r="N991" s="20"/>
    </row>
    <row r="992">
      <c r="A992" s="22"/>
      <c r="B992" s="23" t="s">
        <v>1841</v>
      </c>
      <c r="C992" s="25" t="s">
        <v>1840</v>
      </c>
      <c r="D992" s="25">
        <v>599.0</v>
      </c>
      <c r="E992" s="16">
        <f t="shared" si="1"/>
        <v>41.331</v>
      </c>
      <c r="F992" s="16">
        <f t="shared" si="2"/>
        <v>12.8785</v>
      </c>
      <c r="G992" s="26">
        <v>399.01</v>
      </c>
      <c r="H992" s="27">
        <v>0.15</v>
      </c>
      <c r="I992" s="28">
        <f t="shared" si="24"/>
        <v>89.85</v>
      </c>
      <c r="J992" s="25">
        <v>70.0</v>
      </c>
      <c r="K992" s="16">
        <f t="shared" si="4"/>
        <v>-14.0695</v>
      </c>
      <c r="L992" s="19">
        <f t="shared" si="5"/>
        <v>-0.03526102103</v>
      </c>
      <c r="M992" s="16">
        <f t="shared" si="6"/>
        <v>384.9405</v>
      </c>
      <c r="N992" s="20"/>
    </row>
    <row r="993">
      <c r="A993" s="22"/>
      <c r="B993" s="23" t="s">
        <v>1842</v>
      </c>
      <c r="C993" s="25" t="s">
        <v>1843</v>
      </c>
      <c r="D993" s="25">
        <v>1299.0</v>
      </c>
      <c r="E993" s="16">
        <f t="shared" si="1"/>
        <v>89.631</v>
      </c>
      <c r="F993" s="16">
        <f t="shared" si="2"/>
        <v>27.9285</v>
      </c>
      <c r="G993" s="26">
        <v>970.85</v>
      </c>
      <c r="H993" s="27">
        <v>0.1</v>
      </c>
      <c r="I993" s="28">
        <f t="shared" si="24"/>
        <v>129.9</v>
      </c>
      <c r="J993" s="25">
        <v>65.0</v>
      </c>
      <c r="K993" s="16">
        <f t="shared" si="4"/>
        <v>15.6905</v>
      </c>
      <c r="L993" s="19">
        <f t="shared" si="5"/>
        <v>0.01616161096</v>
      </c>
      <c r="M993" s="16">
        <f t="shared" si="6"/>
        <v>986.5405</v>
      </c>
      <c r="N993" s="20"/>
    </row>
    <row r="994">
      <c r="A994" s="22"/>
      <c r="B994" s="23" t="s">
        <v>1844</v>
      </c>
      <c r="C994" s="25" t="s">
        <v>1845</v>
      </c>
      <c r="D994" s="25">
        <v>4199.0</v>
      </c>
      <c r="E994" s="16">
        <f t="shared" si="1"/>
        <v>289.731</v>
      </c>
      <c r="F994" s="16">
        <f t="shared" si="2"/>
        <v>90.2785</v>
      </c>
      <c r="G994" s="26">
        <v>3305.02</v>
      </c>
      <c r="H994" s="27">
        <v>0.145</v>
      </c>
      <c r="I994" s="28">
        <f t="shared" si="24"/>
        <v>608.855</v>
      </c>
      <c r="J994" s="25">
        <v>65.0</v>
      </c>
      <c r="K994" s="16">
        <f t="shared" si="4"/>
        <v>-159.8845</v>
      </c>
      <c r="L994" s="19">
        <f t="shared" si="5"/>
        <v>-0.04837625793</v>
      </c>
      <c r="M994" s="16">
        <f t="shared" si="6"/>
        <v>3145.1355</v>
      </c>
      <c r="N994" s="20"/>
    </row>
    <row r="995">
      <c r="A995" s="22"/>
      <c r="B995" s="23" t="s">
        <v>1846</v>
      </c>
      <c r="C995" s="25" t="s">
        <v>1847</v>
      </c>
      <c r="D995" s="25">
        <v>4257.0</v>
      </c>
      <c r="E995" s="16">
        <f t="shared" si="1"/>
        <v>293.733</v>
      </c>
      <c r="F995" s="16">
        <f t="shared" si="2"/>
        <v>91.5255</v>
      </c>
      <c r="G995" s="26">
        <v>3252.27</v>
      </c>
      <c r="H995" s="27">
        <v>0.1</v>
      </c>
      <c r="I995" s="28">
        <f t="shared" si="24"/>
        <v>425.7</v>
      </c>
      <c r="J995" s="25">
        <v>122.0</v>
      </c>
      <c r="K995" s="16">
        <f t="shared" si="4"/>
        <v>71.7715</v>
      </c>
      <c r="L995" s="19">
        <f t="shared" si="5"/>
        <v>0.02206812473</v>
      </c>
      <c r="M995" s="16">
        <f t="shared" si="6"/>
        <v>3324.0415</v>
      </c>
      <c r="N995" s="20"/>
    </row>
    <row r="996">
      <c r="A996" s="22"/>
      <c r="B996" s="23" t="s">
        <v>1848</v>
      </c>
      <c r="C996" s="25" t="s">
        <v>1849</v>
      </c>
      <c r="D996" s="25">
        <v>1599.0</v>
      </c>
      <c r="E996" s="16">
        <f t="shared" si="1"/>
        <v>110.331</v>
      </c>
      <c r="F996" s="16">
        <f t="shared" si="2"/>
        <v>34.3785</v>
      </c>
      <c r="G996" s="26">
        <v>991.51</v>
      </c>
      <c r="H996" s="27">
        <v>0.1</v>
      </c>
      <c r="I996" s="28">
        <f t="shared" si="24"/>
        <v>159.9</v>
      </c>
      <c r="J996" s="25">
        <v>65.0</v>
      </c>
      <c r="K996" s="16">
        <f t="shared" si="4"/>
        <v>237.8805</v>
      </c>
      <c r="L996" s="19">
        <f t="shared" si="5"/>
        <v>0.2399173987</v>
      </c>
      <c r="M996" s="16">
        <f t="shared" si="6"/>
        <v>1229.3905</v>
      </c>
      <c r="N996" s="20"/>
    </row>
    <row r="997">
      <c r="A997" s="22"/>
      <c r="B997" s="23" t="s">
        <v>1850</v>
      </c>
      <c r="C997" s="25" t="s">
        <v>1849</v>
      </c>
      <c r="D997" s="25">
        <v>1599.0</v>
      </c>
      <c r="E997" s="16">
        <f t="shared" si="1"/>
        <v>110.331</v>
      </c>
      <c r="F997" s="16">
        <f t="shared" si="2"/>
        <v>34.3785</v>
      </c>
      <c r="G997" s="26">
        <v>991.51</v>
      </c>
      <c r="H997" s="27">
        <v>0.1</v>
      </c>
      <c r="I997" s="28">
        <f t="shared" si="24"/>
        <v>159.9</v>
      </c>
      <c r="J997" s="25">
        <v>65.0</v>
      </c>
      <c r="K997" s="16">
        <f t="shared" si="4"/>
        <v>237.8805</v>
      </c>
      <c r="L997" s="19">
        <f t="shared" si="5"/>
        <v>0.2399173987</v>
      </c>
      <c r="M997" s="16">
        <f t="shared" si="6"/>
        <v>1229.3905</v>
      </c>
      <c r="N997" s="20"/>
    </row>
    <row r="998">
      <c r="A998" s="22"/>
      <c r="B998" s="23" t="s">
        <v>1851</v>
      </c>
      <c r="C998" s="25" t="s">
        <v>1852</v>
      </c>
      <c r="D998" s="25">
        <v>1466.0</v>
      </c>
      <c r="E998" s="16">
        <f t="shared" si="1"/>
        <v>101.154</v>
      </c>
      <c r="F998" s="16">
        <f t="shared" si="2"/>
        <v>31.519</v>
      </c>
      <c r="G998" s="26">
        <v>991.51</v>
      </c>
      <c r="H998" s="27">
        <v>0.1</v>
      </c>
      <c r="I998" s="28">
        <f t="shared" si="24"/>
        <v>146.6</v>
      </c>
      <c r="J998" s="25">
        <v>65.0</v>
      </c>
      <c r="K998" s="16">
        <f t="shared" si="4"/>
        <v>130.217</v>
      </c>
      <c r="L998" s="19">
        <f t="shared" si="5"/>
        <v>0.1313320088</v>
      </c>
      <c r="M998" s="16">
        <f t="shared" si="6"/>
        <v>1121.727</v>
      </c>
      <c r="N998" s="20"/>
    </row>
    <row r="999">
      <c r="A999" s="22"/>
      <c r="B999" s="23" t="s">
        <v>1853</v>
      </c>
      <c r="C999" s="25" t="s">
        <v>1854</v>
      </c>
      <c r="D999" s="25">
        <v>1399.0</v>
      </c>
      <c r="E999" s="16">
        <f t="shared" si="1"/>
        <v>96.531</v>
      </c>
      <c r="F999" s="16">
        <f t="shared" si="2"/>
        <v>30.0785</v>
      </c>
      <c r="G999" s="26">
        <v>970.85</v>
      </c>
      <c r="H999" s="27">
        <v>0.1</v>
      </c>
      <c r="I999" s="28">
        <f t="shared" si="24"/>
        <v>139.9</v>
      </c>
      <c r="J999" s="25">
        <v>65.0</v>
      </c>
      <c r="K999" s="16">
        <f t="shared" si="4"/>
        <v>96.6405</v>
      </c>
      <c r="L999" s="19">
        <f t="shared" si="5"/>
        <v>0.09954215378</v>
      </c>
      <c r="M999" s="16">
        <f t="shared" si="6"/>
        <v>1067.4905</v>
      </c>
      <c r="N999" s="20"/>
    </row>
    <row r="1000">
      <c r="A1000" s="22"/>
      <c r="B1000" s="23" t="s">
        <v>1855</v>
      </c>
      <c r="C1000" s="25" t="s">
        <v>1856</v>
      </c>
      <c r="D1000" s="25">
        <v>446.0</v>
      </c>
      <c r="E1000" s="16">
        <f t="shared" si="1"/>
        <v>30.774</v>
      </c>
      <c r="F1000" s="16">
        <f t="shared" si="2"/>
        <v>9.589</v>
      </c>
      <c r="G1000" s="26">
        <v>262.0</v>
      </c>
      <c r="H1000" s="27">
        <v>0.15</v>
      </c>
      <c r="I1000" s="28">
        <f t="shared" si="24"/>
        <v>66.9</v>
      </c>
      <c r="J1000" s="25">
        <v>65.0</v>
      </c>
      <c r="K1000" s="16">
        <f t="shared" si="4"/>
        <v>11.737</v>
      </c>
      <c r="L1000" s="19">
        <f t="shared" si="5"/>
        <v>0.04479770992</v>
      </c>
      <c r="M1000" s="16">
        <f t="shared" si="6"/>
        <v>273.737</v>
      </c>
      <c r="N1000" s="20"/>
    </row>
    <row r="1001">
      <c r="A1001" s="22"/>
      <c r="B1001" s="39" t="s">
        <v>1857</v>
      </c>
      <c r="C1001" s="25" t="s">
        <v>1856</v>
      </c>
      <c r="D1001" s="25">
        <v>446.0</v>
      </c>
      <c r="E1001" s="16">
        <f t="shared" si="1"/>
        <v>30.774</v>
      </c>
      <c r="F1001" s="16">
        <f t="shared" si="2"/>
        <v>9.589</v>
      </c>
      <c r="G1001" s="26">
        <v>262.0</v>
      </c>
      <c r="H1001" s="27">
        <v>0.15</v>
      </c>
      <c r="I1001" s="28">
        <f t="shared" si="24"/>
        <v>66.9</v>
      </c>
      <c r="J1001" s="25">
        <v>65.0</v>
      </c>
      <c r="K1001" s="16">
        <f t="shared" si="4"/>
        <v>11.737</v>
      </c>
      <c r="L1001" s="19">
        <f t="shared" si="5"/>
        <v>0.04479770992</v>
      </c>
      <c r="M1001" s="16">
        <f t="shared" si="6"/>
        <v>273.737</v>
      </c>
      <c r="N1001" s="20"/>
    </row>
    <row r="1002">
      <c r="A1002" s="22"/>
      <c r="B1002" s="23" t="s">
        <v>1858</v>
      </c>
      <c r="C1002" s="24"/>
      <c r="D1002" s="25">
        <v>553.0</v>
      </c>
      <c r="E1002" s="16">
        <f t="shared" si="1"/>
        <v>38.157</v>
      </c>
      <c r="F1002" s="16">
        <f t="shared" si="2"/>
        <v>11.8895</v>
      </c>
      <c r="G1002" s="26">
        <v>262.0</v>
      </c>
      <c r="H1002" s="27">
        <v>0.15</v>
      </c>
      <c r="I1002" s="28">
        <f t="shared" si="24"/>
        <v>82.95</v>
      </c>
      <c r="J1002" s="25">
        <v>65.0</v>
      </c>
      <c r="K1002" s="16">
        <f t="shared" si="4"/>
        <v>93.0035</v>
      </c>
      <c r="L1002" s="19">
        <f t="shared" si="5"/>
        <v>0.3549751908</v>
      </c>
      <c r="M1002" s="16">
        <f t="shared" si="6"/>
        <v>355.0035</v>
      </c>
      <c r="N1002" s="20"/>
    </row>
    <row r="1003">
      <c r="A1003" s="22"/>
      <c r="B1003" s="23" t="s">
        <v>1859</v>
      </c>
      <c r="C1003" s="25" t="s">
        <v>1689</v>
      </c>
      <c r="D1003" s="25">
        <v>449.0</v>
      </c>
      <c r="E1003" s="16">
        <f t="shared" si="1"/>
        <v>30.981</v>
      </c>
      <c r="F1003" s="16">
        <f t="shared" si="2"/>
        <v>9.6535</v>
      </c>
      <c r="G1003" s="26">
        <v>270.0</v>
      </c>
      <c r="H1003" s="27">
        <v>0.1</v>
      </c>
      <c r="I1003" s="28">
        <f t="shared" si="24"/>
        <v>44.9</v>
      </c>
      <c r="J1003" s="25">
        <v>65.0</v>
      </c>
      <c r="K1003" s="16">
        <f t="shared" si="4"/>
        <v>28.4655</v>
      </c>
      <c r="L1003" s="19">
        <f t="shared" si="5"/>
        <v>0.1054277778</v>
      </c>
      <c r="M1003" s="16">
        <f t="shared" si="6"/>
        <v>298.4655</v>
      </c>
      <c r="N1003" s="20"/>
    </row>
    <row r="1004">
      <c r="A1004" s="22"/>
      <c r="B1004" s="23" t="s">
        <v>1860</v>
      </c>
      <c r="C1004" s="25" t="s">
        <v>1861</v>
      </c>
      <c r="D1004" s="25">
        <v>1899.0</v>
      </c>
      <c r="E1004" s="16">
        <f t="shared" si="1"/>
        <v>131.031</v>
      </c>
      <c r="F1004" s="16">
        <f t="shared" si="2"/>
        <v>40.8285</v>
      </c>
      <c r="G1004" s="26">
        <v>1479.0</v>
      </c>
      <c r="H1004" s="27">
        <v>0.1</v>
      </c>
      <c r="I1004" s="28">
        <f t="shared" si="24"/>
        <v>189.9</v>
      </c>
      <c r="J1004" s="25">
        <v>65.0</v>
      </c>
      <c r="K1004" s="16">
        <f t="shared" si="4"/>
        <v>-6.7595</v>
      </c>
      <c r="L1004" s="19">
        <f t="shared" si="5"/>
        <v>-0.004570317782</v>
      </c>
      <c r="M1004" s="16">
        <f t="shared" si="6"/>
        <v>1472.2405</v>
      </c>
      <c r="N1004" s="20"/>
    </row>
    <row r="1005">
      <c r="A1005" s="22"/>
      <c r="B1005" s="23" t="s">
        <v>1862</v>
      </c>
      <c r="C1005" s="25" t="s">
        <v>1863</v>
      </c>
      <c r="D1005" s="25">
        <v>269.0</v>
      </c>
      <c r="E1005" s="16">
        <f t="shared" si="1"/>
        <v>18.561</v>
      </c>
      <c r="F1005" s="16">
        <f t="shared" si="2"/>
        <v>5.7835</v>
      </c>
      <c r="G1005" s="26">
        <v>160.0</v>
      </c>
      <c r="H1005" s="27">
        <v>0.1</v>
      </c>
      <c r="I1005" s="28">
        <f t="shared" si="24"/>
        <v>26.9</v>
      </c>
      <c r="J1005" s="25">
        <v>29.0</v>
      </c>
      <c r="K1005" s="16">
        <f t="shared" si="4"/>
        <v>28.7555</v>
      </c>
      <c r="L1005" s="19">
        <f t="shared" si="5"/>
        <v>0.179721875</v>
      </c>
      <c r="M1005" s="16">
        <f t="shared" si="6"/>
        <v>188.7555</v>
      </c>
      <c r="N1005" s="20"/>
    </row>
    <row r="1006">
      <c r="A1006" s="22"/>
      <c r="B1006" s="23" t="s">
        <v>1864</v>
      </c>
      <c r="C1006" s="25" t="s">
        <v>1863</v>
      </c>
      <c r="D1006" s="25">
        <v>217.0</v>
      </c>
      <c r="E1006" s="16">
        <f t="shared" si="1"/>
        <v>14.973</v>
      </c>
      <c r="F1006" s="16">
        <f t="shared" si="2"/>
        <v>4.6655</v>
      </c>
      <c r="G1006" s="26">
        <v>160.0</v>
      </c>
      <c r="H1006" s="27">
        <v>0.1</v>
      </c>
      <c r="I1006" s="28">
        <f t="shared" si="24"/>
        <v>21.7</v>
      </c>
      <c r="J1006" s="25">
        <v>29.0</v>
      </c>
      <c r="K1006" s="16">
        <f t="shared" si="4"/>
        <v>-13.3385</v>
      </c>
      <c r="L1006" s="19">
        <f t="shared" si="5"/>
        <v>-0.083365625</v>
      </c>
      <c r="M1006" s="16">
        <f t="shared" si="6"/>
        <v>146.6615</v>
      </c>
      <c r="N1006" s="20"/>
    </row>
    <row r="1007">
      <c r="A1007" s="22"/>
      <c r="B1007" s="23" t="s">
        <v>1865</v>
      </c>
      <c r="C1007" s="24"/>
      <c r="D1007" s="25">
        <v>739.0</v>
      </c>
      <c r="E1007" s="16">
        <f t="shared" si="1"/>
        <v>50.991</v>
      </c>
      <c r="F1007" s="16">
        <f t="shared" si="2"/>
        <v>15.8885</v>
      </c>
      <c r="G1007" s="26">
        <v>597.38</v>
      </c>
      <c r="H1007" s="27">
        <v>0.145</v>
      </c>
      <c r="I1007" s="28">
        <f t="shared" si="24"/>
        <v>107.155</v>
      </c>
      <c r="J1007" s="25">
        <v>29.0</v>
      </c>
      <c r="K1007" s="16">
        <f t="shared" si="4"/>
        <v>-61.4145</v>
      </c>
      <c r="L1007" s="19">
        <f t="shared" si="5"/>
        <v>-0.1028064214</v>
      </c>
      <c r="M1007" s="16">
        <f t="shared" si="6"/>
        <v>535.9655</v>
      </c>
      <c r="N1007" s="20"/>
    </row>
    <row r="1008">
      <c r="A1008" s="22"/>
      <c r="B1008" s="23" t="s">
        <v>1866</v>
      </c>
      <c r="C1008" s="24"/>
      <c r="D1008" s="25">
        <v>1325.0</v>
      </c>
      <c r="E1008" s="16">
        <f t="shared" si="1"/>
        <v>91.425</v>
      </c>
      <c r="F1008" s="16">
        <f t="shared" si="2"/>
        <v>28.4875</v>
      </c>
      <c r="G1008" s="26">
        <v>1103.36</v>
      </c>
      <c r="H1008" s="27">
        <v>0.145</v>
      </c>
      <c r="I1008" s="28">
        <f t="shared" si="24"/>
        <v>192.125</v>
      </c>
      <c r="J1008" s="25">
        <v>29.0</v>
      </c>
      <c r="K1008" s="16">
        <f t="shared" si="4"/>
        <v>-119.3975</v>
      </c>
      <c r="L1008" s="19">
        <f t="shared" si="5"/>
        <v>-0.1082126414</v>
      </c>
      <c r="M1008" s="16">
        <f t="shared" si="6"/>
        <v>983.9625</v>
      </c>
      <c r="N1008" s="20"/>
    </row>
    <row r="1009">
      <c r="A1009" s="22"/>
      <c r="B1009" s="23" t="s">
        <v>1867</v>
      </c>
      <c r="C1009" s="24"/>
      <c r="D1009" s="25">
        <v>1329.0</v>
      </c>
      <c r="E1009" s="16">
        <f t="shared" si="1"/>
        <v>91.701</v>
      </c>
      <c r="F1009" s="16">
        <f t="shared" si="2"/>
        <v>28.5735</v>
      </c>
      <c r="G1009" s="26">
        <v>1103.36</v>
      </c>
      <c r="H1009" s="27">
        <v>0.145</v>
      </c>
      <c r="I1009" s="28">
        <f t="shared" si="24"/>
        <v>192.705</v>
      </c>
      <c r="J1009" s="25">
        <v>29.0</v>
      </c>
      <c r="K1009" s="16">
        <f t="shared" si="4"/>
        <v>-116.3395</v>
      </c>
      <c r="L1009" s="19">
        <f t="shared" si="5"/>
        <v>-0.1054411072</v>
      </c>
      <c r="M1009" s="16">
        <f t="shared" si="6"/>
        <v>987.0205</v>
      </c>
      <c r="N1009" s="20"/>
    </row>
    <row r="1010">
      <c r="A1010" s="22"/>
      <c r="B1010" s="23" t="s">
        <v>1868</v>
      </c>
      <c r="C1010" s="24"/>
      <c r="D1010" s="25">
        <v>399.0</v>
      </c>
      <c r="E1010" s="16">
        <f t="shared" si="1"/>
        <v>27.531</v>
      </c>
      <c r="F1010" s="16">
        <f t="shared" si="2"/>
        <v>8.5785</v>
      </c>
      <c r="G1010" s="26">
        <v>285.32</v>
      </c>
      <c r="H1010" s="27">
        <v>0.145</v>
      </c>
      <c r="I1010" s="28">
        <f t="shared" si="24"/>
        <v>57.855</v>
      </c>
      <c r="J1010" s="25">
        <v>29.0</v>
      </c>
      <c r="K1010" s="16">
        <f t="shared" si="4"/>
        <v>-9.2845</v>
      </c>
      <c r="L1010" s="19">
        <f t="shared" si="5"/>
        <v>-0.03254065611</v>
      </c>
      <c r="M1010" s="16">
        <f t="shared" si="6"/>
        <v>276.0355</v>
      </c>
      <c r="N1010" s="20"/>
    </row>
    <row r="1011">
      <c r="A1011" s="22"/>
      <c r="B1011" s="23" t="s">
        <v>1869</v>
      </c>
      <c r="C1011" s="24"/>
      <c r="D1011" s="25">
        <v>1199.0</v>
      </c>
      <c r="E1011" s="16">
        <f t="shared" si="1"/>
        <v>82.731</v>
      </c>
      <c r="F1011" s="16">
        <f t="shared" si="2"/>
        <v>25.7785</v>
      </c>
      <c r="G1011" s="26">
        <v>819.82</v>
      </c>
      <c r="H1011" s="27">
        <v>0.145</v>
      </c>
      <c r="I1011" s="28">
        <f t="shared" si="24"/>
        <v>173.855</v>
      </c>
      <c r="J1011" s="25">
        <v>89.0</v>
      </c>
      <c r="K1011" s="16">
        <f t="shared" si="4"/>
        <v>7.8155</v>
      </c>
      <c r="L1011" s="19">
        <f t="shared" si="5"/>
        <v>0.009533190212</v>
      </c>
      <c r="M1011" s="16">
        <f t="shared" si="6"/>
        <v>827.6355</v>
      </c>
      <c r="N1011" s="20"/>
    </row>
    <row r="1012">
      <c r="A1012" s="22"/>
      <c r="B1012" s="23" t="s">
        <v>1870</v>
      </c>
      <c r="C1012" s="24"/>
      <c r="D1012" s="25">
        <v>560.0</v>
      </c>
      <c r="E1012" s="16">
        <f t="shared" si="1"/>
        <v>38.64</v>
      </c>
      <c r="F1012" s="16">
        <f t="shared" si="2"/>
        <v>12.04</v>
      </c>
      <c r="G1012" s="26">
        <v>384.92</v>
      </c>
      <c r="H1012" s="27">
        <v>0.1</v>
      </c>
      <c r="I1012" s="28">
        <f t="shared" si="24"/>
        <v>56</v>
      </c>
      <c r="J1012" s="25">
        <v>65.0</v>
      </c>
      <c r="K1012" s="16">
        <f t="shared" si="4"/>
        <v>3.4</v>
      </c>
      <c r="L1012" s="19">
        <f t="shared" si="5"/>
        <v>0.008833004261</v>
      </c>
      <c r="M1012" s="16">
        <f t="shared" si="6"/>
        <v>388.32</v>
      </c>
      <c r="N1012" s="20"/>
    </row>
    <row r="1013">
      <c r="A1013" s="22"/>
      <c r="B1013" s="23" t="s">
        <v>1871</v>
      </c>
      <c r="C1013" s="24"/>
      <c r="D1013" s="25">
        <v>859.0</v>
      </c>
      <c r="E1013" s="16">
        <f t="shared" si="1"/>
        <v>59.271</v>
      </c>
      <c r="F1013" s="16">
        <f t="shared" si="2"/>
        <v>18.4685</v>
      </c>
      <c r="G1013" s="26">
        <v>547.82</v>
      </c>
      <c r="H1013" s="27">
        <v>0.1</v>
      </c>
      <c r="I1013" s="28">
        <f t="shared" si="24"/>
        <v>85.9</v>
      </c>
      <c r="J1013" s="25">
        <v>65.0</v>
      </c>
      <c r="K1013" s="16">
        <f t="shared" si="4"/>
        <v>82.5405</v>
      </c>
      <c r="L1013" s="19">
        <f t="shared" si="5"/>
        <v>0.1506708408</v>
      </c>
      <c r="M1013" s="16">
        <f t="shared" si="6"/>
        <v>630.3605</v>
      </c>
      <c r="N1013" s="20"/>
    </row>
    <row r="1014">
      <c r="A1014" s="22"/>
      <c r="B1014" s="23" t="s">
        <v>1872</v>
      </c>
      <c r="C1014" s="24"/>
      <c r="D1014" s="25">
        <v>1529.0</v>
      </c>
      <c r="E1014" s="16">
        <f t="shared" si="1"/>
        <v>105.501</v>
      </c>
      <c r="F1014" s="16">
        <f t="shared" si="2"/>
        <v>32.8735</v>
      </c>
      <c r="G1014" s="26">
        <v>1102.0</v>
      </c>
      <c r="H1014" s="27">
        <v>0.15</v>
      </c>
      <c r="I1014" s="28">
        <f t="shared" si="24"/>
        <v>229.35</v>
      </c>
      <c r="J1014" s="25">
        <v>84.0</v>
      </c>
      <c r="K1014" s="16">
        <f t="shared" si="4"/>
        <v>-24.7245</v>
      </c>
      <c r="L1014" s="19">
        <f t="shared" si="5"/>
        <v>-0.02243602541</v>
      </c>
      <c r="M1014" s="16">
        <f t="shared" si="6"/>
        <v>1077.2755</v>
      </c>
      <c r="N1014" s="20"/>
    </row>
    <row r="1015">
      <c r="A1015" s="22"/>
      <c r="B1015" s="23" t="s">
        <v>1873</v>
      </c>
      <c r="C1015" s="24"/>
      <c r="D1015" s="25">
        <v>999.0</v>
      </c>
      <c r="E1015" s="16">
        <f t="shared" si="1"/>
        <v>68.931</v>
      </c>
      <c r="F1015" s="16">
        <f t="shared" si="2"/>
        <v>21.4785</v>
      </c>
      <c r="G1015" s="26">
        <v>690.2</v>
      </c>
      <c r="H1015" s="27">
        <v>0.15</v>
      </c>
      <c r="I1015" s="28">
        <f t="shared" si="24"/>
        <v>149.85</v>
      </c>
      <c r="J1015" s="25">
        <v>84.0</v>
      </c>
      <c r="K1015" s="16">
        <f t="shared" si="4"/>
        <v>-15.4595</v>
      </c>
      <c r="L1015" s="19">
        <f t="shared" si="5"/>
        <v>-0.02239858012</v>
      </c>
      <c r="M1015" s="16">
        <f t="shared" si="6"/>
        <v>674.7405</v>
      </c>
      <c r="N1015" s="20"/>
    </row>
    <row r="1016">
      <c r="A1016" s="22"/>
      <c r="B1016" s="23" t="s">
        <v>1874</v>
      </c>
      <c r="C1016" s="24"/>
      <c r="D1016" s="25">
        <v>1529.0</v>
      </c>
      <c r="E1016" s="16">
        <f t="shared" si="1"/>
        <v>105.501</v>
      </c>
      <c r="F1016" s="16">
        <f t="shared" si="2"/>
        <v>32.8735</v>
      </c>
      <c r="G1016" s="26">
        <v>1102.0</v>
      </c>
      <c r="H1016" s="27">
        <v>0.15</v>
      </c>
      <c r="I1016" s="28">
        <f t="shared" si="24"/>
        <v>229.35</v>
      </c>
      <c r="J1016" s="25">
        <v>84.0</v>
      </c>
      <c r="K1016" s="16">
        <f t="shared" si="4"/>
        <v>-24.7245</v>
      </c>
      <c r="L1016" s="19">
        <f t="shared" si="5"/>
        <v>-0.02243602541</v>
      </c>
      <c r="M1016" s="16">
        <f t="shared" si="6"/>
        <v>1077.2755</v>
      </c>
      <c r="N1016" s="20"/>
    </row>
    <row r="1017">
      <c r="A1017" s="22"/>
      <c r="B1017" s="23" t="s">
        <v>1875</v>
      </c>
      <c r="C1017" s="24"/>
      <c r="D1017" s="25">
        <v>1529.0</v>
      </c>
      <c r="E1017" s="16">
        <f t="shared" si="1"/>
        <v>105.501</v>
      </c>
      <c r="F1017" s="16">
        <f t="shared" si="2"/>
        <v>32.8735</v>
      </c>
      <c r="G1017" s="26">
        <v>1102.0</v>
      </c>
      <c r="H1017" s="27">
        <v>0.15</v>
      </c>
      <c r="I1017" s="28">
        <f t="shared" si="24"/>
        <v>229.35</v>
      </c>
      <c r="J1017" s="25">
        <v>95.0</v>
      </c>
      <c r="K1017" s="16">
        <f t="shared" si="4"/>
        <v>-35.7245</v>
      </c>
      <c r="L1017" s="19">
        <f t="shared" si="5"/>
        <v>-0.03241787659</v>
      </c>
      <c r="M1017" s="16">
        <f t="shared" si="6"/>
        <v>1066.2755</v>
      </c>
      <c r="N1017" s="20"/>
    </row>
    <row r="1018">
      <c r="A1018" s="22"/>
      <c r="B1018" s="23" t="s">
        <v>1876</v>
      </c>
      <c r="C1018" s="25" t="s">
        <v>1877</v>
      </c>
      <c r="D1018" s="25">
        <v>1799.0</v>
      </c>
      <c r="E1018" s="16">
        <f t="shared" si="1"/>
        <v>124.131</v>
      </c>
      <c r="F1018" s="16">
        <f t="shared" si="2"/>
        <v>38.6785</v>
      </c>
      <c r="G1018" s="26">
        <v>1270.2</v>
      </c>
      <c r="H1018" s="27">
        <v>0.15</v>
      </c>
      <c r="I1018" s="28">
        <f t="shared" si="24"/>
        <v>269.85</v>
      </c>
      <c r="J1018" s="25">
        <v>95.0</v>
      </c>
      <c r="K1018" s="16">
        <f t="shared" si="4"/>
        <v>1.1405</v>
      </c>
      <c r="L1018" s="19">
        <f t="shared" si="5"/>
        <v>0.000897890096</v>
      </c>
      <c r="M1018" s="16">
        <f t="shared" si="6"/>
        <v>1271.3405</v>
      </c>
      <c r="N1018" s="20"/>
    </row>
    <row r="1019">
      <c r="A1019" s="22"/>
      <c r="B1019" s="23" t="s">
        <v>1878</v>
      </c>
      <c r="C1019" s="24"/>
      <c r="D1019" s="25">
        <v>699.0</v>
      </c>
      <c r="E1019" s="16">
        <f t="shared" si="1"/>
        <v>48.231</v>
      </c>
      <c r="F1019" s="16">
        <f t="shared" si="2"/>
        <v>15.0285</v>
      </c>
      <c r="G1019" s="26">
        <v>432.72</v>
      </c>
      <c r="H1019" s="27">
        <v>0.15</v>
      </c>
      <c r="I1019" s="28">
        <f t="shared" si="24"/>
        <v>104.85</v>
      </c>
      <c r="J1019" s="25">
        <v>70.0</v>
      </c>
      <c r="K1019" s="16">
        <f t="shared" si="4"/>
        <v>28.1705</v>
      </c>
      <c r="L1019" s="19">
        <f t="shared" si="5"/>
        <v>0.06510098909</v>
      </c>
      <c r="M1019" s="16">
        <f t="shared" si="6"/>
        <v>460.8905</v>
      </c>
      <c r="N1019" s="20"/>
    </row>
    <row r="1020">
      <c r="A1020" s="22"/>
      <c r="B1020" s="23" t="s">
        <v>1879</v>
      </c>
      <c r="C1020" s="24"/>
      <c r="D1020" s="25">
        <v>1529.0</v>
      </c>
      <c r="E1020" s="16">
        <f t="shared" si="1"/>
        <v>105.501</v>
      </c>
      <c r="F1020" s="16">
        <f t="shared" si="2"/>
        <v>32.8735</v>
      </c>
      <c r="G1020" s="26">
        <v>961.62</v>
      </c>
      <c r="H1020" s="27">
        <v>0.15</v>
      </c>
      <c r="I1020" s="28">
        <f t="shared" si="24"/>
        <v>229.35</v>
      </c>
      <c r="J1020" s="25">
        <v>95.0</v>
      </c>
      <c r="K1020" s="16">
        <f t="shared" si="4"/>
        <v>104.6555</v>
      </c>
      <c r="L1020" s="19">
        <f t="shared" si="5"/>
        <v>0.108832491</v>
      </c>
      <c r="M1020" s="16">
        <f t="shared" si="6"/>
        <v>1066.2755</v>
      </c>
      <c r="N1020" s="20"/>
    </row>
    <row r="1021">
      <c r="A1021" s="22"/>
      <c r="B1021" s="23" t="s">
        <v>1880</v>
      </c>
      <c r="C1021" s="24"/>
      <c r="D1021" s="25">
        <v>1599.0</v>
      </c>
      <c r="E1021" s="16">
        <f t="shared" si="1"/>
        <v>110.331</v>
      </c>
      <c r="F1021" s="16">
        <f t="shared" si="2"/>
        <v>34.3785</v>
      </c>
      <c r="G1021" s="26">
        <v>1102.0</v>
      </c>
      <c r="H1021" s="27">
        <v>0.15</v>
      </c>
      <c r="I1021" s="28">
        <f t="shared" si="24"/>
        <v>239.85</v>
      </c>
      <c r="J1021" s="25">
        <v>84.0</v>
      </c>
      <c r="K1021" s="16">
        <f t="shared" si="4"/>
        <v>28.4405</v>
      </c>
      <c r="L1021" s="19">
        <f t="shared" si="5"/>
        <v>0.02580807623</v>
      </c>
      <c r="M1021" s="16">
        <f t="shared" si="6"/>
        <v>1130.4405</v>
      </c>
      <c r="N1021" s="20"/>
    </row>
    <row r="1022">
      <c r="A1022" s="22"/>
      <c r="B1022" s="23" t="s">
        <v>1881</v>
      </c>
      <c r="C1022" s="24"/>
      <c r="D1022" s="25">
        <v>999.0</v>
      </c>
      <c r="E1022" s="16">
        <f t="shared" si="1"/>
        <v>68.931</v>
      </c>
      <c r="F1022" s="16">
        <f t="shared" si="2"/>
        <v>21.4785</v>
      </c>
      <c r="G1022" s="26">
        <v>690.2</v>
      </c>
      <c r="H1022" s="27">
        <v>0.15</v>
      </c>
      <c r="I1022" s="28">
        <f t="shared" si="24"/>
        <v>149.85</v>
      </c>
      <c r="J1022" s="25">
        <v>84.0</v>
      </c>
      <c r="K1022" s="16">
        <f t="shared" si="4"/>
        <v>-15.4595</v>
      </c>
      <c r="L1022" s="19">
        <f t="shared" si="5"/>
        <v>-0.02239858012</v>
      </c>
      <c r="M1022" s="16">
        <f t="shared" si="6"/>
        <v>674.7405</v>
      </c>
      <c r="N1022" s="20"/>
    </row>
    <row r="1023">
      <c r="A1023" s="22"/>
      <c r="B1023" s="23" t="s">
        <v>1882</v>
      </c>
      <c r="C1023" s="24"/>
      <c r="D1023" s="25">
        <v>1449.0</v>
      </c>
      <c r="E1023" s="16">
        <f t="shared" si="1"/>
        <v>99.981</v>
      </c>
      <c r="F1023" s="16">
        <f t="shared" si="2"/>
        <v>31.1535</v>
      </c>
      <c r="G1023" s="26">
        <v>986.0</v>
      </c>
      <c r="H1023" s="27">
        <v>0.15</v>
      </c>
      <c r="I1023" s="28">
        <f t="shared" si="24"/>
        <v>217.35</v>
      </c>
      <c r="J1023" s="25">
        <v>84.0</v>
      </c>
      <c r="K1023" s="16">
        <f t="shared" si="4"/>
        <v>30.5155</v>
      </c>
      <c r="L1023" s="19">
        <f t="shared" si="5"/>
        <v>0.03094878296</v>
      </c>
      <c r="M1023" s="16">
        <f t="shared" si="6"/>
        <v>1016.5155</v>
      </c>
      <c r="N1023" s="20"/>
    </row>
    <row r="1024">
      <c r="A1024" s="22"/>
      <c r="B1024" s="23" t="s">
        <v>1883</v>
      </c>
      <c r="C1024" s="24"/>
      <c r="D1024" s="25">
        <v>1314.0</v>
      </c>
      <c r="E1024" s="16">
        <f t="shared" si="1"/>
        <v>90.666</v>
      </c>
      <c r="F1024" s="16">
        <f t="shared" si="2"/>
        <v>28.251</v>
      </c>
      <c r="G1024" s="26">
        <v>986.0</v>
      </c>
      <c r="H1024" s="27">
        <v>0.15</v>
      </c>
      <c r="I1024" s="28">
        <f t="shared" si="24"/>
        <v>197.1</v>
      </c>
      <c r="J1024" s="25">
        <v>84.0</v>
      </c>
      <c r="K1024" s="16">
        <f t="shared" si="4"/>
        <v>-72.017</v>
      </c>
      <c r="L1024" s="19">
        <f t="shared" si="5"/>
        <v>-0.07303955375</v>
      </c>
      <c r="M1024" s="16">
        <f t="shared" si="6"/>
        <v>913.983</v>
      </c>
      <c r="N1024" s="20"/>
    </row>
    <row r="1025">
      <c r="A1025" s="22"/>
      <c r="B1025" s="23" t="s">
        <v>1884</v>
      </c>
      <c r="C1025" s="24"/>
      <c r="D1025" s="25">
        <v>474.0</v>
      </c>
      <c r="E1025" s="16">
        <f t="shared" si="1"/>
        <v>32.706</v>
      </c>
      <c r="F1025" s="16">
        <f t="shared" si="2"/>
        <v>10.191</v>
      </c>
      <c r="G1025" s="26">
        <v>338.81</v>
      </c>
      <c r="H1025" s="27">
        <v>0.145</v>
      </c>
      <c r="I1025" s="28">
        <f t="shared" si="24"/>
        <v>68.73</v>
      </c>
      <c r="J1025" s="25">
        <v>65.0</v>
      </c>
      <c r="K1025" s="16">
        <f t="shared" si="4"/>
        <v>-41.437</v>
      </c>
      <c r="L1025" s="19">
        <f t="shared" si="5"/>
        <v>-0.122301585</v>
      </c>
      <c r="M1025" s="16">
        <f t="shared" si="6"/>
        <v>297.373</v>
      </c>
      <c r="N1025" s="20"/>
    </row>
    <row r="1026">
      <c r="A1026" s="22"/>
      <c r="B1026" s="23" t="s">
        <v>1885</v>
      </c>
      <c r="C1026" s="24"/>
      <c r="D1026" s="25">
        <v>1399.0</v>
      </c>
      <c r="E1026" s="16">
        <f t="shared" si="1"/>
        <v>96.531</v>
      </c>
      <c r="F1026" s="16">
        <f t="shared" si="2"/>
        <v>30.0785</v>
      </c>
      <c r="G1026" s="26">
        <v>1102.0</v>
      </c>
      <c r="H1026" s="27">
        <v>0.15</v>
      </c>
      <c r="I1026" s="28">
        <f t="shared" si="24"/>
        <v>209.85</v>
      </c>
      <c r="J1026" s="25">
        <v>84.0</v>
      </c>
      <c r="K1026" s="16">
        <f t="shared" si="4"/>
        <v>-123.4595</v>
      </c>
      <c r="L1026" s="19">
        <f t="shared" si="5"/>
        <v>-0.1120322142</v>
      </c>
      <c r="M1026" s="16">
        <f t="shared" si="6"/>
        <v>978.5405</v>
      </c>
      <c r="N1026" s="20"/>
    </row>
    <row r="1027">
      <c r="A1027" s="22"/>
      <c r="B1027" s="23" t="s">
        <v>1886</v>
      </c>
      <c r="C1027" s="24"/>
      <c r="D1027" s="25">
        <v>899.0</v>
      </c>
      <c r="E1027" s="16">
        <f t="shared" si="1"/>
        <v>62.031</v>
      </c>
      <c r="F1027" s="16">
        <f t="shared" si="2"/>
        <v>19.3285</v>
      </c>
      <c r="G1027" s="26">
        <v>590.0</v>
      </c>
      <c r="H1027" s="27">
        <v>0.15</v>
      </c>
      <c r="I1027" s="28">
        <f t="shared" si="24"/>
        <v>134.85</v>
      </c>
      <c r="J1027" s="25">
        <v>84.0</v>
      </c>
      <c r="K1027" s="16">
        <f t="shared" si="4"/>
        <v>8.7905</v>
      </c>
      <c r="L1027" s="19">
        <f t="shared" si="5"/>
        <v>0.01489915254</v>
      </c>
      <c r="M1027" s="16">
        <f t="shared" si="6"/>
        <v>598.7905</v>
      </c>
      <c r="N1027" s="20"/>
    </row>
    <row r="1028">
      <c r="A1028" s="22"/>
      <c r="B1028" s="23" t="s">
        <v>1887</v>
      </c>
      <c r="C1028" s="24"/>
      <c r="D1028" s="25">
        <v>899.0</v>
      </c>
      <c r="E1028" s="16">
        <f t="shared" si="1"/>
        <v>62.031</v>
      </c>
      <c r="F1028" s="16">
        <f t="shared" si="2"/>
        <v>19.3285</v>
      </c>
      <c r="G1028" s="26">
        <v>590.0</v>
      </c>
      <c r="H1028" s="27">
        <v>0.15</v>
      </c>
      <c r="I1028" s="28">
        <f t="shared" si="24"/>
        <v>134.85</v>
      </c>
      <c r="J1028" s="25">
        <v>84.0</v>
      </c>
      <c r="K1028" s="16">
        <f t="shared" si="4"/>
        <v>8.7905</v>
      </c>
      <c r="L1028" s="19">
        <f t="shared" si="5"/>
        <v>0.01489915254</v>
      </c>
      <c r="M1028" s="16">
        <f t="shared" si="6"/>
        <v>598.7905</v>
      </c>
      <c r="N1028" s="20"/>
    </row>
    <row r="1029">
      <c r="A1029" s="22"/>
      <c r="B1029" s="23" t="s">
        <v>1888</v>
      </c>
      <c r="C1029" s="24"/>
      <c r="D1029" s="24"/>
      <c r="E1029" s="16">
        <f t="shared" si="1"/>
        <v>0</v>
      </c>
      <c r="F1029" s="16">
        <f t="shared" si="2"/>
        <v>0</v>
      </c>
      <c r="G1029" s="26">
        <v>13.0</v>
      </c>
      <c r="H1029" s="27">
        <v>0.15</v>
      </c>
      <c r="I1029" s="28">
        <f t="shared" si="24"/>
        <v>0</v>
      </c>
      <c r="J1029" s="25">
        <v>84.0</v>
      </c>
      <c r="K1029" s="16">
        <f t="shared" si="4"/>
        <v>-97</v>
      </c>
      <c r="L1029" s="19">
        <f t="shared" si="5"/>
        <v>-7.461538462</v>
      </c>
      <c r="M1029" s="16">
        <f t="shared" si="6"/>
        <v>-84</v>
      </c>
      <c r="N1029" s="20"/>
    </row>
    <row r="1030">
      <c r="A1030" s="22"/>
      <c r="B1030" s="23" t="s">
        <v>1889</v>
      </c>
      <c r="C1030" s="24"/>
      <c r="D1030" s="25">
        <v>1429.0</v>
      </c>
      <c r="E1030" s="16">
        <f t="shared" si="1"/>
        <v>98.601</v>
      </c>
      <c r="F1030" s="16">
        <f t="shared" si="2"/>
        <v>30.7235</v>
      </c>
      <c r="G1030" s="26">
        <v>986.0</v>
      </c>
      <c r="H1030" s="27">
        <v>0.15</v>
      </c>
      <c r="I1030" s="28">
        <f t="shared" si="24"/>
        <v>214.35</v>
      </c>
      <c r="J1030" s="25">
        <v>84.0</v>
      </c>
      <c r="K1030" s="16">
        <f t="shared" si="4"/>
        <v>15.3255</v>
      </c>
      <c r="L1030" s="19">
        <f t="shared" si="5"/>
        <v>0.01554310345</v>
      </c>
      <c r="M1030" s="16">
        <f t="shared" si="6"/>
        <v>1001.3255</v>
      </c>
      <c r="N1030" s="20"/>
    </row>
    <row r="1031">
      <c r="A1031" s="22"/>
      <c r="B1031" s="23" t="s">
        <v>1890</v>
      </c>
      <c r="C1031" s="24"/>
      <c r="D1031" s="25">
        <v>1319.0</v>
      </c>
      <c r="E1031" s="16">
        <f t="shared" si="1"/>
        <v>91.011</v>
      </c>
      <c r="F1031" s="16">
        <f t="shared" si="2"/>
        <v>28.3585</v>
      </c>
      <c r="G1031" s="26">
        <v>986.0</v>
      </c>
      <c r="H1031" s="27">
        <v>0.15</v>
      </c>
      <c r="I1031" s="28">
        <f t="shared" si="24"/>
        <v>197.85</v>
      </c>
      <c r="J1031" s="25">
        <v>84.0</v>
      </c>
      <c r="K1031" s="16">
        <f t="shared" si="4"/>
        <v>-68.2195</v>
      </c>
      <c r="L1031" s="19">
        <f t="shared" si="5"/>
        <v>-0.06918813387</v>
      </c>
      <c r="M1031" s="16">
        <f t="shared" si="6"/>
        <v>917.7805</v>
      </c>
      <c r="N1031" s="20"/>
    </row>
    <row r="1032">
      <c r="A1032" s="22"/>
      <c r="B1032" s="23" t="s">
        <v>1891</v>
      </c>
      <c r="C1032" s="24"/>
      <c r="D1032" s="25">
        <v>699.0</v>
      </c>
      <c r="E1032" s="16">
        <f t="shared" si="1"/>
        <v>48.231</v>
      </c>
      <c r="F1032" s="16">
        <f t="shared" si="2"/>
        <v>15.0285</v>
      </c>
      <c r="G1032" s="26">
        <v>450.0</v>
      </c>
      <c r="H1032" s="27">
        <v>0.195</v>
      </c>
      <c r="I1032" s="28">
        <f t="shared" si="24"/>
        <v>136.305</v>
      </c>
      <c r="J1032" s="25">
        <v>74.5</v>
      </c>
      <c r="K1032" s="16">
        <f t="shared" si="4"/>
        <v>-25.0645</v>
      </c>
      <c r="L1032" s="19">
        <f t="shared" si="5"/>
        <v>-0.05569888889</v>
      </c>
      <c r="M1032" s="16">
        <f t="shared" si="6"/>
        <v>424.9355</v>
      </c>
      <c r="N1032" s="20"/>
    </row>
    <row r="1033">
      <c r="A1033" s="22"/>
      <c r="B1033" s="23" t="s">
        <v>1892</v>
      </c>
      <c r="C1033" s="25" t="s">
        <v>1893</v>
      </c>
      <c r="D1033" s="25">
        <v>6611.0</v>
      </c>
      <c r="E1033" s="16">
        <f t="shared" si="1"/>
        <v>456.159</v>
      </c>
      <c r="F1033" s="16">
        <f t="shared" si="2"/>
        <v>142.1365</v>
      </c>
      <c r="G1033" s="26">
        <v>4172.78</v>
      </c>
      <c r="H1033" s="27">
        <v>0.145</v>
      </c>
      <c r="I1033" s="28">
        <f t="shared" si="24"/>
        <v>958.595</v>
      </c>
      <c r="J1033" s="25">
        <v>74.5</v>
      </c>
      <c r="K1033" s="16">
        <f t="shared" si="4"/>
        <v>806.8295</v>
      </c>
      <c r="L1033" s="19">
        <f t="shared" si="5"/>
        <v>0.193355389</v>
      </c>
      <c r="M1033" s="16">
        <f t="shared" si="6"/>
        <v>4979.6095</v>
      </c>
      <c r="N1033" s="20"/>
    </row>
    <row r="1034">
      <c r="A1034" s="22"/>
      <c r="B1034" s="23" t="s">
        <v>1894</v>
      </c>
      <c r="C1034" s="25" t="s">
        <v>1895</v>
      </c>
      <c r="D1034" s="25">
        <v>571.0</v>
      </c>
      <c r="E1034" s="16">
        <f t="shared" si="1"/>
        <v>39.399</v>
      </c>
      <c r="F1034" s="16">
        <f t="shared" si="2"/>
        <v>12.2765</v>
      </c>
      <c r="G1034" s="26">
        <v>406.8</v>
      </c>
      <c r="H1034" s="27">
        <v>0.1</v>
      </c>
      <c r="I1034" s="28">
        <f t="shared" si="24"/>
        <v>57.1</v>
      </c>
      <c r="J1034" s="25">
        <v>74.5</v>
      </c>
      <c r="K1034" s="16">
        <f t="shared" si="4"/>
        <v>-19.0755</v>
      </c>
      <c r="L1034" s="19">
        <f t="shared" si="5"/>
        <v>-0.04689159292</v>
      </c>
      <c r="M1034" s="16">
        <f t="shared" si="6"/>
        <v>387.7245</v>
      </c>
      <c r="N1034" s="20"/>
    </row>
    <row r="1035">
      <c r="A1035" s="22"/>
      <c r="B1035" s="23" t="s">
        <v>1896</v>
      </c>
      <c r="C1035" s="25" t="s">
        <v>1897</v>
      </c>
      <c r="D1035" s="25">
        <v>501.0</v>
      </c>
      <c r="E1035" s="16">
        <f t="shared" si="1"/>
        <v>34.569</v>
      </c>
      <c r="F1035" s="16">
        <f t="shared" si="2"/>
        <v>10.7715</v>
      </c>
      <c r="G1035" s="26">
        <v>341.01</v>
      </c>
      <c r="H1035" s="27">
        <v>0.15</v>
      </c>
      <c r="I1035" s="28">
        <f t="shared" si="24"/>
        <v>75.15</v>
      </c>
      <c r="J1035" s="25">
        <v>65.0</v>
      </c>
      <c r="K1035" s="16">
        <f t="shared" si="4"/>
        <v>-25.5005</v>
      </c>
      <c r="L1035" s="19">
        <f t="shared" si="5"/>
        <v>-0.07477933198</v>
      </c>
      <c r="M1035" s="16">
        <f t="shared" si="6"/>
        <v>315.5095</v>
      </c>
      <c r="N1035" s="20"/>
    </row>
    <row r="1036">
      <c r="A1036" s="22"/>
      <c r="B1036" s="39" t="s">
        <v>1898</v>
      </c>
      <c r="C1036" s="25" t="s">
        <v>1897</v>
      </c>
      <c r="D1036" s="25">
        <v>501.0</v>
      </c>
      <c r="E1036" s="16">
        <f t="shared" si="1"/>
        <v>34.569</v>
      </c>
      <c r="F1036" s="16">
        <f t="shared" si="2"/>
        <v>10.7715</v>
      </c>
      <c r="G1036" s="26">
        <v>341.01</v>
      </c>
      <c r="H1036" s="27">
        <v>0.15</v>
      </c>
      <c r="I1036" s="28">
        <f t="shared" si="24"/>
        <v>75.15</v>
      </c>
      <c r="J1036" s="25">
        <v>65.0</v>
      </c>
      <c r="K1036" s="16">
        <f t="shared" si="4"/>
        <v>-25.5005</v>
      </c>
      <c r="L1036" s="19">
        <f t="shared" si="5"/>
        <v>-0.07477933198</v>
      </c>
      <c r="M1036" s="16">
        <f t="shared" si="6"/>
        <v>315.5095</v>
      </c>
      <c r="N1036" s="20"/>
    </row>
    <row r="1037">
      <c r="A1037" s="22"/>
      <c r="B1037" s="23" t="s">
        <v>1899</v>
      </c>
      <c r="C1037" s="25" t="s">
        <v>1900</v>
      </c>
      <c r="D1037" s="25">
        <v>699.0</v>
      </c>
      <c r="E1037" s="16">
        <f t="shared" si="1"/>
        <v>48.231</v>
      </c>
      <c r="F1037" s="16">
        <f t="shared" si="2"/>
        <v>15.0285</v>
      </c>
      <c r="G1037" s="26">
        <v>400.0</v>
      </c>
      <c r="H1037" s="27">
        <v>0.15</v>
      </c>
      <c r="I1037" s="28">
        <f t="shared" si="24"/>
        <v>104.85</v>
      </c>
      <c r="J1037" s="25">
        <v>110.0</v>
      </c>
      <c r="K1037" s="16">
        <f t="shared" si="4"/>
        <v>20.8905</v>
      </c>
      <c r="L1037" s="19">
        <f t="shared" si="5"/>
        <v>0.05222625</v>
      </c>
      <c r="M1037" s="16">
        <f t="shared" si="6"/>
        <v>420.8905</v>
      </c>
      <c r="N1037" s="20"/>
    </row>
    <row r="1038">
      <c r="A1038" s="22"/>
      <c r="B1038" s="23" t="s">
        <v>1901</v>
      </c>
      <c r="C1038" s="25" t="s">
        <v>1902</v>
      </c>
      <c r="D1038" s="25">
        <v>599.0</v>
      </c>
      <c r="E1038" s="16">
        <f t="shared" si="1"/>
        <v>41.331</v>
      </c>
      <c r="F1038" s="16">
        <f t="shared" si="2"/>
        <v>12.8785</v>
      </c>
      <c r="G1038" s="26">
        <v>341.01</v>
      </c>
      <c r="H1038" s="27">
        <v>0.15</v>
      </c>
      <c r="I1038" s="28">
        <f t="shared" si="24"/>
        <v>89.85</v>
      </c>
      <c r="J1038" s="25">
        <v>74.0</v>
      </c>
      <c r="K1038" s="16">
        <f t="shared" si="4"/>
        <v>39.9305</v>
      </c>
      <c r="L1038" s="19">
        <f t="shared" si="5"/>
        <v>0.1170948066</v>
      </c>
      <c r="M1038" s="16">
        <f t="shared" si="6"/>
        <v>380.9405</v>
      </c>
      <c r="N1038" s="20"/>
    </row>
    <row r="1039">
      <c r="A1039" s="22"/>
      <c r="B1039" s="23" t="s">
        <v>1903</v>
      </c>
      <c r="C1039" s="25" t="s">
        <v>1904</v>
      </c>
      <c r="D1039" s="25">
        <v>799.0</v>
      </c>
      <c r="E1039" s="16">
        <f t="shared" si="1"/>
        <v>55.131</v>
      </c>
      <c r="F1039" s="16">
        <f t="shared" si="2"/>
        <v>17.1785</v>
      </c>
      <c r="G1039" s="26">
        <v>470.0</v>
      </c>
      <c r="H1039" s="27">
        <v>0.15</v>
      </c>
      <c r="I1039" s="28">
        <f t="shared" si="24"/>
        <v>119.85</v>
      </c>
      <c r="J1039" s="25">
        <v>139.0</v>
      </c>
      <c r="K1039" s="16">
        <f t="shared" si="4"/>
        <v>-2.1595</v>
      </c>
      <c r="L1039" s="19">
        <f t="shared" si="5"/>
        <v>-0.004594680851</v>
      </c>
      <c r="M1039" s="16">
        <f t="shared" si="6"/>
        <v>467.8405</v>
      </c>
      <c r="N1039" s="20"/>
    </row>
    <row r="1040">
      <c r="A1040" s="22"/>
      <c r="B1040" s="23" t="s">
        <v>1905</v>
      </c>
      <c r="C1040" s="25" t="s">
        <v>1906</v>
      </c>
      <c r="D1040" s="25">
        <v>1249.0</v>
      </c>
      <c r="E1040" s="16">
        <f t="shared" si="1"/>
        <v>86.181</v>
      </c>
      <c r="F1040" s="16">
        <f t="shared" si="2"/>
        <v>26.8535</v>
      </c>
      <c r="G1040" s="26">
        <v>800.0</v>
      </c>
      <c r="H1040" s="27">
        <v>0.195</v>
      </c>
      <c r="I1040" s="28">
        <f t="shared" si="24"/>
        <v>243.555</v>
      </c>
      <c r="J1040" s="25">
        <v>122.0</v>
      </c>
      <c r="K1040" s="16">
        <f t="shared" si="4"/>
        <v>-29.5895</v>
      </c>
      <c r="L1040" s="19">
        <f t="shared" si="5"/>
        <v>-0.036986875</v>
      </c>
      <c r="M1040" s="16">
        <f t="shared" si="6"/>
        <v>770.4105</v>
      </c>
      <c r="N1040" s="20"/>
    </row>
    <row r="1041">
      <c r="A1041" s="22"/>
      <c r="B1041" s="23" t="s">
        <v>1907</v>
      </c>
      <c r="C1041" s="25" t="s">
        <v>1908</v>
      </c>
      <c r="D1041" s="25">
        <v>749.0</v>
      </c>
      <c r="E1041" s="16">
        <f t="shared" si="1"/>
        <v>51.681</v>
      </c>
      <c r="F1041" s="16">
        <f t="shared" si="2"/>
        <v>16.1035</v>
      </c>
      <c r="G1041" s="26">
        <v>450.0</v>
      </c>
      <c r="H1041" s="27">
        <v>0.15</v>
      </c>
      <c r="I1041" s="28">
        <f t="shared" si="24"/>
        <v>112.35</v>
      </c>
      <c r="J1041" s="25">
        <v>103.0</v>
      </c>
      <c r="K1041" s="16">
        <f t="shared" si="4"/>
        <v>15.8655</v>
      </c>
      <c r="L1041" s="19">
        <f t="shared" si="5"/>
        <v>0.03525666667</v>
      </c>
      <c r="M1041" s="16">
        <f t="shared" si="6"/>
        <v>465.8655</v>
      </c>
      <c r="N1041" s="20"/>
    </row>
    <row r="1042">
      <c r="A1042" s="22"/>
      <c r="B1042" s="23" t="s">
        <v>1909</v>
      </c>
      <c r="C1042" s="24"/>
      <c r="D1042" s="25">
        <v>2030.0</v>
      </c>
      <c r="E1042" s="16">
        <f t="shared" si="1"/>
        <v>140.07</v>
      </c>
      <c r="F1042" s="16">
        <f t="shared" si="2"/>
        <v>43.645</v>
      </c>
      <c r="G1042" s="26">
        <v>1600.74</v>
      </c>
      <c r="H1042" s="27">
        <v>0.1</v>
      </c>
      <c r="I1042" s="28">
        <f t="shared" si="24"/>
        <v>203</v>
      </c>
      <c r="J1042" s="25">
        <v>74.0</v>
      </c>
      <c r="K1042" s="16">
        <f t="shared" si="4"/>
        <v>-31.455</v>
      </c>
      <c r="L1042" s="19">
        <f t="shared" si="5"/>
        <v>-0.01965028674</v>
      </c>
      <c r="M1042" s="16">
        <f t="shared" si="6"/>
        <v>1569.285</v>
      </c>
      <c r="N1042" s="20"/>
    </row>
    <row r="1043">
      <c r="A1043" s="22"/>
      <c r="B1043" s="23" t="s">
        <v>1910</v>
      </c>
      <c r="C1043" s="25" t="s">
        <v>1911</v>
      </c>
      <c r="D1043" s="25">
        <v>4744.0</v>
      </c>
      <c r="E1043" s="16">
        <f t="shared" si="1"/>
        <v>327.336</v>
      </c>
      <c r="F1043" s="16">
        <f t="shared" si="2"/>
        <v>101.996</v>
      </c>
      <c r="G1043" s="26">
        <v>3308.2</v>
      </c>
      <c r="H1043" s="27">
        <v>0.195</v>
      </c>
      <c r="I1043" s="28">
        <f t="shared" si="24"/>
        <v>925.08</v>
      </c>
      <c r="J1043" s="25">
        <v>225.0</v>
      </c>
      <c r="K1043" s="16">
        <f t="shared" si="4"/>
        <v>-143.612</v>
      </c>
      <c r="L1043" s="19">
        <f t="shared" si="5"/>
        <v>-0.04341091832</v>
      </c>
      <c r="M1043" s="16">
        <f t="shared" si="6"/>
        <v>3164.588</v>
      </c>
      <c r="N1043" s="20"/>
    </row>
    <row r="1044">
      <c r="A1044" s="22"/>
      <c r="B1044" s="23" t="s">
        <v>1912</v>
      </c>
      <c r="C1044" s="25" t="s">
        <v>1913</v>
      </c>
      <c r="D1044" s="25">
        <v>1299.0</v>
      </c>
      <c r="E1044" s="16">
        <f t="shared" si="1"/>
        <v>89.631</v>
      </c>
      <c r="F1044" s="16">
        <f t="shared" si="2"/>
        <v>27.9285</v>
      </c>
      <c r="G1044" s="26">
        <v>864.2</v>
      </c>
      <c r="H1044" s="27">
        <v>0.195</v>
      </c>
      <c r="I1044" s="28">
        <f t="shared" si="24"/>
        <v>253.305</v>
      </c>
      <c r="J1044" s="25">
        <v>74.0</v>
      </c>
      <c r="K1044" s="16">
        <f t="shared" si="4"/>
        <v>-10.0645</v>
      </c>
      <c r="L1044" s="19">
        <f t="shared" si="5"/>
        <v>-0.01164603101</v>
      </c>
      <c r="M1044" s="16">
        <f t="shared" si="6"/>
        <v>854.1355</v>
      </c>
      <c r="N1044" s="20"/>
    </row>
    <row r="1045">
      <c r="A1045" s="22"/>
      <c r="B1045" s="23" t="s">
        <v>1914</v>
      </c>
      <c r="C1045" s="25" t="s">
        <v>1915</v>
      </c>
      <c r="D1045" s="45">
        <v>581.0</v>
      </c>
      <c r="E1045" s="16">
        <f t="shared" si="1"/>
        <v>40.089</v>
      </c>
      <c r="F1045" s="16">
        <f t="shared" si="2"/>
        <v>12.4915</v>
      </c>
      <c r="G1045" s="26">
        <v>397.86</v>
      </c>
      <c r="H1045" s="27">
        <v>0.1</v>
      </c>
      <c r="I1045" s="28">
        <f t="shared" si="24"/>
        <v>58.1</v>
      </c>
      <c r="J1045" s="25">
        <v>110.0</v>
      </c>
      <c r="K1045" s="16">
        <f t="shared" si="4"/>
        <v>-37.5405</v>
      </c>
      <c r="L1045" s="19">
        <f t="shared" si="5"/>
        <v>-0.09435605489</v>
      </c>
      <c r="M1045" s="16">
        <f t="shared" si="6"/>
        <v>360.3195</v>
      </c>
      <c r="N1045" s="20"/>
    </row>
    <row r="1046">
      <c r="A1046" s="22"/>
      <c r="B1046" s="23" t="s">
        <v>1916</v>
      </c>
      <c r="C1046" s="25" t="s">
        <v>1917</v>
      </c>
      <c r="D1046" s="45">
        <v>399.0</v>
      </c>
      <c r="E1046" s="16">
        <f t="shared" si="1"/>
        <v>27.531</v>
      </c>
      <c r="F1046" s="16">
        <f t="shared" si="2"/>
        <v>8.5785</v>
      </c>
      <c r="G1046" s="26">
        <v>272.6</v>
      </c>
      <c r="H1046" s="27">
        <v>0.1</v>
      </c>
      <c r="I1046" s="28">
        <f t="shared" si="24"/>
        <v>39.9</v>
      </c>
      <c r="J1046" s="25">
        <v>68.0</v>
      </c>
      <c r="K1046" s="16">
        <f t="shared" si="4"/>
        <v>-17.6095</v>
      </c>
      <c r="L1046" s="19">
        <f t="shared" si="5"/>
        <v>-0.06459831255</v>
      </c>
      <c r="M1046" s="16">
        <f t="shared" si="6"/>
        <v>254.9905</v>
      </c>
      <c r="N1046" s="20"/>
    </row>
    <row r="1047">
      <c r="A1047" s="22"/>
      <c r="B1047" s="23" t="s">
        <v>1918</v>
      </c>
      <c r="C1047" s="25" t="s">
        <v>1919</v>
      </c>
      <c r="D1047" s="45">
        <v>1063.05</v>
      </c>
      <c r="E1047" s="16">
        <f t="shared" si="1"/>
        <v>73.35045</v>
      </c>
      <c r="F1047" s="16">
        <f t="shared" si="2"/>
        <v>22.855575</v>
      </c>
      <c r="G1047" s="26">
        <v>800.63</v>
      </c>
      <c r="H1047" s="27">
        <v>0.1</v>
      </c>
      <c r="I1047" s="28">
        <f t="shared" si="24"/>
        <v>106.305</v>
      </c>
      <c r="J1047" s="25">
        <v>70.0</v>
      </c>
      <c r="K1047" s="16">
        <f t="shared" si="4"/>
        <v>-10.091025</v>
      </c>
      <c r="L1047" s="19">
        <f t="shared" si="5"/>
        <v>-0.01260385571</v>
      </c>
      <c r="M1047" s="16">
        <f t="shared" si="6"/>
        <v>790.538975</v>
      </c>
      <c r="N1047" s="20"/>
    </row>
    <row r="1048">
      <c r="A1048" s="22"/>
      <c r="B1048" s="23" t="s">
        <v>1920</v>
      </c>
      <c r="C1048" s="25" t="s">
        <v>1921</v>
      </c>
      <c r="D1048" s="25">
        <v>816.0</v>
      </c>
      <c r="E1048" s="16">
        <f t="shared" si="1"/>
        <v>56.304</v>
      </c>
      <c r="F1048" s="16">
        <f t="shared" si="2"/>
        <v>17.544</v>
      </c>
      <c r="G1048" s="26">
        <v>611.27</v>
      </c>
      <c r="H1048" s="27">
        <v>0.145</v>
      </c>
      <c r="I1048" s="28">
        <f t="shared" si="24"/>
        <v>118.32</v>
      </c>
      <c r="J1048" s="25">
        <v>70.0</v>
      </c>
      <c r="K1048" s="16">
        <f t="shared" si="4"/>
        <v>-57.438</v>
      </c>
      <c r="L1048" s="19">
        <f t="shared" si="5"/>
        <v>-0.09396502364</v>
      </c>
      <c r="M1048" s="16">
        <f t="shared" si="6"/>
        <v>553.832</v>
      </c>
      <c r="N1048" s="20"/>
    </row>
    <row r="1049">
      <c r="A1049" s="22"/>
      <c r="B1049" s="23" t="s">
        <v>1922</v>
      </c>
      <c r="C1049" s="25" t="s">
        <v>1923</v>
      </c>
      <c r="D1049" s="25">
        <v>949.0</v>
      </c>
      <c r="E1049" s="16">
        <f t="shared" si="1"/>
        <v>65.481</v>
      </c>
      <c r="F1049" s="16">
        <f t="shared" si="2"/>
        <v>20.4035</v>
      </c>
      <c r="G1049" s="26">
        <v>693.86</v>
      </c>
      <c r="H1049" s="27">
        <v>0.145</v>
      </c>
      <c r="I1049" s="28">
        <f t="shared" si="24"/>
        <v>137.605</v>
      </c>
      <c r="J1049" s="25">
        <v>85.0</v>
      </c>
      <c r="K1049" s="16">
        <f t="shared" si="4"/>
        <v>-53.3495</v>
      </c>
      <c r="L1049" s="19">
        <f t="shared" si="5"/>
        <v>-0.07688798893</v>
      </c>
      <c r="M1049" s="16">
        <f t="shared" si="6"/>
        <v>640.5105</v>
      </c>
      <c r="N1049" s="20"/>
    </row>
    <row r="1050">
      <c r="A1050" s="22"/>
      <c r="B1050" s="23" t="s">
        <v>1924</v>
      </c>
      <c r="C1050" s="25" t="s">
        <v>1925</v>
      </c>
      <c r="D1050" s="25">
        <v>1319.0</v>
      </c>
      <c r="E1050" s="16">
        <f t="shared" si="1"/>
        <v>91.011</v>
      </c>
      <c r="F1050" s="16">
        <f t="shared" si="2"/>
        <v>28.3585</v>
      </c>
      <c r="G1050" s="26">
        <v>986.68</v>
      </c>
      <c r="H1050" s="27">
        <v>0.145</v>
      </c>
      <c r="I1050" s="28">
        <f t="shared" si="24"/>
        <v>191.255</v>
      </c>
      <c r="J1050" s="25">
        <v>103.0</v>
      </c>
      <c r="K1050" s="16">
        <f t="shared" si="4"/>
        <v>-81.3045</v>
      </c>
      <c r="L1050" s="19">
        <f t="shared" si="5"/>
        <v>-0.08240209592</v>
      </c>
      <c r="M1050" s="16">
        <f t="shared" si="6"/>
        <v>905.3755</v>
      </c>
      <c r="N1050" s="20"/>
    </row>
    <row r="1051">
      <c r="A1051" s="22"/>
      <c r="B1051" s="23" t="s">
        <v>1926</v>
      </c>
      <c r="C1051" s="25" t="s">
        <v>1927</v>
      </c>
      <c r="D1051" s="25">
        <v>4229.0</v>
      </c>
      <c r="E1051" s="16">
        <f t="shared" si="1"/>
        <v>291.801</v>
      </c>
      <c r="F1051" s="16">
        <f t="shared" si="2"/>
        <v>90.9235</v>
      </c>
      <c r="G1051" s="26">
        <v>3489.97</v>
      </c>
      <c r="H1051" s="27">
        <v>0.145</v>
      </c>
      <c r="I1051" s="28">
        <f t="shared" si="24"/>
        <v>613.205</v>
      </c>
      <c r="J1051" s="25">
        <v>85.0</v>
      </c>
      <c r="K1051" s="16">
        <f t="shared" si="4"/>
        <v>-341.8995</v>
      </c>
      <c r="L1051" s="19">
        <f t="shared" si="5"/>
        <v>-0.0979663149</v>
      </c>
      <c r="M1051" s="16">
        <f t="shared" si="6"/>
        <v>3148.0705</v>
      </c>
      <c r="N1051" s="20"/>
    </row>
    <row r="1052">
      <c r="A1052" s="22"/>
      <c r="B1052" s="23" t="s">
        <v>1928</v>
      </c>
      <c r="C1052" s="25" t="s">
        <v>1929</v>
      </c>
      <c r="D1052" s="25">
        <v>489.0</v>
      </c>
      <c r="E1052" s="16">
        <f t="shared" si="1"/>
        <v>33.741</v>
      </c>
      <c r="F1052" s="16">
        <f t="shared" si="2"/>
        <v>10.5135</v>
      </c>
      <c r="G1052" s="26">
        <v>319.0</v>
      </c>
      <c r="H1052" s="27">
        <v>0.1</v>
      </c>
      <c r="I1052" s="28">
        <f t="shared" si="24"/>
        <v>48.9</v>
      </c>
      <c r="J1052" s="25">
        <v>56.0</v>
      </c>
      <c r="K1052" s="16">
        <f t="shared" si="4"/>
        <v>20.8455</v>
      </c>
      <c r="L1052" s="19">
        <f t="shared" si="5"/>
        <v>0.06534639498</v>
      </c>
      <c r="M1052" s="16">
        <f t="shared" si="6"/>
        <v>339.8455</v>
      </c>
      <c r="N1052" s="20"/>
    </row>
    <row r="1053">
      <c r="A1053" s="22"/>
      <c r="B1053" s="23" t="s">
        <v>1930</v>
      </c>
      <c r="C1053" s="25" t="s">
        <v>1931</v>
      </c>
      <c r="D1053" s="25">
        <v>2137.0</v>
      </c>
      <c r="E1053" s="16">
        <f t="shared" si="1"/>
        <v>147.453</v>
      </c>
      <c r="F1053" s="16">
        <f t="shared" si="2"/>
        <v>45.9455</v>
      </c>
      <c r="G1053" s="26">
        <v>1686.97</v>
      </c>
      <c r="H1053" s="27">
        <v>0.1</v>
      </c>
      <c r="I1053" s="28">
        <f t="shared" si="24"/>
        <v>213.7</v>
      </c>
      <c r="J1053" s="25">
        <v>85.0</v>
      </c>
      <c r="K1053" s="16">
        <f t="shared" si="4"/>
        <v>-42.0685</v>
      </c>
      <c r="L1053" s="19">
        <f t="shared" si="5"/>
        <v>-0.02493731365</v>
      </c>
      <c r="M1053" s="16">
        <f t="shared" si="6"/>
        <v>1644.9015</v>
      </c>
      <c r="N1053" s="20"/>
    </row>
    <row r="1054">
      <c r="A1054" s="22"/>
      <c r="B1054" s="23" t="s">
        <v>1932</v>
      </c>
      <c r="C1054" s="25" t="s">
        <v>1933</v>
      </c>
      <c r="D1054" s="25">
        <v>505.0</v>
      </c>
      <c r="E1054" s="16">
        <f t="shared" si="1"/>
        <v>34.845</v>
      </c>
      <c r="F1054" s="16">
        <f t="shared" si="2"/>
        <v>10.8575</v>
      </c>
      <c r="G1054" s="26">
        <v>334.0</v>
      </c>
      <c r="H1054" s="27">
        <v>0.1</v>
      </c>
      <c r="I1054" s="28">
        <f t="shared" si="24"/>
        <v>50.5</v>
      </c>
      <c r="J1054" s="25">
        <v>85.0</v>
      </c>
      <c r="K1054" s="16">
        <f t="shared" si="4"/>
        <v>-10.2025</v>
      </c>
      <c r="L1054" s="19">
        <f t="shared" si="5"/>
        <v>-0.03054640719</v>
      </c>
      <c r="M1054" s="16">
        <f t="shared" si="6"/>
        <v>323.7975</v>
      </c>
      <c r="N1054" s="20"/>
    </row>
    <row r="1055">
      <c r="A1055" s="22"/>
      <c r="B1055" s="23" t="s">
        <v>1934</v>
      </c>
      <c r="C1055" s="25" t="s">
        <v>1935</v>
      </c>
      <c r="D1055" s="25">
        <v>1063.0</v>
      </c>
      <c r="E1055" s="16">
        <f t="shared" si="1"/>
        <v>73.347</v>
      </c>
      <c r="F1055" s="16">
        <f t="shared" si="2"/>
        <v>22.8545</v>
      </c>
      <c r="G1055" s="26">
        <v>765.0</v>
      </c>
      <c r="H1055" s="27">
        <v>0.1</v>
      </c>
      <c r="I1055" s="28">
        <f t="shared" si="24"/>
        <v>106.3</v>
      </c>
      <c r="J1055" s="25">
        <v>85.0</v>
      </c>
      <c r="K1055" s="16">
        <f t="shared" si="4"/>
        <v>10.4985</v>
      </c>
      <c r="L1055" s="19">
        <f t="shared" si="5"/>
        <v>0.01372352941</v>
      </c>
      <c r="M1055" s="16">
        <f t="shared" si="6"/>
        <v>775.4985</v>
      </c>
      <c r="N1055" s="20"/>
    </row>
    <row r="1056">
      <c r="A1056" s="22"/>
      <c r="B1056" s="23" t="s">
        <v>1936</v>
      </c>
      <c r="C1056" s="25" t="s">
        <v>1937</v>
      </c>
      <c r="D1056" s="25">
        <v>360.0</v>
      </c>
      <c r="E1056" s="16">
        <f t="shared" si="1"/>
        <v>24.84</v>
      </c>
      <c r="F1056" s="16">
        <f t="shared" si="2"/>
        <v>7.74</v>
      </c>
      <c r="G1056" s="26">
        <v>200.0</v>
      </c>
      <c r="H1056" s="27">
        <v>0.14</v>
      </c>
      <c r="I1056" s="28">
        <f t="shared" si="24"/>
        <v>50.4</v>
      </c>
      <c r="J1056" s="25">
        <v>85.0</v>
      </c>
      <c r="K1056" s="16">
        <f t="shared" si="4"/>
        <v>-7.98</v>
      </c>
      <c r="L1056" s="19">
        <f t="shared" si="5"/>
        <v>-0.0399</v>
      </c>
      <c r="M1056" s="16">
        <f t="shared" si="6"/>
        <v>192.02</v>
      </c>
      <c r="N1056" s="20"/>
    </row>
    <row r="1057">
      <c r="A1057" s="22"/>
      <c r="B1057" s="23" t="s">
        <v>1938</v>
      </c>
      <c r="C1057" s="25" t="s">
        <v>1939</v>
      </c>
      <c r="D1057" s="25">
        <v>749.0</v>
      </c>
      <c r="E1057" s="16">
        <f t="shared" si="1"/>
        <v>51.681</v>
      </c>
      <c r="F1057" s="16">
        <f t="shared" si="2"/>
        <v>16.1035</v>
      </c>
      <c r="G1057" s="26">
        <v>516.44</v>
      </c>
      <c r="H1057" s="27">
        <v>0.1</v>
      </c>
      <c r="I1057" s="28">
        <f t="shared" si="24"/>
        <v>74.9</v>
      </c>
      <c r="J1057" s="25">
        <v>85.0</v>
      </c>
      <c r="K1057" s="16">
        <f t="shared" si="4"/>
        <v>4.8755</v>
      </c>
      <c r="L1057" s="19">
        <f t="shared" si="5"/>
        <v>0.009440593293</v>
      </c>
      <c r="M1057" s="16">
        <f t="shared" si="6"/>
        <v>521.3155</v>
      </c>
      <c r="N1057" s="20"/>
    </row>
    <row r="1058">
      <c r="A1058" s="22"/>
      <c r="B1058" s="23" t="s">
        <v>1940</v>
      </c>
      <c r="C1058" s="25" t="s">
        <v>1941</v>
      </c>
      <c r="D1058" s="25">
        <v>521.0</v>
      </c>
      <c r="E1058" s="16">
        <f t="shared" si="1"/>
        <v>35.949</v>
      </c>
      <c r="F1058" s="16">
        <f t="shared" si="2"/>
        <v>11.2015</v>
      </c>
      <c r="G1058" s="26">
        <v>334.38</v>
      </c>
      <c r="H1058" s="27">
        <v>0.1</v>
      </c>
      <c r="I1058" s="28">
        <f t="shared" si="24"/>
        <v>52.1</v>
      </c>
      <c r="J1058" s="25">
        <v>85.0</v>
      </c>
      <c r="K1058" s="16">
        <f t="shared" si="4"/>
        <v>2.3695</v>
      </c>
      <c r="L1058" s="19">
        <f t="shared" si="5"/>
        <v>0.007086249178</v>
      </c>
      <c r="M1058" s="16">
        <f t="shared" si="6"/>
        <v>336.7495</v>
      </c>
      <c r="N1058" s="20"/>
    </row>
    <row r="1059">
      <c r="A1059" s="22"/>
      <c r="B1059" s="23" t="s">
        <v>1942</v>
      </c>
      <c r="C1059" s="25" t="s">
        <v>1943</v>
      </c>
      <c r="D1059" s="25">
        <v>394.0</v>
      </c>
      <c r="E1059" s="16">
        <f t="shared" si="1"/>
        <v>27.186</v>
      </c>
      <c r="F1059" s="16">
        <f t="shared" si="2"/>
        <v>8.471</v>
      </c>
      <c r="G1059" s="26">
        <v>242.69</v>
      </c>
      <c r="H1059" s="27">
        <v>0.1</v>
      </c>
      <c r="I1059" s="28">
        <f t="shared" si="24"/>
        <v>39.4</v>
      </c>
      <c r="J1059" s="25">
        <v>80.0</v>
      </c>
      <c r="K1059" s="16">
        <f t="shared" si="4"/>
        <v>-3.747</v>
      </c>
      <c r="L1059" s="19">
        <f t="shared" si="5"/>
        <v>-0.0154394495</v>
      </c>
      <c r="M1059" s="16">
        <f t="shared" si="6"/>
        <v>238.943</v>
      </c>
      <c r="N1059" s="20"/>
    </row>
    <row r="1060">
      <c r="A1060" s="22"/>
      <c r="B1060" s="23" t="s">
        <v>1944</v>
      </c>
      <c r="C1060" s="25" t="s">
        <v>1945</v>
      </c>
      <c r="D1060" s="25">
        <v>709.0</v>
      </c>
      <c r="E1060" s="16">
        <f t="shared" si="1"/>
        <v>48.921</v>
      </c>
      <c r="F1060" s="16">
        <f t="shared" si="2"/>
        <v>15.2435</v>
      </c>
      <c r="G1060" s="26">
        <v>507.0</v>
      </c>
      <c r="H1060" s="27">
        <v>0.1</v>
      </c>
      <c r="I1060" s="28">
        <f t="shared" si="24"/>
        <v>70.9</v>
      </c>
      <c r="J1060" s="25">
        <v>95.0</v>
      </c>
      <c r="K1060" s="16">
        <f t="shared" si="4"/>
        <v>-28.0645</v>
      </c>
      <c r="L1060" s="19">
        <f t="shared" si="5"/>
        <v>-0.05535404339</v>
      </c>
      <c r="M1060" s="16">
        <f t="shared" si="6"/>
        <v>478.9355</v>
      </c>
      <c r="N1060" s="20"/>
    </row>
    <row r="1061">
      <c r="A1061" s="22"/>
      <c r="B1061" s="23" t="s">
        <v>1946</v>
      </c>
      <c r="C1061" s="25" t="s">
        <v>1947</v>
      </c>
      <c r="D1061" s="25">
        <v>531.0</v>
      </c>
      <c r="E1061" s="16">
        <f t="shared" si="1"/>
        <v>36.639</v>
      </c>
      <c r="F1061" s="16">
        <f t="shared" si="2"/>
        <v>11.4165</v>
      </c>
      <c r="G1061" s="26">
        <v>350.0</v>
      </c>
      <c r="H1061" s="27">
        <v>0.1</v>
      </c>
      <c r="I1061" s="28">
        <f t="shared" si="24"/>
        <v>53.1</v>
      </c>
      <c r="J1061" s="25">
        <v>85.0</v>
      </c>
      <c r="K1061" s="16">
        <f t="shared" si="4"/>
        <v>-5.1555</v>
      </c>
      <c r="L1061" s="19">
        <f t="shared" si="5"/>
        <v>-0.01473</v>
      </c>
      <c r="M1061" s="16">
        <f t="shared" si="6"/>
        <v>344.8445</v>
      </c>
      <c r="N1061" s="20"/>
    </row>
    <row r="1062">
      <c r="A1062" s="22"/>
      <c r="B1062" s="23" t="s">
        <v>1948</v>
      </c>
      <c r="C1062" s="25" t="s">
        <v>1949</v>
      </c>
      <c r="D1062" s="25">
        <v>873.0</v>
      </c>
      <c r="E1062" s="16">
        <f t="shared" si="1"/>
        <v>60.237</v>
      </c>
      <c r="F1062" s="16">
        <f t="shared" si="2"/>
        <v>18.7695</v>
      </c>
      <c r="G1062" s="26">
        <v>614.72</v>
      </c>
      <c r="H1062" s="27">
        <v>0.1</v>
      </c>
      <c r="I1062" s="28">
        <f t="shared" si="24"/>
        <v>87.3</v>
      </c>
      <c r="J1062" s="25">
        <v>85.0</v>
      </c>
      <c r="K1062" s="16">
        <f t="shared" si="4"/>
        <v>6.9735</v>
      </c>
      <c r="L1062" s="19">
        <f t="shared" si="5"/>
        <v>0.01134418922</v>
      </c>
      <c r="M1062" s="16">
        <f t="shared" si="6"/>
        <v>621.6935</v>
      </c>
      <c r="N1062" s="20"/>
    </row>
    <row r="1063">
      <c r="A1063" s="22"/>
      <c r="B1063" s="23" t="s">
        <v>1950</v>
      </c>
      <c r="C1063" s="25" t="s">
        <v>1951</v>
      </c>
      <c r="D1063" s="25">
        <v>479.0</v>
      </c>
      <c r="E1063" s="16">
        <f t="shared" si="1"/>
        <v>33.051</v>
      </c>
      <c r="F1063" s="16">
        <f t="shared" si="2"/>
        <v>10.2985</v>
      </c>
      <c r="G1063" s="26">
        <v>320.0</v>
      </c>
      <c r="H1063" s="27">
        <v>0.1</v>
      </c>
      <c r="I1063" s="28">
        <f t="shared" si="24"/>
        <v>47.9</v>
      </c>
      <c r="J1063" s="25">
        <v>95.0</v>
      </c>
      <c r="K1063" s="16">
        <f t="shared" si="4"/>
        <v>-27.2495</v>
      </c>
      <c r="L1063" s="19">
        <f t="shared" si="5"/>
        <v>-0.0851546875</v>
      </c>
      <c r="M1063" s="16">
        <f t="shared" si="6"/>
        <v>292.7505</v>
      </c>
      <c r="N1063" s="20"/>
    </row>
    <row r="1064">
      <c r="A1064" s="22"/>
      <c r="B1064" s="23" t="s">
        <v>1952</v>
      </c>
      <c r="C1064" s="25" t="s">
        <v>1953</v>
      </c>
      <c r="D1064" s="25">
        <v>611.0</v>
      </c>
      <c r="E1064" s="16">
        <f t="shared" si="1"/>
        <v>42.159</v>
      </c>
      <c r="F1064" s="16">
        <f t="shared" si="2"/>
        <v>13.1365</v>
      </c>
      <c r="G1064" s="26">
        <v>410.0</v>
      </c>
      <c r="H1064" s="27">
        <v>0.1</v>
      </c>
      <c r="I1064" s="28">
        <f t="shared" si="24"/>
        <v>61.1</v>
      </c>
      <c r="J1064" s="25">
        <v>95.0</v>
      </c>
      <c r="K1064" s="16">
        <f t="shared" si="4"/>
        <v>-10.3955</v>
      </c>
      <c r="L1064" s="19">
        <f t="shared" si="5"/>
        <v>-0.02535487805</v>
      </c>
      <c r="M1064" s="16">
        <f t="shared" si="6"/>
        <v>399.6045</v>
      </c>
      <c r="N1064" s="20"/>
    </row>
    <row r="1065">
      <c r="A1065" s="22"/>
      <c r="B1065" s="23" t="s">
        <v>1954</v>
      </c>
      <c r="C1065" s="25" t="s">
        <v>1955</v>
      </c>
      <c r="D1065" s="25">
        <v>611.0</v>
      </c>
      <c r="E1065" s="16">
        <f t="shared" si="1"/>
        <v>42.159</v>
      </c>
      <c r="F1065" s="16">
        <f t="shared" si="2"/>
        <v>13.1365</v>
      </c>
      <c r="G1065" s="26">
        <v>410.0</v>
      </c>
      <c r="H1065" s="27">
        <v>0.1</v>
      </c>
      <c r="I1065" s="28">
        <f t="shared" si="24"/>
        <v>61.1</v>
      </c>
      <c r="J1065" s="25">
        <v>85.0</v>
      </c>
      <c r="K1065" s="16">
        <f t="shared" si="4"/>
        <v>-0.3955</v>
      </c>
      <c r="L1065" s="19">
        <f t="shared" si="5"/>
        <v>-0.0009646341463</v>
      </c>
      <c r="M1065" s="16">
        <f t="shared" si="6"/>
        <v>409.6045</v>
      </c>
      <c r="N1065" s="20"/>
    </row>
    <row r="1066">
      <c r="A1066" s="22"/>
      <c r="B1066" s="23" t="s">
        <v>1956</v>
      </c>
      <c r="C1066" s="25" t="s">
        <v>1957</v>
      </c>
      <c r="D1066" s="25">
        <v>2311.0</v>
      </c>
      <c r="E1066" s="16">
        <f t="shared" si="1"/>
        <v>159.459</v>
      </c>
      <c r="F1066" s="16">
        <f t="shared" si="2"/>
        <v>49.6865</v>
      </c>
      <c r="G1066" s="26">
        <v>1816.0</v>
      </c>
      <c r="H1066" s="27">
        <v>0.1</v>
      </c>
      <c r="I1066" s="28">
        <f t="shared" si="24"/>
        <v>231.1</v>
      </c>
      <c r="J1066" s="25">
        <v>85.0</v>
      </c>
      <c r="K1066" s="16">
        <f t="shared" si="4"/>
        <v>-30.2455</v>
      </c>
      <c r="L1066" s="19">
        <f t="shared" si="5"/>
        <v>-0.01665501101</v>
      </c>
      <c r="M1066" s="16">
        <f t="shared" si="6"/>
        <v>1785.7545</v>
      </c>
      <c r="N1066" s="20"/>
    </row>
    <row r="1067">
      <c r="A1067" s="22"/>
      <c r="B1067" s="23" t="s">
        <v>1958</v>
      </c>
      <c r="C1067" s="25"/>
      <c r="D1067" s="25">
        <v>597.0</v>
      </c>
      <c r="E1067" s="16">
        <f t="shared" si="1"/>
        <v>41.193</v>
      </c>
      <c r="F1067" s="16">
        <f t="shared" si="2"/>
        <v>12.8355</v>
      </c>
      <c r="G1067" s="26">
        <v>402.0</v>
      </c>
      <c r="H1067" s="27">
        <v>0.1</v>
      </c>
      <c r="I1067" s="28">
        <f t="shared" si="24"/>
        <v>59.7</v>
      </c>
      <c r="J1067" s="25">
        <v>85.0</v>
      </c>
      <c r="K1067" s="16">
        <f t="shared" si="4"/>
        <v>-3.7285</v>
      </c>
      <c r="L1067" s="19">
        <f t="shared" si="5"/>
        <v>-0.009274875622</v>
      </c>
      <c r="M1067" s="16">
        <f t="shared" si="6"/>
        <v>398.2715</v>
      </c>
      <c r="N1067" s="20"/>
    </row>
    <row r="1068">
      <c r="A1068" s="22"/>
      <c r="B1068" s="23" t="s">
        <v>1959</v>
      </c>
      <c r="C1068" s="25" t="s">
        <v>1960</v>
      </c>
      <c r="D1068" s="25">
        <v>779.0</v>
      </c>
      <c r="E1068" s="16">
        <f t="shared" si="1"/>
        <v>53.751</v>
      </c>
      <c r="F1068" s="16">
        <f t="shared" si="2"/>
        <v>16.7485</v>
      </c>
      <c r="G1068" s="26">
        <v>516.44</v>
      </c>
      <c r="H1068" s="27">
        <v>0.1</v>
      </c>
      <c r="I1068" s="28">
        <f t="shared" si="24"/>
        <v>77.9</v>
      </c>
      <c r="J1068" s="25">
        <v>85.0</v>
      </c>
      <c r="K1068" s="16">
        <f t="shared" si="4"/>
        <v>29.1605</v>
      </c>
      <c r="L1068" s="19">
        <f t="shared" si="5"/>
        <v>0.05646444892</v>
      </c>
      <c r="M1068" s="16">
        <f t="shared" si="6"/>
        <v>545.6005</v>
      </c>
      <c r="N1068" s="20"/>
    </row>
    <row r="1069">
      <c r="A1069" s="22"/>
      <c r="B1069" s="23" t="s">
        <v>1961</v>
      </c>
      <c r="C1069" s="25" t="s">
        <v>1962</v>
      </c>
      <c r="D1069" s="25">
        <v>531.0</v>
      </c>
      <c r="E1069" s="16">
        <f t="shared" si="1"/>
        <v>36.639</v>
      </c>
      <c r="F1069" s="16">
        <f t="shared" si="2"/>
        <v>11.4165</v>
      </c>
      <c r="G1069" s="26">
        <v>350.0</v>
      </c>
      <c r="H1069" s="27">
        <v>0.1</v>
      </c>
      <c r="I1069" s="28">
        <f t="shared" si="24"/>
        <v>53.1</v>
      </c>
      <c r="J1069" s="25">
        <v>85.0</v>
      </c>
      <c r="K1069" s="16">
        <f t="shared" si="4"/>
        <v>-5.1555</v>
      </c>
      <c r="L1069" s="19">
        <f t="shared" si="5"/>
        <v>-0.01473</v>
      </c>
      <c r="M1069" s="16">
        <f t="shared" si="6"/>
        <v>344.8445</v>
      </c>
      <c r="N1069" s="20"/>
    </row>
    <row r="1070">
      <c r="A1070" s="22"/>
      <c r="B1070" s="23" t="s">
        <v>1963</v>
      </c>
      <c r="C1070" s="25" t="s">
        <v>1964</v>
      </c>
      <c r="D1070" s="25">
        <v>399.0</v>
      </c>
      <c r="E1070" s="16">
        <f t="shared" si="1"/>
        <v>27.531</v>
      </c>
      <c r="F1070" s="16">
        <f t="shared" si="2"/>
        <v>8.5785</v>
      </c>
      <c r="G1070" s="26">
        <v>243.5</v>
      </c>
      <c r="H1070" s="27">
        <v>0.1</v>
      </c>
      <c r="I1070" s="28">
        <f t="shared" si="24"/>
        <v>39.9</v>
      </c>
      <c r="J1070" s="25">
        <v>70.0</v>
      </c>
      <c r="K1070" s="16">
        <f t="shared" si="4"/>
        <v>9.4905</v>
      </c>
      <c r="L1070" s="19">
        <f t="shared" si="5"/>
        <v>0.03897535934</v>
      </c>
      <c r="M1070" s="16">
        <f t="shared" si="6"/>
        <v>252.9905</v>
      </c>
      <c r="N1070" s="20"/>
    </row>
    <row r="1071">
      <c r="A1071" s="22"/>
      <c r="B1071" s="23" t="s">
        <v>1965</v>
      </c>
      <c r="C1071" s="25" t="s">
        <v>1966</v>
      </c>
      <c r="D1071" s="25">
        <v>929.0</v>
      </c>
      <c r="E1071" s="16">
        <f t="shared" si="1"/>
        <v>64.101</v>
      </c>
      <c r="F1071" s="16">
        <f t="shared" si="2"/>
        <v>19.9735</v>
      </c>
      <c r="G1071" s="26">
        <v>652.0</v>
      </c>
      <c r="H1071" s="27">
        <v>0.1</v>
      </c>
      <c r="I1071" s="28">
        <f t="shared" si="24"/>
        <v>92.9</v>
      </c>
      <c r="J1071" s="25">
        <v>85.0</v>
      </c>
      <c r="K1071" s="16">
        <f t="shared" si="4"/>
        <v>15.0255</v>
      </c>
      <c r="L1071" s="19">
        <f t="shared" si="5"/>
        <v>0.0230452454</v>
      </c>
      <c r="M1071" s="16">
        <f t="shared" si="6"/>
        <v>667.0255</v>
      </c>
      <c r="N1071" s="20"/>
    </row>
    <row r="1072">
      <c r="A1072" s="22"/>
      <c r="B1072" s="23"/>
      <c r="C1072" s="25"/>
      <c r="D1072" s="25">
        <v>499.0</v>
      </c>
      <c r="E1072" s="16">
        <f t="shared" si="1"/>
        <v>34.431</v>
      </c>
      <c r="F1072" s="16">
        <f t="shared" si="2"/>
        <v>10.7285</v>
      </c>
      <c r="G1072" s="26">
        <v>290.0</v>
      </c>
      <c r="H1072" s="27">
        <v>0.15</v>
      </c>
      <c r="I1072" s="28">
        <f t="shared" si="24"/>
        <v>74.85</v>
      </c>
      <c r="J1072" s="25">
        <v>85.0</v>
      </c>
      <c r="K1072" s="16">
        <f t="shared" si="4"/>
        <v>3.9905</v>
      </c>
      <c r="L1072" s="19">
        <f t="shared" si="5"/>
        <v>0.01376034483</v>
      </c>
      <c r="M1072" s="16">
        <f t="shared" si="6"/>
        <v>293.9905</v>
      </c>
      <c r="N1072" s="20"/>
    </row>
    <row r="1073">
      <c r="A1073" s="22"/>
      <c r="B1073" s="23" t="s">
        <v>1967</v>
      </c>
      <c r="C1073" s="25" t="s">
        <v>1968</v>
      </c>
      <c r="D1073" s="25">
        <v>1099.0</v>
      </c>
      <c r="E1073" s="16">
        <f t="shared" si="1"/>
        <v>75.831</v>
      </c>
      <c r="F1073" s="16">
        <f t="shared" si="2"/>
        <v>23.6285</v>
      </c>
      <c r="G1073" s="26">
        <v>839.32</v>
      </c>
      <c r="H1073" s="27">
        <v>0.1</v>
      </c>
      <c r="I1073" s="28">
        <f t="shared" si="24"/>
        <v>109.9</v>
      </c>
      <c r="J1073" s="25">
        <v>65.0</v>
      </c>
      <c r="K1073" s="16">
        <f t="shared" si="4"/>
        <v>-14.6795</v>
      </c>
      <c r="L1073" s="19">
        <f t="shared" si="5"/>
        <v>-0.01748975361</v>
      </c>
      <c r="M1073" s="16">
        <f t="shared" si="6"/>
        <v>824.6405</v>
      </c>
      <c r="N1073" s="20"/>
    </row>
    <row r="1074">
      <c r="A1074" s="22"/>
      <c r="B1074" s="39" t="s">
        <v>1969</v>
      </c>
      <c r="C1074" s="25" t="s">
        <v>1968</v>
      </c>
      <c r="D1074" s="25">
        <v>1099.0</v>
      </c>
      <c r="E1074" s="16">
        <f t="shared" si="1"/>
        <v>75.831</v>
      </c>
      <c r="F1074" s="16">
        <f t="shared" si="2"/>
        <v>23.6285</v>
      </c>
      <c r="G1074" s="26">
        <v>839.32</v>
      </c>
      <c r="H1074" s="27">
        <v>0.1</v>
      </c>
      <c r="I1074" s="28">
        <f t="shared" si="24"/>
        <v>109.9</v>
      </c>
      <c r="J1074" s="25">
        <v>65.0</v>
      </c>
      <c r="K1074" s="16">
        <f t="shared" si="4"/>
        <v>-14.6795</v>
      </c>
      <c r="L1074" s="19">
        <f t="shared" si="5"/>
        <v>-0.01748975361</v>
      </c>
      <c r="M1074" s="16">
        <f t="shared" si="6"/>
        <v>824.6405</v>
      </c>
      <c r="N1074" s="20"/>
    </row>
    <row r="1075">
      <c r="A1075" s="22"/>
      <c r="B1075" s="23" t="s">
        <v>1970</v>
      </c>
      <c r="C1075" s="25" t="s">
        <v>1971</v>
      </c>
      <c r="D1075" s="25">
        <v>1099.0</v>
      </c>
      <c r="E1075" s="16">
        <f t="shared" si="1"/>
        <v>75.831</v>
      </c>
      <c r="F1075" s="16">
        <f t="shared" si="2"/>
        <v>23.6285</v>
      </c>
      <c r="G1075" s="26">
        <v>839.32</v>
      </c>
      <c r="H1075" s="27">
        <v>0.1</v>
      </c>
      <c r="I1075" s="28">
        <f t="shared" si="24"/>
        <v>109.9</v>
      </c>
      <c r="J1075" s="25">
        <v>65.0</v>
      </c>
      <c r="K1075" s="16">
        <f t="shared" si="4"/>
        <v>-14.6795</v>
      </c>
      <c r="L1075" s="19">
        <f t="shared" si="5"/>
        <v>-0.01748975361</v>
      </c>
      <c r="M1075" s="16">
        <f t="shared" si="6"/>
        <v>824.6405</v>
      </c>
      <c r="N1075" s="20"/>
    </row>
    <row r="1076">
      <c r="A1076" s="22"/>
      <c r="B1076" s="23" t="s">
        <v>1972</v>
      </c>
      <c r="C1076" s="25" t="s">
        <v>1973</v>
      </c>
      <c r="D1076" s="25">
        <v>1830.0</v>
      </c>
      <c r="E1076" s="16">
        <f t="shared" si="1"/>
        <v>126.27</v>
      </c>
      <c r="F1076" s="16">
        <f t="shared" si="2"/>
        <v>39.345</v>
      </c>
      <c r="G1076" s="26">
        <v>1300.49</v>
      </c>
      <c r="H1076" s="27">
        <v>0.15</v>
      </c>
      <c r="I1076" s="28">
        <f t="shared" si="24"/>
        <v>274.5</v>
      </c>
      <c r="J1076" s="25">
        <v>122.0</v>
      </c>
      <c r="K1076" s="16">
        <f t="shared" si="4"/>
        <v>-32.605</v>
      </c>
      <c r="L1076" s="19">
        <f t="shared" si="5"/>
        <v>-0.02507131927</v>
      </c>
      <c r="M1076" s="16">
        <f t="shared" si="6"/>
        <v>1267.885</v>
      </c>
      <c r="N1076" s="20" t="s">
        <v>1974</v>
      </c>
    </row>
    <row r="1077">
      <c r="A1077" s="22"/>
      <c r="B1077" s="23" t="s">
        <v>1975</v>
      </c>
      <c r="C1077" s="25" t="s">
        <v>1973</v>
      </c>
      <c r="D1077" s="25">
        <v>1999.0</v>
      </c>
      <c r="E1077" s="16">
        <f t="shared" si="1"/>
        <v>137.931</v>
      </c>
      <c r="F1077" s="16">
        <f t="shared" si="2"/>
        <v>42.9785</v>
      </c>
      <c r="G1077" s="26">
        <v>1300.0</v>
      </c>
      <c r="H1077" s="27">
        <v>0.15</v>
      </c>
      <c r="I1077" s="28">
        <f t="shared" si="24"/>
        <v>299.85</v>
      </c>
      <c r="J1077" s="25">
        <v>122.0</v>
      </c>
      <c r="K1077" s="16">
        <f t="shared" si="4"/>
        <v>96.2405</v>
      </c>
      <c r="L1077" s="19">
        <f t="shared" si="5"/>
        <v>0.07403115385</v>
      </c>
      <c r="M1077" s="16">
        <f t="shared" si="6"/>
        <v>1396.2405</v>
      </c>
      <c r="N1077" s="20" t="s">
        <v>1660</v>
      </c>
    </row>
    <row r="1078">
      <c r="A1078" s="22"/>
      <c r="B1078" s="23" t="s">
        <v>1976</v>
      </c>
      <c r="C1078" s="25" t="s">
        <v>1977</v>
      </c>
      <c r="D1078" s="25">
        <v>1869.0</v>
      </c>
      <c r="E1078" s="16">
        <f t="shared" si="1"/>
        <v>128.961</v>
      </c>
      <c r="F1078" s="16">
        <f t="shared" si="2"/>
        <v>40.1835</v>
      </c>
      <c r="G1078" s="26">
        <v>1300.0</v>
      </c>
      <c r="H1078" s="27">
        <v>0.15</v>
      </c>
      <c r="I1078" s="28">
        <f t="shared" si="24"/>
        <v>280.35</v>
      </c>
      <c r="J1078" s="25">
        <v>122.0</v>
      </c>
      <c r="K1078" s="16">
        <f t="shared" si="4"/>
        <v>-2.4945</v>
      </c>
      <c r="L1078" s="19">
        <f t="shared" si="5"/>
        <v>-0.001918846154</v>
      </c>
      <c r="M1078" s="16">
        <f t="shared" si="6"/>
        <v>1297.5055</v>
      </c>
      <c r="N1078" s="20"/>
    </row>
    <row r="1079">
      <c r="A1079" s="22"/>
      <c r="B1079" s="39" t="s">
        <v>1978</v>
      </c>
      <c r="C1079" s="25" t="s">
        <v>1977</v>
      </c>
      <c r="D1079" s="25">
        <v>1759.0</v>
      </c>
      <c r="E1079" s="16">
        <f t="shared" si="1"/>
        <v>121.371</v>
      </c>
      <c r="F1079" s="16">
        <f t="shared" si="2"/>
        <v>37.8185</v>
      </c>
      <c r="G1079" s="26">
        <v>1121.12</v>
      </c>
      <c r="H1079" s="27">
        <v>0.15</v>
      </c>
      <c r="I1079" s="28">
        <f t="shared" si="24"/>
        <v>263.85</v>
      </c>
      <c r="J1079" s="25">
        <v>122.0</v>
      </c>
      <c r="K1079" s="16">
        <f t="shared" si="4"/>
        <v>92.8405</v>
      </c>
      <c r="L1079" s="19">
        <f t="shared" si="5"/>
        <v>0.08281049308</v>
      </c>
      <c r="M1079" s="16">
        <f t="shared" si="6"/>
        <v>1213.9605</v>
      </c>
      <c r="N1079" s="20"/>
    </row>
    <row r="1080">
      <c r="A1080" s="22"/>
      <c r="B1080" s="23" t="s">
        <v>1979</v>
      </c>
      <c r="C1080" s="25" t="s">
        <v>1980</v>
      </c>
      <c r="D1080" s="25">
        <v>4999.0</v>
      </c>
      <c r="E1080" s="16">
        <f t="shared" si="1"/>
        <v>344.931</v>
      </c>
      <c r="F1080" s="16">
        <f t="shared" si="2"/>
        <v>107.4785</v>
      </c>
      <c r="G1080" s="26">
        <v>3340.22</v>
      </c>
      <c r="H1080" s="27">
        <v>0.15</v>
      </c>
      <c r="I1080" s="28">
        <f t="shared" si="24"/>
        <v>749.85</v>
      </c>
      <c r="J1080" s="25">
        <v>161.0</v>
      </c>
      <c r="K1080" s="16">
        <f t="shared" si="4"/>
        <v>295.5205</v>
      </c>
      <c r="L1080" s="19">
        <f t="shared" si="5"/>
        <v>0.08847336403</v>
      </c>
      <c r="M1080" s="16">
        <f t="shared" si="6"/>
        <v>3635.7405</v>
      </c>
      <c r="N1080" s="20"/>
    </row>
    <row r="1081">
      <c r="A1081" s="22"/>
      <c r="B1081" s="23" t="s">
        <v>1981</v>
      </c>
      <c r="C1081" s="25" t="s">
        <v>1982</v>
      </c>
      <c r="D1081" s="25">
        <v>1290.0</v>
      </c>
      <c r="E1081" s="16">
        <f t="shared" si="1"/>
        <v>89.01</v>
      </c>
      <c r="F1081" s="16">
        <f t="shared" si="2"/>
        <v>27.735</v>
      </c>
      <c r="G1081" s="26">
        <v>1300.49</v>
      </c>
      <c r="H1081" s="27">
        <v>0.15</v>
      </c>
      <c r="I1081" s="28">
        <f t="shared" si="24"/>
        <v>193.5</v>
      </c>
      <c r="J1081" s="25">
        <v>95.0</v>
      </c>
      <c r="K1081" s="16">
        <f t="shared" si="4"/>
        <v>-415.735</v>
      </c>
      <c r="L1081" s="19">
        <f t="shared" si="5"/>
        <v>-0.3196756607</v>
      </c>
      <c r="M1081" s="16">
        <f t="shared" si="6"/>
        <v>884.755</v>
      </c>
      <c r="N1081" s="20"/>
    </row>
    <row r="1082">
      <c r="A1082" s="22"/>
      <c r="B1082" s="23" t="s">
        <v>1983</v>
      </c>
      <c r="C1082" s="46" t="s">
        <v>1984</v>
      </c>
      <c r="D1082" s="25">
        <v>1599.0</v>
      </c>
      <c r="E1082" s="16">
        <f t="shared" si="1"/>
        <v>110.331</v>
      </c>
      <c r="F1082" s="16">
        <f t="shared" si="2"/>
        <v>34.3785</v>
      </c>
      <c r="G1082" s="26">
        <v>1439.99</v>
      </c>
      <c r="H1082" s="27">
        <v>0.15</v>
      </c>
      <c r="I1082" s="28">
        <f t="shared" si="24"/>
        <v>239.85</v>
      </c>
      <c r="J1082" s="25">
        <v>103.0</v>
      </c>
      <c r="K1082" s="16">
        <f t="shared" si="4"/>
        <v>-328.5495</v>
      </c>
      <c r="L1082" s="19">
        <f t="shared" si="5"/>
        <v>-0.2281609595</v>
      </c>
      <c r="M1082" s="16">
        <f t="shared" si="6"/>
        <v>1111.4405</v>
      </c>
      <c r="N1082" s="20" t="s">
        <v>1660</v>
      </c>
    </row>
    <row r="1083">
      <c r="A1083" s="22"/>
      <c r="B1083" s="23" t="s">
        <v>1985</v>
      </c>
      <c r="C1083" s="24"/>
      <c r="D1083" s="25">
        <v>1475.0</v>
      </c>
      <c r="E1083" s="16">
        <f t="shared" si="1"/>
        <v>101.775</v>
      </c>
      <c r="F1083" s="16">
        <f t="shared" si="2"/>
        <v>31.7125</v>
      </c>
      <c r="G1083" s="26">
        <v>1600.0</v>
      </c>
      <c r="H1083" s="27">
        <v>0.1</v>
      </c>
      <c r="I1083" s="28">
        <f t="shared" si="24"/>
        <v>147.5</v>
      </c>
      <c r="J1083" s="25">
        <v>65.0</v>
      </c>
      <c r="K1083" s="16">
        <f t="shared" si="4"/>
        <v>-470.9875</v>
      </c>
      <c r="L1083" s="19">
        <f t="shared" si="5"/>
        <v>-0.2943671875</v>
      </c>
      <c r="M1083" s="16">
        <f t="shared" si="6"/>
        <v>1129.0125</v>
      </c>
      <c r="N1083" s="20"/>
    </row>
    <row r="1084">
      <c r="A1084" s="22"/>
      <c r="B1084" s="39" t="s">
        <v>1986</v>
      </c>
      <c r="C1084" s="24"/>
      <c r="D1084" s="25">
        <v>1475.0</v>
      </c>
      <c r="E1084" s="16">
        <f t="shared" si="1"/>
        <v>101.775</v>
      </c>
      <c r="F1084" s="16">
        <f t="shared" si="2"/>
        <v>31.7125</v>
      </c>
      <c r="G1084" s="26">
        <v>1600.0</v>
      </c>
      <c r="H1084" s="27">
        <v>0.1</v>
      </c>
      <c r="I1084" s="28">
        <f t="shared" si="24"/>
        <v>147.5</v>
      </c>
      <c r="J1084" s="25">
        <v>65.0</v>
      </c>
      <c r="K1084" s="16">
        <f t="shared" si="4"/>
        <v>-470.9875</v>
      </c>
      <c r="L1084" s="19">
        <f t="shared" si="5"/>
        <v>-0.2943671875</v>
      </c>
      <c r="M1084" s="16">
        <f t="shared" si="6"/>
        <v>1129.0125</v>
      </c>
      <c r="N1084" s="20"/>
    </row>
    <row r="1085">
      <c r="A1085" s="22"/>
      <c r="B1085" s="23" t="s">
        <v>1987</v>
      </c>
      <c r="C1085" s="25" t="s">
        <v>1988</v>
      </c>
      <c r="D1085" s="25">
        <v>1199.0</v>
      </c>
      <c r="E1085" s="16">
        <f t="shared" si="1"/>
        <v>82.731</v>
      </c>
      <c r="F1085" s="16">
        <f t="shared" si="2"/>
        <v>25.7785</v>
      </c>
      <c r="G1085" s="26">
        <v>760.0</v>
      </c>
      <c r="H1085" s="27">
        <v>0.195</v>
      </c>
      <c r="I1085" s="28">
        <f t="shared" si="24"/>
        <v>233.805</v>
      </c>
      <c r="J1085" s="25">
        <v>95.0</v>
      </c>
      <c r="K1085" s="16">
        <f t="shared" si="4"/>
        <v>1.6855</v>
      </c>
      <c r="L1085" s="19">
        <f t="shared" si="5"/>
        <v>0.002217763158</v>
      </c>
      <c r="M1085" s="16">
        <f t="shared" si="6"/>
        <v>761.6855</v>
      </c>
      <c r="N1085" s="20"/>
    </row>
    <row r="1086">
      <c r="A1086" s="22"/>
      <c r="B1086" s="23" t="s">
        <v>1989</v>
      </c>
      <c r="C1086" s="25" t="s">
        <v>1990</v>
      </c>
      <c r="D1086" s="25">
        <v>1499.0</v>
      </c>
      <c r="E1086" s="16">
        <f t="shared" si="1"/>
        <v>103.431</v>
      </c>
      <c r="F1086" s="16">
        <f t="shared" si="2"/>
        <v>32.2285</v>
      </c>
      <c r="G1086" s="26">
        <v>1120.0</v>
      </c>
      <c r="H1086" s="27">
        <v>0.1</v>
      </c>
      <c r="I1086" s="28">
        <f t="shared" si="24"/>
        <v>149.9</v>
      </c>
      <c r="J1086" s="25">
        <v>65.0</v>
      </c>
      <c r="K1086" s="16">
        <f t="shared" si="4"/>
        <v>28.4405</v>
      </c>
      <c r="L1086" s="19">
        <f t="shared" si="5"/>
        <v>0.02539330357</v>
      </c>
      <c r="M1086" s="16">
        <f t="shared" si="6"/>
        <v>1148.4405</v>
      </c>
      <c r="N1086" s="20"/>
    </row>
    <row r="1087">
      <c r="A1087" s="22"/>
      <c r="B1087" s="23" t="s">
        <v>1991</v>
      </c>
      <c r="C1087" s="24"/>
      <c r="D1087" s="25">
        <v>359.0</v>
      </c>
      <c r="E1087" s="16">
        <f t="shared" si="1"/>
        <v>24.771</v>
      </c>
      <c r="F1087" s="16">
        <f t="shared" si="2"/>
        <v>7.7185</v>
      </c>
      <c r="G1087" s="26">
        <v>192.04</v>
      </c>
      <c r="H1087" s="27">
        <v>0.1</v>
      </c>
      <c r="I1087" s="28">
        <f t="shared" si="24"/>
        <v>35.9</v>
      </c>
      <c r="J1087" s="25">
        <v>65.0</v>
      </c>
      <c r="K1087" s="16">
        <f t="shared" si="4"/>
        <v>33.5705</v>
      </c>
      <c r="L1087" s="19">
        <f t="shared" si="5"/>
        <v>0.1748099354</v>
      </c>
      <c r="M1087" s="16">
        <f t="shared" si="6"/>
        <v>225.6105</v>
      </c>
      <c r="N1087" s="20"/>
    </row>
    <row r="1088">
      <c r="A1088" s="22"/>
      <c r="B1088" s="23" t="s">
        <v>1992</v>
      </c>
      <c r="C1088" s="47" t="s">
        <v>1993</v>
      </c>
      <c r="D1088" s="25">
        <v>2599.0</v>
      </c>
      <c r="E1088" s="16">
        <f t="shared" si="1"/>
        <v>179.331</v>
      </c>
      <c r="F1088" s="16">
        <f t="shared" si="2"/>
        <v>55.8785</v>
      </c>
      <c r="G1088" s="26">
        <v>1667.66</v>
      </c>
      <c r="H1088" s="27">
        <v>0.15</v>
      </c>
      <c r="I1088" s="28">
        <f t="shared" si="24"/>
        <v>389.85</v>
      </c>
      <c r="J1088" s="25">
        <v>139.9</v>
      </c>
      <c r="K1088" s="16">
        <f t="shared" si="4"/>
        <v>166.3805</v>
      </c>
      <c r="L1088" s="19">
        <f t="shared" si="5"/>
        <v>0.09976883777</v>
      </c>
      <c r="M1088" s="16">
        <f t="shared" si="6"/>
        <v>1834.0405</v>
      </c>
      <c r="N1088" s="20" t="s">
        <v>1974</v>
      </c>
    </row>
    <row r="1089">
      <c r="A1089" s="22"/>
      <c r="B1089" s="23" t="s">
        <v>1994</v>
      </c>
      <c r="C1089" s="24"/>
      <c r="D1089" s="25">
        <v>5999.0</v>
      </c>
      <c r="E1089" s="16">
        <f t="shared" si="1"/>
        <v>413.931</v>
      </c>
      <c r="F1089" s="16">
        <f t="shared" si="2"/>
        <v>128.9785</v>
      </c>
      <c r="G1089" s="26">
        <v>3884.63</v>
      </c>
      <c r="H1089" s="27">
        <v>0.165</v>
      </c>
      <c r="I1089" s="28">
        <f t="shared" si="24"/>
        <v>989.835</v>
      </c>
      <c r="J1089" s="25">
        <v>139.9</v>
      </c>
      <c r="K1089" s="16">
        <f t="shared" si="4"/>
        <v>441.7255</v>
      </c>
      <c r="L1089" s="19">
        <f t="shared" si="5"/>
        <v>0.113711087</v>
      </c>
      <c r="M1089" s="16">
        <f t="shared" si="6"/>
        <v>4326.3555</v>
      </c>
      <c r="N1089" s="20"/>
    </row>
    <row r="1090">
      <c r="A1090" s="22"/>
      <c r="B1090" s="23" t="s">
        <v>1995</v>
      </c>
      <c r="C1090" s="24"/>
      <c r="D1090" s="25">
        <v>296.0</v>
      </c>
      <c r="E1090" s="16">
        <f t="shared" si="1"/>
        <v>20.424</v>
      </c>
      <c r="F1090" s="16">
        <f t="shared" si="2"/>
        <v>6.364</v>
      </c>
      <c r="G1090" s="26">
        <v>192.04</v>
      </c>
      <c r="H1090" s="27">
        <v>0.1</v>
      </c>
      <c r="I1090" s="28">
        <f t="shared" si="24"/>
        <v>29.6</v>
      </c>
      <c r="J1090" s="25">
        <v>30.0</v>
      </c>
      <c r="K1090" s="16">
        <f t="shared" si="4"/>
        <v>17.572</v>
      </c>
      <c r="L1090" s="19">
        <f t="shared" si="5"/>
        <v>0.09150177046</v>
      </c>
      <c r="M1090" s="16">
        <f t="shared" si="6"/>
        <v>209.612</v>
      </c>
      <c r="N1090" s="20"/>
    </row>
    <row r="1091">
      <c r="A1091" s="22"/>
      <c r="B1091" s="23" t="s">
        <v>1996</v>
      </c>
      <c r="C1091" s="25" t="s">
        <v>1997</v>
      </c>
      <c r="D1091" s="25">
        <v>4199.0</v>
      </c>
      <c r="E1091" s="16">
        <f t="shared" si="1"/>
        <v>289.731</v>
      </c>
      <c r="F1091" s="16">
        <f t="shared" si="2"/>
        <v>90.2785</v>
      </c>
      <c r="G1091" s="26">
        <v>3039.92</v>
      </c>
      <c r="H1091" s="27">
        <v>0.15</v>
      </c>
      <c r="I1091" s="28">
        <f t="shared" si="24"/>
        <v>629.85</v>
      </c>
      <c r="J1091" s="25">
        <v>161.0</v>
      </c>
      <c r="K1091" s="16">
        <f t="shared" si="4"/>
        <v>-11.7795</v>
      </c>
      <c r="L1091" s="19">
        <f t="shared" si="5"/>
        <v>-0.003874937498</v>
      </c>
      <c r="M1091" s="16">
        <f t="shared" si="6"/>
        <v>3028.1405</v>
      </c>
      <c r="N1091" s="20" t="s">
        <v>1660</v>
      </c>
    </row>
    <row r="1092">
      <c r="A1092" s="22"/>
      <c r="B1092" s="23" t="s">
        <v>1998</v>
      </c>
      <c r="C1092" s="24"/>
      <c r="D1092" s="25">
        <v>11999.0</v>
      </c>
      <c r="E1092" s="16">
        <f t="shared" si="1"/>
        <v>827.931</v>
      </c>
      <c r="F1092" s="16">
        <f t="shared" si="2"/>
        <v>257.9785</v>
      </c>
      <c r="G1092" s="26">
        <v>7474.09</v>
      </c>
      <c r="H1092" s="27">
        <v>0.195</v>
      </c>
      <c r="I1092" s="28">
        <f t="shared" si="24"/>
        <v>2339.805</v>
      </c>
      <c r="J1092" s="25">
        <v>222.5</v>
      </c>
      <c r="K1092" s="16">
        <f t="shared" si="4"/>
        <v>876.6955</v>
      </c>
      <c r="L1092" s="19">
        <f t="shared" si="5"/>
        <v>0.1172979587</v>
      </c>
      <c r="M1092" s="16">
        <f t="shared" si="6"/>
        <v>8350.7855</v>
      </c>
      <c r="N1092" s="20"/>
    </row>
    <row r="1093">
      <c r="A1093" s="22"/>
      <c r="B1093" s="23" t="s">
        <v>1999</v>
      </c>
      <c r="C1093" s="48" t="s">
        <v>2000</v>
      </c>
      <c r="D1093" s="25">
        <v>4499.0</v>
      </c>
      <c r="E1093" s="16">
        <f t="shared" si="1"/>
        <v>310.431</v>
      </c>
      <c r="F1093" s="16">
        <f t="shared" si="2"/>
        <v>96.7285</v>
      </c>
      <c r="G1093" s="26">
        <v>2850.0</v>
      </c>
      <c r="H1093" s="27">
        <v>0.15</v>
      </c>
      <c r="I1093" s="28">
        <f t="shared" si="24"/>
        <v>674.85</v>
      </c>
      <c r="J1093" s="25">
        <v>165.0</v>
      </c>
      <c r="K1093" s="16">
        <f t="shared" si="4"/>
        <v>401.9905</v>
      </c>
      <c r="L1093" s="19">
        <f t="shared" si="5"/>
        <v>0.1410492982</v>
      </c>
      <c r="M1093" s="16">
        <f t="shared" si="6"/>
        <v>3251.9905</v>
      </c>
      <c r="N1093" s="20" t="s">
        <v>1660</v>
      </c>
    </row>
    <row r="1094">
      <c r="A1094" s="22"/>
      <c r="B1094" s="23" t="s">
        <v>2001</v>
      </c>
      <c r="C1094" s="24"/>
      <c r="D1094" s="25">
        <v>299.0</v>
      </c>
      <c r="E1094" s="16">
        <f t="shared" si="1"/>
        <v>20.631</v>
      </c>
      <c r="F1094" s="16">
        <f t="shared" si="2"/>
        <v>6.4285</v>
      </c>
      <c r="G1094" s="26">
        <v>140.0</v>
      </c>
      <c r="H1094" s="27">
        <v>0.15</v>
      </c>
      <c r="I1094" s="28">
        <f t="shared" si="24"/>
        <v>44.85</v>
      </c>
      <c r="J1094" s="25">
        <v>65.0</v>
      </c>
      <c r="K1094" s="16">
        <f t="shared" si="4"/>
        <v>22.0905</v>
      </c>
      <c r="L1094" s="19">
        <f t="shared" si="5"/>
        <v>0.1577892857</v>
      </c>
      <c r="M1094" s="16">
        <f t="shared" si="6"/>
        <v>162.0905</v>
      </c>
      <c r="N1094" s="20"/>
    </row>
    <row r="1095">
      <c r="A1095" s="22"/>
      <c r="B1095" s="23" t="s">
        <v>2002</v>
      </c>
      <c r="C1095" s="24"/>
      <c r="D1095" s="25">
        <v>252.0</v>
      </c>
      <c r="E1095" s="16">
        <f t="shared" si="1"/>
        <v>17.388</v>
      </c>
      <c r="F1095" s="16">
        <f t="shared" si="2"/>
        <v>5.418</v>
      </c>
      <c r="G1095" s="26">
        <v>140.0</v>
      </c>
      <c r="H1095" s="27">
        <v>0.195</v>
      </c>
      <c r="I1095" s="28">
        <f t="shared" si="24"/>
        <v>49.14</v>
      </c>
      <c r="J1095" s="25">
        <v>56.0</v>
      </c>
      <c r="K1095" s="16">
        <f t="shared" si="4"/>
        <v>-15.946</v>
      </c>
      <c r="L1095" s="19">
        <f t="shared" si="5"/>
        <v>-0.1139</v>
      </c>
      <c r="M1095" s="16">
        <f t="shared" si="6"/>
        <v>124.054</v>
      </c>
      <c r="N1095" s="20"/>
    </row>
    <row r="1096">
      <c r="A1096" s="22"/>
      <c r="B1096" s="23" t="s">
        <v>2003</v>
      </c>
      <c r="C1096" s="24"/>
      <c r="D1096" s="24"/>
      <c r="E1096" s="16">
        <f t="shared" si="1"/>
        <v>0</v>
      </c>
      <c r="F1096" s="16">
        <f t="shared" si="2"/>
        <v>0</v>
      </c>
      <c r="G1096" s="26">
        <v>440.2</v>
      </c>
      <c r="H1096" s="27">
        <v>0.195</v>
      </c>
      <c r="I1096" s="28">
        <f t="shared" si="24"/>
        <v>0</v>
      </c>
      <c r="J1096" s="25"/>
      <c r="K1096" s="16">
        <f t="shared" si="4"/>
        <v>-440.2</v>
      </c>
      <c r="L1096" s="19">
        <f t="shared" si="5"/>
        <v>-1</v>
      </c>
      <c r="M1096" s="16">
        <f t="shared" si="6"/>
        <v>0</v>
      </c>
      <c r="N1096" s="20"/>
    </row>
    <row r="1097">
      <c r="A1097" s="22"/>
      <c r="B1097" s="23" t="s">
        <v>2004</v>
      </c>
      <c r="C1097" s="24"/>
      <c r="D1097" s="25">
        <v>179.0</v>
      </c>
      <c r="E1097" s="16">
        <f t="shared" si="1"/>
        <v>12.351</v>
      </c>
      <c r="F1097" s="16">
        <f t="shared" si="2"/>
        <v>3.8485</v>
      </c>
      <c r="G1097" s="26">
        <v>70.0</v>
      </c>
      <c r="H1097" s="27">
        <v>0.15</v>
      </c>
      <c r="I1097" s="28">
        <f t="shared" si="24"/>
        <v>26.85</v>
      </c>
      <c r="J1097" s="25">
        <v>74.5</v>
      </c>
      <c r="K1097" s="16">
        <f t="shared" si="4"/>
        <v>-8.5495</v>
      </c>
      <c r="L1097" s="19">
        <f t="shared" si="5"/>
        <v>-0.1221357143</v>
      </c>
      <c r="M1097" s="16">
        <f t="shared" si="6"/>
        <v>61.4505</v>
      </c>
      <c r="N1097" s="20"/>
    </row>
    <row r="1098">
      <c r="A1098" s="22"/>
      <c r="B1098" s="23" t="s">
        <v>2005</v>
      </c>
      <c r="C1098" s="24"/>
      <c r="D1098" s="24"/>
      <c r="E1098" s="16">
        <f t="shared" si="1"/>
        <v>0</v>
      </c>
      <c r="F1098" s="16">
        <f t="shared" si="2"/>
        <v>0</v>
      </c>
      <c r="G1098" s="26">
        <v>340.0</v>
      </c>
      <c r="H1098" s="27">
        <v>0.195</v>
      </c>
      <c r="I1098" s="28">
        <f t="shared" si="24"/>
        <v>0</v>
      </c>
      <c r="J1098" s="25"/>
      <c r="K1098" s="16">
        <f t="shared" si="4"/>
        <v>-340</v>
      </c>
      <c r="L1098" s="19">
        <f t="shared" si="5"/>
        <v>-1</v>
      </c>
      <c r="M1098" s="16">
        <f t="shared" si="6"/>
        <v>0</v>
      </c>
      <c r="N1098" s="20"/>
    </row>
    <row r="1099">
      <c r="A1099" s="22"/>
      <c r="B1099" s="23" t="s">
        <v>2006</v>
      </c>
      <c r="C1099" s="25" t="s">
        <v>2007</v>
      </c>
      <c r="D1099" s="25">
        <v>4999.0</v>
      </c>
      <c r="E1099" s="16">
        <f t="shared" si="1"/>
        <v>344.931</v>
      </c>
      <c r="F1099" s="16">
        <f t="shared" si="2"/>
        <v>107.4785</v>
      </c>
      <c r="G1099" s="26">
        <v>4421.7</v>
      </c>
      <c r="H1099" s="27">
        <v>0.195</v>
      </c>
      <c r="I1099" s="28">
        <f t="shared" si="24"/>
        <v>974.805</v>
      </c>
      <c r="J1099" s="25">
        <v>222.5</v>
      </c>
      <c r="K1099" s="16">
        <f t="shared" si="4"/>
        <v>-1072.4145</v>
      </c>
      <c r="L1099" s="19">
        <f t="shared" si="5"/>
        <v>-0.2425344325</v>
      </c>
      <c r="M1099" s="16">
        <f t="shared" si="6"/>
        <v>3349.2855</v>
      </c>
      <c r="N1099" s="20"/>
    </row>
    <row r="1100">
      <c r="A1100" s="22"/>
      <c r="B1100" s="39" t="s">
        <v>2008</v>
      </c>
      <c r="C1100" s="25" t="s">
        <v>2007</v>
      </c>
      <c r="D1100" s="25">
        <v>5938.0</v>
      </c>
      <c r="E1100" s="16">
        <f t="shared" si="1"/>
        <v>409.722</v>
      </c>
      <c r="F1100" s="16">
        <f t="shared" si="2"/>
        <v>127.667</v>
      </c>
      <c r="G1100" s="26">
        <v>4421.7</v>
      </c>
      <c r="H1100" s="27">
        <v>0.195</v>
      </c>
      <c r="I1100" s="28">
        <f t="shared" si="24"/>
        <v>1157.91</v>
      </c>
      <c r="J1100" s="25">
        <v>222.5</v>
      </c>
      <c r="K1100" s="16">
        <f t="shared" si="4"/>
        <v>-401.499</v>
      </c>
      <c r="L1100" s="19">
        <f t="shared" si="5"/>
        <v>-0.090801954</v>
      </c>
      <c r="M1100" s="16">
        <f t="shared" si="6"/>
        <v>4020.201</v>
      </c>
      <c r="N1100" s="20"/>
    </row>
    <row r="1101">
      <c r="A1101" s="22"/>
      <c r="B1101" s="23" t="s">
        <v>2009</v>
      </c>
      <c r="C1101" s="24"/>
      <c r="D1101" s="25">
        <v>4889.0</v>
      </c>
      <c r="E1101" s="16">
        <f t="shared" si="1"/>
        <v>337.341</v>
      </c>
      <c r="F1101" s="16">
        <f t="shared" si="2"/>
        <v>105.1135</v>
      </c>
      <c r="G1101" s="26">
        <v>3868.99</v>
      </c>
      <c r="H1101" s="27">
        <v>0.2</v>
      </c>
      <c r="I1101" s="28">
        <f t="shared" si="24"/>
        <v>977.8</v>
      </c>
      <c r="J1101" s="25">
        <v>222.5</v>
      </c>
      <c r="K1101" s="16">
        <f t="shared" si="4"/>
        <v>-622.7445</v>
      </c>
      <c r="L1101" s="19">
        <f t="shared" si="5"/>
        <v>-0.1609578986</v>
      </c>
      <c r="M1101" s="16">
        <f t="shared" si="6"/>
        <v>3246.2455</v>
      </c>
      <c r="N1101" s="20"/>
    </row>
    <row r="1102">
      <c r="A1102" s="22"/>
      <c r="B1102" s="23" t="s">
        <v>2010</v>
      </c>
      <c r="C1102" s="24"/>
      <c r="D1102" s="25">
        <v>399.0</v>
      </c>
      <c r="E1102" s="16">
        <f t="shared" si="1"/>
        <v>27.531</v>
      </c>
      <c r="F1102" s="16">
        <f t="shared" si="2"/>
        <v>8.5785</v>
      </c>
      <c r="G1102" s="26">
        <v>155.0</v>
      </c>
      <c r="H1102" s="27">
        <v>0.115</v>
      </c>
      <c r="I1102" s="28">
        <f t="shared" si="24"/>
        <v>45.885</v>
      </c>
      <c r="J1102" s="25">
        <v>52.0</v>
      </c>
      <c r="K1102" s="16">
        <f t="shared" si="4"/>
        <v>110.0055</v>
      </c>
      <c r="L1102" s="19">
        <f t="shared" si="5"/>
        <v>0.7097129032</v>
      </c>
      <c r="M1102" s="16">
        <f t="shared" si="6"/>
        <v>265.0055</v>
      </c>
      <c r="N1102" s="20"/>
    </row>
    <row r="1103">
      <c r="A1103" s="22"/>
      <c r="B1103" s="23" t="s">
        <v>2011</v>
      </c>
      <c r="C1103" s="25" t="s">
        <v>2012</v>
      </c>
      <c r="D1103" s="25">
        <v>345.0</v>
      </c>
      <c r="E1103" s="16">
        <f t="shared" si="1"/>
        <v>23.805</v>
      </c>
      <c r="F1103" s="16">
        <f t="shared" si="2"/>
        <v>7.4175</v>
      </c>
      <c r="G1103" s="26">
        <v>190.0</v>
      </c>
      <c r="H1103" s="27">
        <v>0.15</v>
      </c>
      <c r="I1103" s="28">
        <f t="shared" si="24"/>
        <v>51.75</v>
      </c>
      <c r="J1103" s="25">
        <v>56.0</v>
      </c>
      <c r="K1103" s="16">
        <f t="shared" si="4"/>
        <v>16.0275</v>
      </c>
      <c r="L1103" s="19">
        <f t="shared" si="5"/>
        <v>0.08435526316</v>
      </c>
      <c r="M1103" s="16">
        <f t="shared" si="6"/>
        <v>206.0275</v>
      </c>
      <c r="N1103" s="20" t="s">
        <v>237</v>
      </c>
    </row>
    <row r="1104">
      <c r="A1104" s="22"/>
      <c r="B1104" s="23" t="s">
        <v>2013</v>
      </c>
      <c r="C1104" s="25" t="s">
        <v>2012</v>
      </c>
      <c r="D1104" s="25">
        <v>343.0</v>
      </c>
      <c r="E1104" s="16">
        <f t="shared" si="1"/>
        <v>23.667</v>
      </c>
      <c r="F1104" s="16">
        <f t="shared" si="2"/>
        <v>7.3745</v>
      </c>
      <c r="G1104" s="26">
        <v>190.0</v>
      </c>
      <c r="H1104" s="27">
        <v>0.15</v>
      </c>
      <c r="I1104" s="28">
        <f t="shared" si="24"/>
        <v>51.45</v>
      </c>
      <c r="J1104" s="25">
        <v>70.0</v>
      </c>
      <c r="K1104" s="16">
        <f t="shared" si="4"/>
        <v>0.5085</v>
      </c>
      <c r="L1104" s="19">
        <f t="shared" si="5"/>
        <v>0.002676315789</v>
      </c>
      <c r="M1104" s="16">
        <f t="shared" si="6"/>
        <v>190.5085</v>
      </c>
      <c r="N1104" s="20"/>
    </row>
    <row r="1105">
      <c r="A1105" s="22"/>
      <c r="B1105" s="23" t="s">
        <v>2014</v>
      </c>
      <c r="C1105" s="24"/>
      <c r="D1105" s="25">
        <v>1599.0</v>
      </c>
      <c r="E1105" s="16">
        <f t="shared" si="1"/>
        <v>110.331</v>
      </c>
      <c r="F1105" s="16">
        <f t="shared" si="2"/>
        <v>34.3785</v>
      </c>
      <c r="G1105" s="26">
        <v>1142.65</v>
      </c>
      <c r="H1105" s="27">
        <v>0.195</v>
      </c>
      <c r="I1105" s="28">
        <f t="shared" si="24"/>
        <v>311.805</v>
      </c>
      <c r="J1105" s="25">
        <v>110.0</v>
      </c>
      <c r="K1105" s="16">
        <f t="shared" si="4"/>
        <v>-110.1645</v>
      </c>
      <c r="L1105" s="19">
        <f t="shared" si="5"/>
        <v>-0.09641141207</v>
      </c>
      <c r="M1105" s="16">
        <f t="shared" si="6"/>
        <v>1032.4855</v>
      </c>
      <c r="N1105" s="20"/>
    </row>
    <row r="1106">
      <c r="A1106" s="22"/>
      <c r="B1106" s="23" t="s">
        <v>2015</v>
      </c>
      <c r="C1106" s="25" t="s">
        <v>2016</v>
      </c>
      <c r="D1106" s="25">
        <v>2578.0</v>
      </c>
      <c r="E1106" s="16">
        <f t="shared" si="1"/>
        <v>177.882</v>
      </c>
      <c r="F1106" s="16">
        <f t="shared" si="2"/>
        <v>55.427</v>
      </c>
      <c r="G1106" s="26">
        <v>1950.0</v>
      </c>
      <c r="H1106" s="27">
        <v>0.18</v>
      </c>
      <c r="I1106" s="28">
        <f t="shared" si="24"/>
        <v>464.04</v>
      </c>
      <c r="J1106" s="25">
        <v>84.0</v>
      </c>
      <c r="K1106" s="16">
        <f t="shared" si="4"/>
        <v>-153.349</v>
      </c>
      <c r="L1106" s="19">
        <f t="shared" si="5"/>
        <v>-0.07864051282</v>
      </c>
      <c r="M1106" s="16">
        <f t="shared" si="6"/>
        <v>1796.651</v>
      </c>
      <c r="N1106" s="20"/>
    </row>
    <row r="1107">
      <c r="A1107" s="22"/>
      <c r="B1107" s="23" t="s">
        <v>2017</v>
      </c>
      <c r="C1107" s="25" t="s">
        <v>2018</v>
      </c>
      <c r="D1107" s="25">
        <v>4749.0</v>
      </c>
      <c r="E1107" s="16">
        <f t="shared" si="1"/>
        <v>327.681</v>
      </c>
      <c r="F1107" s="16">
        <f t="shared" si="2"/>
        <v>102.1035</v>
      </c>
      <c r="G1107" s="26">
        <v>3390.0</v>
      </c>
      <c r="H1107" s="27">
        <v>0.195</v>
      </c>
      <c r="I1107" s="28">
        <f t="shared" si="24"/>
        <v>926.055</v>
      </c>
      <c r="J1107" s="25">
        <v>95.0</v>
      </c>
      <c r="K1107" s="16">
        <f t="shared" si="4"/>
        <v>-91.8395</v>
      </c>
      <c r="L1107" s="19">
        <f t="shared" si="5"/>
        <v>-0.02709129794</v>
      </c>
      <c r="M1107" s="16">
        <f t="shared" si="6"/>
        <v>3298.1605</v>
      </c>
      <c r="N1107" s="20"/>
    </row>
    <row r="1108">
      <c r="A1108" s="22"/>
      <c r="B1108" s="23" t="s">
        <v>2019</v>
      </c>
      <c r="C1108" s="25" t="s">
        <v>2020</v>
      </c>
      <c r="D1108" s="25">
        <v>3599.0</v>
      </c>
      <c r="E1108" s="16">
        <f t="shared" si="1"/>
        <v>248.331</v>
      </c>
      <c r="F1108" s="16">
        <f t="shared" si="2"/>
        <v>77.3785</v>
      </c>
      <c r="G1108" s="26">
        <v>2469.2</v>
      </c>
      <c r="H1108" s="27">
        <v>0.195</v>
      </c>
      <c r="I1108" s="28">
        <f t="shared" si="24"/>
        <v>701.805</v>
      </c>
      <c r="J1108" s="25">
        <v>161.0</v>
      </c>
      <c r="K1108" s="16">
        <f t="shared" si="4"/>
        <v>-58.7145</v>
      </c>
      <c r="L1108" s="19">
        <f t="shared" si="5"/>
        <v>-0.02377875425</v>
      </c>
      <c r="M1108" s="16">
        <f t="shared" si="6"/>
        <v>2410.4855</v>
      </c>
      <c r="N1108" s="20"/>
    </row>
    <row r="1109">
      <c r="A1109" s="22"/>
      <c r="B1109" s="23" t="s">
        <v>2021</v>
      </c>
      <c r="C1109" s="25" t="s">
        <v>2022</v>
      </c>
      <c r="D1109" s="25">
        <v>1099.0</v>
      </c>
      <c r="E1109" s="16">
        <f t="shared" si="1"/>
        <v>75.831</v>
      </c>
      <c r="F1109" s="16">
        <f t="shared" si="2"/>
        <v>23.6285</v>
      </c>
      <c r="G1109" s="26">
        <v>700.0</v>
      </c>
      <c r="H1109" s="27">
        <v>0.18</v>
      </c>
      <c r="I1109" s="28">
        <f t="shared" si="24"/>
        <v>197.82</v>
      </c>
      <c r="J1109" s="25">
        <v>74.0</v>
      </c>
      <c r="K1109" s="16">
        <f t="shared" si="4"/>
        <v>27.7205</v>
      </c>
      <c r="L1109" s="19">
        <f t="shared" si="5"/>
        <v>0.03960071429</v>
      </c>
      <c r="M1109" s="16">
        <f t="shared" si="6"/>
        <v>727.7205</v>
      </c>
      <c r="N1109" s="20"/>
    </row>
    <row r="1110">
      <c r="A1110" s="22"/>
      <c r="B1110" s="23" t="s">
        <v>2023</v>
      </c>
      <c r="C1110" s="25" t="s">
        <v>2024</v>
      </c>
      <c r="D1110" s="25">
        <v>1076.0</v>
      </c>
      <c r="E1110" s="16">
        <f t="shared" si="1"/>
        <v>74.244</v>
      </c>
      <c r="F1110" s="16">
        <f t="shared" si="2"/>
        <v>23.134</v>
      </c>
      <c r="G1110" s="26">
        <v>700.0</v>
      </c>
      <c r="H1110" s="27">
        <v>0.135</v>
      </c>
      <c r="I1110" s="28">
        <f t="shared" si="24"/>
        <v>145.26</v>
      </c>
      <c r="J1110" s="25">
        <v>74.0</v>
      </c>
      <c r="K1110" s="16">
        <f t="shared" si="4"/>
        <v>59.362</v>
      </c>
      <c r="L1110" s="19">
        <f t="shared" si="5"/>
        <v>0.08480285714</v>
      </c>
      <c r="M1110" s="16">
        <f t="shared" si="6"/>
        <v>759.362</v>
      </c>
      <c r="N1110" s="20"/>
    </row>
    <row r="1111">
      <c r="A1111" s="22"/>
      <c r="B1111" s="23" t="s">
        <v>2025</v>
      </c>
      <c r="C1111" s="25" t="s">
        <v>2026</v>
      </c>
      <c r="D1111" s="25">
        <v>369.0</v>
      </c>
      <c r="E1111" s="16">
        <f t="shared" si="1"/>
        <v>25.461</v>
      </c>
      <c r="F1111" s="16">
        <f t="shared" si="2"/>
        <v>7.9335</v>
      </c>
      <c r="G1111" s="26">
        <v>210.0</v>
      </c>
      <c r="H1111" s="27">
        <v>0.15</v>
      </c>
      <c r="I1111" s="28">
        <f t="shared" si="24"/>
        <v>55.35</v>
      </c>
      <c r="J1111" s="25">
        <v>70.0</v>
      </c>
      <c r="K1111" s="16">
        <f t="shared" si="4"/>
        <v>0.2555</v>
      </c>
      <c r="L1111" s="19">
        <f t="shared" si="5"/>
        <v>0.001216666667</v>
      </c>
      <c r="M1111" s="16">
        <f t="shared" si="6"/>
        <v>210.2555</v>
      </c>
      <c r="N1111" s="20"/>
    </row>
    <row r="1112">
      <c r="A1112" s="22"/>
      <c r="B1112" s="23" t="s">
        <v>2027</v>
      </c>
      <c r="C1112" s="25" t="s">
        <v>2028</v>
      </c>
      <c r="D1112" s="25">
        <v>5999.0</v>
      </c>
      <c r="E1112" s="16">
        <f t="shared" si="1"/>
        <v>413.931</v>
      </c>
      <c r="F1112" s="16">
        <f t="shared" si="2"/>
        <v>128.9785</v>
      </c>
      <c r="G1112" s="26">
        <v>4620.0</v>
      </c>
      <c r="H1112" s="27">
        <v>0.145</v>
      </c>
      <c r="I1112" s="28">
        <f t="shared" si="24"/>
        <v>869.855</v>
      </c>
      <c r="J1112" s="25">
        <v>222.0</v>
      </c>
      <c r="K1112" s="16">
        <f t="shared" si="4"/>
        <v>-255.7645</v>
      </c>
      <c r="L1112" s="19">
        <f t="shared" si="5"/>
        <v>-0.05536028139</v>
      </c>
      <c r="M1112" s="16">
        <f t="shared" si="6"/>
        <v>4364.2355</v>
      </c>
      <c r="N1112" s="20"/>
    </row>
    <row r="1113">
      <c r="A1113" s="22"/>
      <c r="B1113" s="39" t="s">
        <v>2029</v>
      </c>
      <c r="C1113" s="25" t="s">
        <v>2028</v>
      </c>
      <c r="D1113" s="25">
        <v>5999.0</v>
      </c>
      <c r="E1113" s="16">
        <f t="shared" si="1"/>
        <v>413.931</v>
      </c>
      <c r="F1113" s="16">
        <f t="shared" si="2"/>
        <v>128.9785</v>
      </c>
      <c r="G1113" s="26">
        <v>4620.0</v>
      </c>
      <c r="H1113" s="27">
        <v>0.145</v>
      </c>
      <c r="I1113" s="28">
        <f t="shared" si="24"/>
        <v>869.855</v>
      </c>
      <c r="J1113" s="25">
        <v>222.0</v>
      </c>
      <c r="K1113" s="16">
        <f t="shared" si="4"/>
        <v>-255.7645</v>
      </c>
      <c r="L1113" s="19">
        <f t="shared" si="5"/>
        <v>-0.05536028139</v>
      </c>
      <c r="M1113" s="16">
        <f t="shared" si="6"/>
        <v>4364.2355</v>
      </c>
      <c r="N1113" s="20"/>
    </row>
    <row r="1114">
      <c r="A1114" s="22"/>
      <c r="B1114" s="23" t="s">
        <v>2030</v>
      </c>
      <c r="C1114" s="25" t="s">
        <v>2031</v>
      </c>
      <c r="D1114" s="25">
        <v>2199.0</v>
      </c>
      <c r="E1114" s="16">
        <f t="shared" si="1"/>
        <v>151.731</v>
      </c>
      <c r="F1114" s="16">
        <f t="shared" si="2"/>
        <v>47.2785</v>
      </c>
      <c r="G1114" s="26">
        <v>1723.91</v>
      </c>
      <c r="H1114" s="27">
        <v>0.1</v>
      </c>
      <c r="I1114" s="28">
        <f t="shared" si="24"/>
        <v>219.9</v>
      </c>
      <c r="J1114" s="25">
        <v>74.0</v>
      </c>
      <c r="K1114" s="16">
        <f t="shared" si="4"/>
        <v>-17.8195</v>
      </c>
      <c r="L1114" s="19">
        <f t="shared" si="5"/>
        <v>-0.01033667651</v>
      </c>
      <c r="M1114" s="16">
        <f t="shared" si="6"/>
        <v>1706.0905</v>
      </c>
      <c r="N1114" s="20"/>
    </row>
    <row r="1115">
      <c r="A1115" s="22"/>
      <c r="B1115" s="23" t="s">
        <v>2032</v>
      </c>
      <c r="C1115" s="25" t="s">
        <v>2031</v>
      </c>
      <c r="D1115" s="25">
        <v>2199.0</v>
      </c>
      <c r="E1115" s="16">
        <f t="shared" si="1"/>
        <v>151.731</v>
      </c>
      <c r="F1115" s="16">
        <f t="shared" si="2"/>
        <v>47.2785</v>
      </c>
      <c r="G1115" s="26">
        <v>1723.91</v>
      </c>
      <c r="H1115" s="27">
        <v>0.1</v>
      </c>
      <c r="I1115" s="28">
        <f t="shared" si="24"/>
        <v>219.9</v>
      </c>
      <c r="J1115" s="25">
        <v>74.0</v>
      </c>
      <c r="K1115" s="16">
        <f t="shared" si="4"/>
        <v>-17.8195</v>
      </c>
      <c r="L1115" s="19">
        <f t="shared" si="5"/>
        <v>-0.01033667651</v>
      </c>
      <c r="M1115" s="16">
        <f t="shared" si="6"/>
        <v>1706.0905</v>
      </c>
      <c r="N1115" s="20"/>
    </row>
    <row r="1116">
      <c r="A1116" s="22"/>
      <c r="B1116" s="23" t="s">
        <v>2033</v>
      </c>
      <c r="C1116" s="24"/>
      <c r="D1116" s="25">
        <v>729.0</v>
      </c>
      <c r="E1116" s="16">
        <f t="shared" si="1"/>
        <v>50.301</v>
      </c>
      <c r="F1116" s="16">
        <f t="shared" si="2"/>
        <v>15.6735</v>
      </c>
      <c r="G1116" s="26">
        <v>530.0</v>
      </c>
      <c r="H1116" s="27">
        <v>0.1</v>
      </c>
      <c r="I1116" s="28">
        <f t="shared" si="24"/>
        <v>72.9</v>
      </c>
      <c r="J1116" s="25">
        <v>65.0</v>
      </c>
      <c r="K1116" s="16">
        <f t="shared" si="4"/>
        <v>-4.8745</v>
      </c>
      <c r="L1116" s="19">
        <f t="shared" si="5"/>
        <v>-0.009197169811</v>
      </c>
      <c r="M1116" s="16">
        <f t="shared" si="6"/>
        <v>525.1255</v>
      </c>
      <c r="N1116" s="20"/>
    </row>
    <row r="1117">
      <c r="A1117" s="22"/>
      <c r="B1117" s="39" t="s">
        <v>2034</v>
      </c>
      <c r="C1117" s="24"/>
      <c r="D1117" s="25">
        <v>729.0</v>
      </c>
      <c r="E1117" s="16">
        <f t="shared" si="1"/>
        <v>50.301</v>
      </c>
      <c r="F1117" s="16">
        <f t="shared" si="2"/>
        <v>15.6735</v>
      </c>
      <c r="G1117" s="26">
        <v>530.0</v>
      </c>
      <c r="H1117" s="27">
        <v>0.1</v>
      </c>
      <c r="I1117" s="28">
        <f t="shared" si="24"/>
        <v>72.9</v>
      </c>
      <c r="J1117" s="25">
        <v>65.0</v>
      </c>
      <c r="K1117" s="16">
        <f t="shared" si="4"/>
        <v>-4.8745</v>
      </c>
      <c r="L1117" s="19">
        <f t="shared" si="5"/>
        <v>-0.009197169811</v>
      </c>
      <c r="M1117" s="16">
        <f t="shared" si="6"/>
        <v>525.1255</v>
      </c>
      <c r="N1117" s="20"/>
    </row>
    <row r="1118">
      <c r="A1118" s="22"/>
      <c r="B1118" s="23" t="s">
        <v>2035</v>
      </c>
      <c r="C1118" s="25" t="s">
        <v>2036</v>
      </c>
      <c r="D1118" s="25">
        <v>566.0</v>
      </c>
      <c r="E1118" s="16">
        <f t="shared" si="1"/>
        <v>39.054</v>
      </c>
      <c r="F1118" s="16">
        <f t="shared" si="2"/>
        <v>12.169</v>
      </c>
      <c r="G1118" s="26">
        <v>406.69</v>
      </c>
      <c r="H1118" s="27">
        <v>0.1</v>
      </c>
      <c r="I1118" s="28">
        <f t="shared" si="24"/>
        <v>56.6</v>
      </c>
      <c r="J1118" s="25">
        <v>74.0</v>
      </c>
      <c r="K1118" s="16">
        <f t="shared" si="4"/>
        <v>-22.513</v>
      </c>
      <c r="L1118" s="19">
        <f t="shared" si="5"/>
        <v>-0.05535665986</v>
      </c>
      <c r="M1118" s="16">
        <f t="shared" si="6"/>
        <v>384.177</v>
      </c>
      <c r="N1118" s="20"/>
    </row>
    <row r="1119">
      <c r="A1119" s="22"/>
      <c r="B1119" s="39" t="s">
        <v>2037</v>
      </c>
      <c r="C1119" s="25" t="s">
        <v>2036</v>
      </c>
      <c r="D1119" s="25">
        <v>566.0</v>
      </c>
      <c r="E1119" s="16">
        <f t="shared" si="1"/>
        <v>39.054</v>
      </c>
      <c r="F1119" s="16">
        <f t="shared" si="2"/>
        <v>12.169</v>
      </c>
      <c r="G1119" s="26">
        <v>406.69</v>
      </c>
      <c r="H1119" s="27">
        <v>0.1</v>
      </c>
      <c r="I1119" s="28">
        <f t="shared" si="24"/>
        <v>56.6</v>
      </c>
      <c r="J1119" s="25">
        <v>74.0</v>
      </c>
      <c r="K1119" s="16">
        <f t="shared" si="4"/>
        <v>-22.513</v>
      </c>
      <c r="L1119" s="19">
        <f t="shared" si="5"/>
        <v>-0.05535665986</v>
      </c>
      <c r="M1119" s="16">
        <f t="shared" si="6"/>
        <v>384.177</v>
      </c>
      <c r="N1119" s="20"/>
    </row>
    <row r="1120">
      <c r="A1120" s="22"/>
      <c r="B1120" s="23" t="s">
        <v>2038</v>
      </c>
      <c r="C1120" s="25" t="s">
        <v>2039</v>
      </c>
      <c r="D1120" s="25">
        <v>2288.0</v>
      </c>
      <c r="E1120" s="16">
        <f t="shared" si="1"/>
        <v>157.872</v>
      </c>
      <c r="F1120" s="16">
        <f t="shared" si="2"/>
        <v>49.192</v>
      </c>
      <c r="G1120" s="26">
        <v>1642.65</v>
      </c>
      <c r="H1120" s="27">
        <v>0.145</v>
      </c>
      <c r="I1120" s="28">
        <f t="shared" si="24"/>
        <v>331.76</v>
      </c>
      <c r="J1120" s="25">
        <v>84.0</v>
      </c>
      <c r="K1120" s="16">
        <f t="shared" si="4"/>
        <v>22.526</v>
      </c>
      <c r="L1120" s="19">
        <f t="shared" si="5"/>
        <v>0.01371320732</v>
      </c>
      <c r="M1120" s="16">
        <f t="shared" si="6"/>
        <v>1665.176</v>
      </c>
      <c r="N1120" s="20"/>
    </row>
    <row r="1121">
      <c r="A1121" s="22"/>
      <c r="B1121" s="23" t="s">
        <v>2040</v>
      </c>
      <c r="C1121" s="24"/>
      <c r="D1121" s="24"/>
      <c r="E1121" s="16">
        <f t="shared" si="1"/>
        <v>0</v>
      </c>
      <c r="F1121" s="16">
        <f t="shared" si="2"/>
        <v>0</v>
      </c>
      <c r="G1121" s="26">
        <v>150.0</v>
      </c>
      <c r="H1121" s="43"/>
      <c r="I1121" s="28"/>
      <c r="J1121" s="24"/>
      <c r="K1121" s="16">
        <f t="shared" si="4"/>
        <v>-150</v>
      </c>
      <c r="L1121" s="19">
        <f t="shared" si="5"/>
        <v>-1</v>
      </c>
      <c r="M1121" s="16">
        <f t="shared" si="6"/>
        <v>0</v>
      </c>
      <c r="N1121" s="20"/>
    </row>
    <row r="1122">
      <c r="A1122" s="22"/>
      <c r="B1122" s="23" t="s">
        <v>2041</v>
      </c>
      <c r="C1122" s="25" t="s">
        <v>2042</v>
      </c>
      <c r="D1122" s="25">
        <v>572.0</v>
      </c>
      <c r="E1122" s="16">
        <f t="shared" si="1"/>
        <v>39.468</v>
      </c>
      <c r="F1122" s="16">
        <f t="shared" si="2"/>
        <v>12.298</v>
      </c>
      <c r="G1122" s="26">
        <v>406.69</v>
      </c>
      <c r="H1122" s="27">
        <v>0.1</v>
      </c>
      <c r="I1122" s="28">
        <f t="shared" ref="I1122:I1125" si="25">H1122*D1122</f>
        <v>57.2</v>
      </c>
      <c r="J1122" s="25">
        <v>74.0</v>
      </c>
      <c r="K1122" s="16">
        <f t="shared" si="4"/>
        <v>-17.656</v>
      </c>
      <c r="L1122" s="19">
        <f t="shared" si="5"/>
        <v>-0.04341390248</v>
      </c>
      <c r="M1122" s="16">
        <f t="shared" si="6"/>
        <v>389.034</v>
      </c>
      <c r="N1122" s="20"/>
    </row>
    <row r="1123">
      <c r="A1123" s="22"/>
      <c r="B1123" s="39" t="s">
        <v>2043</v>
      </c>
      <c r="C1123" s="25" t="s">
        <v>2042</v>
      </c>
      <c r="D1123" s="25">
        <v>572.0</v>
      </c>
      <c r="E1123" s="16">
        <f t="shared" si="1"/>
        <v>39.468</v>
      </c>
      <c r="F1123" s="16">
        <f t="shared" si="2"/>
        <v>12.298</v>
      </c>
      <c r="G1123" s="26">
        <v>406.69</v>
      </c>
      <c r="H1123" s="27">
        <v>0.1</v>
      </c>
      <c r="I1123" s="28">
        <f t="shared" si="25"/>
        <v>57.2</v>
      </c>
      <c r="J1123" s="25">
        <v>74.0</v>
      </c>
      <c r="K1123" s="16">
        <f t="shared" si="4"/>
        <v>-17.656</v>
      </c>
      <c r="L1123" s="19">
        <f t="shared" si="5"/>
        <v>-0.04341390248</v>
      </c>
      <c r="M1123" s="16">
        <f t="shared" si="6"/>
        <v>389.034</v>
      </c>
      <c r="N1123" s="20"/>
    </row>
    <row r="1124">
      <c r="A1124" s="22"/>
      <c r="B1124" s="23" t="s">
        <v>2044</v>
      </c>
      <c r="C1124" s="25" t="s">
        <v>2045</v>
      </c>
      <c r="D1124" s="25">
        <v>1193.0</v>
      </c>
      <c r="E1124" s="16">
        <f t="shared" si="1"/>
        <v>82.317</v>
      </c>
      <c r="F1124" s="16">
        <f t="shared" si="2"/>
        <v>25.6495</v>
      </c>
      <c r="G1124" s="26">
        <v>850.0</v>
      </c>
      <c r="H1124" s="27">
        <v>0.1</v>
      </c>
      <c r="I1124" s="28">
        <f t="shared" si="25"/>
        <v>119.3</v>
      </c>
      <c r="J1124" s="25">
        <v>84.0</v>
      </c>
      <c r="K1124" s="16">
        <f t="shared" si="4"/>
        <v>31.7335</v>
      </c>
      <c r="L1124" s="19">
        <f t="shared" si="5"/>
        <v>0.03733352941</v>
      </c>
      <c r="M1124" s="16">
        <f t="shared" si="6"/>
        <v>881.7335</v>
      </c>
      <c r="N1124" s="20"/>
    </row>
    <row r="1125">
      <c r="A1125" s="22"/>
      <c r="B1125" s="23" t="s">
        <v>2046</v>
      </c>
      <c r="C1125" s="25" t="s">
        <v>2047</v>
      </c>
      <c r="D1125" s="25">
        <v>2899.0</v>
      </c>
      <c r="E1125" s="16">
        <f t="shared" si="1"/>
        <v>200.031</v>
      </c>
      <c r="F1125" s="16">
        <f t="shared" si="2"/>
        <v>62.3285</v>
      </c>
      <c r="G1125" s="26">
        <v>1317.72</v>
      </c>
      <c r="H1125" s="27">
        <v>0.1</v>
      </c>
      <c r="I1125" s="28">
        <f t="shared" si="25"/>
        <v>289.9</v>
      </c>
      <c r="J1125" s="25">
        <v>110.0</v>
      </c>
      <c r="K1125" s="16">
        <f t="shared" si="4"/>
        <v>919.0205</v>
      </c>
      <c r="L1125" s="19">
        <f t="shared" si="5"/>
        <v>0.6974323073</v>
      </c>
      <c r="M1125" s="16">
        <f t="shared" si="6"/>
        <v>2236.7405</v>
      </c>
      <c r="N1125" s="20"/>
    </row>
    <row r="1126">
      <c r="A1126" s="22"/>
      <c r="B1126" s="23" t="s">
        <v>2048</v>
      </c>
      <c r="C1126" s="24"/>
      <c r="D1126" s="24"/>
      <c r="E1126" s="16">
        <f t="shared" si="1"/>
        <v>0</v>
      </c>
      <c r="F1126" s="16">
        <f t="shared" si="2"/>
        <v>0</v>
      </c>
      <c r="G1126" s="26">
        <v>155.0</v>
      </c>
      <c r="H1126" s="43"/>
      <c r="I1126" s="28"/>
      <c r="J1126" s="24"/>
      <c r="K1126" s="16">
        <f t="shared" si="4"/>
        <v>-155</v>
      </c>
      <c r="L1126" s="19">
        <f t="shared" si="5"/>
        <v>-1</v>
      </c>
      <c r="M1126" s="16">
        <f t="shared" si="6"/>
        <v>0</v>
      </c>
      <c r="N1126" s="20"/>
    </row>
    <row r="1127">
      <c r="A1127" s="22"/>
      <c r="B1127" s="23" t="s">
        <v>2049</v>
      </c>
      <c r="C1127" s="24"/>
      <c r="D1127" s="25">
        <v>1399.0</v>
      </c>
      <c r="E1127" s="16">
        <f t="shared" si="1"/>
        <v>96.531</v>
      </c>
      <c r="F1127" s="16">
        <f t="shared" si="2"/>
        <v>30.0785</v>
      </c>
      <c r="G1127" s="26">
        <v>990.0</v>
      </c>
      <c r="H1127" s="27">
        <v>0.12</v>
      </c>
      <c r="I1127" s="28">
        <f t="shared" ref="I1127:I1164" si="26">H1127*D1127</f>
        <v>167.88</v>
      </c>
      <c r="J1127" s="25">
        <v>139.0</v>
      </c>
      <c r="K1127" s="16">
        <f t="shared" si="4"/>
        <v>-24.4895</v>
      </c>
      <c r="L1127" s="19">
        <f t="shared" si="5"/>
        <v>-0.02473686869</v>
      </c>
      <c r="M1127" s="16">
        <f t="shared" si="6"/>
        <v>965.5105</v>
      </c>
      <c r="N1127" s="20"/>
    </row>
    <row r="1128">
      <c r="A1128" s="22"/>
      <c r="B1128" s="23" t="s">
        <v>2050</v>
      </c>
      <c r="C1128" s="24"/>
      <c r="D1128" s="25">
        <v>5189.0</v>
      </c>
      <c r="E1128" s="16">
        <f t="shared" si="1"/>
        <v>358.041</v>
      </c>
      <c r="F1128" s="16">
        <f t="shared" si="2"/>
        <v>111.5635</v>
      </c>
      <c r="G1128" s="26">
        <v>3335.34</v>
      </c>
      <c r="H1128" s="27">
        <v>0.18</v>
      </c>
      <c r="I1128" s="28">
        <f t="shared" si="26"/>
        <v>934.02</v>
      </c>
      <c r="J1128" s="25">
        <v>103.0</v>
      </c>
      <c r="K1128" s="16">
        <f t="shared" si="4"/>
        <v>347.0355</v>
      </c>
      <c r="L1128" s="19">
        <f t="shared" si="5"/>
        <v>0.1040480131</v>
      </c>
      <c r="M1128" s="16">
        <f t="shared" si="6"/>
        <v>3682.3755</v>
      </c>
      <c r="N1128" s="20"/>
    </row>
    <row r="1129">
      <c r="A1129" s="30"/>
      <c r="B1129" s="39" t="s">
        <v>2051</v>
      </c>
      <c r="C1129" s="15"/>
      <c r="D1129" s="42">
        <v>5488.0</v>
      </c>
      <c r="E1129" s="16">
        <f t="shared" si="1"/>
        <v>378.672</v>
      </c>
      <c r="F1129" s="16">
        <f t="shared" si="2"/>
        <v>117.992</v>
      </c>
      <c r="G1129" s="17">
        <v>3868.99</v>
      </c>
      <c r="H1129" s="19">
        <v>0.18</v>
      </c>
      <c r="I1129" s="16">
        <f t="shared" si="26"/>
        <v>987.84</v>
      </c>
      <c r="J1129" s="42">
        <v>103.0</v>
      </c>
      <c r="K1129" s="16">
        <f t="shared" si="4"/>
        <v>31.506</v>
      </c>
      <c r="L1129" s="19">
        <f t="shared" si="5"/>
        <v>0.008143210502</v>
      </c>
      <c r="M1129" s="16">
        <f t="shared" si="6"/>
        <v>3900.496</v>
      </c>
      <c r="N1129" s="20"/>
    </row>
    <row r="1130">
      <c r="A1130" s="22"/>
      <c r="B1130" s="23" t="s">
        <v>2052</v>
      </c>
      <c r="C1130" s="25" t="s">
        <v>2053</v>
      </c>
      <c r="D1130" s="25">
        <v>1849.0</v>
      </c>
      <c r="E1130" s="16">
        <f t="shared" si="1"/>
        <v>127.581</v>
      </c>
      <c r="F1130" s="16">
        <f t="shared" si="2"/>
        <v>39.7535</v>
      </c>
      <c r="G1130" s="26">
        <v>1344.6</v>
      </c>
      <c r="H1130" s="27">
        <v>0.15</v>
      </c>
      <c r="I1130" s="28">
        <f t="shared" si="26"/>
        <v>277.35</v>
      </c>
      <c r="J1130" s="25">
        <v>122.0</v>
      </c>
      <c r="K1130" s="16">
        <f t="shared" si="4"/>
        <v>-62.2845</v>
      </c>
      <c r="L1130" s="19">
        <f t="shared" si="5"/>
        <v>-0.04632195448</v>
      </c>
      <c r="M1130" s="16">
        <f t="shared" si="6"/>
        <v>1282.3155</v>
      </c>
      <c r="N1130" s="20" t="s">
        <v>237</v>
      </c>
    </row>
    <row r="1131">
      <c r="A1131" s="22"/>
      <c r="B1131" s="23" t="s">
        <v>2054</v>
      </c>
      <c r="C1131" s="24"/>
      <c r="D1131" s="25">
        <v>1999.0</v>
      </c>
      <c r="E1131" s="16">
        <f t="shared" si="1"/>
        <v>137.931</v>
      </c>
      <c r="F1131" s="16">
        <f t="shared" si="2"/>
        <v>42.9785</v>
      </c>
      <c r="G1131" s="26">
        <v>1340.0</v>
      </c>
      <c r="H1131" s="27">
        <v>0.15</v>
      </c>
      <c r="I1131" s="28">
        <f t="shared" si="26"/>
        <v>299.85</v>
      </c>
      <c r="J1131" s="25">
        <v>84.0</v>
      </c>
      <c r="K1131" s="16">
        <f t="shared" si="4"/>
        <v>94.2405</v>
      </c>
      <c r="L1131" s="19">
        <f t="shared" si="5"/>
        <v>0.07032873134</v>
      </c>
      <c r="M1131" s="16">
        <f t="shared" si="6"/>
        <v>1434.2405</v>
      </c>
      <c r="N1131" s="20"/>
    </row>
    <row r="1132">
      <c r="A1132" s="22"/>
      <c r="B1132" s="23" t="s">
        <v>2055</v>
      </c>
      <c r="C1132" s="24"/>
      <c r="D1132" s="25">
        <v>619.0</v>
      </c>
      <c r="E1132" s="16">
        <f t="shared" si="1"/>
        <v>42.711</v>
      </c>
      <c r="F1132" s="16">
        <f t="shared" si="2"/>
        <v>13.3085</v>
      </c>
      <c r="G1132" s="26">
        <v>436.61</v>
      </c>
      <c r="H1132" s="27">
        <v>0.1</v>
      </c>
      <c r="I1132" s="28">
        <f t="shared" si="26"/>
        <v>61.9</v>
      </c>
      <c r="J1132" s="25">
        <v>65.0</v>
      </c>
      <c r="K1132" s="16">
        <f t="shared" si="4"/>
        <v>-0.5295</v>
      </c>
      <c r="L1132" s="19">
        <f t="shared" si="5"/>
        <v>-0.0012127528</v>
      </c>
      <c r="M1132" s="16">
        <f t="shared" si="6"/>
        <v>436.0805</v>
      </c>
      <c r="N1132" s="20"/>
    </row>
    <row r="1133">
      <c r="A1133" s="22"/>
      <c r="B1133" s="39" t="s">
        <v>2056</v>
      </c>
      <c r="C1133" s="24"/>
      <c r="D1133" s="25">
        <v>619.0</v>
      </c>
      <c r="E1133" s="16">
        <f t="shared" si="1"/>
        <v>42.711</v>
      </c>
      <c r="F1133" s="16">
        <f t="shared" si="2"/>
        <v>13.3085</v>
      </c>
      <c r="G1133" s="26">
        <v>436.61</v>
      </c>
      <c r="H1133" s="27">
        <v>0.1</v>
      </c>
      <c r="I1133" s="28">
        <f t="shared" si="26"/>
        <v>61.9</v>
      </c>
      <c r="J1133" s="25">
        <v>65.0</v>
      </c>
      <c r="K1133" s="16">
        <f t="shared" si="4"/>
        <v>-0.5295</v>
      </c>
      <c r="L1133" s="19">
        <f t="shared" si="5"/>
        <v>-0.0012127528</v>
      </c>
      <c r="M1133" s="16">
        <f t="shared" si="6"/>
        <v>436.0805</v>
      </c>
      <c r="N1133" s="20"/>
    </row>
    <row r="1134">
      <c r="A1134" s="22"/>
      <c r="B1134" s="23" t="s">
        <v>2057</v>
      </c>
      <c r="C1134" s="24"/>
      <c r="D1134" s="24"/>
      <c r="E1134" s="16">
        <f t="shared" si="1"/>
        <v>0</v>
      </c>
      <c r="F1134" s="16">
        <f t="shared" si="2"/>
        <v>0</v>
      </c>
      <c r="G1134" s="26">
        <v>2100.0</v>
      </c>
      <c r="H1134" s="27">
        <v>0.1</v>
      </c>
      <c r="I1134" s="28">
        <f t="shared" si="26"/>
        <v>0</v>
      </c>
      <c r="J1134" s="25">
        <v>65.0</v>
      </c>
      <c r="K1134" s="16">
        <f t="shared" si="4"/>
        <v>-2165</v>
      </c>
      <c r="L1134" s="19">
        <f t="shared" si="5"/>
        <v>-1.030952381</v>
      </c>
      <c r="M1134" s="16">
        <f t="shared" si="6"/>
        <v>-65</v>
      </c>
      <c r="N1134" s="20"/>
    </row>
    <row r="1135">
      <c r="A1135" s="22"/>
      <c r="B1135" s="23" t="s">
        <v>2058</v>
      </c>
      <c r="C1135" s="24"/>
      <c r="D1135" s="25">
        <v>2279.0</v>
      </c>
      <c r="E1135" s="16">
        <f t="shared" si="1"/>
        <v>157.251</v>
      </c>
      <c r="F1135" s="16">
        <f t="shared" si="2"/>
        <v>48.9985</v>
      </c>
      <c r="G1135" s="26">
        <v>1630.0</v>
      </c>
      <c r="H1135" s="27">
        <v>0.15</v>
      </c>
      <c r="I1135" s="28">
        <f t="shared" si="26"/>
        <v>341.85</v>
      </c>
      <c r="J1135" s="25">
        <v>139.0</v>
      </c>
      <c r="K1135" s="16">
        <f t="shared" si="4"/>
        <v>-38.0995</v>
      </c>
      <c r="L1135" s="19">
        <f t="shared" si="5"/>
        <v>-0.02337392638</v>
      </c>
      <c r="M1135" s="16">
        <f t="shared" si="6"/>
        <v>1591.9005</v>
      </c>
      <c r="N1135" s="20"/>
    </row>
    <row r="1136">
      <c r="A1136" s="22"/>
      <c r="B1136" s="23" t="s">
        <v>2059</v>
      </c>
      <c r="C1136" s="24"/>
      <c r="D1136" s="25">
        <v>835.0</v>
      </c>
      <c r="E1136" s="16">
        <f t="shared" si="1"/>
        <v>57.615</v>
      </c>
      <c r="F1136" s="16">
        <f t="shared" si="2"/>
        <v>17.9525</v>
      </c>
      <c r="G1136" s="26">
        <v>611.71</v>
      </c>
      <c r="H1136" s="27">
        <v>0.1</v>
      </c>
      <c r="I1136" s="28">
        <f t="shared" si="26"/>
        <v>83.5</v>
      </c>
      <c r="J1136" s="25">
        <v>74.0</v>
      </c>
      <c r="K1136" s="16">
        <f t="shared" si="4"/>
        <v>-9.7775</v>
      </c>
      <c r="L1136" s="19">
        <f t="shared" si="5"/>
        <v>-0.01598388125</v>
      </c>
      <c r="M1136" s="16">
        <f t="shared" si="6"/>
        <v>601.9325</v>
      </c>
      <c r="N1136" s="20"/>
    </row>
    <row r="1137">
      <c r="A1137" s="22"/>
      <c r="B1137" s="23" t="s">
        <v>2060</v>
      </c>
      <c r="C1137" s="24"/>
      <c r="D1137" s="25">
        <v>929.0</v>
      </c>
      <c r="E1137" s="16">
        <f t="shared" si="1"/>
        <v>64.101</v>
      </c>
      <c r="F1137" s="16">
        <f t="shared" si="2"/>
        <v>19.9735</v>
      </c>
      <c r="G1137" s="26">
        <v>708.82</v>
      </c>
      <c r="H1137" s="27">
        <v>0.15</v>
      </c>
      <c r="I1137" s="28">
        <f t="shared" si="26"/>
        <v>139.35</v>
      </c>
      <c r="J1137" s="25">
        <v>74.0</v>
      </c>
      <c r="K1137" s="16">
        <f t="shared" si="4"/>
        <v>-77.2445</v>
      </c>
      <c r="L1137" s="19">
        <f t="shared" si="5"/>
        <v>-0.1089761858</v>
      </c>
      <c r="M1137" s="16">
        <f t="shared" si="6"/>
        <v>631.5755</v>
      </c>
      <c r="N1137" s="20"/>
    </row>
    <row r="1138">
      <c r="A1138" s="22"/>
      <c r="B1138" s="23" t="s">
        <v>2061</v>
      </c>
      <c r="C1138" s="24"/>
      <c r="D1138" s="25">
        <v>331.0</v>
      </c>
      <c r="E1138" s="16">
        <f t="shared" si="1"/>
        <v>22.839</v>
      </c>
      <c r="F1138" s="16">
        <f t="shared" si="2"/>
        <v>7.1165</v>
      </c>
      <c r="G1138" s="26">
        <v>200.0</v>
      </c>
      <c r="H1138" s="27">
        <v>0.15</v>
      </c>
      <c r="I1138" s="28">
        <f t="shared" si="26"/>
        <v>49.65</v>
      </c>
      <c r="J1138" s="25">
        <v>74.0</v>
      </c>
      <c r="K1138" s="16">
        <f t="shared" si="4"/>
        <v>-22.6055</v>
      </c>
      <c r="L1138" s="19">
        <f t="shared" si="5"/>
        <v>-0.1130275</v>
      </c>
      <c r="M1138" s="16">
        <f t="shared" si="6"/>
        <v>177.3945</v>
      </c>
      <c r="N1138" s="20"/>
    </row>
    <row r="1139">
      <c r="A1139" s="22"/>
      <c r="B1139" s="23" t="s">
        <v>2062</v>
      </c>
      <c r="C1139" s="24"/>
      <c r="D1139" s="25">
        <v>829.0</v>
      </c>
      <c r="E1139" s="16">
        <f t="shared" si="1"/>
        <v>57.201</v>
      </c>
      <c r="F1139" s="16">
        <f t="shared" si="2"/>
        <v>17.8235</v>
      </c>
      <c r="G1139" s="26">
        <v>490.0</v>
      </c>
      <c r="H1139" s="27">
        <v>0.15</v>
      </c>
      <c r="I1139" s="28">
        <f t="shared" si="26"/>
        <v>124.35</v>
      </c>
      <c r="J1139" s="25">
        <v>95.0</v>
      </c>
      <c r="K1139" s="16">
        <f t="shared" si="4"/>
        <v>44.6255</v>
      </c>
      <c r="L1139" s="19">
        <f t="shared" si="5"/>
        <v>0.09107244898</v>
      </c>
      <c r="M1139" s="16">
        <f t="shared" si="6"/>
        <v>534.6255</v>
      </c>
      <c r="N1139" s="20"/>
    </row>
    <row r="1140">
      <c r="A1140" s="22"/>
      <c r="B1140" s="39" t="s">
        <v>2063</v>
      </c>
      <c r="C1140" s="24"/>
      <c r="D1140" s="25">
        <v>759.0</v>
      </c>
      <c r="E1140" s="16">
        <f t="shared" si="1"/>
        <v>52.371</v>
      </c>
      <c r="F1140" s="16">
        <f t="shared" si="2"/>
        <v>16.3185</v>
      </c>
      <c r="G1140" s="26">
        <v>490.0</v>
      </c>
      <c r="H1140" s="27">
        <v>0.15</v>
      </c>
      <c r="I1140" s="28">
        <f t="shared" si="26"/>
        <v>113.85</v>
      </c>
      <c r="J1140" s="25">
        <v>95.0</v>
      </c>
      <c r="K1140" s="16">
        <f t="shared" si="4"/>
        <v>-8.5395</v>
      </c>
      <c r="L1140" s="19">
        <f t="shared" si="5"/>
        <v>-0.01742755102</v>
      </c>
      <c r="M1140" s="16">
        <f t="shared" si="6"/>
        <v>481.4605</v>
      </c>
      <c r="N1140" s="20"/>
    </row>
    <row r="1141">
      <c r="A1141" s="22"/>
      <c r="B1141" s="23" t="s">
        <v>2064</v>
      </c>
      <c r="C1141" s="24"/>
      <c r="D1141" s="25">
        <v>429.0</v>
      </c>
      <c r="E1141" s="16">
        <f t="shared" si="1"/>
        <v>29.601</v>
      </c>
      <c r="F1141" s="16">
        <f t="shared" si="2"/>
        <v>9.2235</v>
      </c>
      <c r="G1141" s="26">
        <v>250.0</v>
      </c>
      <c r="H1141" s="27">
        <v>0.14</v>
      </c>
      <c r="I1141" s="28">
        <f t="shared" si="26"/>
        <v>60.06</v>
      </c>
      <c r="J1141" s="25">
        <v>84.0</v>
      </c>
      <c r="K1141" s="16">
        <f t="shared" si="4"/>
        <v>-3.8845</v>
      </c>
      <c r="L1141" s="19">
        <f t="shared" si="5"/>
        <v>-0.015538</v>
      </c>
      <c r="M1141" s="16">
        <f t="shared" si="6"/>
        <v>246.1155</v>
      </c>
      <c r="N1141" s="20"/>
    </row>
    <row r="1142">
      <c r="A1142" s="22"/>
      <c r="B1142" s="23" t="s">
        <v>2065</v>
      </c>
      <c r="C1142" s="24"/>
      <c r="D1142" s="25">
        <v>1499.0</v>
      </c>
      <c r="E1142" s="16">
        <f t="shared" si="1"/>
        <v>103.431</v>
      </c>
      <c r="F1142" s="16">
        <f t="shared" si="2"/>
        <v>32.2285</v>
      </c>
      <c r="G1142" s="26">
        <v>924.77</v>
      </c>
      <c r="H1142" s="27">
        <v>0.1</v>
      </c>
      <c r="I1142" s="28">
        <f t="shared" si="26"/>
        <v>149.9</v>
      </c>
      <c r="J1142" s="25">
        <v>65.0</v>
      </c>
      <c r="K1142" s="16">
        <f t="shared" si="4"/>
        <v>223.6705</v>
      </c>
      <c r="L1142" s="19">
        <f t="shared" si="5"/>
        <v>0.2418660856</v>
      </c>
      <c r="M1142" s="16">
        <f t="shared" si="6"/>
        <v>1148.4405</v>
      </c>
      <c r="N1142" s="20"/>
    </row>
    <row r="1143">
      <c r="A1143" s="22"/>
      <c r="B1143" s="39" t="s">
        <v>2066</v>
      </c>
      <c r="C1143" s="24"/>
      <c r="D1143" s="25">
        <v>822.0</v>
      </c>
      <c r="E1143" s="16">
        <f t="shared" si="1"/>
        <v>56.718</v>
      </c>
      <c r="F1143" s="16">
        <f t="shared" si="2"/>
        <v>17.673</v>
      </c>
      <c r="G1143" s="26">
        <v>638.63</v>
      </c>
      <c r="H1143" s="27">
        <v>0.1</v>
      </c>
      <c r="I1143" s="28">
        <f t="shared" si="26"/>
        <v>82.2</v>
      </c>
      <c r="J1143" s="25">
        <v>65.0</v>
      </c>
      <c r="K1143" s="16">
        <f t="shared" si="4"/>
        <v>-38.221</v>
      </c>
      <c r="L1143" s="19">
        <f t="shared" si="5"/>
        <v>-0.05984842554</v>
      </c>
      <c r="M1143" s="16">
        <f t="shared" si="6"/>
        <v>600.409</v>
      </c>
      <c r="N1143" s="20"/>
    </row>
    <row r="1144">
      <c r="A1144" s="22"/>
      <c r="B1144" s="23" t="s">
        <v>2067</v>
      </c>
      <c r="C1144" s="25" t="s">
        <v>2068</v>
      </c>
      <c r="D1144" s="25">
        <v>885.0</v>
      </c>
      <c r="E1144" s="16">
        <f t="shared" si="1"/>
        <v>61.065</v>
      </c>
      <c r="F1144" s="16">
        <f t="shared" ref="F1144:F1145" si="27">E1144*0.069</f>
        <v>4.213485</v>
      </c>
      <c r="G1144" s="26">
        <v>580.0</v>
      </c>
      <c r="H1144" s="27">
        <v>0.1</v>
      </c>
      <c r="I1144" s="28">
        <f t="shared" si="26"/>
        <v>88.5</v>
      </c>
      <c r="J1144" s="25">
        <v>65.0</v>
      </c>
      <c r="K1144" s="16">
        <f t="shared" si="4"/>
        <v>86.221515</v>
      </c>
      <c r="L1144" s="19">
        <f t="shared" si="5"/>
        <v>0.1486577845</v>
      </c>
      <c r="M1144" s="16">
        <f t="shared" si="6"/>
        <v>666.221515</v>
      </c>
      <c r="N1144" s="20"/>
    </row>
    <row r="1145">
      <c r="A1145" s="22"/>
      <c r="B1145" s="23"/>
      <c r="C1145" s="25"/>
      <c r="D1145" s="41">
        <v>1324.3</v>
      </c>
      <c r="E1145" s="16">
        <f t="shared" si="1"/>
        <v>91.3767</v>
      </c>
      <c r="F1145" s="16">
        <f t="shared" si="27"/>
        <v>6.3049923</v>
      </c>
      <c r="G1145" s="26">
        <v>880.0</v>
      </c>
      <c r="H1145" s="27">
        <v>0.1</v>
      </c>
      <c r="I1145" s="28">
        <f t="shared" si="26"/>
        <v>132.43</v>
      </c>
      <c r="J1145" s="25">
        <v>65.0</v>
      </c>
      <c r="K1145" s="16">
        <f t="shared" si="4"/>
        <v>149.1883077</v>
      </c>
      <c r="L1145" s="19">
        <f t="shared" si="5"/>
        <v>0.1695321678</v>
      </c>
      <c r="M1145" s="16">
        <f t="shared" si="6"/>
        <v>1029.188308</v>
      </c>
      <c r="N1145" s="20"/>
    </row>
    <row r="1146">
      <c r="A1146" s="22"/>
      <c r="B1146" s="23" t="s">
        <v>2069</v>
      </c>
      <c r="C1146" s="25" t="s">
        <v>2070</v>
      </c>
      <c r="D1146" s="25">
        <v>1176.0</v>
      </c>
      <c r="E1146" s="16">
        <f t="shared" si="1"/>
        <v>81.144</v>
      </c>
      <c r="F1146" s="16">
        <f t="shared" ref="F1146:F1515" si="28">D1146*0.0215</f>
        <v>25.284</v>
      </c>
      <c r="G1146" s="26">
        <v>814.52</v>
      </c>
      <c r="H1146" s="27">
        <v>0.1</v>
      </c>
      <c r="I1146" s="28">
        <f t="shared" si="26"/>
        <v>117.6</v>
      </c>
      <c r="J1146" s="25">
        <v>65.0</v>
      </c>
      <c r="K1146" s="16">
        <f t="shared" si="4"/>
        <v>72.452</v>
      </c>
      <c r="L1146" s="19">
        <f t="shared" si="5"/>
        <v>0.08895054756</v>
      </c>
      <c r="M1146" s="16">
        <f t="shared" si="6"/>
        <v>886.972</v>
      </c>
      <c r="N1146" s="20"/>
    </row>
    <row r="1147">
      <c r="A1147" s="22"/>
      <c r="B1147" s="39" t="s">
        <v>2071</v>
      </c>
      <c r="C1147" s="25" t="s">
        <v>2070</v>
      </c>
      <c r="D1147" s="25">
        <v>1176.0</v>
      </c>
      <c r="E1147" s="16">
        <f t="shared" si="1"/>
        <v>81.144</v>
      </c>
      <c r="F1147" s="16">
        <f t="shared" si="28"/>
        <v>25.284</v>
      </c>
      <c r="G1147" s="26">
        <v>814.52</v>
      </c>
      <c r="H1147" s="27">
        <v>0.1</v>
      </c>
      <c r="I1147" s="28">
        <f t="shared" si="26"/>
        <v>117.6</v>
      </c>
      <c r="J1147" s="25">
        <v>65.0</v>
      </c>
      <c r="K1147" s="16">
        <f t="shared" si="4"/>
        <v>72.452</v>
      </c>
      <c r="L1147" s="19">
        <f t="shared" si="5"/>
        <v>0.08895054756</v>
      </c>
      <c r="M1147" s="16">
        <f t="shared" si="6"/>
        <v>886.972</v>
      </c>
      <c r="N1147" s="20"/>
    </row>
    <row r="1148">
      <c r="A1148" s="22"/>
      <c r="B1148" s="23" t="s">
        <v>2072</v>
      </c>
      <c r="C1148" s="25" t="s">
        <v>2073</v>
      </c>
      <c r="D1148" s="25">
        <v>2895.0</v>
      </c>
      <c r="E1148" s="16">
        <f t="shared" si="1"/>
        <v>199.755</v>
      </c>
      <c r="F1148" s="16">
        <f t="shared" si="28"/>
        <v>62.2425</v>
      </c>
      <c r="G1148" s="26">
        <v>2095.6</v>
      </c>
      <c r="H1148" s="27">
        <v>0.1</v>
      </c>
      <c r="I1148" s="28">
        <f t="shared" si="26"/>
        <v>289.5</v>
      </c>
      <c r="J1148" s="25">
        <v>74.0</v>
      </c>
      <c r="K1148" s="16">
        <f t="shared" si="4"/>
        <v>173.9025</v>
      </c>
      <c r="L1148" s="19">
        <f t="shared" si="5"/>
        <v>0.08298458675</v>
      </c>
      <c r="M1148" s="16">
        <f t="shared" si="6"/>
        <v>2269.5025</v>
      </c>
      <c r="N1148" s="20"/>
    </row>
    <row r="1149">
      <c r="A1149" s="22"/>
      <c r="B1149" s="23" t="s">
        <v>2074</v>
      </c>
      <c r="C1149" s="25" t="s">
        <v>2075</v>
      </c>
      <c r="D1149" s="25">
        <v>439.0</v>
      </c>
      <c r="E1149" s="16">
        <f t="shared" si="1"/>
        <v>30.291</v>
      </c>
      <c r="F1149" s="16">
        <f t="shared" si="28"/>
        <v>9.4385</v>
      </c>
      <c r="G1149" s="26">
        <v>260.0</v>
      </c>
      <c r="H1149" s="27">
        <v>0.15</v>
      </c>
      <c r="I1149" s="28">
        <f t="shared" si="26"/>
        <v>65.85</v>
      </c>
      <c r="J1149" s="25">
        <v>65.0</v>
      </c>
      <c r="K1149" s="16">
        <f t="shared" si="4"/>
        <v>8.4205</v>
      </c>
      <c r="L1149" s="19">
        <f t="shared" si="5"/>
        <v>0.03238653846</v>
      </c>
      <c r="M1149" s="16">
        <f t="shared" si="6"/>
        <v>268.4205</v>
      </c>
      <c r="N1149" s="20"/>
    </row>
    <row r="1150">
      <c r="A1150" s="22"/>
      <c r="B1150" s="23" t="s">
        <v>2076</v>
      </c>
      <c r="C1150" s="25" t="s">
        <v>2077</v>
      </c>
      <c r="D1150" s="25">
        <v>2870.0</v>
      </c>
      <c r="E1150" s="16">
        <f t="shared" si="1"/>
        <v>198.03</v>
      </c>
      <c r="F1150" s="16">
        <f t="shared" si="28"/>
        <v>61.705</v>
      </c>
      <c r="G1150" s="26">
        <v>1860.0</v>
      </c>
      <c r="H1150" s="27">
        <v>0.195</v>
      </c>
      <c r="I1150" s="28">
        <f t="shared" si="26"/>
        <v>559.65</v>
      </c>
      <c r="J1150" s="25">
        <v>281.0</v>
      </c>
      <c r="K1150" s="16">
        <f t="shared" si="4"/>
        <v>-90.385</v>
      </c>
      <c r="L1150" s="19">
        <f t="shared" si="5"/>
        <v>-0.04859408602</v>
      </c>
      <c r="M1150" s="16">
        <f t="shared" si="6"/>
        <v>1769.615</v>
      </c>
      <c r="N1150" s="20"/>
    </row>
    <row r="1151">
      <c r="A1151" s="22"/>
      <c r="B1151" s="23" t="s">
        <v>2078</v>
      </c>
      <c r="C1151" s="25" t="s">
        <v>2079</v>
      </c>
      <c r="D1151" s="25">
        <v>7599.0</v>
      </c>
      <c r="E1151" s="16">
        <f t="shared" si="1"/>
        <v>524.331</v>
      </c>
      <c r="F1151" s="16">
        <f t="shared" si="28"/>
        <v>163.3785</v>
      </c>
      <c r="G1151" s="26">
        <v>4928.71</v>
      </c>
      <c r="H1151" s="27">
        <v>0.1</v>
      </c>
      <c r="I1151" s="28">
        <f t="shared" si="26"/>
        <v>759.9</v>
      </c>
      <c r="J1151" s="25">
        <v>103.0</v>
      </c>
      <c r="K1151" s="16">
        <f t="shared" si="4"/>
        <v>1119.6805</v>
      </c>
      <c r="L1151" s="19">
        <f t="shared" si="5"/>
        <v>0.2271751635</v>
      </c>
      <c r="M1151" s="16">
        <f t="shared" si="6"/>
        <v>6048.3905</v>
      </c>
      <c r="N1151" s="20"/>
    </row>
    <row r="1152">
      <c r="A1152" s="22"/>
      <c r="B1152" s="23" t="s">
        <v>2080</v>
      </c>
      <c r="C1152" s="25" t="s">
        <v>2079</v>
      </c>
      <c r="D1152" s="25">
        <v>7599.0</v>
      </c>
      <c r="E1152" s="16">
        <f t="shared" si="1"/>
        <v>524.331</v>
      </c>
      <c r="F1152" s="16">
        <f t="shared" si="28"/>
        <v>163.3785</v>
      </c>
      <c r="G1152" s="26">
        <v>4928.71</v>
      </c>
      <c r="H1152" s="27">
        <v>0.1</v>
      </c>
      <c r="I1152" s="28">
        <f t="shared" si="26"/>
        <v>759.9</v>
      </c>
      <c r="J1152" s="25">
        <v>103.0</v>
      </c>
      <c r="K1152" s="16">
        <f t="shared" si="4"/>
        <v>1119.6805</v>
      </c>
      <c r="L1152" s="19">
        <f t="shared" si="5"/>
        <v>0.2271751635</v>
      </c>
      <c r="M1152" s="16">
        <f t="shared" si="6"/>
        <v>6048.3905</v>
      </c>
      <c r="N1152" s="20"/>
    </row>
    <row r="1153">
      <c r="A1153" s="22"/>
      <c r="B1153" s="23" t="s">
        <v>2081</v>
      </c>
      <c r="C1153" s="25" t="s">
        <v>2079</v>
      </c>
      <c r="D1153" s="25">
        <v>7803.0</v>
      </c>
      <c r="E1153" s="16">
        <f t="shared" si="1"/>
        <v>538.407</v>
      </c>
      <c r="F1153" s="16">
        <f t="shared" si="28"/>
        <v>167.7645</v>
      </c>
      <c r="G1153" s="26">
        <v>6374.1</v>
      </c>
      <c r="H1153" s="27">
        <v>0.1</v>
      </c>
      <c r="I1153" s="28">
        <f t="shared" si="26"/>
        <v>780.3</v>
      </c>
      <c r="J1153" s="25">
        <v>103.0</v>
      </c>
      <c r="K1153" s="16">
        <f t="shared" si="4"/>
        <v>-160.5715</v>
      </c>
      <c r="L1153" s="19">
        <f t="shared" si="5"/>
        <v>-0.02519124269</v>
      </c>
      <c r="M1153" s="16">
        <f t="shared" si="6"/>
        <v>6213.5285</v>
      </c>
      <c r="N1153" s="20"/>
    </row>
    <row r="1154">
      <c r="A1154" s="22"/>
      <c r="B1154" s="23" t="s">
        <v>2082</v>
      </c>
      <c r="C1154" s="24"/>
      <c r="D1154" s="25">
        <v>859.0</v>
      </c>
      <c r="E1154" s="16">
        <f t="shared" si="1"/>
        <v>59.271</v>
      </c>
      <c r="F1154" s="16">
        <f t="shared" si="28"/>
        <v>18.4685</v>
      </c>
      <c r="G1154" s="26">
        <v>638.63</v>
      </c>
      <c r="H1154" s="27">
        <v>0.1</v>
      </c>
      <c r="I1154" s="28">
        <f t="shared" si="26"/>
        <v>85.9</v>
      </c>
      <c r="J1154" s="25">
        <v>65.0</v>
      </c>
      <c r="K1154" s="16">
        <f t="shared" si="4"/>
        <v>-8.2695</v>
      </c>
      <c r="L1154" s="19">
        <f t="shared" si="5"/>
        <v>-0.0129488123</v>
      </c>
      <c r="M1154" s="16">
        <f t="shared" si="6"/>
        <v>630.3605</v>
      </c>
      <c r="N1154" s="20"/>
    </row>
    <row r="1155">
      <c r="A1155" s="22"/>
      <c r="B1155" s="39" t="s">
        <v>2083</v>
      </c>
      <c r="C1155" s="24"/>
      <c r="D1155" s="25">
        <v>859.0</v>
      </c>
      <c r="E1155" s="16">
        <f t="shared" si="1"/>
        <v>59.271</v>
      </c>
      <c r="F1155" s="16">
        <f t="shared" si="28"/>
        <v>18.4685</v>
      </c>
      <c r="G1155" s="26">
        <v>638.63</v>
      </c>
      <c r="H1155" s="27">
        <v>0.1</v>
      </c>
      <c r="I1155" s="28">
        <f t="shared" si="26"/>
        <v>85.9</v>
      </c>
      <c r="J1155" s="25">
        <v>65.0</v>
      </c>
      <c r="K1155" s="16">
        <f t="shared" si="4"/>
        <v>-8.2695</v>
      </c>
      <c r="L1155" s="19">
        <f t="shared" si="5"/>
        <v>-0.0129488123</v>
      </c>
      <c r="M1155" s="16">
        <f t="shared" si="6"/>
        <v>630.3605</v>
      </c>
      <c r="N1155" s="20"/>
    </row>
    <row r="1156">
      <c r="A1156" s="22"/>
      <c r="B1156" s="23" t="s">
        <v>2084</v>
      </c>
      <c r="C1156" s="25" t="s">
        <v>2085</v>
      </c>
      <c r="D1156" s="25">
        <v>650.0</v>
      </c>
      <c r="E1156" s="16">
        <f t="shared" si="1"/>
        <v>44.85</v>
      </c>
      <c r="F1156" s="16">
        <f t="shared" si="28"/>
        <v>13.975</v>
      </c>
      <c r="G1156" s="26">
        <v>407.0</v>
      </c>
      <c r="H1156" s="27">
        <v>0.1</v>
      </c>
      <c r="I1156" s="28">
        <f t="shared" si="26"/>
        <v>65</v>
      </c>
      <c r="J1156" s="25">
        <v>65.0</v>
      </c>
      <c r="K1156" s="16">
        <f t="shared" si="4"/>
        <v>54.175</v>
      </c>
      <c r="L1156" s="19">
        <f t="shared" si="5"/>
        <v>0.1331081081</v>
      </c>
      <c r="M1156" s="16">
        <f t="shared" si="6"/>
        <v>461.175</v>
      </c>
      <c r="N1156" s="20"/>
    </row>
    <row r="1157">
      <c r="A1157" s="22"/>
      <c r="B1157" s="23" t="s">
        <v>2086</v>
      </c>
      <c r="C1157" s="25" t="s">
        <v>2085</v>
      </c>
      <c r="D1157" s="25">
        <v>719.0</v>
      </c>
      <c r="E1157" s="16">
        <f t="shared" si="1"/>
        <v>49.611</v>
      </c>
      <c r="F1157" s="16">
        <f t="shared" si="28"/>
        <v>15.4585</v>
      </c>
      <c r="G1157" s="26">
        <v>429.51</v>
      </c>
      <c r="H1157" s="27">
        <v>0.1</v>
      </c>
      <c r="I1157" s="28">
        <f t="shared" si="26"/>
        <v>71.9</v>
      </c>
      <c r="J1157" s="25">
        <v>65.0</v>
      </c>
      <c r="K1157" s="16">
        <f t="shared" si="4"/>
        <v>87.5205</v>
      </c>
      <c r="L1157" s="19">
        <f t="shared" si="5"/>
        <v>0.2037682475</v>
      </c>
      <c r="M1157" s="16">
        <f t="shared" si="6"/>
        <v>517.0305</v>
      </c>
      <c r="N1157" s="20"/>
    </row>
    <row r="1158">
      <c r="A1158" s="22"/>
      <c r="B1158" s="23" t="s">
        <v>2087</v>
      </c>
      <c r="C1158" s="25" t="s">
        <v>2088</v>
      </c>
      <c r="D1158" s="25">
        <v>999.0</v>
      </c>
      <c r="E1158" s="16">
        <f t="shared" si="1"/>
        <v>68.931</v>
      </c>
      <c r="F1158" s="16">
        <f t="shared" si="28"/>
        <v>21.4785</v>
      </c>
      <c r="G1158" s="26">
        <v>618.96</v>
      </c>
      <c r="H1158" s="27">
        <v>0.15</v>
      </c>
      <c r="I1158" s="28">
        <f t="shared" si="26"/>
        <v>149.85</v>
      </c>
      <c r="J1158" s="25">
        <v>65.0</v>
      </c>
      <c r="K1158" s="16">
        <f t="shared" si="4"/>
        <v>74.7805</v>
      </c>
      <c r="L1158" s="19">
        <f t="shared" si="5"/>
        <v>0.1208163694</v>
      </c>
      <c r="M1158" s="16">
        <f t="shared" si="6"/>
        <v>693.7405</v>
      </c>
      <c r="N1158" s="20"/>
    </row>
    <row r="1159">
      <c r="A1159" s="22"/>
      <c r="B1159" s="39" t="s">
        <v>2089</v>
      </c>
      <c r="C1159" s="25" t="s">
        <v>2088</v>
      </c>
      <c r="D1159" s="25">
        <v>999.0</v>
      </c>
      <c r="E1159" s="16">
        <f t="shared" si="1"/>
        <v>68.931</v>
      </c>
      <c r="F1159" s="16">
        <f t="shared" si="28"/>
        <v>21.4785</v>
      </c>
      <c r="G1159" s="26">
        <v>618.96</v>
      </c>
      <c r="H1159" s="27">
        <v>0.15</v>
      </c>
      <c r="I1159" s="28">
        <f t="shared" si="26"/>
        <v>149.85</v>
      </c>
      <c r="J1159" s="25">
        <v>65.0</v>
      </c>
      <c r="K1159" s="16">
        <f t="shared" si="4"/>
        <v>74.7805</v>
      </c>
      <c r="L1159" s="19">
        <f t="shared" si="5"/>
        <v>0.1208163694</v>
      </c>
      <c r="M1159" s="16">
        <f t="shared" si="6"/>
        <v>693.7405</v>
      </c>
      <c r="N1159" s="20"/>
    </row>
    <row r="1160">
      <c r="A1160" s="22"/>
      <c r="B1160" s="23" t="s">
        <v>2090</v>
      </c>
      <c r="C1160" s="25" t="s">
        <v>2091</v>
      </c>
      <c r="D1160" s="25">
        <v>819.0</v>
      </c>
      <c r="E1160" s="16">
        <f t="shared" si="1"/>
        <v>56.511</v>
      </c>
      <c r="F1160" s="16">
        <f t="shared" si="28"/>
        <v>17.6085</v>
      </c>
      <c r="G1160" s="26">
        <v>545.53</v>
      </c>
      <c r="H1160" s="27">
        <v>0.15</v>
      </c>
      <c r="I1160" s="28">
        <f t="shared" si="26"/>
        <v>122.85</v>
      </c>
      <c r="J1160" s="25">
        <v>65.0</v>
      </c>
      <c r="K1160" s="16">
        <f t="shared" si="4"/>
        <v>11.5005</v>
      </c>
      <c r="L1160" s="19">
        <f t="shared" si="5"/>
        <v>0.02108133375</v>
      </c>
      <c r="M1160" s="16">
        <f t="shared" si="6"/>
        <v>557.0305</v>
      </c>
      <c r="N1160" s="20"/>
    </row>
    <row r="1161">
      <c r="A1161" s="30"/>
      <c r="B1161" s="39" t="s">
        <v>2092</v>
      </c>
      <c r="C1161" s="42" t="s">
        <v>2091</v>
      </c>
      <c r="D1161" s="42">
        <v>819.0</v>
      </c>
      <c r="E1161" s="16">
        <f t="shared" si="1"/>
        <v>56.511</v>
      </c>
      <c r="F1161" s="16">
        <f t="shared" si="28"/>
        <v>17.6085</v>
      </c>
      <c r="G1161" s="17">
        <v>545.53</v>
      </c>
      <c r="H1161" s="19">
        <v>0.15</v>
      </c>
      <c r="I1161" s="16">
        <f t="shared" si="26"/>
        <v>122.85</v>
      </c>
      <c r="J1161" s="42">
        <v>65.0</v>
      </c>
      <c r="K1161" s="16">
        <f t="shared" si="4"/>
        <v>11.5005</v>
      </c>
      <c r="L1161" s="19">
        <f t="shared" si="5"/>
        <v>0.02108133375</v>
      </c>
      <c r="M1161" s="16">
        <f t="shared" si="6"/>
        <v>557.0305</v>
      </c>
      <c r="N1161" s="20"/>
    </row>
    <row r="1162">
      <c r="A1162" s="22"/>
      <c r="B1162" s="23" t="s">
        <v>2093</v>
      </c>
      <c r="C1162" s="25" t="s">
        <v>2094</v>
      </c>
      <c r="D1162" s="25">
        <v>7666.0</v>
      </c>
      <c r="E1162" s="16">
        <f t="shared" si="1"/>
        <v>528.954</v>
      </c>
      <c r="F1162" s="16">
        <f t="shared" si="28"/>
        <v>164.819</v>
      </c>
      <c r="G1162" s="26">
        <v>6220.2</v>
      </c>
      <c r="H1162" s="27">
        <v>0.15</v>
      </c>
      <c r="I1162" s="28">
        <f t="shared" si="26"/>
        <v>1149.9</v>
      </c>
      <c r="J1162" s="25">
        <v>190.0</v>
      </c>
      <c r="K1162" s="16">
        <f t="shared" si="4"/>
        <v>-587.873</v>
      </c>
      <c r="L1162" s="19">
        <f t="shared" si="5"/>
        <v>-0.09451030513</v>
      </c>
      <c r="M1162" s="16">
        <f t="shared" si="6"/>
        <v>5632.327</v>
      </c>
      <c r="N1162" s="20"/>
    </row>
    <row r="1163">
      <c r="A1163" s="22"/>
      <c r="B1163" s="23" t="s">
        <v>2095</v>
      </c>
      <c r="C1163" s="25" t="s">
        <v>2096</v>
      </c>
      <c r="D1163" s="25">
        <v>629.0</v>
      </c>
      <c r="E1163" s="16">
        <f t="shared" si="1"/>
        <v>43.401</v>
      </c>
      <c r="F1163" s="16">
        <f t="shared" si="28"/>
        <v>13.5235</v>
      </c>
      <c r="G1163" s="26">
        <v>427.71</v>
      </c>
      <c r="H1163" s="27">
        <v>0.1</v>
      </c>
      <c r="I1163" s="28">
        <f t="shared" si="26"/>
        <v>62.9</v>
      </c>
      <c r="J1163" s="25">
        <v>65.0</v>
      </c>
      <c r="K1163" s="16">
        <f t="shared" si="4"/>
        <v>16.4655</v>
      </c>
      <c r="L1163" s="19">
        <f t="shared" si="5"/>
        <v>0.03849687873</v>
      </c>
      <c r="M1163" s="16">
        <f t="shared" si="6"/>
        <v>444.1755</v>
      </c>
      <c r="N1163" s="20"/>
    </row>
    <row r="1164">
      <c r="A1164" s="22"/>
      <c r="B1164" s="23" t="s">
        <v>2097</v>
      </c>
      <c r="C1164" s="25" t="s">
        <v>2098</v>
      </c>
      <c r="D1164" s="25">
        <v>2499.0</v>
      </c>
      <c r="E1164" s="16">
        <f t="shared" si="1"/>
        <v>172.431</v>
      </c>
      <c r="F1164" s="16">
        <f t="shared" si="28"/>
        <v>53.7285</v>
      </c>
      <c r="G1164" s="26">
        <v>1747.56</v>
      </c>
      <c r="H1164" s="27">
        <v>0.135</v>
      </c>
      <c r="I1164" s="28">
        <f t="shared" si="26"/>
        <v>337.365</v>
      </c>
      <c r="J1164" s="25">
        <v>65.0</v>
      </c>
      <c r="K1164" s="16">
        <f t="shared" si="4"/>
        <v>122.9155</v>
      </c>
      <c r="L1164" s="19">
        <f t="shared" si="5"/>
        <v>0.07033549635</v>
      </c>
      <c r="M1164" s="16">
        <f t="shared" si="6"/>
        <v>1870.4755</v>
      </c>
      <c r="N1164" s="20"/>
    </row>
    <row r="1165">
      <c r="A1165" s="22"/>
      <c r="B1165" s="23" t="s">
        <v>2099</v>
      </c>
      <c r="C1165" s="24"/>
      <c r="D1165" s="25">
        <v>12599.0</v>
      </c>
      <c r="E1165" s="16">
        <f t="shared" si="1"/>
        <v>869.331</v>
      </c>
      <c r="F1165" s="16">
        <f t="shared" si="28"/>
        <v>270.8785</v>
      </c>
      <c r="G1165" s="26">
        <v>11640.88</v>
      </c>
      <c r="H1165" s="27">
        <v>0.105</v>
      </c>
      <c r="I1165" s="45">
        <v>70.0</v>
      </c>
      <c r="J1165" s="25">
        <v>84.0</v>
      </c>
      <c r="K1165" s="16">
        <f t="shared" si="4"/>
        <v>-336.0895</v>
      </c>
      <c r="L1165" s="19">
        <f t="shared" si="5"/>
        <v>-0.02887148566</v>
      </c>
      <c r="M1165" s="16">
        <f t="shared" si="6"/>
        <v>11304.7905</v>
      </c>
      <c r="N1165" s="20"/>
    </row>
    <row r="1166">
      <c r="A1166" s="22"/>
      <c r="B1166" s="23" t="s">
        <v>2100</v>
      </c>
      <c r="C1166" s="24"/>
      <c r="D1166" s="25">
        <v>13789.0</v>
      </c>
      <c r="E1166" s="16">
        <f t="shared" si="1"/>
        <v>951.441</v>
      </c>
      <c r="F1166" s="16">
        <f t="shared" si="28"/>
        <v>296.4635</v>
      </c>
      <c r="G1166" s="26">
        <v>11640.88</v>
      </c>
      <c r="H1166" s="27">
        <v>0.105</v>
      </c>
      <c r="I1166" s="45">
        <v>70.0</v>
      </c>
      <c r="J1166" s="25">
        <v>84.0</v>
      </c>
      <c r="K1166" s="16">
        <f t="shared" si="4"/>
        <v>746.2155</v>
      </c>
      <c r="L1166" s="19">
        <f t="shared" si="5"/>
        <v>0.06410301455</v>
      </c>
      <c r="M1166" s="16">
        <f t="shared" si="6"/>
        <v>12387.0955</v>
      </c>
      <c r="N1166" s="20"/>
    </row>
    <row r="1167">
      <c r="A1167" s="22"/>
      <c r="B1167" s="23" t="s">
        <v>2101</v>
      </c>
      <c r="C1167" s="24"/>
      <c r="D1167" s="25">
        <v>3170.0</v>
      </c>
      <c r="E1167" s="16">
        <f t="shared" si="1"/>
        <v>218.73</v>
      </c>
      <c r="F1167" s="16">
        <f t="shared" si="28"/>
        <v>68.155</v>
      </c>
      <c r="G1167" s="26">
        <v>2682.86</v>
      </c>
      <c r="H1167" s="27">
        <v>0.1</v>
      </c>
      <c r="I1167" s="45">
        <v>70.0</v>
      </c>
      <c r="J1167" s="25">
        <v>74.0</v>
      </c>
      <c r="K1167" s="16">
        <f t="shared" si="4"/>
        <v>56.255</v>
      </c>
      <c r="L1167" s="19">
        <f t="shared" si="5"/>
        <v>0.02096829503</v>
      </c>
      <c r="M1167" s="16">
        <f t="shared" si="6"/>
        <v>2739.115</v>
      </c>
      <c r="N1167" s="20"/>
    </row>
    <row r="1168">
      <c r="A1168" s="22"/>
      <c r="B1168" s="23" t="s">
        <v>2102</v>
      </c>
      <c r="C1168" s="24"/>
      <c r="D1168" s="24"/>
      <c r="E1168" s="16">
        <f t="shared" si="1"/>
        <v>0</v>
      </c>
      <c r="F1168" s="16">
        <f t="shared" si="28"/>
        <v>0</v>
      </c>
      <c r="G1168" s="26">
        <v>140.0</v>
      </c>
      <c r="H1168" s="43"/>
      <c r="I1168" s="28"/>
      <c r="J1168" s="24"/>
      <c r="K1168" s="16">
        <f t="shared" si="4"/>
        <v>-140</v>
      </c>
      <c r="L1168" s="19">
        <f t="shared" si="5"/>
        <v>-1</v>
      </c>
      <c r="M1168" s="16">
        <f t="shared" si="6"/>
        <v>0</v>
      </c>
      <c r="N1168" s="20"/>
    </row>
    <row r="1169">
      <c r="A1169" s="22"/>
      <c r="B1169" s="23" t="s">
        <v>2103</v>
      </c>
      <c r="C1169" s="24"/>
      <c r="D1169" s="25">
        <v>269.0</v>
      </c>
      <c r="E1169" s="16">
        <f t="shared" si="1"/>
        <v>18.561</v>
      </c>
      <c r="F1169" s="16">
        <f t="shared" si="28"/>
        <v>5.7835</v>
      </c>
      <c r="G1169" s="26">
        <v>120.0</v>
      </c>
      <c r="H1169" s="27">
        <v>0.15</v>
      </c>
      <c r="I1169" s="28">
        <f t="shared" ref="I1169:I1203" si="29">H1169*D1169</f>
        <v>40.35</v>
      </c>
      <c r="J1169" s="25">
        <v>84.5</v>
      </c>
      <c r="K1169" s="16">
        <f t="shared" si="4"/>
        <v>-0.1945</v>
      </c>
      <c r="L1169" s="19">
        <f t="shared" si="5"/>
        <v>-0.001620833333</v>
      </c>
      <c r="M1169" s="16">
        <f t="shared" si="6"/>
        <v>119.8055</v>
      </c>
      <c r="N1169" s="20"/>
    </row>
    <row r="1170">
      <c r="A1170" s="22"/>
      <c r="B1170" s="23" t="s">
        <v>2104</v>
      </c>
      <c r="C1170" s="25" t="s">
        <v>2105</v>
      </c>
      <c r="D1170" s="25">
        <v>2099.0</v>
      </c>
      <c r="E1170" s="16">
        <f t="shared" si="1"/>
        <v>144.831</v>
      </c>
      <c r="F1170" s="16">
        <f t="shared" si="28"/>
        <v>45.1285</v>
      </c>
      <c r="G1170" s="26">
        <v>1344.6</v>
      </c>
      <c r="H1170" s="27">
        <v>0.15</v>
      </c>
      <c r="I1170" s="28">
        <f t="shared" si="29"/>
        <v>314.85</v>
      </c>
      <c r="J1170" s="25">
        <v>110.0</v>
      </c>
      <c r="K1170" s="16">
        <f t="shared" si="4"/>
        <v>139.5905</v>
      </c>
      <c r="L1170" s="19">
        <f t="shared" si="5"/>
        <v>0.1038156329</v>
      </c>
      <c r="M1170" s="16">
        <f t="shared" si="6"/>
        <v>1484.1905</v>
      </c>
      <c r="N1170" s="20" t="s">
        <v>1660</v>
      </c>
    </row>
    <row r="1171">
      <c r="A1171" s="22"/>
      <c r="B1171" s="23" t="s">
        <v>2106</v>
      </c>
      <c r="C1171" s="24" t="s">
        <v>2107</v>
      </c>
      <c r="D1171" s="25">
        <v>3299.0</v>
      </c>
      <c r="E1171" s="16">
        <f t="shared" si="1"/>
        <v>227.631</v>
      </c>
      <c r="F1171" s="16">
        <f t="shared" si="28"/>
        <v>70.9285</v>
      </c>
      <c r="G1171" s="26">
        <v>2591.35</v>
      </c>
      <c r="H1171" s="27">
        <v>0.135</v>
      </c>
      <c r="I1171" s="28">
        <f t="shared" si="29"/>
        <v>445.365</v>
      </c>
      <c r="J1171" s="25">
        <v>65.0</v>
      </c>
      <c r="K1171" s="16">
        <f t="shared" si="4"/>
        <v>-101.2745</v>
      </c>
      <c r="L1171" s="19">
        <f t="shared" si="5"/>
        <v>-0.03908175275</v>
      </c>
      <c r="M1171" s="16">
        <f t="shared" si="6"/>
        <v>2490.0755</v>
      </c>
      <c r="N1171" s="20" t="s">
        <v>1660</v>
      </c>
    </row>
    <row r="1172">
      <c r="A1172" s="22"/>
      <c r="B1172" s="23" t="s">
        <v>2108</v>
      </c>
      <c r="C1172" s="24"/>
      <c r="D1172" s="24"/>
      <c r="E1172" s="16">
        <f t="shared" si="1"/>
        <v>0</v>
      </c>
      <c r="F1172" s="16">
        <f t="shared" si="28"/>
        <v>0</v>
      </c>
      <c r="G1172" s="26">
        <v>140.0</v>
      </c>
      <c r="H1172" s="27">
        <v>0.135</v>
      </c>
      <c r="I1172" s="28">
        <f t="shared" si="29"/>
        <v>0</v>
      </c>
      <c r="J1172" s="24"/>
      <c r="K1172" s="16">
        <f t="shared" si="4"/>
        <v>-140</v>
      </c>
      <c r="L1172" s="19">
        <f t="shared" si="5"/>
        <v>-1</v>
      </c>
      <c r="M1172" s="16">
        <f t="shared" si="6"/>
        <v>0</v>
      </c>
      <c r="N1172" s="20"/>
    </row>
    <row r="1173">
      <c r="A1173" s="22"/>
      <c r="B1173" s="23"/>
      <c r="C1173" s="24"/>
      <c r="D1173" s="25">
        <v>527.41</v>
      </c>
      <c r="E1173" s="16">
        <f t="shared" si="1"/>
        <v>36.39129</v>
      </c>
      <c r="F1173" s="16">
        <f t="shared" si="28"/>
        <v>11.339315</v>
      </c>
      <c r="G1173" s="26">
        <v>378.85</v>
      </c>
      <c r="H1173" s="27">
        <v>0.135</v>
      </c>
      <c r="I1173" s="28">
        <f t="shared" si="29"/>
        <v>71.20035</v>
      </c>
      <c r="J1173" s="24"/>
      <c r="K1173" s="16">
        <f t="shared" si="4"/>
        <v>29.629045</v>
      </c>
      <c r="L1173" s="19">
        <f t="shared" si="5"/>
        <v>0.07820785271</v>
      </c>
      <c r="M1173" s="16">
        <f t="shared" si="6"/>
        <v>408.479045</v>
      </c>
      <c r="N1173" s="20"/>
    </row>
    <row r="1174">
      <c r="A1174" s="22"/>
      <c r="B1174" s="23" t="s">
        <v>2109</v>
      </c>
      <c r="C1174" s="24"/>
      <c r="D1174" s="25">
        <v>481.0</v>
      </c>
      <c r="E1174" s="16">
        <f t="shared" si="1"/>
        <v>33.189</v>
      </c>
      <c r="F1174" s="16">
        <f t="shared" si="28"/>
        <v>10.3415</v>
      </c>
      <c r="G1174" s="26">
        <v>290.0</v>
      </c>
      <c r="H1174" s="27">
        <v>0.15</v>
      </c>
      <c r="I1174" s="28">
        <f t="shared" si="29"/>
        <v>72.15</v>
      </c>
      <c r="J1174" s="25">
        <v>84.0</v>
      </c>
      <c r="K1174" s="16">
        <f t="shared" si="4"/>
        <v>-8.6805</v>
      </c>
      <c r="L1174" s="19">
        <f t="shared" si="5"/>
        <v>-0.02993275862</v>
      </c>
      <c r="M1174" s="16">
        <f t="shared" si="6"/>
        <v>281.3195</v>
      </c>
      <c r="N1174" s="20"/>
    </row>
    <row r="1175">
      <c r="A1175" s="22"/>
      <c r="B1175" s="23" t="s">
        <v>2110</v>
      </c>
      <c r="C1175" s="24"/>
      <c r="D1175" s="25">
        <v>799.0</v>
      </c>
      <c r="E1175" s="16">
        <f t="shared" si="1"/>
        <v>55.131</v>
      </c>
      <c r="F1175" s="16">
        <f t="shared" si="28"/>
        <v>17.1785</v>
      </c>
      <c r="G1175" s="26">
        <v>590.68</v>
      </c>
      <c r="H1175" s="27">
        <v>0.15</v>
      </c>
      <c r="I1175" s="28">
        <f t="shared" si="29"/>
        <v>119.85</v>
      </c>
      <c r="J1175" s="25">
        <v>84.0</v>
      </c>
      <c r="K1175" s="16">
        <f t="shared" si="4"/>
        <v>-67.8395</v>
      </c>
      <c r="L1175" s="19">
        <f t="shared" si="5"/>
        <v>-0.1148498341</v>
      </c>
      <c r="M1175" s="16">
        <f t="shared" si="6"/>
        <v>522.8405</v>
      </c>
      <c r="N1175" s="20"/>
    </row>
    <row r="1176">
      <c r="A1176" s="22"/>
      <c r="B1176" s="23" t="s">
        <v>2111</v>
      </c>
      <c r="C1176" s="24"/>
      <c r="D1176" s="24"/>
      <c r="E1176" s="16">
        <f t="shared" si="1"/>
        <v>0</v>
      </c>
      <c r="F1176" s="16">
        <f t="shared" si="28"/>
        <v>0</v>
      </c>
      <c r="G1176" s="26">
        <v>1825.23</v>
      </c>
      <c r="H1176" s="27">
        <v>0.15</v>
      </c>
      <c r="I1176" s="28">
        <f t="shared" si="29"/>
        <v>0</v>
      </c>
      <c r="J1176" s="25">
        <v>84.0</v>
      </c>
      <c r="K1176" s="16">
        <f t="shared" si="4"/>
        <v>-1909.23</v>
      </c>
      <c r="L1176" s="19">
        <f t="shared" si="5"/>
        <v>-1.046021597</v>
      </c>
      <c r="M1176" s="16">
        <f t="shared" si="6"/>
        <v>-84</v>
      </c>
      <c r="N1176" s="20"/>
    </row>
    <row r="1177">
      <c r="A1177" s="22"/>
      <c r="B1177" s="23" t="s">
        <v>2112</v>
      </c>
      <c r="C1177" s="24"/>
      <c r="D1177" s="24"/>
      <c r="E1177" s="16">
        <f t="shared" si="1"/>
        <v>0</v>
      </c>
      <c r="F1177" s="16">
        <f t="shared" si="28"/>
        <v>0</v>
      </c>
      <c r="G1177" s="26">
        <v>2998.6</v>
      </c>
      <c r="H1177" s="27">
        <v>0.15</v>
      </c>
      <c r="I1177" s="28">
        <f t="shared" si="29"/>
        <v>0</v>
      </c>
      <c r="J1177" s="25">
        <v>84.0</v>
      </c>
      <c r="K1177" s="16">
        <f t="shared" si="4"/>
        <v>-3082.6</v>
      </c>
      <c r="L1177" s="19">
        <f t="shared" si="5"/>
        <v>-1.028013073</v>
      </c>
      <c r="M1177" s="16">
        <f t="shared" si="6"/>
        <v>-84</v>
      </c>
      <c r="N1177" s="20"/>
    </row>
    <row r="1178">
      <c r="A1178" s="22"/>
      <c r="B1178" s="23" t="s">
        <v>2113</v>
      </c>
      <c r="C1178" s="24"/>
      <c r="D1178" s="24"/>
      <c r="E1178" s="16">
        <f t="shared" si="1"/>
        <v>0</v>
      </c>
      <c r="F1178" s="16">
        <f t="shared" si="28"/>
        <v>0</v>
      </c>
      <c r="G1178" s="26">
        <v>2100.0</v>
      </c>
      <c r="H1178" s="27">
        <v>0.15</v>
      </c>
      <c r="I1178" s="28">
        <f t="shared" si="29"/>
        <v>0</v>
      </c>
      <c r="J1178" s="25">
        <v>84.0</v>
      </c>
      <c r="K1178" s="16">
        <f t="shared" si="4"/>
        <v>-2184</v>
      </c>
      <c r="L1178" s="19">
        <f t="shared" si="5"/>
        <v>-1.04</v>
      </c>
      <c r="M1178" s="16">
        <f t="shared" si="6"/>
        <v>-84</v>
      </c>
      <c r="N1178" s="20"/>
    </row>
    <row r="1179">
      <c r="A1179" s="22"/>
      <c r="B1179" s="23" t="s">
        <v>2114</v>
      </c>
      <c r="C1179" s="24"/>
      <c r="D1179" s="24"/>
      <c r="E1179" s="16">
        <f t="shared" si="1"/>
        <v>0</v>
      </c>
      <c r="F1179" s="16">
        <f t="shared" si="28"/>
        <v>0</v>
      </c>
      <c r="G1179" s="26">
        <v>2095.6</v>
      </c>
      <c r="H1179" s="27">
        <v>0.15</v>
      </c>
      <c r="I1179" s="28">
        <f t="shared" si="29"/>
        <v>0</v>
      </c>
      <c r="J1179" s="25">
        <v>84.0</v>
      </c>
      <c r="K1179" s="16">
        <f t="shared" si="4"/>
        <v>-2179.6</v>
      </c>
      <c r="L1179" s="19">
        <f t="shared" si="5"/>
        <v>-1.040083985</v>
      </c>
      <c r="M1179" s="16">
        <f t="shared" si="6"/>
        <v>-84</v>
      </c>
      <c r="N1179" s="20"/>
    </row>
    <row r="1180">
      <c r="A1180" s="22"/>
      <c r="B1180" s="23" t="s">
        <v>2115</v>
      </c>
      <c r="C1180" s="24"/>
      <c r="D1180" s="25">
        <v>899.0</v>
      </c>
      <c r="E1180" s="16">
        <f t="shared" si="1"/>
        <v>62.031</v>
      </c>
      <c r="F1180" s="16">
        <f t="shared" si="28"/>
        <v>19.3285</v>
      </c>
      <c r="G1180" s="26">
        <v>580.0</v>
      </c>
      <c r="H1180" s="27">
        <v>0.1</v>
      </c>
      <c r="I1180" s="45">
        <f t="shared" si="29"/>
        <v>89.9</v>
      </c>
      <c r="J1180" s="25">
        <v>65.5</v>
      </c>
      <c r="K1180" s="16">
        <f t="shared" si="4"/>
        <v>82.2405</v>
      </c>
      <c r="L1180" s="19">
        <f t="shared" si="5"/>
        <v>0.1417939655</v>
      </c>
      <c r="M1180" s="16">
        <f t="shared" si="6"/>
        <v>662.2405</v>
      </c>
      <c r="N1180" s="20"/>
    </row>
    <row r="1181">
      <c r="A1181" s="22"/>
      <c r="B1181" s="23" t="s">
        <v>2116</v>
      </c>
      <c r="C1181" s="25" t="s">
        <v>2117</v>
      </c>
      <c r="D1181" s="25">
        <v>1708.1</v>
      </c>
      <c r="E1181" s="16">
        <f t="shared" si="1"/>
        <v>117.8589</v>
      </c>
      <c r="F1181" s="16">
        <f t="shared" si="28"/>
        <v>36.72415</v>
      </c>
      <c r="G1181" s="26">
        <v>1200.0</v>
      </c>
      <c r="H1181" s="27">
        <v>0.1</v>
      </c>
      <c r="I1181" s="45">
        <f t="shared" si="29"/>
        <v>170.81</v>
      </c>
      <c r="J1181" s="25">
        <v>65.5</v>
      </c>
      <c r="K1181" s="16">
        <f t="shared" si="4"/>
        <v>117.20695</v>
      </c>
      <c r="L1181" s="19">
        <f t="shared" si="5"/>
        <v>0.09767245833</v>
      </c>
      <c r="M1181" s="16">
        <f t="shared" si="6"/>
        <v>1317.20695</v>
      </c>
      <c r="N1181" s="20"/>
    </row>
    <row r="1182">
      <c r="A1182" s="22"/>
      <c r="B1182" s="23" t="s">
        <v>2118</v>
      </c>
      <c r="C1182" s="24"/>
      <c r="D1182" s="25">
        <v>2799.0</v>
      </c>
      <c r="E1182" s="16">
        <f t="shared" si="1"/>
        <v>193.131</v>
      </c>
      <c r="F1182" s="16">
        <f t="shared" si="28"/>
        <v>60.1785</v>
      </c>
      <c r="G1182" s="26">
        <v>2095.6</v>
      </c>
      <c r="H1182" s="27">
        <v>0.1</v>
      </c>
      <c r="I1182" s="45">
        <f t="shared" si="29"/>
        <v>279.9</v>
      </c>
      <c r="J1182" s="25">
        <v>74.0</v>
      </c>
      <c r="K1182" s="16">
        <f t="shared" si="4"/>
        <v>96.1905</v>
      </c>
      <c r="L1182" s="19">
        <f t="shared" si="5"/>
        <v>0.04590117389</v>
      </c>
      <c r="M1182" s="16">
        <f t="shared" si="6"/>
        <v>2191.7905</v>
      </c>
      <c r="N1182" s="20"/>
    </row>
    <row r="1183">
      <c r="A1183" s="22"/>
      <c r="B1183" s="23" t="s">
        <v>2119</v>
      </c>
      <c r="C1183" s="24"/>
      <c r="D1183" s="25">
        <v>2699.0</v>
      </c>
      <c r="E1183" s="16">
        <f t="shared" si="1"/>
        <v>186.231</v>
      </c>
      <c r="F1183" s="16">
        <f t="shared" si="28"/>
        <v>58.0285</v>
      </c>
      <c r="G1183" s="26">
        <v>1825.23</v>
      </c>
      <c r="H1183" s="27">
        <v>0.145</v>
      </c>
      <c r="I1183" s="45">
        <f t="shared" si="29"/>
        <v>391.355</v>
      </c>
      <c r="J1183" s="25">
        <v>74.0</v>
      </c>
      <c r="K1183" s="16">
        <f t="shared" si="4"/>
        <v>164.1555</v>
      </c>
      <c r="L1183" s="19">
        <f t="shared" si="5"/>
        <v>0.08993688467</v>
      </c>
      <c r="M1183" s="16">
        <f t="shared" si="6"/>
        <v>1989.3855</v>
      </c>
      <c r="N1183" s="20"/>
    </row>
    <row r="1184">
      <c r="A1184" s="22"/>
      <c r="B1184" s="23" t="s">
        <v>2120</v>
      </c>
      <c r="C1184" s="25" t="s">
        <v>2121</v>
      </c>
      <c r="D1184" s="25">
        <v>4199.0</v>
      </c>
      <c r="E1184" s="16">
        <f t="shared" si="1"/>
        <v>289.731</v>
      </c>
      <c r="F1184" s="16">
        <f t="shared" si="28"/>
        <v>90.2785</v>
      </c>
      <c r="G1184" s="26">
        <v>2998.6</v>
      </c>
      <c r="H1184" s="27">
        <v>0.15</v>
      </c>
      <c r="I1184" s="45">
        <f t="shared" si="29"/>
        <v>629.85</v>
      </c>
      <c r="J1184" s="25">
        <v>161.0</v>
      </c>
      <c r="K1184" s="16">
        <f t="shared" si="4"/>
        <v>29.5405</v>
      </c>
      <c r="L1184" s="19">
        <f t="shared" si="5"/>
        <v>0.009851430668</v>
      </c>
      <c r="M1184" s="16">
        <f t="shared" si="6"/>
        <v>3028.1405</v>
      </c>
      <c r="N1184" s="20"/>
    </row>
    <row r="1185">
      <c r="A1185" s="22"/>
      <c r="B1185" s="23" t="s">
        <v>2122</v>
      </c>
      <c r="C1185" s="24"/>
      <c r="D1185" s="25">
        <v>2999.0</v>
      </c>
      <c r="E1185" s="16">
        <f t="shared" si="1"/>
        <v>206.931</v>
      </c>
      <c r="F1185" s="16">
        <f t="shared" si="28"/>
        <v>64.4785</v>
      </c>
      <c r="G1185" s="26">
        <v>2150.0</v>
      </c>
      <c r="H1185" s="27">
        <v>0.135</v>
      </c>
      <c r="I1185" s="45">
        <f t="shared" si="29"/>
        <v>404.865</v>
      </c>
      <c r="J1185" s="25">
        <v>95.0</v>
      </c>
      <c r="K1185" s="16">
        <f t="shared" si="4"/>
        <v>77.7255</v>
      </c>
      <c r="L1185" s="19">
        <f t="shared" si="5"/>
        <v>0.03615139535</v>
      </c>
      <c r="M1185" s="16">
        <f t="shared" si="6"/>
        <v>2227.7255</v>
      </c>
      <c r="N1185" s="20"/>
    </row>
    <row r="1186">
      <c r="A1186" s="22"/>
      <c r="B1186" s="23" t="s">
        <v>2123</v>
      </c>
      <c r="C1186" s="24"/>
      <c r="D1186" s="24"/>
      <c r="E1186" s="16">
        <f t="shared" si="1"/>
        <v>0</v>
      </c>
      <c r="F1186" s="16">
        <f t="shared" si="28"/>
        <v>0</v>
      </c>
      <c r="G1186" s="26">
        <v>350.0</v>
      </c>
      <c r="H1186" s="43"/>
      <c r="I1186" s="45">
        <f t="shared" si="29"/>
        <v>0</v>
      </c>
      <c r="J1186" s="25"/>
      <c r="K1186" s="16">
        <f t="shared" si="4"/>
        <v>-350</v>
      </c>
      <c r="L1186" s="19">
        <f t="shared" si="5"/>
        <v>-1</v>
      </c>
      <c r="M1186" s="16">
        <f t="shared" si="6"/>
        <v>0</v>
      </c>
      <c r="N1186" s="20"/>
    </row>
    <row r="1187">
      <c r="A1187" s="22"/>
      <c r="B1187" s="23" t="s">
        <v>2124</v>
      </c>
      <c r="C1187" s="24"/>
      <c r="D1187" s="25">
        <v>599.0</v>
      </c>
      <c r="E1187" s="16">
        <f t="shared" si="1"/>
        <v>41.331</v>
      </c>
      <c r="F1187" s="16">
        <f t="shared" si="28"/>
        <v>12.8785</v>
      </c>
      <c r="G1187" s="26">
        <v>325.0</v>
      </c>
      <c r="H1187" s="27">
        <v>0.15</v>
      </c>
      <c r="I1187" s="45">
        <f t="shared" si="29"/>
        <v>89.85</v>
      </c>
      <c r="J1187" s="25">
        <v>84.5</v>
      </c>
      <c r="K1187" s="16">
        <f t="shared" si="4"/>
        <v>45.4405</v>
      </c>
      <c r="L1187" s="19">
        <f t="shared" si="5"/>
        <v>0.1398169231</v>
      </c>
      <c r="M1187" s="16">
        <f t="shared" si="6"/>
        <v>370.4405</v>
      </c>
      <c r="N1187" s="20"/>
    </row>
    <row r="1188">
      <c r="A1188" s="22"/>
      <c r="B1188" s="23" t="s">
        <v>2125</v>
      </c>
      <c r="C1188" s="24"/>
      <c r="D1188" s="24"/>
      <c r="E1188" s="16">
        <f t="shared" si="1"/>
        <v>0</v>
      </c>
      <c r="F1188" s="16">
        <f t="shared" si="28"/>
        <v>0</v>
      </c>
      <c r="G1188" s="26">
        <v>78.0</v>
      </c>
      <c r="H1188" s="43"/>
      <c r="I1188" s="45">
        <f t="shared" si="29"/>
        <v>0</v>
      </c>
      <c r="J1188" s="25"/>
      <c r="K1188" s="16">
        <f t="shared" si="4"/>
        <v>-78</v>
      </c>
      <c r="L1188" s="19">
        <f t="shared" si="5"/>
        <v>-1</v>
      </c>
      <c r="M1188" s="16">
        <f t="shared" si="6"/>
        <v>0</v>
      </c>
      <c r="N1188" s="20"/>
    </row>
    <row r="1189">
      <c r="A1189" s="22"/>
      <c r="B1189" s="23" t="s">
        <v>2126</v>
      </c>
      <c r="C1189" s="24"/>
      <c r="D1189" s="25">
        <v>199.0</v>
      </c>
      <c r="E1189" s="16">
        <f t="shared" si="1"/>
        <v>13.731</v>
      </c>
      <c r="F1189" s="16">
        <f t="shared" si="28"/>
        <v>4.2785</v>
      </c>
      <c r="G1189" s="26">
        <v>75.0</v>
      </c>
      <c r="H1189" s="27">
        <v>0.15</v>
      </c>
      <c r="I1189" s="45">
        <f t="shared" si="29"/>
        <v>29.85</v>
      </c>
      <c r="J1189" s="25">
        <v>52.0</v>
      </c>
      <c r="K1189" s="16">
        <f t="shared" si="4"/>
        <v>24.1405</v>
      </c>
      <c r="L1189" s="19">
        <f t="shared" si="5"/>
        <v>0.3218733333</v>
      </c>
      <c r="M1189" s="16">
        <f t="shared" si="6"/>
        <v>99.1405</v>
      </c>
      <c r="N1189" s="20"/>
    </row>
    <row r="1190">
      <c r="A1190" s="22"/>
      <c r="B1190" s="23" t="s">
        <v>2127</v>
      </c>
      <c r="C1190" s="24"/>
      <c r="D1190" s="25">
        <v>269.0</v>
      </c>
      <c r="E1190" s="16">
        <f t="shared" si="1"/>
        <v>18.561</v>
      </c>
      <c r="F1190" s="16">
        <f t="shared" si="28"/>
        <v>5.7835</v>
      </c>
      <c r="G1190" s="26">
        <v>140.0</v>
      </c>
      <c r="H1190" s="27">
        <v>0.15</v>
      </c>
      <c r="I1190" s="45">
        <f t="shared" si="29"/>
        <v>40.35</v>
      </c>
      <c r="J1190" s="25">
        <v>67.6</v>
      </c>
      <c r="K1190" s="16">
        <f t="shared" si="4"/>
        <v>-3.2945</v>
      </c>
      <c r="L1190" s="19">
        <f t="shared" si="5"/>
        <v>-0.02353214286</v>
      </c>
      <c r="M1190" s="16">
        <f t="shared" si="6"/>
        <v>136.7055</v>
      </c>
      <c r="N1190" s="20"/>
    </row>
    <row r="1191">
      <c r="A1191" s="22"/>
      <c r="B1191" s="39" t="s">
        <v>2128</v>
      </c>
      <c r="C1191" s="24"/>
      <c r="D1191" s="25">
        <v>299.0</v>
      </c>
      <c r="E1191" s="16">
        <f t="shared" si="1"/>
        <v>20.631</v>
      </c>
      <c r="F1191" s="16">
        <f t="shared" si="28"/>
        <v>6.4285</v>
      </c>
      <c r="G1191" s="26">
        <v>140.0</v>
      </c>
      <c r="H1191" s="27">
        <v>0.15</v>
      </c>
      <c r="I1191" s="45">
        <f t="shared" si="29"/>
        <v>44.85</v>
      </c>
      <c r="J1191" s="25">
        <v>67.6</v>
      </c>
      <c r="K1191" s="16">
        <f t="shared" si="4"/>
        <v>19.4905</v>
      </c>
      <c r="L1191" s="19">
        <f t="shared" si="5"/>
        <v>0.1392178571</v>
      </c>
      <c r="M1191" s="16">
        <f t="shared" si="6"/>
        <v>159.4905</v>
      </c>
      <c r="N1191" s="20"/>
    </row>
    <row r="1192">
      <c r="A1192" s="22"/>
      <c r="B1192" s="23" t="s">
        <v>2129</v>
      </c>
      <c r="C1192" s="24"/>
      <c r="D1192" s="25">
        <v>179.0</v>
      </c>
      <c r="E1192" s="16">
        <f t="shared" si="1"/>
        <v>12.351</v>
      </c>
      <c r="F1192" s="16">
        <f t="shared" si="28"/>
        <v>3.8485</v>
      </c>
      <c r="G1192" s="26">
        <v>78.0</v>
      </c>
      <c r="H1192" s="27">
        <v>0.15</v>
      </c>
      <c r="I1192" s="45">
        <f t="shared" si="29"/>
        <v>26.85</v>
      </c>
      <c r="J1192" s="25">
        <v>59.6</v>
      </c>
      <c r="K1192" s="16">
        <f t="shared" si="4"/>
        <v>-1.6495</v>
      </c>
      <c r="L1192" s="19">
        <f t="shared" si="5"/>
        <v>-0.0211474359</v>
      </c>
      <c r="M1192" s="16">
        <f t="shared" si="6"/>
        <v>76.3505</v>
      </c>
      <c r="N1192" s="20"/>
    </row>
    <row r="1193">
      <c r="A1193" s="22"/>
      <c r="B1193" s="39" t="s">
        <v>2130</v>
      </c>
      <c r="C1193" s="24"/>
      <c r="D1193" s="25">
        <v>179.0</v>
      </c>
      <c r="E1193" s="16">
        <f t="shared" si="1"/>
        <v>12.351</v>
      </c>
      <c r="F1193" s="16">
        <f t="shared" si="28"/>
        <v>3.8485</v>
      </c>
      <c r="G1193" s="26">
        <v>78.0</v>
      </c>
      <c r="H1193" s="27">
        <v>0.15</v>
      </c>
      <c r="I1193" s="45">
        <f t="shared" si="29"/>
        <v>26.85</v>
      </c>
      <c r="J1193" s="25">
        <v>59.6</v>
      </c>
      <c r="K1193" s="16">
        <f t="shared" si="4"/>
        <v>-1.6495</v>
      </c>
      <c r="L1193" s="19">
        <f t="shared" si="5"/>
        <v>-0.0211474359</v>
      </c>
      <c r="M1193" s="16">
        <f t="shared" si="6"/>
        <v>76.3505</v>
      </c>
      <c r="N1193" s="20"/>
    </row>
    <row r="1194">
      <c r="A1194" s="22"/>
      <c r="B1194" s="23" t="s">
        <v>2131</v>
      </c>
      <c r="C1194" s="24"/>
      <c r="D1194" s="25">
        <v>549.0</v>
      </c>
      <c r="E1194" s="16">
        <f t="shared" si="1"/>
        <v>37.881</v>
      </c>
      <c r="F1194" s="16">
        <f t="shared" si="28"/>
        <v>11.8035</v>
      </c>
      <c r="G1194" s="26">
        <v>350.0</v>
      </c>
      <c r="H1194" s="27">
        <v>0.15</v>
      </c>
      <c r="I1194" s="45">
        <f t="shared" si="29"/>
        <v>82.35</v>
      </c>
      <c r="J1194" s="25">
        <v>84.5</v>
      </c>
      <c r="K1194" s="16">
        <f t="shared" si="4"/>
        <v>-17.5345</v>
      </c>
      <c r="L1194" s="19">
        <f t="shared" si="5"/>
        <v>-0.05009857143</v>
      </c>
      <c r="M1194" s="16">
        <f t="shared" si="6"/>
        <v>332.4655</v>
      </c>
      <c r="N1194" s="20"/>
    </row>
    <row r="1195">
      <c r="A1195" s="22"/>
      <c r="B1195" s="23" t="s">
        <v>2132</v>
      </c>
      <c r="C1195" s="24"/>
      <c r="D1195" s="25">
        <v>239.0</v>
      </c>
      <c r="E1195" s="16">
        <f t="shared" si="1"/>
        <v>16.491</v>
      </c>
      <c r="F1195" s="16">
        <f t="shared" si="28"/>
        <v>5.1385</v>
      </c>
      <c r="G1195" s="26">
        <v>150.0</v>
      </c>
      <c r="H1195" s="27">
        <v>0.15</v>
      </c>
      <c r="I1195" s="45">
        <f t="shared" si="29"/>
        <v>35.85</v>
      </c>
      <c r="J1195" s="25">
        <v>37.0</v>
      </c>
      <c r="K1195" s="16">
        <f t="shared" si="4"/>
        <v>-5.4795</v>
      </c>
      <c r="L1195" s="19">
        <f t="shared" si="5"/>
        <v>-0.03653</v>
      </c>
      <c r="M1195" s="16">
        <f t="shared" si="6"/>
        <v>144.5205</v>
      </c>
      <c r="N1195" s="20"/>
    </row>
    <row r="1196">
      <c r="A1196" s="22"/>
      <c r="B1196" s="23" t="s">
        <v>2133</v>
      </c>
      <c r="C1196" s="24"/>
      <c r="D1196" s="25">
        <v>799.0</v>
      </c>
      <c r="E1196" s="16">
        <f t="shared" si="1"/>
        <v>55.131</v>
      </c>
      <c r="F1196" s="16">
        <f t="shared" si="28"/>
        <v>17.1785</v>
      </c>
      <c r="G1196" s="26">
        <v>490.0</v>
      </c>
      <c r="H1196" s="27">
        <v>0.15</v>
      </c>
      <c r="I1196" s="45">
        <f t="shared" si="29"/>
        <v>119.85</v>
      </c>
      <c r="J1196" s="25">
        <v>122.0</v>
      </c>
      <c r="K1196" s="16">
        <f t="shared" si="4"/>
        <v>-5.1595</v>
      </c>
      <c r="L1196" s="19">
        <f t="shared" si="5"/>
        <v>-0.01052959184</v>
      </c>
      <c r="M1196" s="16">
        <f t="shared" si="6"/>
        <v>484.8405</v>
      </c>
      <c r="N1196" s="20"/>
    </row>
    <row r="1197">
      <c r="A1197" s="22"/>
      <c r="B1197" s="23" t="s">
        <v>2134</v>
      </c>
      <c r="C1197" s="24"/>
      <c r="D1197" s="25">
        <v>599.0</v>
      </c>
      <c r="E1197" s="16">
        <f t="shared" si="1"/>
        <v>41.331</v>
      </c>
      <c r="F1197" s="16">
        <f t="shared" si="28"/>
        <v>12.8785</v>
      </c>
      <c r="G1197" s="26">
        <v>499.0</v>
      </c>
      <c r="H1197" s="27">
        <v>0.15</v>
      </c>
      <c r="I1197" s="45">
        <f t="shared" si="29"/>
        <v>89.85</v>
      </c>
      <c r="J1197" s="25">
        <v>95.0</v>
      </c>
      <c r="K1197" s="16">
        <f t="shared" si="4"/>
        <v>-139.0595</v>
      </c>
      <c r="L1197" s="19">
        <f t="shared" si="5"/>
        <v>-0.2786763527</v>
      </c>
      <c r="M1197" s="16">
        <f t="shared" si="6"/>
        <v>359.9405</v>
      </c>
      <c r="N1197" s="20"/>
    </row>
    <row r="1198">
      <c r="A1198" s="22"/>
      <c r="B1198" s="23" t="s">
        <v>2135</v>
      </c>
      <c r="C1198" s="24"/>
      <c r="D1198" s="25">
        <v>259.0</v>
      </c>
      <c r="E1198" s="16">
        <f t="shared" si="1"/>
        <v>17.871</v>
      </c>
      <c r="F1198" s="16">
        <f t="shared" si="28"/>
        <v>5.5685</v>
      </c>
      <c r="G1198" s="26">
        <v>150.0</v>
      </c>
      <c r="H1198" s="27">
        <v>0.135</v>
      </c>
      <c r="I1198" s="45">
        <f t="shared" si="29"/>
        <v>34.965</v>
      </c>
      <c r="J1198" s="25">
        <v>56.0</v>
      </c>
      <c r="K1198" s="16">
        <f t="shared" si="4"/>
        <v>-5.4045</v>
      </c>
      <c r="L1198" s="19">
        <f t="shared" si="5"/>
        <v>-0.03603</v>
      </c>
      <c r="M1198" s="16">
        <f t="shared" si="6"/>
        <v>144.5955</v>
      </c>
      <c r="N1198" s="20"/>
    </row>
    <row r="1199">
      <c r="A1199" s="22"/>
      <c r="B1199" s="23" t="s">
        <v>2136</v>
      </c>
      <c r="C1199" s="24"/>
      <c r="D1199" s="25">
        <v>292.0</v>
      </c>
      <c r="E1199" s="16">
        <f t="shared" si="1"/>
        <v>20.148</v>
      </c>
      <c r="F1199" s="16">
        <f t="shared" si="28"/>
        <v>6.278</v>
      </c>
      <c r="G1199" s="26">
        <v>320.0</v>
      </c>
      <c r="H1199" s="27">
        <v>0.15</v>
      </c>
      <c r="I1199" s="45">
        <f t="shared" si="29"/>
        <v>43.8</v>
      </c>
      <c r="J1199" s="25">
        <v>59.6</v>
      </c>
      <c r="K1199" s="16">
        <f t="shared" si="4"/>
        <v>-157.826</v>
      </c>
      <c r="L1199" s="19">
        <f t="shared" si="5"/>
        <v>-0.49320625</v>
      </c>
      <c r="M1199" s="16">
        <f t="shared" si="6"/>
        <v>162.174</v>
      </c>
      <c r="N1199" s="20"/>
    </row>
    <row r="1200">
      <c r="A1200" s="22"/>
      <c r="B1200" s="39" t="s">
        <v>2137</v>
      </c>
      <c r="C1200" s="24"/>
      <c r="D1200" s="25">
        <v>292.0</v>
      </c>
      <c r="E1200" s="16">
        <f t="shared" si="1"/>
        <v>20.148</v>
      </c>
      <c r="F1200" s="16">
        <f t="shared" si="28"/>
        <v>6.278</v>
      </c>
      <c r="G1200" s="26">
        <v>320.0</v>
      </c>
      <c r="H1200" s="27">
        <v>0.15</v>
      </c>
      <c r="I1200" s="45">
        <f t="shared" si="29"/>
        <v>43.8</v>
      </c>
      <c r="J1200" s="25">
        <v>59.6</v>
      </c>
      <c r="K1200" s="16">
        <f t="shared" si="4"/>
        <v>-157.826</v>
      </c>
      <c r="L1200" s="19">
        <f t="shared" si="5"/>
        <v>-0.49320625</v>
      </c>
      <c r="M1200" s="16">
        <f t="shared" si="6"/>
        <v>162.174</v>
      </c>
      <c r="N1200" s="20"/>
    </row>
    <row r="1201">
      <c r="A1201" s="22"/>
      <c r="B1201" s="23" t="s">
        <v>2138</v>
      </c>
      <c r="C1201" s="24"/>
      <c r="D1201" s="25">
        <v>249.0</v>
      </c>
      <c r="E1201" s="16">
        <f t="shared" si="1"/>
        <v>17.181</v>
      </c>
      <c r="F1201" s="16">
        <f t="shared" si="28"/>
        <v>5.3535</v>
      </c>
      <c r="G1201" s="26">
        <v>160.0</v>
      </c>
      <c r="H1201" s="27">
        <v>0.14</v>
      </c>
      <c r="I1201" s="45">
        <f t="shared" si="29"/>
        <v>34.86</v>
      </c>
      <c r="J1201" s="25">
        <v>37.0</v>
      </c>
      <c r="K1201" s="16">
        <f t="shared" si="4"/>
        <v>-5.3945</v>
      </c>
      <c r="L1201" s="19">
        <f t="shared" si="5"/>
        <v>-0.033715625</v>
      </c>
      <c r="M1201" s="16">
        <f t="shared" si="6"/>
        <v>154.6055</v>
      </c>
      <c r="N1201" s="20"/>
    </row>
    <row r="1202">
      <c r="A1202" s="22"/>
      <c r="B1202" s="23" t="s">
        <v>2139</v>
      </c>
      <c r="C1202" s="24"/>
      <c r="D1202" s="24"/>
      <c r="E1202" s="16">
        <f t="shared" si="1"/>
        <v>0</v>
      </c>
      <c r="F1202" s="16">
        <f t="shared" si="28"/>
        <v>0</v>
      </c>
      <c r="G1202" s="26">
        <v>350.0</v>
      </c>
      <c r="H1202" s="27">
        <v>0.14</v>
      </c>
      <c r="I1202" s="45">
        <f t="shared" si="29"/>
        <v>0</v>
      </c>
      <c r="J1202" s="25"/>
      <c r="K1202" s="16">
        <f t="shared" si="4"/>
        <v>-350</v>
      </c>
      <c r="L1202" s="19">
        <f t="shared" si="5"/>
        <v>-1</v>
      </c>
      <c r="M1202" s="16">
        <f t="shared" si="6"/>
        <v>0</v>
      </c>
      <c r="N1202" s="20"/>
    </row>
    <row r="1203">
      <c r="A1203" s="22"/>
      <c r="B1203" s="23" t="s">
        <v>2140</v>
      </c>
      <c r="C1203" s="24"/>
      <c r="D1203" s="25">
        <v>949.0</v>
      </c>
      <c r="E1203" s="16">
        <f t="shared" si="1"/>
        <v>65.481</v>
      </c>
      <c r="F1203" s="16">
        <f t="shared" si="28"/>
        <v>20.4035</v>
      </c>
      <c r="G1203" s="26">
        <v>630.0</v>
      </c>
      <c r="H1203" s="27">
        <v>0.15</v>
      </c>
      <c r="I1203" s="45">
        <f t="shared" si="29"/>
        <v>142.35</v>
      </c>
      <c r="J1203" s="25">
        <v>95.0</v>
      </c>
      <c r="K1203" s="16">
        <f t="shared" si="4"/>
        <v>-4.2345</v>
      </c>
      <c r="L1203" s="19">
        <f t="shared" si="5"/>
        <v>-0.006721428571</v>
      </c>
      <c r="M1203" s="16">
        <f t="shared" si="6"/>
        <v>625.7655</v>
      </c>
      <c r="N1203" s="20"/>
    </row>
    <row r="1204">
      <c r="A1204" s="22"/>
      <c r="B1204" s="23" t="s">
        <v>2141</v>
      </c>
      <c r="C1204" s="24"/>
      <c r="D1204" s="25">
        <v>499.0</v>
      </c>
      <c r="E1204" s="16">
        <f t="shared" si="1"/>
        <v>34.431</v>
      </c>
      <c r="F1204" s="16">
        <f t="shared" si="28"/>
        <v>10.7285</v>
      </c>
      <c r="G1204" s="26">
        <v>280.0</v>
      </c>
      <c r="H1204" s="27">
        <v>0.15</v>
      </c>
      <c r="I1204" s="45">
        <f t="shared" ref="I1204:I1205" si="30">H1204*G1204</f>
        <v>42</v>
      </c>
      <c r="J1204" s="25">
        <v>95.0</v>
      </c>
      <c r="K1204" s="16">
        <f t="shared" si="4"/>
        <v>36.8405</v>
      </c>
      <c r="L1204" s="19">
        <f t="shared" si="5"/>
        <v>0.1315732143</v>
      </c>
      <c r="M1204" s="16">
        <f t="shared" si="6"/>
        <v>316.8405</v>
      </c>
      <c r="N1204" s="20"/>
    </row>
    <row r="1205">
      <c r="A1205" s="22"/>
      <c r="B1205" s="49" t="s">
        <v>2142</v>
      </c>
      <c r="C1205" s="24"/>
      <c r="D1205" s="25">
        <v>529.0</v>
      </c>
      <c r="E1205" s="16">
        <f t="shared" si="1"/>
        <v>36.501</v>
      </c>
      <c r="F1205" s="16">
        <f t="shared" si="28"/>
        <v>11.3735</v>
      </c>
      <c r="G1205" s="26">
        <v>325.0</v>
      </c>
      <c r="H1205" s="27">
        <v>0.15</v>
      </c>
      <c r="I1205" s="45">
        <f t="shared" si="30"/>
        <v>48.75</v>
      </c>
      <c r="J1205" s="25">
        <v>110.0</v>
      </c>
      <c r="K1205" s="16">
        <f t="shared" si="4"/>
        <v>-2.6245</v>
      </c>
      <c r="L1205" s="19">
        <f t="shared" si="5"/>
        <v>-0.008075384615</v>
      </c>
      <c r="M1205" s="16">
        <f t="shared" si="6"/>
        <v>322.3755</v>
      </c>
      <c r="N1205" s="20"/>
    </row>
    <row r="1206">
      <c r="A1206" s="22"/>
      <c r="B1206" s="23" t="s">
        <v>2143</v>
      </c>
      <c r="C1206" s="24"/>
      <c r="D1206" s="24"/>
      <c r="E1206" s="16">
        <f t="shared" si="1"/>
        <v>0</v>
      </c>
      <c r="F1206" s="16">
        <f t="shared" si="28"/>
        <v>0</v>
      </c>
      <c r="G1206" s="26">
        <v>340.91</v>
      </c>
      <c r="H1206" s="43"/>
      <c r="I1206" s="28"/>
      <c r="J1206" s="24"/>
      <c r="K1206" s="16">
        <f t="shared" si="4"/>
        <v>-340.91</v>
      </c>
      <c r="L1206" s="19">
        <f t="shared" si="5"/>
        <v>-1</v>
      </c>
      <c r="M1206" s="16">
        <f t="shared" si="6"/>
        <v>0</v>
      </c>
      <c r="N1206" s="20"/>
    </row>
    <row r="1207">
      <c r="A1207" s="22"/>
      <c r="B1207" s="30" t="s">
        <v>2144</v>
      </c>
      <c r="C1207" s="25" t="s">
        <v>2145</v>
      </c>
      <c r="D1207" s="25">
        <v>1620.0</v>
      </c>
      <c r="E1207" s="16">
        <f t="shared" si="1"/>
        <v>111.78</v>
      </c>
      <c r="F1207" s="16">
        <f t="shared" si="28"/>
        <v>34.83</v>
      </c>
      <c r="G1207" s="26">
        <v>1142.0</v>
      </c>
      <c r="H1207" s="27">
        <v>0.15</v>
      </c>
      <c r="I1207" s="28">
        <f t="shared" ref="I1207:I1208" si="31">H1207*D1207</f>
        <v>243</v>
      </c>
      <c r="J1207" s="25">
        <v>110.0</v>
      </c>
      <c r="K1207" s="16">
        <f t="shared" si="4"/>
        <v>-21.61</v>
      </c>
      <c r="L1207" s="19">
        <f t="shared" si="5"/>
        <v>-0.01892294221</v>
      </c>
      <c r="M1207" s="16">
        <f t="shared" si="6"/>
        <v>1120.39</v>
      </c>
      <c r="N1207" s="20"/>
    </row>
    <row r="1208">
      <c r="A1208" s="22"/>
      <c r="B1208" s="30" t="s">
        <v>2146</v>
      </c>
      <c r="C1208" s="46" t="s">
        <v>2147</v>
      </c>
      <c r="D1208" s="25">
        <v>1615.0</v>
      </c>
      <c r="E1208" s="16">
        <f t="shared" si="1"/>
        <v>111.435</v>
      </c>
      <c r="F1208" s="16">
        <f t="shared" si="28"/>
        <v>34.7225</v>
      </c>
      <c r="G1208" s="26">
        <v>1142.0</v>
      </c>
      <c r="H1208" s="27">
        <v>0.15</v>
      </c>
      <c r="I1208" s="28">
        <f t="shared" si="31"/>
        <v>242.25</v>
      </c>
      <c r="J1208" s="25">
        <v>110.0</v>
      </c>
      <c r="K1208" s="16">
        <f t="shared" si="4"/>
        <v>-25.4075</v>
      </c>
      <c r="L1208" s="19">
        <f t="shared" si="5"/>
        <v>-0.02224824869</v>
      </c>
      <c r="M1208" s="16">
        <f t="shared" si="6"/>
        <v>1116.5925</v>
      </c>
      <c r="N1208" s="20" t="s">
        <v>1974</v>
      </c>
    </row>
    <row r="1209">
      <c r="A1209" s="22"/>
      <c r="B1209" s="30" t="s">
        <v>2148</v>
      </c>
      <c r="C1209" s="50" t="s">
        <v>2149</v>
      </c>
      <c r="D1209" s="24"/>
      <c r="E1209" s="16">
        <f t="shared" si="1"/>
        <v>0</v>
      </c>
      <c r="F1209" s="16">
        <f t="shared" si="28"/>
        <v>0</v>
      </c>
      <c r="G1209" s="26">
        <v>3340.224</v>
      </c>
      <c r="H1209" s="43"/>
      <c r="I1209" s="28"/>
      <c r="J1209" s="24"/>
      <c r="K1209" s="16">
        <f t="shared" si="4"/>
        <v>-3340.224</v>
      </c>
      <c r="L1209" s="19">
        <f t="shared" si="5"/>
        <v>-1</v>
      </c>
      <c r="M1209" s="16">
        <f t="shared" si="6"/>
        <v>0</v>
      </c>
      <c r="N1209" s="20"/>
    </row>
    <row r="1210">
      <c r="A1210" s="22"/>
      <c r="B1210" s="23" t="s">
        <v>2150</v>
      </c>
      <c r="C1210" s="51" t="s">
        <v>2151</v>
      </c>
      <c r="D1210" s="24"/>
      <c r="E1210" s="16">
        <f t="shared" si="1"/>
        <v>0</v>
      </c>
      <c r="F1210" s="16">
        <f t="shared" si="28"/>
        <v>0</v>
      </c>
      <c r="G1210" s="26">
        <v>1934.49</v>
      </c>
      <c r="H1210" s="43"/>
      <c r="I1210" s="28"/>
      <c r="J1210" s="24"/>
      <c r="K1210" s="16">
        <f t="shared" si="4"/>
        <v>-1934.49</v>
      </c>
      <c r="L1210" s="19">
        <f t="shared" si="5"/>
        <v>-1</v>
      </c>
      <c r="M1210" s="16">
        <f t="shared" si="6"/>
        <v>0</v>
      </c>
      <c r="N1210" s="20"/>
    </row>
    <row r="1211">
      <c r="A1211" s="22"/>
      <c r="B1211" s="23" t="s">
        <v>2152</v>
      </c>
      <c r="C1211" s="25" t="s">
        <v>2153</v>
      </c>
      <c r="D1211" s="24"/>
      <c r="E1211" s="16">
        <f t="shared" si="1"/>
        <v>0</v>
      </c>
      <c r="F1211" s="16">
        <f t="shared" si="28"/>
        <v>0</v>
      </c>
      <c r="G1211" s="35">
        <v>2591.3471999999997</v>
      </c>
      <c r="H1211" s="43"/>
      <c r="I1211" s="28"/>
      <c r="J1211" s="24"/>
      <c r="K1211" s="16">
        <f t="shared" si="4"/>
        <v>-2591.3472</v>
      </c>
      <c r="L1211" s="19">
        <f t="shared" si="5"/>
        <v>-1</v>
      </c>
      <c r="M1211" s="16">
        <f t="shared" si="6"/>
        <v>0</v>
      </c>
      <c r="N1211" s="20"/>
    </row>
    <row r="1212">
      <c r="A1212" s="22"/>
      <c r="B1212" s="23" t="s">
        <v>2154</v>
      </c>
      <c r="C1212" s="51" t="s">
        <v>2155</v>
      </c>
      <c r="D1212" s="25">
        <v>11397.0</v>
      </c>
      <c r="E1212" s="16">
        <f t="shared" si="1"/>
        <v>786.393</v>
      </c>
      <c r="F1212" s="16">
        <f t="shared" si="28"/>
        <v>245.0355</v>
      </c>
      <c r="G1212" s="26">
        <v>7474.09</v>
      </c>
      <c r="H1212" s="27">
        <v>0.19</v>
      </c>
      <c r="I1212" s="28">
        <f>H1212*D1212</f>
        <v>2165.43</v>
      </c>
      <c r="J1212" s="25">
        <v>110.0</v>
      </c>
      <c r="K1212" s="16">
        <f t="shared" si="4"/>
        <v>616.0515</v>
      </c>
      <c r="L1212" s="19">
        <f t="shared" si="5"/>
        <v>0.08242495073</v>
      </c>
      <c r="M1212" s="16">
        <f t="shared" si="6"/>
        <v>8090.1415</v>
      </c>
      <c r="N1212" s="20"/>
    </row>
    <row r="1213">
      <c r="A1213" s="22"/>
      <c r="B1213" s="23" t="s">
        <v>2156</v>
      </c>
      <c r="C1213" s="51" t="s">
        <v>2157</v>
      </c>
      <c r="D1213" s="24"/>
      <c r="E1213" s="16">
        <f t="shared" si="1"/>
        <v>0</v>
      </c>
      <c r="F1213" s="16">
        <f t="shared" si="28"/>
        <v>0</v>
      </c>
      <c r="G1213" s="26">
        <v>2998.6</v>
      </c>
      <c r="H1213" s="43"/>
      <c r="I1213" s="28"/>
      <c r="J1213" s="24"/>
      <c r="K1213" s="16">
        <f t="shared" si="4"/>
        <v>-2998.6</v>
      </c>
      <c r="L1213" s="19">
        <f t="shared" si="5"/>
        <v>-1</v>
      </c>
      <c r="M1213" s="16">
        <f t="shared" si="6"/>
        <v>0</v>
      </c>
      <c r="N1213" s="20"/>
    </row>
    <row r="1214">
      <c r="A1214" s="22"/>
      <c r="B1214" s="23" t="s">
        <v>2158</v>
      </c>
      <c r="C1214" s="25" t="s">
        <v>2159</v>
      </c>
      <c r="D1214" s="25">
        <v>2199.0</v>
      </c>
      <c r="E1214" s="16">
        <f t="shared" si="1"/>
        <v>151.731</v>
      </c>
      <c r="F1214" s="16">
        <f t="shared" si="28"/>
        <v>47.2785</v>
      </c>
      <c r="G1214" s="26">
        <v>1360.0</v>
      </c>
      <c r="H1214" s="27">
        <v>0.15</v>
      </c>
      <c r="I1214" s="45">
        <f t="shared" ref="I1214:I1243" si="32">H1214*D1214</f>
        <v>329.85</v>
      </c>
      <c r="J1214" s="25">
        <v>122.0</v>
      </c>
      <c r="K1214" s="16">
        <f t="shared" si="4"/>
        <v>188.1405</v>
      </c>
      <c r="L1214" s="19">
        <f t="shared" si="5"/>
        <v>0.1383386029</v>
      </c>
      <c r="M1214" s="16">
        <f t="shared" si="6"/>
        <v>1548.1405</v>
      </c>
      <c r="N1214" s="20"/>
    </row>
    <row r="1215">
      <c r="A1215" s="22"/>
      <c r="B1215" s="23" t="s">
        <v>2160</v>
      </c>
      <c r="C1215" s="25" t="s">
        <v>2161</v>
      </c>
      <c r="D1215" s="25">
        <v>499.0</v>
      </c>
      <c r="E1215" s="16">
        <f t="shared" si="1"/>
        <v>34.431</v>
      </c>
      <c r="F1215" s="16">
        <f t="shared" si="28"/>
        <v>10.7285</v>
      </c>
      <c r="G1215" s="26">
        <v>340.91</v>
      </c>
      <c r="H1215" s="27">
        <v>0.1</v>
      </c>
      <c r="I1215" s="45">
        <f t="shared" si="32"/>
        <v>49.9</v>
      </c>
      <c r="J1215" s="25">
        <v>65.0</v>
      </c>
      <c r="K1215" s="16">
        <f t="shared" si="4"/>
        <v>-1.9695</v>
      </c>
      <c r="L1215" s="19">
        <f t="shared" si="5"/>
        <v>-0.005777184594</v>
      </c>
      <c r="M1215" s="16">
        <f t="shared" si="6"/>
        <v>338.9405</v>
      </c>
      <c r="N1215" s="20"/>
    </row>
    <row r="1216">
      <c r="A1216" s="22"/>
      <c r="B1216" s="23" t="s">
        <v>2162</v>
      </c>
      <c r="C1216" s="25" t="s">
        <v>2163</v>
      </c>
      <c r="D1216" s="25">
        <v>2489.0</v>
      </c>
      <c r="E1216" s="16">
        <f t="shared" si="1"/>
        <v>171.741</v>
      </c>
      <c r="F1216" s="16">
        <f t="shared" si="28"/>
        <v>53.5135</v>
      </c>
      <c r="G1216" s="26">
        <v>1805.26</v>
      </c>
      <c r="H1216" s="27">
        <v>0.1</v>
      </c>
      <c r="I1216" s="45">
        <f t="shared" si="32"/>
        <v>248.9</v>
      </c>
      <c r="J1216" s="25">
        <v>70.0</v>
      </c>
      <c r="K1216" s="16">
        <f t="shared" si="4"/>
        <v>139.5855</v>
      </c>
      <c r="L1216" s="19">
        <f t="shared" si="5"/>
        <v>0.07732154925</v>
      </c>
      <c r="M1216" s="16">
        <f t="shared" si="6"/>
        <v>1944.8455</v>
      </c>
      <c r="N1216" s="20"/>
    </row>
    <row r="1217">
      <c r="A1217" s="22"/>
      <c r="B1217" s="23" t="s">
        <v>2164</v>
      </c>
      <c r="C1217" s="25" t="s">
        <v>2163</v>
      </c>
      <c r="D1217" s="25">
        <v>2299.0</v>
      </c>
      <c r="E1217" s="16">
        <f t="shared" si="1"/>
        <v>158.631</v>
      </c>
      <c r="F1217" s="16">
        <f t="shared" si="28"/>
        <v>49.4285</v>
      </c>
      <c r="G1217" s="26">
        <v>1571.77</v>
      </c>
      <c r="H1217" s="27">
        <v>0.1</v>
      </c>
      <c r="I1217" s="45">
        <f t="shared" si="32"/>
        <v>229.9</v>
      </c>
      <c r="J1217" s="25">
        <v>65.0</v>
      </c>
      <c r="K1217" s="16">
        <f t="shared" si="4"/>
        <v>224.2705</v>
      </c>
      <c r="L1217" s="19">
        <f t="shared" si="5"/>
        <v>0.142686589</v>
      </c>
      <c r="M1217" s="16">
        <f t="shared" si="6"/>
        <v>1796.0405</v>
      </c>
      <c r="N1217" s="20"/>
    </row>
    <row r="1218">
      <c r="A1218" s="22"/>
      <c r="B1218" s="23" t="s">
        <v>2165</v>
      </c>
      <c r="C1218" s="25" t="s">
        <v>2166</v>
      </c>
      <c r="D1218" s="25">
        <v>2499.0</v>
      </c>
      <c r="E1218" s="16">
        <f t="shared" si="1"/>
        <v>172.431</v>
      </c>
      <c r="F1218" s="16">
        <f t="shared" si="28"/>
        <v>53.7285</v>
      </c>
      <c r="G1218" s="26">
        <v>1739.82</v>
      </c>
      <c r="H1218" s="27">
        <v>0.1</v>
      </c>
      <c r="I1218" s="45">
        <f t="shared" si="32"/>
        <v>249.9</v>
      </c>
      <c r="J1218" s="25">
        <v>65.0</v>
      </c>
      <c r="K1218" s="16">
        <f t="shared" si="4"/>
        <v>218.1205</v>
      </c>
      <c r="L1218" s="19">
        <f t="shared" si="5"/>
        <v>0.1253695785</v>
      </c>
      <c r="M1218" s="16">
        <f t="shared" si="6"/>
        <v>1957.9405</v>
      </c>
      <c r="N1218" s="20"/>
    </row>
    <row r="1219">
      <c r="A1219" s="22"/>
      <c r="B1219" s="39" t="s">
        <v>2167</v>
      </c>
      <c r="C1219" s="25" t="s">
        <v>2166</v>
      </c>
      <c r="D1219" s="25">
        <v>2249.0</v>
      </c>
      <c r="E1219" s="16">
        <f t="shared" si="1"/>
        <v>155.181</v>
      </c>
      <c r="F1219" s="16">
        <f t="shared" si="28"/>
        <v>48.3535</v>
      </c>
      <c r="G1219" s="26">
        <v>1739.82</v>
      </c>
      <c r="H1219" s="27">
        <v>0.1</v>
      </c>
      <c r="I1219" s="45">
        <f t="shared" si="32"/>
        <v>224.9</v>
      </c>
      <c r="J1219" s="25">
        <v>65.0</v>
      </c>
      <c r="K1219" s="16">
        <f t="shared" si="4"/>
        <v>15.7455</v>
      </c>
      <c r="L1219" s="19">
        <f t="shared" si="5"/>
        <v>0.009050074146</v>
      </c>
      <c r="M1219" s="16">
        <f t="shared" si="6"/>
        <v>1755.5655</v>
      </c>
      <c r="N1219" s="20"/>
    </row>
    <row r="1220">
      <c r="A1220" s="22"/>
      <c r="B1220" s="23" t="s">
        <v>2168</v>
      </c>
      <c r="C1220" s="25" t="s">
        <v>2169</v>
      </c>
      <c r="D1220" s="25">
        <v>1399.0</v>
      </c>
      <c r="E1220" s="16">
        <f t="shared" si="1"/>
        <v>96.531</v>
      </c>
      <c r="F1220" s="16">
        <f t="shared" si="28"/>
        <v>30.0785</v>
      </c>
      <c r="G1220" s="26">
        <v>1021.52</v>
      </c>
      <c r="H1220" s="27">
        <v>0.1</v>
      </c>
      <c r="I1220" s="45">
        <f t="shared" si="32"/>
        <v>139.9</v>
      </c>
      <c r="J1220" s="25">
        <v>65.0</v>
      </c>
      <c r="K1220" s="16">
        <f t="shared" si="4"/>
        <v>45.9705</v>
      </c>
      <c r="L1220" s="19">
        <f t="shared" si="5"/>
        <v>0.04500205576</v>
      </c>
      <c r="M1220" s="16">
        <f t="shared" si="6"/>
        <v>1067.4905</v>
      </c>
      <c r="N1220" s="20"/>
    </row>
    <row r="1221">
      <c r="A1221" s="22"/>
      <c r="B1221" s="23" t="s">
        <v>2170</v>
      </c>
      <c r="C1221" s="25" t="s">
        <v>2171</v>
      </c>
      <c r="D1221" s="25">
        <v>2299.0</v>
      </c>
      <c r="E1221" s="16">
        <f t="shared" si="1"/>
        <v>158.631</v>
      </c>
      <c r="F1221" s="16">
        <f t="shared" si="28"/>
        <v>49.4285</v>
      </c>
      <c r="G1221" s="26">
        <v>1615.86</v>
      </c>
      <c r="H1221" s="27">
        <v>0.1</v>
      </c>
      <c r="I1221" s="45">
        <f t="shared" si="32"/>
        <v>229.9</v>
      </c>
      <c r="J1221" s="25">
        <v>74.0</v>
      </c>
      <c r="K1221" s="16">
        <f t="shared" si="4"/>
        <v>171.1805</v>
      </c>
      <c r="L1221" s="19">
        <f t="shared" si="5"/>
        <v>0.105937705</v>
      </c>
      <c r="M1221" s="16">
        <f t="shared" si="6"/>
        <v>1787.0405</v>
      </c>
      <c r="N1221" s="20"/>
    </row>
    <row r="1222">
      <c r="A1222" s="22"/>
      <c r="B1222" s="39" t="s">
        <v>2172</v>
      </c>
      <c r="C1222" s="25" t="s">
        <v>2171</v>
      </c>
      <c r="D1222" s="25">
        <v>2291.0</v>
      </c>
      <c r="E1222" s="16">
        <f t="shared" si="1"/>
        <v>158.079</v>
      </c>
      <c r="F1222" s="16">
        <f t="shared" si="28"/>
        <v>49.2565</v>
      </c>
      <c r="G1222" s="26">
        <v>1814.61</v>
      </c>
      <c r="H1222" s="27">
        <v>0.1</v>
      </c>
      <c r="I1222" s="45">
        <f t="shared" si="32"/>
        <v>229.1</v>
      </c>
      <c r="J1222" s="25">
        <v>74.0</v>
      </c>
      <c r="K1222" s="16">
        <f t="shared" si="4"/>
        <v>-34.0455</v>
      </c>
      <c r="L1222" s="19">
        <f t="shared" si="5"/>
        <v>-0.01876188272</v>
      </c>
      <c r="M1222" s="16">
        <f t="shared" si="6"/>
        <v>1780.5645</v>
      </c>
      <c r="N1222" s="20"/>
    </row>
    <row r="1223">
      <c r="A1223" s="22"/>
      <c r="B1223" s="23" t="s">
        <v>2173</v>
      </c>
      <c r="C1223" s="25" t="s">
        <v>2174</v>
      </c>
      <c r="D1223" s="25">
        <v>1849.0</v>
      </c>
      <c r="E1223" s="16">
        <f t="shared" si="1"/>
        <v>127.581</v>
      </c>
      <c r="F1223" s="16">
        <f t="shared" si="28"/>
        <v>39.7535</v>
      </c>
      <c r="G1223" s="26">
        <v>1387.4</v>
      </c>
      <c r="H1223" s="27">
        <v>0.1</v>
      </c>
      <c r="I1223" s="45">
        <f t="shared" si="32"/>
        <v>184.9</v>
      </c>
      <c r="J1223" s="25">
        <v>74.0</v>
      </c>
      <c r="K1223" s="16">
        <f t="shared" si="4"/>
        <v>35.3655</v>
      </c>
      <c r="L1223" s="19">
        <f t="shared" si="5"/>
        <v>0.0254904858</v>
      </c>
      <c r="M1223" s="16">
        <f t="shared" si="6"/>
        <v>1422.7655</v>
      </c>
      <c r="N1223" s="20"/>
    </row>
    <row r="1224">
      <c r="A1224" s="22"/>
      <c r="B1224" s="23" t="s">
        <v>2175</v>
      </c>
      <c r="C1224" s="25" t="s">
        <v>2176</v>
      </c>
      <c r="D1224" s="25">
        <v>999.0</v>
      </c>
      <c r="E1224" s="16">
        <f t="shared" si="1"/>
        <v>68.931</v>
      </c>
      <c r="F1224" s="16">
        <f t="shared" si="28"/>
        <v>21.4785</v>
      </c>
      <c r="G1224" s="26">
        <v>521.49</v>
      </c>
      <c r="H1224" s="27">
        <v>0.15</v>
      </c>
      <c r="I1224" s="45">
        <f t="shared" si="32"/>
        <v>149.85</v>
      </c>
      <c r="J1224" s="25">
        <v>74.0</v>
      </c>
      <c r="K1224" s="16">
        <f t="shared" si="4"/>
        <v>163.2505</v>
      </c>
      <c r="L1224" s="19">
        <f t="shared" si="5"/>
        <v>0.3130462713</v>
      </c>
      <c r="M1224" s="16">
        <f t="shared" si="6"/>
        <v>684.7405</v>
      </c>
      <c r="N1224" s="20"/>
    </row>
    <row r="1225">
      <c r="A1225" s="22"/>
      <c r="B1225" s="23" t="s">
        <v>2177</v>
      </c>
      <c r="C1225" s="24" t="s">
        <v>2178</v>
      </c>
      <c r="D1225" s="25">
        <v>2999.0</v>
      </c>
      <c r="E1225" s="16">
        <f t="shared" si="1"/>
        <v>206.931</v>
      </c>
      <c r="F1225" s="16">
        <f t="shared" si="28"/>
        <v>64.4785</v>
      </c>
      <c r="G1225" s="26">
        <v>1885.07</v>
      </c>
      <c r="H1225" s="27">
        <v>0.15</v>
      </c>
      <c r="I1225" s="45">
        <f t="shared" si="32"/>
        <v>449.85</v>
      </c>
      <c r="J1225" s="25">
        <v>222.0</v>
      </c>
      <c r="K1225" s="16">
        <f t="shared" si="4"/>
        <v>170.6705</v>
      </c>
      <c r="L1225" s="19">
        <f t="shared" si="5"/>
        <v>0.09053801716</v>
      </c>
      <c r="M1225" s="16">
        <f t="shared" si="6"/>
        <v>2055.7405</v>
      </c>
      <c r="N1225" s="20" t="s">
        <v>1660</v>
      </c>
    </row>
    <row r="1226">
      <c r="A1226" s="22"/>
      <c r="B1226" s="23" t="s">
        <v>2179</v>
      </c>
      <c r="C1226" s="25" t="s">
        <v>2180</v>
      </c>
      <c r="D1226" s="25">
        <v>3520.0</v>
      </c>
      <c r="E1226" s="16">
        <f t="shared" si="1"/>
        <v>242.88</v>
      </c>
      <c r="F1226" s="16">
        <f t="shared" si="28"/>
        <v>75.68</v>
      </c>
      <c r="G1226" s="26">
        <v>2558.0</v>
      </c>
      <c r="H1226" s="27">
        <v>0.15</v>
      </c>
      <c r="I1226" s="45">
        <f t="shared" si="32"/>
        <v>528</v>
      </c>
      <c r="J1226" s="25">
        <v>222.0</v>
      </c>
      <c r="K1226" s="16">
        <f t="shared" si="4"/>
        <v>-106.56</v>
      </c>
      <c r="L1226" s="19">
        <f t="shared" si="5"/>
        <v>-0.04165754496</v>
      </c>
      <c r="M1226" s="16">
        <f t="shared" si="6"/>
        <v>2451.44</v>
      </c>
      <c r="N1226" s="20" t="s">
        <v>1660</v>
      </c>
    </row>
    <row r="1227">
      <c r="A1227" s="22"/>
      <c r="B1227" s="23" t="s">
        <v>2181</v>
      </c>
      <c r="C1227" s="25" t="s">
        <v>2182</v>
      </c>
      <c r="D1227" s="25">
        <v>2399.0</v>
      </c>
      <c r="E1227" s="16">
        <f t="shared" si="1"/>
        <v>165.531</v>
      </c>
      <c r="F1227" s="16">
        <f t="shared" si="28"/>
        <v>51.5785</v>
      </c>
      <c r="G1227" s="26">
        <v>1629.12</v>
      </c>
      <c r="H1227" s="27">
        <v>0.15</v>
      </c>
      <c r="I1227" s="45">
        <f t="shared" si="32"/>
        <v>359.85</v>
      </c>
      <c r="J1227" s="25">
        <v>110.0</v>
      </c>
      <c r="K1227" s="16">
        <f t="shared" si="4"/>
        <v>82.9205</v>
      </c>
      <c r="L1227" s="19">
        <f t="shared" si="5"/>
        <v>0.05089895158</v>
      </c>
      <c r="M1227" s="16">
        <f t="shared" si="6"/>
        <v>1712.0405</v>
      </c>
      <c r="N1227" s="20"/>
    </row>
    <row r="1228">
      <c r="A1228" s="22"/>
      <c r="B1228" s="23" t="s">
        <v>2183</v>
      </c>
      <c r="C1228" s="24"/>
      <c r="D1228" s="25">
        <v>2199.0</v>
      </c>
      <c r="E1228" s="16">
        <f t="shared" si="1"/>
        <v>151.731</v>
      </c>
      <c r="F1228" s="16">
        <f t="shared" si="28"/>
        <v>47.2785</v>
      </c>
      <c r="G1228" s="26">
        <v>1547.35</v>
      </c>
      <c r="H1228" s="27">
        <v>0.15</v>
      </c>
      <c r="I1228" s="45">
        <f t="shared" si="32"/>
        <v>329.85</v>
      </c>
      <c r="J1228" s="25">
        <v>161.0</v>
      </c>
      <c r="K1228" s="16">
        <f t="shared" si="4"/>
        <v>-38.2095</v>
      </c>
      <c r="L1228" s="19">
        <f t="shared" si="5"/>
        <v>-0.02469350826</v>
      </c>
      <c r="M1228" s="16">
        <f t="shared" si="6"/>
        <v>1509.1405</v>
      </c>
      <c r="N1228" s="20"/>
    </row>
    <row r="1229">
      <c r="A1229" s="22"/>
      <c r="B1229" s="39" t="s">
        <v>2184</v>
      </c>
      <c r="C1229" s="24"/>
      <c r="D1229" s="25">
        <v>2299.0</v>
      </c>
      <c r="E1229" s="16">
        <f t="shared" si="1"/>
        <v>158.631</v>
      </c>
      <c r="F1229" s="16">
        <f t="shared" si="28"/>
        <v>49.4285</v>
      </c>
      <c r="G1229" s="26">
        <v>1547.35</v>
      </c>
      <c r="H1229" s="27">
        <v>0.195</v>
      </c>
      <c r="I1229" s="45">
        <f t="shared" si="32"/>
        <v>448.305</v>
      </c>
      <c r="J1229" s="25">
        <v>161.0</v>
      </c>
      <c r="K1229" s="16">
        <f t="shared" si="4"/>
        <v>-65.7145</v>
      </c>
      <c r="L1229" s="19">
        <f t="shared" si="5"/>
        <v>-0.04246906001</v>
      </c>
      <c r="M1229" s="16">
        <f t="shared" si="6"/>
        <v>1481.6355</v>
      </c>
      <c r="N1229" s="20"/>
    </row>
    <row r="1230">
      <c r="A1230" s="22"/>
      <c r="B1230" s="23" t="s">
        <v>2185</v>
      </c>
      <c r="C1230" s="24"/>
      <c r="D1230" s="25">
        <v>4999.0</v>
      </c>
      <c r="E1230" s="16">
        <f t="shared" si="1"/>
        <v>344.931</v>
      </c>
      <c r="F1230" s="16">
        <f t="shared" si="28"/>
        <v>107.4785</v>
      </c>
      <c r="G1230" s="26">
        <v>3511.71</v>
      </c>
      <c r="H1230" s="27">
        <v>0.15</v>
      </c>
      <c r="I1230" s="45">
        <f t="shared" si="32"/>
        <v>749.85</v>
      </c>
      <c r="J1230" s="25">
        <v>222.0</v>
      </c>
      <c r="K1230" s="16">
        <f t="shared" si="4"/>
        <v>63.0305</v>
      </c>
      <c r="L1230" s="19">
        <f t="shared" si="5"/>
        <v>0.01794866319</v>
      </c>
      <c r="M1230" s="16">
        <f t="shared" si="6"/>
        <v>3574.7405</v>
      </c>
      <c r="N1230" s="20"/>
    </row>
    <row r="1231">
      <c r="A1231" s="22"/>
      <c r="B1231" s="23" t="s">
        <v>2186</v>
      </c>
      <c r="C1231" s="24"/>
      <c r="D1231" s="25">
        <v>2186.0</v>
      </c>
      <c r="E1231" s="16">
        <f t="shared" si="1"/>
        <v>150.834</v>
      </c>
      <c r="F1231" s="16">
        <f t="shared" si="28"/>
        <v>46.999</v>
      </c>
      <c r="G1231" s="26">
        <v>1547.35</v>
      </c>
      <c r="H1231" s="27">
        <v>0.195</v>
      </c>
      <c r="I1231" s="45">
        <f t="shared" si="32"/>
        <v>426.27</v>
      </c>
      <c r="J1231" s="25">
        <v>161.0</v>
      </c>
      <c r="K1231" s="16">
        <f t="shared" si="4"/>
        <v>-146.453</v>
      </c>
      <c r="L1231" s="19">
        <f t="shared" si="5"/>
        <v>-0.09464762336</v>
      </c>
      <c r="M1231" s="16">
        <f t="shared" si="6"/>
        <v>1400.897</v>
      </c>
      <c r="N1231" s="20"/>
    </row>
    <row r="1232">
      <c r="A1232" s="22"/>
      <c r="B1232" s="23" t="s">
        <v>2187</v>
      </c>
      <c r="C1232" s="24"/>
      <c r="D1232" s="25">
        <v>2199.0</v>
      </c>
      <c r="E1232" s="16">
        <f t="shared" si="1"/>
        <v>151.731</v>
      </c>
      <c r="F1232" s="16">
        <f t="shared" si="28"/>
        <v>47.2785</v>
      </c>
      <c r="G1232" s="26">
        <v>1642.65</v>
      </c>
      <c r="H1232" s="27">
        <v>0.145</v>
      </c>
      <c r="I1232" s="45">
        <f t="shared" si="32"/>
        <v>318.855</v>
      </c>
      <c r="J1232" s="25">
        <v>84.0</v>
      </c>
      <c r="K1232" s="16">
        <f t="shared" si="4"/>
        <v>-45.5145</v>
      </c>
      <c r="L1232" s="19">
        <f t="shared" si="5"/>
        <v>-0.02770797187</v>
      </c>
      <c r="M1232" s="16">
        <f t="shared" si="6"/>
        <v>1597.1355</v>
      </c>
      <c r="N1232" s="20"/>
    </row>
    <row r="1233">
      <c r="A1233" s="22"/>
      <c r="B1233" s="23" t="s">
        <v>2188</v>
      </c>
      <c r="C1233" s="24"/>
      <c r="D1233" s="25">
        <v>2199.0</v>
      </c>
      <c r="E1233" s="16">
        <f t="shared" si="1"/>
        <v>151.731</v>
      </c>
      <c r="F1233" s="16">
        <f t="shared" si="28"/>
        <v>47.2785</v>
      </c>
      <c r="G1233" s="26">
        <v>1600.0</v>
      </c>
      <c r="H1233" s="27">
        <v>0.135</v>
      </c>
      <c r="I1233" s="45">
        <f t="shared" si="32"/>
        <v>296.865</v>
      </c>
      <c r="J1233" s="25">
        <v>95.0</v>
      </c>
      <c r="K1233" s="16">
        <f t="shared" si="4"/>
        <v>8.1255</v>
      </c>
      <c r="L1233" s="19">
        <f t="shared" si="5"/>
        <v>0.0050784375</v>
      </c>
      <c r="M1233" s="16">
        <f t="shared" si="6"/>
        <v>1608.1255</v>
      </c>
      <c r="N1233" s="20"/>
    </row>
    <row r="1234">
      <c r="A1234" s="22"/>
      <c r="B1234" s="23" t="s">
        <v>2189</v>
      </c>
      <c r="C1234" s="24"/>
      <c r="D1234" s="25">
        <v>371.0</v>
      </c>
      <c r="E1234" s="16">
        <f t="shared" si="1"/>
        <v>25.599</v>
      </c>
      <c r="F1234" s="16">
        <f t="shared" si="28"/>
        <v>7.9765</v>
      </c>
      <c r="G1234" s="26">
        <v>218.0</v>
      </c>
      <c r="H1234" s="27">
        <v>0.1</v>
      </c>
      <c r="I1234" s="45">
        <f t="shared" si="32"/>
        <v>37.1</v>
      </c>
      <c r="J1234" s="25"/>
      <c r="K1234" s="16">
        <f t="shared" si="4"/>
        <v>82.3245</v>
      </c>
      <c r="L1234" s="19">
        <f t="shared" si="5"/>
        <v>0.3776353211</v>
      </c>
      <c r="M1234" s="16">
        <f t="shared" si="6"/>
        <v>300.3245</v>
      </c>
      <c r="N1234" s="20"/>
    </row>
    <row r="1235">
      <c r="A1235" s="22"/>
      <c r="B1235" s="39" t="s">
        <v>2190</v>
      </c>
      <c r="C1235" s="24"/>
      <c r="D1235" s="25">
        <v>359.0</v>
      </c>
      <c r="E1235" s="16">
        <f t="shared" si="1"/>
        <v>24.771</v>
      </c>
      <c r="F1235" s="16">
        <f t="shared" si="28"/>
        <v>7.7185</v>
      </c>
      <c r="G1235" s="26">
        <v>218.0</v>
      </c>
      <c r="H1235" s="27">
        <v>0.1</v>
      </c>
      <c r="I1235" s="45">
        <f t="shared" si="32"/>
        <v>35.9</v>
      </c>
      <c r="J1235" s="25">
        <v>52.0</v>
      </c>
      <c r="K1235" s="16">
        <f t="shared" si="4"/>
        <v>20.6105</v>
      </c>
      <c r="L1235" s="19">
        <f t="shared" si="5"/>
        <v>0.09454357798</v>
      </c>
      <c r="M1235" s="16">
        <f t="shared" si="6"/>
        <v>238.6105</v>
      </c>
      <c r="N1235" s="20"/>
    </row>
    <row r="1236">
      <c r="A1236" s="22"/>
      <c r="B1236" s="23" t="s">
        <v>2191</v>
      </c>
      <c r="C1236" s="24"/>
      <c r="D1236" s="24"/>
      <c r="E1236" s="16">
        <f t="shared" si="1"/>
        <v>0</v>
      </c>
      <c r="F1236" s="16">
        <f t="shared" si="28"/>
        <v>0</v>
      </c>
      <c r="G1236" s="26">
        <v>264.0</v>
      </c>
      <c r="H1236" s="43"/>
      <c r="I1236" s="45">
        <f t="shared" si="32"/>
        <v>0</v>
      </c>
      <c r="J1236" s="25"/>
      <c r="K1236" s="16">
        <f t="shared" si="4"/>
        <v>-264</v>
      </c>
      <c r="L1236" s="19">
        <f t="shared" si="5"/>
        <v>-1</v>
      </c>
      <c r="M1236" s="16">
        <f t="shared" si="6"/>
        <v>0</v>
      </c>
      <c r="N1236" s="20"/>
    </row>
    <row r="1237">
      <c r="A1237" s="22"/>
      <c r="B1237" s="23" t="s">
        <v>2192</v>
      </c>
      <c r="C1237" s="25" t="s">
        <v>2193</v>
      </c>
      <c r="D1237" s="25">
        <v>2899.0</v>
      </c>
      <c r="E1237" s="16">
        <f t="shared" si="1"/>
        <v>200.031</v>
      </c>
      <c r="F1237" s="16">
        <f t="shared" si="28"/>
        <v>62.3285</v>
      </c>
      <c r="G1237" s="26">
        <v>1814.25</v>
      </c>
      <c r="H1237" s="27">
        <v>0.195</v>
      </c>
      <c r="I1237" s="45">
        <f t="shared" si="32"/>
        <v>565.305</v>
      </c>
      <c r="J1237" s="25">
        <v>139.0</v>
      </c>
      <c r="K1237" s="16">
        <f t="shared" si="4"/>
        <v>118.0855</v>
      </c>
      <c r="L1237" s="19">
        <f t="shared" si="5"/>
        <v>0.06508777732</v>
      </c>
      <c r="M1237" s="16">
        <f t="shared" si="6"/>
        <v>1932.3355</v>
      </c>
      <c r="N1237" s="20" t="s">
        <v>1660</v>
      </c>
    </row>
    <row r="1238">
      <c r="A1238" s="22"/>
      <c r="B1238" s="23" t="s">
        <v>2194</v>
      </c>
      <c r="C1238" s="24" t="s">
        <v>2195</v>
      </c>
      <c r="D1238" s="25">
        <v>2499.0</v>
      </c>
      <c r="E1238" s="16">
        <f t="shared" si="1"/>
        <v>172.431</v>
      </c>
      <c r="F1238" s="16">
        <f t="shared" si="28"/>
        <v>53.7285</v>
      </c>
      <c r="G1238" s="26">
        <v>1499.4</v>
      </c>
      <c r="H1238" s="27">
        <v>0.195</v>
      </c>
      <c r="I1238" s="45">
        <f t="shared" si="32"/>
        <v>487.305</v>
      </c>
      <c r="J1238" s="25">
        <v>122.0</v>
      </c>
      <c r="K1238" s="16">
        <f t="shared" si="4"/>
        <v>164.1355</v>
      </c>
      <c r="L1238" s="19">
        <f t="shared" si="5"/>
        <v>0.1094674536</v>
      </c>
      <c r="M1238" s="16">
        <f t="shared" si="6"/>
        <v>1663.5355</v>
      </c>
      <c r="N1238" s="20" t="s">
        <v>1660</v>
      </c>
    </row>
    <row r="1239">
      <c r="A1239" s="22"/>
      <c r="B1239" s="23" t="s">
        <v>2196</v>
      </c>
      <c r="C1239" s="24"/>
      <c r="D1239" s="25">
        <v>1299.0</v>
      </c>
      <c r="E1239" s="16">
        <f t="shared" si="1"/>
        <v>89.631</v>
      </c>
      <c r="F1239" s="16">
        <f t="shared" si="28"/>
        <v>27.9285</v>
      </c>
      <c r="G1239" s="26">
        <v>845.29</v>
      </c>
      <c r="H1239" s="27">
        <v>0.145</v>
      </c>
      <c r="I1239" s="45">
        <f t="shared" si="32"/>
        <v>188.355</v>
      </c>
      <c r="J1239" s="25">
        <v>65.5</v>
      </c>
      <c r="K1239" s="16">
        <f t="shared" si="4"/>
        <v>82.2955</v>
      </c>
      <c r="L1239" s="19">
        <f t="shared" si="5"/>
        <v>0.09735771155</v>
      </c>
      <c r="M1239" s="16">
        <f t="shared" si="6"/>
        <v>927.5855</v>
      </c>
      <c r="N1239" s="20"/>
    </row>
    <row r="1240">
      <c r="A1240" s="22"/>
      <c r="B1240" s="23" t="s">
        <v>2197</v>
      </c>
      <c r="C1240" s="24"/>
      <c r="D1240" s="24"/>
      <c r="E1240" s="16">
        <f t="shared" si="1"/>
        <v>0</v>
      </c>
      <c r="F1240" s="16">
        <f t="shared" si="28"/>
        <v>0</v>
      </c>
      <c r="G1240" s="26">
        <v>1547.35</v>
      </c>
      <c r="H1240" s="43"/>
      <c r="I1240" s="45">
        <f t="shared" si="32"/>
        <v>0</v>
      </c>
      <c r="J1240" s="25"/>
      <c r="K1240" s="16">
        <f t="shared" si="4"/>
        <v>-1547.35</v>
      </c>
      <c r="L1240" s="19">
        <f t="shared" si="5"/>
        <v>-1</v>
      </c>
      <c r="M1240" s="16">
        <f t="shared" si="6"/>
        <v>0</v>
      </c>
      <c r="N1240" s="20"/>
    </row>
    <row r="1241">
      <c r="A1241" s="22"/>
      <c r="B1241" s="23" t="s">
        <v>2198</v>
      </c>
      <c r="C1241" s="24"/>
      <c r="D1241" s="24"/>
      <c r="E1241" s="16">
        <f t="shared" si="1"/>
        <v>0</v>
      </c>
      <c r="F1241" s="16">
        <f t="shared" si="28"/>
        <v>0</v>
      </c>
      <c r="G1241" s="26">
        <v>1547.35</v>
      </c>
      <c r="H1241" s="43"/>
      <c r="I1241" s="45">
        <f t="shared" si="32"/>
        <v>0</v>
      </c>
      <c r="J1241" s="25"/>
      <c r="K1241" s="16">
        <f t="shared" si="4"/>
        <v>-1547.35</v>
      </c>
      <c r="L1241" s="19">
        <f t="shared" si="5"/>
        <v>-1</v>
      </c>
      <c r="M1241" s="16">
        <f t="shared" si="6"/>
        <v>0</v>
      </c>
      <c r="N1241" s="20"/>
    </row>
    <row r="1242">
      <c r="A1242" s="22"/>
      <c r="B1242" s="23" t="s">
        <v>2199</v>
      </c>
      <c r="C1242" s="24"/>
      <c r="D1242" s="25">
        <v>2299.0</v>
      </c>
      <c r="E1242" s="16">
        <f t="shared" si="1"/>
        <v>158.631</v>
      </c>
      <c r="F1242" s="16">
        <f t="shared" si="28"/>
        <v>49.4285</v>
      </c>
      <c r="G1242" s="26">
        <v>1489.0</v>
      </c>
      <c r="H1242" s="27">
        <v>0.15</v>
      </c>
      <c r="I1242" s="45">
        <f t="shared" si="32"/>
        <v>344.85</v>
      </c>
      <c r="J1242" s="25">
        <v>122.0</v>
      </c>
      <c r="K1242" s="16">
        <f t="shared" si="4"/>
        <v>135.0905</v>
      </c>
      <c r="L1242" s="19">
        <f t="shared" si="5"/>
        <v>0.0907256548</v>
      </c>
      <c r="M1242" s="16">
        <f t="shared" si="6"/>
        <v>1624.0905</v>
      </c>
      <c r="N1242" s="20"/>
    </row>
    <row r="1243">
      <c r="A1243" s="22"/>
      <c r="B1243" s="23" t="s">
        <v>2200</v>
      </c>
      <c r="C1243" s="24"/>
      <c r="D1243" s="24"/>
      <c r="E1243" s="16">
        <f t="shared" si="1"/>
        <v>0</v>
      </c>
      <c r="F1243" s="16">
        <f t="shared" si="28"/>
        <v>0</v>
      </c>
      <c r="G1243" s="26">
        <v>690.2</v>
      </c>
      <c r="H1243" s="43"/>
      <c r="I1243" s="45">
        <f t="shared" si="32"/>
        <v>0</v>
      </c>
      <c r="J1243" s="25"/>
      <c r="K1243" s="16">
        <f t="shared" si="4"/>
        <v>-690.2</v>
      </c>
      <c r="L1243" s="19">
        <f t="shared" si="5"/>
        <v>-1</v>
      </c>
      <c r="M1243" s="16">
        <f t="shared" si="6"/>
        <v>0</v>
      </c>
      <c r="N1243" s="20"/>
    </row>
    <row r="1244">
      <c r="A1244" s="22"/>
      <c r="B1244" s="23" t="s">
        <v>2201</v>
      </c>
      <c r="C1244" s="24"/>
      <c r="D1244" s="24"/>
      <c r="E1244" s="16">
        <f t="shared" si="1"/>
        <v>0</v>
      </c>
      <c r="F1244" s="16">
        <f t="shared" si="28"/>
        <v>0</v>
      </c>
      <c r="G1244" s="26">
        <v>200.0</v>
      </c>
      <c r="H1244" s="43"/>
      <c r="I1244" s="28"/>
      <c r="J1244" s="24"/>
      <c r="K1244" s="16">
        <f t="shared" si="4"/>
        <v>-200</v>
      </c>
      <c r="L1244" s="19">
        <f t="shared" si="5"/>
        <v>-1</v>
      </c>
      <c r="M1244" s="16">
        <f t="shared" si="6"/>
        <v>0</v>
      </c>
      <c r="N1244" s="20"/>
    </row>
    <row r="1245">
      <c r="A1245" s="22"/>
      <c r="B1245" s="23" t="s">
        <v>2202</v>
      </c>
      <c r="C1245" s="24"/>
      <c r="D1245" s="24"/>
      <c r="E1245" s="16">
        <f t="shared" si="1"/>
        <v>0</v>
      </c>
      <c r="F1245" s="16">
        <f t="shared" si="28"/>
        <v>0</v>
      </c>
      <c r="G1245" s="26">
        <v>864.2</v>
      </c>
      <c r="H1245" s="43"/>
      <c r="I1245" s="28"/>
      <c r="J1245" s="24"/>
      <c r="K1245" s="16">
        <f t="shared" si="4"/>
        <v>-864.2</v>
      </c>
      <c r="L1245" s="19">
        <f t="shared" si="5"/>
        <v>-1</v>
      </c>
      <c r="M1245" s="16">
        <f t="shared" si="6"/>
        <v>0</v>
      </c>
      <c r="N1245" s="20"/>
    </row>
    <row r="1246">
      <c r="A1246" s="22"/>
      <c r="B1246" s="23" t="s">
        <v>2203</v>
      </c>
      <c r="C1246" s="24"/>
      <c r="D1246" s="25">
        <v>239.0</v>
      </c>
      <c r="E1246" s="16">
        <f t="shared" si="1"/>
        <v>16.491</v>
      </c>
      <c r="F1246" s="16">
        <f t="shared" si="28"/>
        <v>5.1385</v>
      </c>
      <c r="G1246" s="26">
        <v>100.0</v>
      </c>
      <c r="H1246" s="27">
        <v>0.15</v>
      </c>
      <c r="I1246" s="45">
        <f t="shared" ref="I1246:I1272" si="33">H1246*D1246</f>
        <v>35.85</v>
      </c>
      <c r="J1246" s="25">
        <v>84.5</v>
      </c>
      <c r="K1246" s="16">
        <f t="shared" si="4"/>
        <v>-2.9795</v>
      </c>
      <c r="L1246" s="19">
        <f t="shared" si="5"/>
        <v>-0.029795</v>
      </c>
      <c r="M1246" s="16">
        <f t="shared" si="6"/>
        <v>97.0205</v>
      </c>
      <c r="N1246" s="20"/>
    </row>
    <row r="1247">
      <c r="A1247" s="22"/>
      <c r="B1247" s="23" t="s">
        <v>2204</v>
      </c>
      <c r="C1247" s="24"/>
      <c r="D1247" s="25">
        <v>459.0</v>
      </c>
      <c r="E1247" s="16">
        <f t="shared" si="1"/>
        <v>31.671</v>
      </c>
      <c r="F1247" s="16">
        <f t="shared" si="28"/>
        <v>9.8685</v>
      </c>
      <c r="G1247" s="26">
        <v>200.0</v>
      </c>
      <c r="H1247" s="27">
        <v>0.15</v>
      </c>
      <c r="I1247" s="45">
        <f t="shared" si="33"/>
        <v>68.85</v>
      </c>
      <c r="J1247" s="24"/>
      <c r="K1247" s="16">
        <f t="shared" si="4"/>
        <v>148.6105</v>
      </c>
      <c r="L1247" s="19">
        <f t="shared" si="5"/>
        <v>0.7430525</v>
      </c>
      <c r="M1247" s="16">
        <f t="shared" si="6"/>
        <v>348.6105</v>
      </c>
      <c r="N1247" s="20"/>
    </row>
    <row r="1248">
      <c r="A1248" s="22"/>
      <c r="B1248" s="23" t="s">
        <v>2205</v>
      </c>
      <c r="C1248" s="24"/>
      <c r="D1248" s="25">
        <v>484.0</v>
      </c>
      <c r="E1248" s="16">
        <f t="shared" si="1"/>
        <v>33.396</v>
      </c>
      <c r="F1248" s="16">
        <f t="shared" si="28"/>
        <v>10.406</v>
      </c>
      <c r="G1248" s="26">
        <v>400.0</v>
      </c>
      <c r="H1248" s="27">
        <v>0.1</v>
      </c>
      <c r="I1248" s="28">
        <f t="shared" si="33"/>
        <v>48.4</v>
      </c>
      <c r="J1248" s="25">
        <v>74.5</v>
      </c>
      <c r="K1248" s="16">
        <f t="shared" si="4"/>
        <v>-82.702</v>
      </c>
      <c r="L1248" s="19">
        <f t="shared" si="5"/>
        <v>-0.206755</v>
      </c>
      <c r="M1248" s="16">
        <f t="shared" si="6"/>
        <v>317.298</v>
      </c>
      <c r="N1248" s="20"/>
    </row>
    <row r="1249">
      <c r="A1249" s="22"/>
      <c r="B1249" s="23" t="s">
        <v>2206</v>
      </c>
      <c r="C1249" s="24"/>
      <c r="D1249" s="25">
        <v>2599.0</v>
      </c>
      <c r="E1249" s="16">
        <f t="shared" si="1"/>
        <v>179.331</v>
      </c>
      <c r="F1249" s="16">
        <f t="shared" si="28"/>
        <v>55.8785</v>
      </c>
      <c r="G1249" s="26">
        <v>1624.97</v>
      </c>
      <c r="H1249" s="27">
        <v>0.15</v>
      </c>
      <c r="I1249" s="45">
        <f t="shared" si="33"/>
        <v>389.85</v>
      </c>
      <c r="J1249" s="25">
        <v>190.0</v>
      </c>
      <c r="K1249" s="16">
        <f t="shared" si="4"/>
        <v>158.9705</v>
      </c>
      <c r="L1249" s="19">
        <f t="shared" si="5"/>
        <v>0.09782980609</v>
      </c>
      <c r="M1249" s="16">
        <f t="shared" si="6"/>
        <v>1783.9405</v>
      </c>
      <c r="N1249" s="20"/>
    </row>
    <row r="1250">
      <c r="A1250" s="22"/>
      <c r="B1250" s="39" t="s">
        <v>2207</v>
      </c>
      <c r="C1250" s="24" t="s">
        <v>2208</v>
      </c>
      <c r="D1250" s="25">
        <v>2299.0</v>
      </c>
      <c r="E1250" s="16">
        <f t="shared" si="1"/>
        <v>158.631</v>
      </c>
      <c r="F1250" s="16">
        <f t="shared" si="28"/>
        <v>49.4285</v>
      </c>
      <c r="G1250" s="26">
        <v>1624.97</v>
      </c>
      <c r="H1250" s="27">
        <v>0.15</v>
      </c>
      <c r="I1250" s="45">
        <f t="shared" si="33"/>
        <v>344.85</v>
      </c>
      <c r="J1250" s="25">
        <v>190.0</v>
      </c>
      <c r="K1250" s="16">
        <f t="shared" si="4"/>
        <v>-68.8795</v>
      </c>
      <c r="L1250" s="19">
        <f t="shared" si="5"/>
        <v>-0.04238816717</v>
      </c>
      <c r="M1250" s="16">
        <f t="shared" si="6"/>
        <v>1556.0905</v>
      </c>
      <c r="N1250" s="20" t="s">
        <v>1974</v>
      </c>
    </row>
    <row r="1251">
      <c r="A1251" s="22"/>
      <c r="B1251" s="23" t="s">
        <v>2209</v>
      </c>
      <c r="C1251" s="25" t="s">
        <v>2210</v>
      </c>
      <c r="D1251" s="25">
        <v>4849.0</v>
      </c>
      <c r="E1251" s="16">
        <f t="shared" si="1"/>
        <v>334.581</v>
      </c>
      <c r="F1251" s="16">
        <f t="shared" si="28"/>
        <v>104.2535</v>
      </c>
      <c r="G1251" s="26">
        <v>3340.22</v>
      </c>
      <c r="H1251" s="27">
        <v>0.195</v>
      </c>
      <c r="I1251" s="45">
        <f t="shared" si="33"/>
        <v>945.555</v>
      </c>
      <c r="J1251" s="25">
        <v>190.0</v>
      </c>
      <c r="K1251" s="16">
        <f t="shared" si="4"/>
        <v>-65.6095</v>
      </c>
      <c r="L1251" s="19">
        <f t="shared" si="5"/>
        <v>-0.01964226907</v>
      </c>
      <c r="M1251" s="16">
        <f t="shared" si="6"/>
        <v>3274.6105</v>
      </c>
      <c r="N1251" s="20"/>
    </row>
    <row r="1252">
      <c r="A1252" s="22"/>
      <c r="B1252" s="39" t="s">
        <v>2211</v>
      </c>
      <c r="C1252" s="25" t="s">
        <v>2210</v>
      </c>
      <c r="D1252" s="25">
        <v>4849.0</v>
      </c>
      <c r="E1252" s="16">
        <f t="shared" si="1"/>
        <v>334.581</v>
      </c>
      <c r="F1252" s="16">
        <f t="shared" si="28"/>
        <v>104.2535</v>
      </c>
      <c r="G1252" s="26">
        <v>3340.22</v>
      </c>
      <c r="H1252" s="27">
        <v>0.195</v>
      </c>
      <c r="I1252" s="45">
        <f t="shared" si="33"/>
        <v>945.555</v>
      </c>
      <c r="J1252" s="25">
        <v>190.0</v>
      </c>
      <c r="K1252" s="16">
        <f t="shared" si="4"/>
        <v>-65.6095</v>
      </c>
      <c r="L1252" s="19">
        <f t="shared" si="5"/>
        <v>-0.01964226907</v>
      </c>
      <c r="M1252" s="16">
        <f t="shared" si="6"/>
        <v>3274.6105</v>
      </c>
      <c r="N1252" s="20"/>
    </row>
    <row r="1253">
      <c r="A1253" s="22"/>
      <c r="B1253" s="23" t="s">
        <v>2212</v>
      </c>
      <c r="C1253" s="24" t="s">
        <v>2213</v>
      </c>
      <c r="D1253" s="25">
        <v>1599.0</v>
      </c>
      <c r="E1253" s="16">
        <f t="shared" si="1"/>
        <v>110.331</v>
      </c>
      <c r="F1253" s="16">
        <f t="shared" si="28"/>
        <v>34.3785</v>
      </c>
      <c r="G1253" s="26">
        <v>896.34</v>
      </c>
      <c r="H1253" s="27">
        <v>0.195</v>
      </c>
      <c r="I1253" s="45">
        <f t="shared" si="33"/>
        <v>311.805</v>
      </c>
      <c r="J1253" s="25">
        <v>103.0</v>
      </c>
      <c r="K1253" s="16">
        <f t="shared" si="4"/>
        <v>143.1455</v>
      </c>
      <c r="L1253" s="19">
        <f t="shared" si="5"/>
        <v>0.1597000022</v>
      </c>
      <c r="M1253" s="16">
        <f t="shared" si="6"/>
        <v>1039.4855</v>
      </c>
      <c r="N1253" s="20" t="s">
        <v>237</v>
      </c>
    </row>
    <row r="1254">
      <c r="A1254" s="22"/>
      <c r="B1254" s="39" t="s">
        <v>2214</v>
      </c>
      <c r="C1254" s="24"/>
      <c r="D1254" s="25">
        <v>1599.0</v>
      </c>
      <c r="E1254" s="16">
        <f t="shared" si="1"/>
        <v>110.331</v>
      </c>
      <c r="F1254" s="16">
        <f t="shared" si="28"/>
        <v>34.3785</v>
      </c>
      <c r="G1254" s="26">
        <v>1039.75</v>
      </c>
      <c r="H1254" s="27">
        <v>0.195</v>
      </c>
      <c r="I1254" s="45">
        <f t="shared" si="33"/>
        <v>311.805</v>
      </c>
      <c r="J1254" s="25">
        <v>103.0</v>
      </c>
      <c r="K1254" s="16">
        <f t="shared" si="4"/>
        <v>-0.2645</v>
      </c>
      <c r="L1254" s="19">
        <f t="shared" si="5"/>
        <v>-0.0002543880741</v>
      </c>
      <c r="M1254" s="16">
        <f t="shared" si="6"/>
        <v>1039.4855</v>
      </c>
      <c r="N1254" s="20"/>
    </row>
    <row r="1255">
      <c r="A1255" s="22"/>
      <c r="B1255" s="23" t="s">
        <v>2215</v>
      </c>
      <c r="C1255" s="24"/>
      <c r="D1255" s="25">
        <v>799.0</v>
      </c>
      <c r="E1255" s="16">
        <f t="shared" si="1"/>
        <v>55.131</v>
      </c>
      <c r="F1255" s="16">
        <f t="shared" si="28"/>
        <v>17.1785</v>
      </c>
      <c r="G1255" s="26">
        <v>206.47</v>
      </c>
      <c r="H1255" s="27">
        <v>0.14</v>
      </c>
      <c r="I1255" s="45">
        <f t="shared" si="33"/>
        <v>111.86</v>
      </c>
      <c r="J1255" s="25">
        <v>95.0</v>
      </c>
      <c r="K1255" s="16">
        <f t="shared" si="4"/>
        <v>313.3605</v>
      </c>
      <c r="L1255" s="19">
        <f t="shared" si="5"/>
        <v>1.517704751</v>
      </c>
      <c r="M1255" s="16">
        <f t="shared" si="6"/>
        <v>519.8305</v>
      </c>
      <c r="N1255" s="20"/>
    </row>
    <row r="1256">
      <c r="A1256" s="22"/>
      <c r="B1256" s="23" t="s">
        <v>2216</v>
      </c>
      <c r="C1256" s="24"/>
      <c r="D1256" s="25">
        <v>399.0</v>
      </c>
      <c r="E1256" s="16">
        <f t="shared" si="1"/>
        <v>27.531</v>
      </c>
      <c r="F1256" s="16">
        <f t="shared" si="28"/>
        <v>8.5785</v>
      </c>
      <c r="G1256" s="26">
        <v>206.47</v>
      </c>
      <c r="H1256" s="27">
        <v>0.14</v>
      </c>
      <c r="I1256" s="45">
        <f t="shared" si="33"/>
        <v>55.86</v>
      </c>
      <c r="J1256" s="25">
        <v>95.0</v>
      </c>
      <c r="K1256" s="16">
        <f t="shared" si="4"/>
        <v>5.5605</v>
      </c>
      <c r="L1256" s="19">
        <f t="shared" si="5"/>
        <v>0.02693127331</v>
      </c>
      <c r="M1256" s="16">
        <f t="shared" si="6"/>
        <v>212.0305</v>
      </c>
      <c r="N1256" s="20"/>
    </row>
    <row r="1257">
      <c r="A1257" s="22"/>
      <c r="B1257" s="23" t="s">
        <v>2217</v>
      </c>
      <c r="C1257" s="25" t="s">
        <v>2218</v>
      </c>
      <c r="D1257" s="25">
        <v>4809.0</v>
      </c>
      <c r="E1257" s="16">
        <f t="shared" si="1"/>
        <v>331.821</v>
      </c>
      <c r="F1257" s="16">
        <f t="shared" si="28"/>
        <v>103.3935</v>
      </c>
      <c r="G1257" s="26">
        <v>2999.14</v>
      </c>
      <c r="H1257" s="27">
        <v>0.195</v>
      </c>
      <c r="I1257" s="45">
        <f t="shared" si="33"/>
        <v>937.755</v>
      </c>
      <c r="J1257" s="25">
        <v>190.0</v>
      </c>
      <c r="K1257" s="16">
        <f t="shared" si="4"/>
        <v>246.8905</v>
      </c>
      <c r="L1257" s="19">
        <f t="shared" si="5"/>
        <v>0.08232043186</v>
      </c>
      <c r="M1257" s="16">
        <f t="shared" si="6"/>
        <v>3246.0305</v>
      </c>
      <c r="N1257" s="20" t="s">
        <v>1660</v>
      </c>
    </row>
    <row r="1258">
      <c r="A1258" s="22"/>
      <c r="B1258" s="23" t="s">
        <v>2219</v>
      </c>
      <c r="C1258" s="24"/>
      <c r="D1258" s="25">
        <v>899.0</v>
      </c>
      <c r="E1258" s="16">
        <f t="shared" si="1"/>
        <v>62.031</v>
      </c>
      <c r="F1258" s="16">
        <f t="shared" si="28"/>
        <v>19.3285</v>
      </c>
      <c r="G1258" s="26">
        <v>490.0</v>
      </c>
      <c r="H1258" s="27">
        <v>0.15</v>
      </c>
      <c r="I1258" s="45">
        <f t="shared" si="33"/>
        <v>134.85</v>
      </c>
      <c r="J1258" s="25">
        <v>122.0</v>
      </c>
      <c r="K1258" s="16">
        <f t="shared" si="4"/>
        <v>70.7905</v>
      </c>
      <c r="L1258" s="19">
        <f t="shared" si="5"/>
        <v>0.1444704082</v>
      </c>
      <c r="M1258" s="16">
        <f t="shared" si="6"/>
        <v>560.7905</v>
      </c>
      <c r="N1258" s="20"/>
    </row>
    <row r="1259">
      <c r="A1259" s="22"/>
      <c r="B1259" s="23" t="s">
        <v>2220</v>
      </c>
      <c r="C1259" s="24" t="s">
        <v>2221</v>
      </c>
      <c r="D1259" s="25">
        <v>2439.0</v>
      </c>
      <c r="E1259" s="16">
        <f t="shared" si="1"/>
        <v>168.291</v>
      </c>
      <c r="F1259" s="16">
        <f t="shared" si="28"/>
        <v>52.4385</v>
      </c>
      <c r="G1259" s="26">
        <v>1785.06</v>
      </c>
      <c r="H1259" s="27">
        <v>0.195</v>
      </c>
      <c r="I1259" s="45">
        <f t="shared" si="33"/>
        <v>475.605</v>
      </c>
      <c r="J1259" s="25">
        <v>123.0</v>
      </c>
      <c r="K1259" s="16">
        <f t="shared" si="4"/>
        <v>-165.3945</v>
      </c>
      <c r="L1259" s="19">
        <f t="shared" si="5"/>
        <v>-0.09265486874</v>
      </c>
      <c r="M1259" s="16">
        <f t="shared" si="6"/>
        <v>1619.6655</v>
      </c>
      <c r="N1259" s="20" t="s">
        <v>1974</v>
      </c>
    </row>
    <row r="1260">
      <c r="A1260" s="22"/>
      <c r="B1260" s="23" t="s">
        <v>2222</v>
      </c>
      <c r="C1260" s="25" t="s">
        <v>2223</v>
      </c>
      <c r="D1260" s="25">
        <v>1498.0</v>
      </c>
      <c r="E1260" s="16">
        <f t="shared" si="1"/>
        <v>103.362</v>
      </c>
      <c r="F1260" s="16">
        <f t="shared" si="28"/>
        <v>32.207</v>
      </c>
      <c r="G1260" s="26">
        <v>1045.0</v>
      </c>
      <c r="H1260" s="27">
        <v>0.15</v>
      </c>
      <c r="I1260" s="45">
        <f t="shared" si="33"/>
        <v>224.7</v>
      </c>
      <c r="J1260" s="25">
        <v>74.0</v>
      </c>
      <c r="K1260" s="16">
        <f t="shared" si="4"/>
        <v>18.731</v>
      </c>
      <c r="L1260" s="19">
        <f t="shared" si="5"/>
        <v>0.01792440191</v>
      </c>
      <c r="M1260" s="16">
        <f t="shared" si="6"/>
        <v>1063.731</v>
      </c>
      <c r="N1260" s="20"/>
    </row>
    <row r="1261">
      <c r="A1261" s="22"/>
      <c r="B1261" s="39" t="s">
        <v>2224</v>
      </c>
      <c r="C1261" s="25" t="s">
        <v>2223</v>
      </c>
      <c r="D1261" s="25">
        <v>1638.0</v>
      </c>
      <c r="E1261" s="16">
        <f t="shared" si="1"/>
        <v>113.022</v>
      </c>
      <c r="F1261" s="16">
        <f t="shared" si="28"/>
        <v>35.217</v>
      </c>
      <c r="G1261" s="26">
        <v>1120.0</v>
      </c>
      <c r="H1261" s="27">
        <v>0.195</v>
      </c>
      <c r="I1261" s="45">
        <f t="shared" si="33"/>
        <v>319.41</v>
      </c>
      <c r="J1261" s="25">
        <v>74.0</v>
      </c>
      <c r="K1261" s="16">
        <f t="shared" si="4"/>
        <v>-23.649</v>
      </c>
      <c r="L1261" s="19">
        <f t="shared" si="5"/>
        <v>-0.02111517857</v>
      </c>
      <c r="M1261" s="16">
        <f t="shared" si="6"/>
        <v>1096.351</v>
      </c>
      <c r="N1261" s="20"/>
    </row>
    <row r="1262">
      <c r="A1262" s="22"/>
      <c r="B1262" s="23" t="s">
        <v>2225</v>
      </c>
      <c r="C1262" s="24"/>
      <c r="D1262" s="25">
        <v>2058.0</v>
      </c>
      <c r="E1262" s="16">
        <f t="shared" si="1"/>
        <v>142.002</v>
      </c>
      <c r="F1262" s="16">
        <f t="shared" si="28"/>
        <v>44.247</v>
      </c>
      <c r="G1262" s="26">
        <v>1390.65</v>
      </c>
      <c r="H1262" s="27">
        <v>0.1</v>
      </c>
      <c r="I1262" s="45">
        <f t="shared" si="33"/>
        <v>205.8</v>
      </c>
      <c r="J1262" s="25">
        <v>65.0</v>
      </c>
      <c r="K1262" s="16">
        <f t="shared" si="4"/>
        <v>210.301</v>
      </c>
      <c r="L1262" s="19">
        <f t="shared" si="5"/>
        <v>0.1512249667</v>
      </c>
      <c r="M1262" s="16">
        <f t="shared" si="6"/>
        <v>1600.951</v>
      </c>
      <c r="N1262" s="20"/>
    </row>
    <row r="1263">
      <c r="A1263" s="22"/>
      <c r="B1263" s="23" t="s">
        <v>2226</v>
      </c>
      <c r="C1263" s="24"/>
      <c r="D1263" s="25">
        <v>349.0</v>
      </c>
      <c r="E1263" s="16">
        <f t="shared" si="1"/>
        <v>24.081</v>
      </c>
      <c r="F1263" s="16">
        <f t="shared" si="28"/>
        <v>7.5035</v>
      </c>
      <c r="G1263" s="26">
        <v>235.0</v>
      </c>
      <c r="H1263" s="27">
        <v>0.1</v>
      </c>
      <c r="I1263" s="45">
        <f t="shared" si="33"/>
        <v>34.9</v>
      </c>
      <c r="J1263" s="25">
        <v>52.0</v>
      </c>
      <c r="K1263" s="16">
        <f t="shared" si="4"/>
        <v>-4.4845</v>
      </c>
      <c r="L1263" s="19">
        <f t="shared" si="5"/>
        <v>-0.01908297872</v>
      </c>
      <c r="M1263" s="16">
        <f t="shared" si="6"/>
        <v>230.5155</v>
      </c>
      <c r="N1263" s="20"/>
    </row>
    <row r="1264">
      <c r="A1264" s="22"/>
      <c r="B1264" s="23" t="s">
        <v>2227</v>
      </c>
      <c r="C1264" s="24"/>
      <c r="D1264" s="25">
        <v>5299.0</v>
      </c>
      <c r="E1264" s="16">
        <f t="shared" si="1"/>
        <v>365.631</v>
      </c>
      <c r="F1264" s="16">
        <f t="shared" si="28"/>
        <v>113.9285</v>
      </c>
      <c r="G1264" s="26">
        <v>3511.71</v>
      </c>
      <c r="H1264" s="27">
        <v>0.145</v>
      </c>
      <c r="I1264" s="45">
        <f t="shared" si="33"/>
        <v>768.355</v>
      </c>
      <c r="J1264" s="25">
        <v>223.0</v>
      </c>
      <c r="K1264" s="16">
        <f t="shared" si="4"/>
        <v>316.3755</v>
      </c>
      <c r="L1264" s="19">
        <f t="shared" si="5"/>
        <v>0.09009157932</v>
      </c>
      <c r="M1264" s="16">
        <f t="shared" si="6"/>
        <v>3828.0855</v>
      </c>
      <c r="N1264" s="20"/>
    </row>
    <row r="1265">
      <c r="A1265" s="22"/>
      <c r="B1265" s="23" t="s">
        <v>2228</v>
      </c>
      <c r="C1265" s="24"/>
      <c r="D1265" s="25">
        <v>2199.0</v>
      </c>
      <c r="E1265" s="16">
        <f t="shared" si="1"/>
        <v>151.731</v>
      </c>
      <c r="F1265" s="16">
        <f t="shared" si="28"/>
        <v>47.2785</v>
      </c>
      <c r="G1265" s="26">
        <v>1717.94</v>
      </c>
      <c r="H1265" s="27">
        <v>0.18</v>
      </c>
      <c r="I1265" s="45">
        <f t="shared" si="33"/>
        <v>395.82</v>
      </c>
      <c r="J1265" s="25">
        <v>70.0</v>
      </c>
      <c r="K1265" s="16">
        <f t="shared" si="4"/>
        <v>-183.7695</v>
      </c>
      <c r="L1265" s="19">
        <f t="shared" si="5"/>
        <v>-0.1069708488</v>
      </c>
      <c r="M1265" s="16">
        <f t="shared" si="6"/>
        <v>1534.1705</v>
      </c>
      <c r="N1265" s="20"/>
    </row>
    <row r="1266">
      <c r="A1266" s="22"/>
      <c r="B1266" s="23" t="s">
        <v>2229</v>
      </c>
      <c r="C1266" s="24"/>
      <c r="D1266" s="25">
        <v>1199.0</v>
      </c>
      <c r="E1266" s="16">
        <f t="shared" si="1"/>
        <v>82.731</v>
      </c>
      <c r="F1266" s="16">
        <f t="shared" si="28"/>
        <v>25.7785</v>
      </c>
      <c r="G1266" s="26">
        <v>575.0</v>
      </c>
      <c r="H1266" s="27">
        <v>0.15</v>
      </c>
      <c r="I1266" s="45">
        <f t="shared" si="33"/>
        <v>179.85</v>
      </c>
      <c r="J1266" s="25">
        <v>161.5</v>
      </c>
      <c r="K1266" s="16">
        <f t="shared" si="4"/>
        <v>174.1405</v>
      </c>
      <c r="L1266" s="19">
        <f t="shared" si="5"/>
        <v>0.3028530435</v>
      </c>
      <c r="M1266" s="16">
        <f t="shared" si="6"/>
        <v>749.1405</v>
      </c>
      <c r="N1266" s="20"/>
    </row>
    <row r="1267">
      <c r="A1267" s="22"/>
      <c r="B1267" s="23" t="s">
        <v>2230</v>
      </c>
      <c r="C1267" s="24"/>
      <c r="D1267" s="25">
        <v>419.0</v>
      </c>
      <c r="E1267" s="16">
        <f t="shared" si="1"/>
        <v>28.911</v>
      </c>
      <c r="F1267" s="16">
        <f t="shared" si="28"/>
        <v>9.0085</v>
      </c>
      <c r="G1267" s="26">
        <v>211.33</v>
      </c>
      <c r="H1267" s="27">
        <v>0.145</v>
      </c>
      <c r="I1267" s="45">
        <f t="shared" si="33"/>
        <v>60.755</v>
      </c>
      <c r="J1267" s="25">
        <v>84.0</v>
      </c>
      <c r="K1267" s="16">
        <f t="shared" si="4"/>
        <v>24.9955</v>
      </c>
      <c r="L1267" s="19">
        <f t="shared" si="5"/>
        <v>0.1182771022</v>
      </c>
      <c r="M1267" s="16">
        <f t="shared" si="6"/>
        <v>236.3255</v>
      </c>
      <c r="N1267" s="20"/>
    </row>
    <row r="1268">
      <c r="A1268" s="22"/>
      <c r="B1268" s="23" t="s">
        <v>2231</v>
      </c>
      <c r="C1268" s="24"/>
      <c r="D1268" s="25">
        <v>999.0</v>
      </c>
      <c r="E1268" s="16">
        <f t="shared" si="1"/>
        <v>68.931</v>
      </c>
      <c r="F1268" s="16">
        <f t="shared" si="28"/>
        <v>21.4785</v>
      </c>
      <c r="G1268" s="26">
        <v>684.86</v>
      </c>
      <c r="H1268" s="27">
        <v>0.1</v>
      </c>
      <c r="I1268" s="45">
        <f t="shared" si="33"/>
        <v>99.9</v>
      </c>
      <c r="J1268" s="25">
        <v>65.0</v>
      </c>
      <c r="K1268" s="16">
        <f t="shared" si="4"/>
        <v>58.8305</v>
      </c>
      <c r="L1268" s="19">
        <f t="shared" si="5"/>
        <v>0.08590149812</v>
      </c>
      <c r="M1268" s="16">
        <f t="shared" si="6"/>
        <v>743.6905</v>
      </c>
      <c r="N1268" s="20"/>
    </row>
    <row r="1269">
      <c r="A1269" s="22"/>
      <c r="B1269" s="39" t="s">
        <v>2232</v>
      </c>
      <c r="C1269" s="24"/>
      <c r="D1269" s="25">
        <v>929.0</v>
      </c>
      <c r="E1269" s="16">
        <f t="shared" si="1"/>
        <v>64.101</v>
      </c>
      <c r="F1269" s="16">
        <f t="shared" si="28"/>
        <v>19.9735</v>
      </c>
      <c r="G1269" s="26">
        <v>684.86</v>
      </c>
      <c r="H1269" s="27">
        <v>0.1</v>
      </c>
      <c r="I1269" s="45">
        <f t="shared" si="33"/>
        <v>92.9</v>
      </c>
      <c r="J1269" s="25">
        <v>65.0</v>
      </c>
      <c r="K1269" s="16">
        <f t="shared" si="4"/>
        <v>2.1655</v>
      </c>
      <c r="L1269" s="19">
        <f t="shared" si="5"/>
        <v>0.003161960109</v>
      </c>
      <c r="M1269" s="16">
        <f t="shared" si="6"/>
        <v>687.0255</v>
      </c>
      <c r="N1269" s="20"/>
    </row>
    <row r="1270">
      <c r="A1270" s="22"/>
      <c r="B1270" s="23" t="s">
        <v>1617</v>
      </c>
      <c r="C1270" s="24"/>
      <c r="D1270" s="25">
        <v>1799.0</v>
      </c>
      <c r="E1270" s="16">
        <f t="shared" si="1"/>
        <v>124.131</v>
      </c>
      <c r="F1270" s="16">
        <f t="shared" si="28"/>
        <v>38.6785</v>
      </c>
      <c r="G1270" s="26">
        <v>1300.49</v>
      </c>
      <c r="H1270" s="27">
        <v>0.1</v>
      </c>
      <c r="I1270" s="45">
        <f t="shared" si="33"/>
        <v>179.9</v>
      </c>
      <c r="J1270" s="25">
        <v>122.0</v>
      </c>
      <c r="K1270" s="16">
        <f t="shared" si="4"/>
        <v>33.8005</v>
      </c>
      <c r="L1270" s="19">
        <f t="shared" si="5"/>
        <v>0.02599058816</v>
      </c>
      <c r="M1270" s="16">
        <f t="shared" si="6"/>
        <v>1334.2905</v>
      </c>
      <c r="N1270" s="20"/>
    </row>
    <row r="1271">
      <c r="A1271" s="22"/>
      <c r="B1271" s="23" t="s">
        <v>2233</v>
      </c>
      <c r="C1271" s="24"/>
      <c r="D1271" s="25">
        <v>9499.0</v>
      </c>
      <c r="E1271" s="16">
        <f t="shared" si="1"/>
        <v>655.431</v>
      </c>
      <c r="F1271" s="16">
        <f t="shared" si="28"/>
        <v>204.2285</v>
      </c>
      <c r="G1271" s="26">
        <v>5947.38</v>
      </c>
      <c r="H1271" s="27">
        <v>0.195</v>
      </c>
      <c r="I1271" s="45">
        <f t="shared" si="33"/>
        <v>1852.305</v>
      </c>
      <c r="J1271" s="25">
        <v>222.0</v>
      </c>
      <c r="K1271" s="16">
        <f t="shared" si="4"/>
        <v>617.6555</v>
      </c>
      <c r="L1271" s="19">
        <f t="shared" si="5"/>
        <v>0.1038533775</v>
      </c>
      <c r="M1271" s="16">
        <f t="shared" si="6"/>
        <v>6565.0355</v>
      </c>
      <c r="N1271" s="20"/>
    </row>
    <row r="1272">
      <c r="A1272" s="22"/>
      <c r="B1272" s="23" t="s">
        <v>2234</v>
      </c>
      <c r="C1272" s="24" t="s">
        <v>2235</v>
      </c>
      <c r="D1272" s="25">
        <v>4789.0</v>
      </c>
      <c r="E1272" s="16">
        <f t="shared" si="1"/>
        <v>330.441</v>
      </c>
      <c r="F1272" s="16">
        <f t="shared" si="28"/>
        <v>102.9635</v>
      </c>
      <c r="G1272" s="26">
        <v>3359.39</v>
      </c>
      <c r="H1272" s="27">
        <v>0.15</v>
      </c>
      <c r="I1272" s="45">
        <f t="shared" si="33"/>
        <v>718.35</v>
      </c>
      <c r="J1272" s="25">
        <v>139.0</v>
      </c>
      <c r="K1272" s="16">
        <f t="shared" si="4"/>
        <v>138.8555</v>
      </c>
      <c r="L1272" s="19">
        <f t="shared" si="5"/>
        <v>0.04133354567</v>
      </c>
      <c r="M1272" s="16">
        <f t="shared" si="6"/>
        <v>3498.2455</v>
      </c>
      <c r="N1272" s="20" t="s">
        <v>1660</v>
      </c>
    </row>
    <row r="1273">
      <c r="A1273" s="22"/>
      <c r="B1273" s="23" t="s">
        <v>2236</v>
      </c>
      <c r="C1273" s="24"/>
      <c r="D1273" s="24"/>
      <c r="E1273" s="16">
        <f t="shared" si="1"/>
        <v>0</v>
      </c>
      <c r="F1273" s="16">
        <f t="shared" si="28"/>
        <v>0</v>
      </c>
      <c r="G1273" s="35"/>
      <c r="H1273" s="43"/>
      <c r="I1273" s="28"/>
      <c r="J1273" s="24"/>
      <c r="K1273" s="16">
        <f t="shared" si="4"/>
        <v>0</v>
      </c>
      <c r="L1273" s="19" t="str">
        <f t="shared" si="5"/>
        <v>#DIV/0!</v>
      </c>
      <c r="M1273" s="16">
        <f t="shared" si="6"/>
        <v>0</v>
      </c>
      <c r="N1273" s="20"/>
    </row>
    <row r="1274">
      <c r="A1274" s="22"/>
      <c r="B1274" s="23" t="s">
        <v>2237</v>
      </c>
      <c r="C1274" s="24"/>
      <c r="D1274" s="25">
        <v>1260.0</v>
      </c>
      <c r="E1274" s="16">
        <f t="shared" si="1"/>
        <v>86.94</v>
      </c>
      <c r="F1274" s="16">
        <f t="shared" si="28"/>
        <v>27.09</v>
      </c>
      <c r="G1274" s="35">
        <v>1021.5246077415871</v>
      </c>
      <c r="H1274" s="27">
        <v>0.1</v>
      </c>
      <c r="I1274" s="45">
        <f>H1274*D1274</f>
        <v>126</v>
      </c>
      <c r="J1274" s="25">
        <v>65.5</v>
      </c>
      <c r="K1274" s="16">
        <f t="shared" si="4"/>
        <v>-67.05460774</v>
      </c>
      <c r="L1274" s="19">
        <f t="shared" si="5"/>
        <v>-0.06564169598</v>
      </c>
      <c r="M1274" s="16">
        <f t="shared" si="6"/>
        <v>954.47</v>
      </c>
      <c r="N1274" s="20"/>
    </row>
    <row r="1275">
      <c r="A1275" s="22"/>
      <c r="B1275" s="39" t="s">
        <v>2238</v>
      </c>
      <c r="C1275" s="24"/>
      <c r="D1275" s="24"/>
      <c r="E1275" s="16">
        <f t="shared" si="1"/>
        <v>0</v>
      </c>
      <c r="F1275" s="16">
        <f t="shared" si="28"/>
        <v>0</v>
      </c>
      <c r="G1275" s="52">
        <v>1050.0</v>
      </c>
      <c r="H1275" s="43"/>
      <c r="I1275" s="28"/>
      <c r="J1275" s="24"/>
      <c r="K1275" s="16">
        <f t="shared" si="4"/>
        <v>-1050</v>
      </c>
      <c r="L1275" s="19">
        <f t="shared" si="5"/>
        <v>-1</v>
      </c>
      <c r="M1275" s="16">
        <f t="shared" si="6"/>
        <v>0</v>
      </c>
      <c r="N1275" s="20"/>
    </row>
    <row r="1276">
      <c r="A1276" s="22"/>
      <c r="B1276" s="23" t="s">
        <v>2239</v>
      </c>
      <c r="C1276" s="24"/>
      <c r="D1276" s="24"/>
      <c r="E1276" s="16">
        <f t="shared" si="1"/>
        <v>0</v>
      </c>
      <c r="F1276" s="16">
        <f t="shared" si="28"/>
        <v>0</v>
      </c>
      <c r="G1276" s="26">
        <v>3868.99</v>
      </c>
      <c r="H1276" s="43"/>
      <c r="I1276" s="28"/>
      <c r="J1276" s="24"/>
      <c r="K1276" s="16">
        <f t="shared" si="4"/>
        <v>-3868.99</v>
      </c>
      <c r="L1276" s="19">
        <f t="shared" si="5"/>
        <v>-1</v>
      </c>
      <c r="M1276" s="16">
        <f t="shared" si="6"/>
        <v>0</v>
      </c>
      <c r="N1276" s="20"/>
    </row>
    <row r="1277">
      <c r="A1277" s="22"/>
      <c r="B1277" s="23" t="s">
        <v>2240</v>
      </c>
      <c r="C1277" s="24"/>
      <c r="D1277" s="25">
        <v>4493.0</v>
      </c>
      <c r="E1277" s="16">
        <f t="shared" si="1"/>
        <v>310.017</v>
      </c>
      <c r="F1277" s="16">
        <f t="shared" si="28"/>
        <v>96.5995</v>
      </c>
      <c r="G1277" s="26">
        <v>3869.0</v>
      </c>
      <c r="H1277" s="27">
        <v>0.1</v>
      </c>
      <c r="I1277" s="45">
        <f>H1277*D1277</f>
        <v>449.3</v>
      </c>
      <c r="J1277" s="25">
        <v>65.5</v>
      </c>
      <c r="K1277" s="16">
        <f t="shared" si="4"/>
        <v>-297.4165</v>
      </c>
      <c r="L1277" s="19">
        <f t="shared" si="5"/>
        <v>-0.07687167227</v>
      </c>
      <c r="M1277" s="16">
        <f t="shared" si="6"/>
        <v>3571.5835</v>
      </c>
      <c r="N1277" s="20"/>
    </row>
    <row r="1278">
      <c r="A1278" s="22"/>
      <c r="B1278" s="23" t="s">
        <v>2241</v>
      </c>
      <c r="C1278" s="24"/>
      <c r="D1278" s="24"/>
      <c r="E1278" s="16">
        <f t="shared" si="1"/>
        <v>0</v>
      </c>
      <c r="F1278" s="16">
        <f t="shared" si="28"/>
        <v>0</v>
      </c>
      <c r="G1278" s="35"/>
      <c r="H1278" s="43"/>
      <c r="I1278" s="28"/>
      <c r="J1278" s="24"/>
      <c r="K1278" s="16">
        <f t="shared" si="4"/>
        <v>0</v>
      </c>
      <c r="L1278" s="19" t="str">
        <f t="shared" si="5"/>
        <v>#DIV/0!</v>
      </c>
      <c r="M1278" s="16">
        <f t="shared" si="6"/>
        <v>0</v>
      </c>
      <c r="N1278" s="20"/>
    </row>
    <row r="1279">
      <c r="A1279" s="22"/>
      <c r="B1279" s="23" t="s">
        <v>2242</v>
      </c>
      <c r="C1279" s="24"/>
      <c r="D1279" s="24"/>
      <c r="E1279" s="16">
        <f t="shared" si="1"/>
        <v>0</v>
      </c>
      <c r="F1279" s="16">
        <f t="shared" si="28"/>
        <v>0</v>
      </c>
      <c r="G1279" s="26">
        <v>417.0</v>
      </c>
      <c r="H1279" s="43"/>
      <c r="I1279" s="28"/>
      <c r="J1279" s="24"/>
      <c r="K1279" s="16">
        <f t="shared" si="4"/>
        <v>-417</v>
      </c>
      <c r="L1279" s="19">
        <f t="shared" si="5"/>
        <v>-1</v>
      </c>
      <c r="M1279" s="16">
        <f t="shared" si="6"/>
        <v>0</v>
      </c>
      <c r="N1279" s="20"/>
    </row>
    <row r="1280">
      <c r="A1280" s="22"/>
      <c r="B1280" s="23" t="s">
        <v>2243</v>
      </c>
      <c r="C1280" s="24"/>
      <c r="D1280" s="24"/>
      <c r="E1280" s="16">
        <f t="shared" si="1"/>
        <v>0</v>
      </c>
      <c r="F1280" s="16">
        <f t="shared" si="28"/>
        <v>0</v>
      </c>
      <c r="G1280" s="35">
        <v>2682.8558205000004</v>
      </c>
      <c r="H1280" s="43"/>
      <c r="I1280" s="28"/>
      <c r="J1280" s="24"/>
      <c r="K1280" s="16">
        <f t="shared" si="4"/>
        <v>-2682.855821</v>
      </c>
      <c r="L1280" s="19">
        <f t="shared" si="5"/>
        <v>-1</v>
      </c>
      <c r="M1280" s="16">
        <f t="shared" si="6"/>
        <v>0</v>
      </c>
      <c r="N1280" s="20"/>
    </row>
    <row r="1281">
      <c r="A1281" s="22"/>
      <c r="B1281" s="23" t="s">
        <v>2244</v>
      </c>
      <c r="C1281" s="24"/>
      <c r="D1281" s="25">
        <v>3499.0</v>
      </c>
      <c r="E1281" s="16">
        <f t="shared" si="1"/>
        <v>241.431</v>
      </c>
      <c r="F1281" s="16">
        <f t="shared" si="28"/>
        <v>75.2285</v>
      </c>
      <c r="G1281" s="35">
        <v>2682.8558205000004</v>
      </c>
      <c r="H1281" s="27">
        <v>0.1</v>
      </c>
      <c r="I1281" s="45">
        <f t="shared" ref="I1281:I1282" si="34">H1281*D1281</f>
        <v>349.9</v>
      </c>
      <c r="J1281" s="25">
        <v>74.0</v>
      </c>
      <c r="K1281" s="16">
        <f t="shared" si="4"/>
        <v>75.5846795</v>
      </c>
      <c r="L1281" s="19">
        <f t="shared" si="5"/>
        <v>0.02817321711</v>
      </c>
      <c r="M1281" s="16">
        <f t="shared" si="6"/>
        <v>2758.4405</v>
      </c>
      <c r="N1281" s="20"/>
    </row>
    <row r="1282">
      <c r="A1282" s="22"/>
      <c r="B1282" s="39" t="s">
        <v>2245</v>
      </c>
      <c r="C1282" s="24"/>
      <c r="D1282" s="25">
        <v>1399.0</v>
      </c>
      <c r="E1282" s="16">
        <f t="shared" si="1"/>
        <v>96.531</v>
      </c>
      <c r="F1282" s="16">
        <f t="shared" si="28"/>
        <v>30.0785</v>
      </c>
      <c r="G1282" s="26">
        <v>990.0</v>
      </c>
      <c r="H1282" s="27">
        <v>0.12</v>
      </c>
      <c r="I1282" s="45">
        <f t="shared" si="34"/>
        <v>167.88</v>
      </c>
      <c r="J1282" s="25">
        <v>122.0</v>
      </c>
      <c r="K1282" s="16">
        <f t="shared" si="4"/>
        <v>-7.4895</v>
      </c>
      <c r="L1282" s="19">
        <f t="shared" si="5"/>
        <v>-0.007565151515</v>
      </c>
      <c r="M1282" s="16">
        <f t="shared" si="6"/>
        <v>982.5105</v>
      </c>
      <c r="N1282" s="20"/>
    </row>
    <row r="1283">
      <c r="A1283" s="22"/>
      <c r="B1283" s="23" t="s">
        <v>2246</v>
      </c>
      <c r="C1283" s="24"/>
      <c r="D1283" s="24"/>
      <c r="E1283" s="16">
        <f t="shared" si="1"/>
        <v>0</v>
      </c>
      <c r="F1283" s="16">
        <f t="shared" si="28"/>
        <v>0</v>
      </c>
      <c r="G1283" s="35"/>
      <c r="H1283" s="43"/>
      <c r="I1283" s="28"/>
      <c r="J1283" s="24"/>
      <c r="K1283" s="16">
        <f t="shared" si="4"/>
        <v>0</v>
      </c>
      <c r="L1283" s="19" t="str">
        <f t="shared" si="5"/>
        <v>#DIV/0!</v>
      </c>
      <c r="M1283" s="16">
        <f t="shared" si="6"/>
        <v>0</v>
      </c>
      <c r="N1283" s="20"/>
    </row>
    <row r="1284">
      <c r="A1284" s="22"/>
      <c r="B1284" s="39" t="s">
        <v>2247</v>
      </c>
      <c r="C1284" s="24"/>
      <c r="D1284" s="24"/>
      <c r="E1284" s="16">
        <f t="shared" si="1"/>
        <v>0</v>
      </c>
      <c r="F1284" s="16">
        <f t="shared" si="28"/>
        <v>0</v>
      </c>
      <c r="G1284" s="35">
        <v>1021.5246077415871</v>
      </c>
      <c r="H1284" s="43"/>
      <c r="I1284" s="28"/>
      <c r="J1284" s="24"/>
      <c r="K1284" s="16">
        <f t="shared" si="4"/>
        <v>-1021.524608</v>
      </c>
      <c r="L1284" s="19">
        <f t="shared" si="5"/>
        <v>-1</v>
      </c>
      <c r="M1284" s="16">
        <f t="shared" si="6"/>
        <v>0</v>
      </c>
      <c r="N1284" s="20"/>
    </row>
    <row r="1285">
      <c r="A1285" s="22"/>
      <c r="B1285" s="23" t="s">
        <v>2248</v>
      </c>
      <c r="C1285" s="24"/>
      <c r="D1285" s="25">
        <v>1199.0</v>
      </c>
      <c r="E1285" s="16">
        <f t="shared" si="1"/>
        <v>82.731</v>
      </c>
      <c r="F1285" s="16">
        <f t="shared" si="28"/>
        <v>25.7785</v>
      </c>
      <c r="G1285" s="26">
        <v>864.2</v>
      </c>
      <c r="H1285" s="27">
        <v>0.15</v>
      </c>
      <c r="I1285" s="45">
        <f>H1285*D1285</f>
        <v>179.85</v>
      </c>
      <c r="J1285" s="25">
        <v>74.0</v>
      </c>
      <c r="K1285" s="16">
        <f t="shared" si="4"/>
        <v>-27.5595</v>
      </c>
      <c r="L1285" s="19">
        <f t="shared" si="5"/>
        <v>-0.03189018746</v>
      </c>
      <c r="M1285" s="16">
        <f t="shared" si="6"/>
        <v>836.6405</v>
      </c>
      <c r="N1285" s="20"/>
    </row>
    <row r="1286">
      <c r="A1286" s="22"/>
      <c r="B1286" s="23" t="s">
        <v>2249</v>
      </c>
      <c r="C1286" s="24"/>
      <c r="D1286" s="24"/>
      <c r="E1286" s="16">
        <f t="shared" si="1"/>
        <v>0</v>
      </c>
      <c r="F1286" s="16">
        <f t="shared" si="28"/>
        <v>0</v>
      </c>
      <c r="G1286" s="26">
        <v>230.0</v>
      </c>
      <c r="H1286" s="43"/>
      <c r="I1286" s="28"/>
      <c r="J1286" s="24"/>
      <c r="K1286" s="16">
        <f t="shared" si="4"/>
        <v>-230</v>
      </c>
      <c r="L1286" s="19">
        <f t="shared" si="5"/>
        <v>-1</v>
      </c>
      <c r="M1286" s="16">
        <f t="shared" si="6"/>
        <v>0</v>
      </c>
      <c r="N1286" s="20"/>
    </row>
    <row r="1287">
      <c r="A1287" s="22"/>
      <c r="B1287" s="23" t="s">
        <v>2250</v>
      </c>
      <c r="C1287" s="24"/>
      <c r="D1287" s="24"/>
      <c r="E1287" s="16">
        <f t="shared" si="1"/>
        <v>0</v>
      </c>
      <c r="F1287" s="16">
        <f t="shared" si="28"/>
        <v>0</v>
      </c>
      <c r="G1287" s="26">
        <v>1300.49</v>
      </c>
      <c r="H1287" s="43"/>
      <c r="I1287" s="28"/>
      <c r="J1287" s="24"/>
      <c r="K1287" s="16">
        <f t="shared" si="4"/>
        <v>-1300.49</v>
      </c>
      <c r="L1287" s="19">
        <f t="shared" si="5"/>
        <v>-1</v>
      </c>
      <c r="M1287" s="16">
        <f t="shared" si="6"/>
        <v>0</v>
      </c>
      <c r="N1287" s="20"/>
    </row>
    <row r="1288">
      <c r="A1288" s="22"/>
      <c r="B1288" s="23" t="s">
        <v>2251</v>
      </c>
      <c r="C1288" s="24"/>
      <c r="D1288" s="25">
        <v>1399.0</v>
      </c>
      <c r="E1288" s="16">
        <f t="shared" si="1"/>
        <v>96.531</v>
      </c>
      <c r="F1288" s="16">
        <f t="shared" si="28"/>
        <v>30.0785</v>
      </c>
      <c r="G1288" s="26">
        <v>890.0</v>
      </c>
      <c r="H1288" s="27">
        <v>0.1</v>
      </c>
      <c r="I1288" s="45">
        <f>H1288*D1288</f>
        <v>139.9</v>
      </c>
      <c r="J1288" s="25">
        <v>70.0</v>
      </c>
      <c r="K1288" s="16">
        <f t="shared" si="4"/>
        <v>172.4905</v>
      </c>
      <c r="L1288" s="19">
        <f t="shared" si="5"/>
        <v>0.1938095506</v>
      </c>
      <c r="M1288" s="16">
        <f t="shared" si="6"/>
        <v>1062.4905</v>
      </c>
      <c r="N1288" s="20"/>
    </row>
    <row r="1289">
      <c r="A1289" s="22"/>
      <c r="B1289" s="23" t="s">
        <v>2252</v>
      </c>
      <c r="C1289" s="24"/>
      <c r="D1289" s="24"/>
      <c r="E1289" s="16">
        <f t="shared" si="1"/>
        <v>0</v>
      </c>
      <c r="F1289" s="16">
        <f t="shared" si="28"/>
        <v>0</v>
      </c>
      <c r="G1289" s="26">
        <v>1300.4934975</v>
      </c>
      <c r="H1289" s="43"/>
      <c r="I1289" s="28"/>
      <c r="J1289" s="24"/>
      <c r="K1289" s="16">
        <f t="shared" si="4"/>
        <v>-1300.493498</v>
      </c>
      <c r="L1289" s="19">
        <f t="shared" si="5"/>
        <v>-1</v>
      </c>
      <c r="M1289" s="16">
        <f t="shared" si="6"/>
        <v>0</v>
      </c>
      <c r="N1289" s="20"/>
    </row>
    <row r="1290">
      <c r="A1290" s="22"/>
      <c r="B1290" s="39" t="s">
        <v>2253</v>
      </c>
      <c r="C1290" s="24" t="s">
        <v>2254</v>
      </c>
      <c r="D1290" s="25">
        <v>1699.0</v>
      </c>
      <c r="E1290" s="16">
        <f t="shared" si="1"/>
        <v>117.231</v>
      </c>
      <c r="F1290" s="16">
        <f t="shared" si="28"/>
        <v>36.5285</v>
      </c>
      <c r="G1290" s="26">
        <v>1300.4934975</v>
      </c>
      <c r="H1290" s="27">
        <v>0.15</v>
      </c>
      <c r="I1290" s="45">
        <f t="shared" ref="I1290:I1293" si="35">H1290*D1290</f>
        <v>254.85</v>
      </c>
      <c r="J1290" s="25">
        <v>95.0</v>
      </c>
      <c r="K1290" s="16">
        <f t="shared" si="4"/>
        <v>-105.1029975</v>
      </c>
      <c r="L1290" s="19">
        <f t="shared" si="5"/>
        <v>-0.0808177801</v>
      </c>
      <c r="M1290" s="16">
        <f t="shared" si="6"/>
        <v>1195.3905</v>
      </c>
      <c r="N1290" s="20" t="s">
        <v>1660</v>
      </c>
    </row>
    <row r="1291">
      <c r="A1291" s="22"/>
      <c r="B1291" s="23" t="s">
        <v>2255</v>
      </c>
      <c r="C1291" s="24"/>
      <c r="D1291" s="25">
        <v>1033.0</v>
      </c>
      <c r="E1291" s="16">
        <f t="shared" si="1"/>
        <v>71.277</v>
      </c>
      <c r="F1291" s="16">
        <f t="shared" si="28"/>
        <v>22.2095</v>
      </c>
      <c r="G1291" s="26">
        <v>580.0</v>
      </c>
      <c r="H1291" s="27">
        <v>0.185</v>
      </c>
      <c r="I1291" s="45">
        <f t="shared" si="35"/>
        <v>191.105</v>
      </c>
      <c r="J1291" s="25">
        <v>110.0</v>
      </c>
      <c r="K1291" s="16">
        <f t="shared" si="4"/>
        <v>58.4085</v>
      </c>
      <c r="L1291" s="19">
        <f t="shared" si="5"/>
        <v>0.1007043103</v>
      </c>
      <c r="M1291" s="16">
        <f t="shared" si="6"/>
        <v>638.4085</v>
      </c>
      <c r="N1291" s="20"/>
    </row>
    <row r="1292">
      <c r="A1292" s="22"/>
      <c r="B1292" s="23" t="s">
        <v>2256</v>
      </c>
      <c r="C1292" s="24"/>
      <c r="D1292" s="25">
        <v>1395.0</v>
      </c>
      <c r="E1292" s="16">
        <f t="shared" si="1"/>
        <v>96.255</v>
      </c>
      <c r="F1292" s="16">
        <f t="shared" si="28"/>
        <v>29.9925</v>
      </c>
      <c r="G1292" s="26">
        <v>950.0</v>
      </c>
      <c r="H1292" s="27">
        <v>0.145</v>
      </c>
      <c r="I1292" s="45">
        <f t="shared" si="35"/>
        <v>202.275</v>
      </c>
      <c r="J1292" s="25">
        <v>74.0</v>
      </c>
      <c r="K1292" s="16">
        <f t="shared" si="4"/>
        <v>42.4775</v>
      </c>
      <c r="L1292" s="19">
        <f t="shared" si="5"/>
        <v>0.04471315789</v>
      </c>
      <c r="M1292" s="16">
        <f t="shared" si="6"/>
        <v>992.4775</v>
      </c>
      <c r="N1292" s="20"/>
    </row>
    <row r="1293">
      <c r="A1293" s="22"/>
      <c r="B1293" s="23" t="s">
        <v>2257</v>
      </c>
      <c r="C1293" s="24"/>
      <c r="D1293" s="25">
        <v>790.0</v>
      </c>
      <c r="E1293" s="16">
        <f t="shared" si="1"/>
        <v>54.51</v>
      </c>
      <c r="F1293" s="16">
        <f t="shared" si="28"/>
        <v>16.985</v>
      </c>
      <c r="G1293" s="26">
        <v>416.99</v>
      </c>
      <c r="H1293" s="27">
        <v>0.1</v>
      </c>
      <c r="I1293" s="45">
        <f t="shared" si="35"/>
        <v>79</v>
      </c>
      <c r="J1293" s="25">
        <v>74.5</v>
      </c>
      <c r="K1293" s="16">
        <f t="shared" si="4"/>
        <v>148.015</v>
      </c>
      <c r="L1293" s="19">
        <f t="shared" si="5"/>
        <v>0.3549605506</v>
      </c>
      <c r="M1293" s="16">
        <f t="shared" si="6"/>
        <v>565.005</v>
      </c>
      <c r="N1293" s="20"/>
    </row>
    <row r="1294">
      <c r="A1294" s="22"/>
      <c r="B1294" s="23" t="s">
        <v>2258</v>
      </c>
      <c r="C1294" s="24"/>
      <c r="D1294" s="24"/>
      <c r="E1294" s="16">
        <f t="shared" si="1"/>
        <v>0</v>
      </c>
      <c r="F1294" s="16">
        <f t="shared" si="28"/>
        <v>0</v>
      </c>
      <c r="G1294" s="26">
        <v>430.0</v>
      </c>
      <c r="H1294" s="43"/>
      <c r="I1294" s="28"/>
      <c r="J1294" s="24"/>
      <c r="K1294" s="16">
        <f t="shared" si="4"/>
        <v>-430</v>
      </c>
      <c r="L1294" s="19">
        <f t="shared" si="5"/>
        <v>-1</v>
      </c>
      <c r="M1294" s="16">
        <f t="shared" si="6"/>
        <v>0</v>
      </c>
      <c r="N1294" s="20"/>
    </row>
    <row r="1295">
      <c r="A1295" s="22"/>
      <c r="B1295" s="23" t="s">
        <v>2259</v>
      </c>
      <c r="C1295" s="24"/>
      <c r="D1295" s="25">
        <v>4599.0</v>
      </c>
      <c r="E1295" s="16">
        <f t="shared" si="1"/>
        <v>317.331</v>
      </c>
      <c r="F1295" s="16">
        <f t="shared" si="28"/>
        <v>98.8785</v>
      </c>
      <c r="G1295" s="26">
        <v>3179.73</v>
      </c>
      <c r="H1295" s="27">
        <v>0.145</v>
      </c>
      <c r="I1295" s="45">
        <f t="shared" ref="I1295:I1359" si="36">H1295*D1295</f>
        <v>666.855</v>
      </c>
      <c r="J1295" s="25">
        <v>285.0</v>
      </c>
      <c r="K1295" s="16">
        <f t="shared" si="4"/>
        <v>51.2055</v>
      </c>
      <c r="L1295" s="19">
        <f t="shared" si="5"/>
        <v>0.01610372579</v>
      </c>
      <c r="M1295" s="16">
        <f t="shared" si="6"/>
        <v>3230.9355</v>
      </c>
      <c r="N1295" s="20"/>
    </row>
    <row r="1296">
      <c r="A1296" s="22"/>
      <c r="B1296" s="23" t="s">
        <v>2260</v>
      </c>
      <c r="C1296" s="24"/>
      <c r="D1296" s="25">
        <v>2845.0</v>
      </c>
      <c r="E1296" s="16">
        <f t="shared" si="1"/>
        <v>196.305</v>
      </c>
      <c r="F1296" s="16">
        <f t="shared" si="28"/>
        <v>61.1675</v>
      </c>
      <c r="G1296" s="26">
        <v>2278.99</v>
      </c>
      <c r="H1296" s="27">
        <v>0.195</v>
      </c>
      <c r="I1296" s="45">
        <f t="shared" si="36"/>
        <v>554.775</v>
      </c>
      <c r="J1296" s="25">
        <v>190.0</v>
      </c>
      <c r="K1296" s="16">
        <f t="shared" si="4"/>
        <v>-436.2375</v>
      </c>
      <c r="L1296" s="19">
        <f t="shared" si="5"/>
        <v>-0.1914170312</v>
      </c>
      <c r="M1296" s="16">
        <f t="shared" si="6"/>
        <v>1842.7525</v>
      </c>
      <c r="N1296" s="20"/>
    </row>
    <row r="1297">
      <c r="A1297" s="22"/>
      <c r="B1297" s="53" t="s">
        <v>2261</v>
      </c>
      <c r="C1297" s="25" t="s">
        <v>2262</v>
      </c>
      <c r="D1297" s="25">
        <v>4999.0</v>
      </c>
      <c r="E1297" s="16">
        <f t="shared" si="1"/>
        <v>344.931</v>
      </c>
      <c r="F1297" s="16">
        <f t="shared" si="28"/>
        <v>107.4785</v>
      </c>
      <c r="G1297" s="26">
        <v>3498.888889</v>
      </c>
      <c r="H1297" s="27">
        <v>0.15</v>
      </c>
      <c r="I1297" s="45">
        <f t="shared" si="36"/>
        <v>749.85</v>
      </c>
      <c r="J1297" s="25">
        <v>190.0</v>
      </c>
      <c r="K1297" s="16">
        <f t="shared" si="4"/>
        <v>107.851611</v>
      </c>
      <c r="L1297" s="19">
        <f t="shared" si="5"/>
        <v>0.03082453156</v>
      </c>
      <c r="M1297" s="16">
        <f t="shared" si="6"/>
        <v>3606.7405</v>
      </c>
      <c r="N1297" s="20" t="s">
        <v>1974</v>
      </c>
    </row>
    <row r="1298">
      <c r="A1298" s="22"/>
      <c r="B1298" s="23" t="s">
        <v>2263</v>
      </c>
      <c r="C1298" s="24"/>
      <c r="D1298" s="25">
        <v>5499.0</v>
      </c>
      <c r="E1298" s="16">
        <f t="shared" si="1"/>
        <v>379.431</v>
      </c>
      <c r="F1298" s="16">
        <f t="shared" si="28"/>
        <v>118.2285</v>
      </c>
      <c r="G1298" s="26">
        <v>3498.888889</v>
      </c>
      <c r="H1298" s="27">
        <v>0.195</v>
      </c>
      <c r="I1298" s="45">
        <f t="shared" si="36"/>
        <v>1072.305</v>
      </c>
      <c r="J1298" s="25">
        <v>190.0</v>
      </c>
      <c r="K1298" s="16">
        <f t="shared" si="4"/>
        <v>240.146611</v>
      </c>
      <c r="L1298" s="19">
        <f t="shared" si="5"/>
        <v>0.06863510635</v>
      </c>
      <c r="M1298" s="16">
        <f t="shared" si="6"/>
        <v>3739.0355</v>
      </c>
      <c r="N1298" s="20"/>
    </row>
    <row r="1299">
      <c r="A1299" s="22"/>
      <c r="B1299" s="23" t="s">
        <v>2264</v>
      </c>
      <c r="C1299" s="24"/>
      <c r="D1299" s="25">
        <v>5499.0</v>
      </c>
      <c r="E1299" s="16">
        <f t="shared" si="1"/>
        <v>379.431</v>
      </c>
      <c r="F1299" s="16">
        <f t="shared" si="28"/>
        <v>118.2285</v>
      </c>
      <c r="G1299" s="26">
        <v>3498.888889</v>
      </c>
      <c r="H1299" s="27">
        <v>0.195</v>
      </c>
      <c r="I1299" s="45">
        <f t="shared" si="36"/>
        <v>1072.305</v>
      </c>
      <c r="J1299" s="25">
        <v>190.0</v>
      </c>
      <c r="K1299" s="16">
        <f t="shared" si="4"/>
        <v>240.146611</v>
      </c>
      <c r="L1299" s="19">
        <f t="shared" si="5"/>
        <v>0.06863510635</v>
      </c>
      <c r="M1299" s="16">
        <f t="shared" si="6"/>
        <v>3739.0355</v>
      </c>
      <c r="N1299" s="20"/>
    </row>
    <row r="1300">
      <c r="A1300" s="22"/>
      <c r="B1300" s="23" t="s">
        <v>2265</v>
      </c>
      <c r="C1300" s="24"/>
      <c r="D1300" s="25">
        <v>4999.0</v>
      </c>
      <c r="E1300" s="16">
        <f t="shared" si="1"/>
        <v>344.931</v>
      </c>
      <c r="F1300" s="16">
        <f t="shared" si="28"/>
        <v>107.4785</v>
      </c>
      <c r="G1300" s="26">
        <v>3498.888889</v>
      </c>
      <c r="H1300" s="27">
        <v>0.195</v>
      </c>
      <c r="I1300" s="45">
        <f t="shared" si="36"/>
        <v>974.805</v>
      </c>
      <c r="J1300" s="25">
        <v>190.0</v>
      </c>
      <c r="K1300" s="16">
        <f t="shared" si="4"/>
        <v>-117.103389</v>
      </c>
      <c r="L1300" s="19">
        <f t="shared" si="5"/>
        <v>-0.03346873614</v>
      </c>
      <c r="M1300" s="16">
        <f t="shared" si="6"/>
        <v>3381.7855</v>
      </c>
      <c r="N1300" s="20"/>
    </row>
    <row r="1301">
      <c r="A1301" s="22"/>
      <c r="B1301" s="23" t="s">
        <v>2266</v>
      </c>
      <c r="C1301" s="24"/>
      <c r="D1301" s="25">
        <v>5499.0</v>
      </c>
      <c r="E1301" s="16">
        <f t="shared" si="1"/>
        <v>379.431</v>
      </c>
      <c r="F1301" s="16">
        <f t="shared" si="28"/>
        <v>118.2285</v>
      </c>
      <c r="G1301" s="26">
        <v>3498.888889</v>
      </c>
      <c r="H1301" s="27">
        <v>0.195</v>
      </c>
      <c r="I1301" s="45">
        <f t="shared" si="36"/>
        <v>1072.305</v>
      </c>
      <c r="J1301" s="25">
        <v>190.0</v>
      </c>
      <c r="K1301" s="16">
        <f t="shared" si="4"/>
        <v>240.146611</v>
      </c>
      <c r="L1301" s="19">
        <f t="shared" si="5"/>
        <v>0.06863510635</v>
      </c>
      <c r="M1301" s="16">
        <f t="shared" si="6"/>
        <v>3739.0355</v>
      </c>
      <c r="N1301" s="20"/>
    </row>
    <row r="1302">
      <c r="A1302" s="22"/>
      <c r="B1302" s="22"/>
      <c r="C1302" s="24"/>
      <c r="D1302" s="25">
        <v>949.0</v>
      </c>
      <c r="E1302" s="16">
        <f t="shared" si="1"/>
        <v>65.481</v>
      </c>
      <c r="F1302" s="16">
        <f t="shared" si="28"/>
        <v>20.4035</v>
      </c>
      <c r="G1302" s="17">
        <v>682.401835897436</v>
      </c>
      <c r="H1302" s="27">
        <v>0.1</v>
      </c>
      <c r="I1302" s="45">
        <f t="shared" si="36"/>
        <v>94.9</v>
      </c>
      <c r="J1302" s="25">
        <v>95.0</v>
      </c>
      <c r="K1302" s="16">
        <f t="shared" si="4"/>
        <v>-9.186335897</v>
      </c>
      <c r="L1302" s="19">
        <f t="shared" si="5"/>
        <v>-0.01346176903</v>
      </c>
      <c r="M1302" s="16">
        <f t="shared" si="6"/>
        <v>673.2155</v>
      </c>
      <c r="N1302" s="20"/>
    </row>
    <row r="1303">
      <c r="A1303" s="22"/>
      <c r="B1303" s="22" t="s">
        <v>2267</v>
      </c>
      <c r="C1303" s="25" t="s">
        <v>2105</v>
      </c>
      <c r="D1303" s="26">
        <v>1862.0</v>
      </c>
      <c r="E1303" s="16">
        <f t="shared" si="1"/>
        <v>128.478</v>
      </c>
      <c r="F1303" s="16">
        <f t="shared" si="28"/>
        <v>40.033</v>
      </c>
      <c r="G1303" s="26">
        <v>1344.6</v>
      </c>
      <c r="H1303" s="27">
        <v>0.15</v>
      </c>
      <c r="I1303" s="45">
        <f t="shared" si="36"/>
        <v>279.3</v>
      </c>
      <c r="J1303" s="25">
        <v>95.0</v>
      </c>
      <c r="K1303" s="16">
        <f t="shared" si="4"/>
        <v>-25.411</v>
      </c>
      <c r="L1303" s="19">
        <f t="shared" si="5"/>
        <v>-0.01889855719</v>
      </c>
      <c r="M1303" s="16">
        <f t="shared" si="6"/>
        <v>1319.189</v>
      </c>
      <c r="N1303" s="20" t="s">
        <v>1974</v>
      </c>
    </row>
    <row r="1304">
      <c r="A1304" s="22"/>
      <c r="B1304" s="22" t="s">
        <v>2146</v>
      </c>
      <c r="C1304" s="24"/>
      <c r="D1304" s="45">
        <v>1749.0</v>
      </c>
      <c r="E1304" s="16">
        <f t="shared" si="1"/>
        <v>120.681</v>
      </c>
      <c r="F1304" s="16">
        <f t="shared" si="28"/>
        <v>37.6035</v>
      </c>
      <c r="G1304" s="26">
        <v>1142.65</v>
      </c>
      <c r="H1304" s="27">
        <v>0.15</v>
      </c>
      <c r="I1304" s="45">
        <f t="shared" si="36"/>
        <v>262.35</v>
      </c>
      <c r="J1304" s="25">
        <v>95.0</v>
      </c>
      <c r="K1304" s="16">
        <f t="shared" si="4"/>
        <v>90.7155</v>
      </c>
      <c r="L1304" s="19">
        <f t="shared" si="5"/>
        <v>0.07939045202</v>
      </c>
      <c r="M1304" s="16">
        <f t="shared" si="6"/>
        <v>1233.3655</v>
      </c>
      <c r="N1304" s="20"/>
    </row>
    <row r="1305">
      <c r="A1305" s="22"/>
      <c r="B1305" s="23" t="s">
        <v>2268</v>
      </c>
      <c r="C1305" s="24"/>
      <c r="D1305" s="25">
        <v>1799.0</v>
      </c>
      <c r="E1305" s="16">
        <f t="shared" si="1"/>
        <v>124.131</v>
      </c>
      <c r="F1305" s="16">
        <f t="shared" si="28"/>
        <v>38.6785</v>
      </c>
      <c r="G1305" s="26">
        <v>1142.65</v>
      </c>
      <c r="H1305" s="27">
        <v>0.15</v>
      </c>
      <c r="I1305" s="45">
        <f t="shared" si="36"/>
        <v>269.85</v>
      </c>
      <c r="J1305" s="25">
        <v>110.0</v>
      </c>
      <c r="K1305" s="16">
        <f t="shared" si="4"/>
        <v>113.6905</v>
      </c>
      <c r="L1305" s="19">
        <f t="shared" si="5"/>
        <v>0.09949722137</v>
      </c>
      <c r="M1305" s="16">
        <f t="shared" si="6"/>
        <v>1256.3405</v>
      </c>
      <c r="N1305" s="20"/>
    </row>
    <row r="1306">
      <c r="A1306" s="22"/>
      <c r="B1306" s="22"/>
      <c r="C1306" s="24"/>
      <c r="D1306" s="25">
        <v>899.0</v>
      </c>
      <c r="E1306" s="16">
        <f t="shared" si="1"/>
        <v>62.031</v>
      </c>
      <c r="F1306" s="16">
        <f t="shared" si="28"/>
        <v>19.3285</v>
      </c>
      <c r="G1306" s="26">
        <v>620.0</v>
      </c>
      <c r="H1306" s="27">
        <v>0.1</v>
      </c>
      <c r="I1306" s="45">
        <f t="shared" si="36"/>
        <v>89.9</v>
      </c>
      <c r="J1306" s="25">
        <v>110.0</v>
      </c>
      <c r="K1306" s="16">
        <f t="shared" si="4"/>
        <v>-2.2595</v>
      </c>
      <c r="L1306" s="19">
        <f t="shared" si="5"/>
        <v>-0.003644354839</v>
      </c>
      <c r="M1306" s="16">
        <f t="shared" si="6"/>
        <v>617.7405</v>
      </c>
      <c r="N1306" s="20"/>
    </row>
    <row r="1307">
      <c r="A1307" s="22"/>
      <c r="B1307" s="22"/>
      <c r="C1307" s="24"/>
      <c r="D1307" s="24"/>
      <c r="E1307" s="16">
        <f t="shared" si="1"/>
        <v>0</v>
      </c>
      <c r="F1307" s="16">
        <f t="shared" si="28"/>
        <v>0</v>
      </c>
      <c r="G1307" s="35"/>
      <c r="H1307" s="27">
        <v>0.1</v>
      </c>
      <c r="I1307" s="45">
        <f t="shared" si="36"/>
        <v>0</v>
      </c>
      <c r="J1307" s="25">
        <v>110.0</v>
      </c>
      <c r="K1307" s="16">
        <f t="shared" si="4"/>
        <v>-110</v>
      </c>
      <c r="L1307" s="19" t="str">
        <f t="shared" si="5"/>
        <v>#DIV/0!</v>
      </c>
      <c r="M1307" s="16">
        <f t="shared" si="6"/>
        <v>-110</v>
      </c>
      <c r="N1307" s="20"/>
    </row>
    <row r="1308">
      <c r="A1308" s="22"/>
      <c r="B1308" s="23" t="s">
        <v>2269</v>
      </c>
      <c r="C1308" s="24"/>
      <c r="D1308" s="25">
        <v>2719.0</v>
      </c>
      <c r="E1308" s="16">
        <f t="shared" si="1"/>
        <v>187.611</v>
      </c>
      <c r="F1308" s="16">
        <f t="shared" si="28"/>
        <v>58.4585</v>
      </c>
      <c r="G1308" s="26">
        <v>1680.47</v>
      </c>
      <c r="H1308" s="27">
        <v>0.15</v>
      </c>
      <c r="I1308" s="45">
        <f t="shared" si="36"/>
        <v>407.85</v>
      </c>
      <c r="J1308" s="25">
        <v>70.0</v>
      </c>
      <c r="K1308" s="16">
        <f t="shared" si="4"/>
        <v>314.6105</v>
      </c>
      <c r="L1308" s="19">
        <f t="shared" si="5"/>
        <v>0.1872157789</v>
      </c>
      <c r="M1308" s="16">
        <f t="shared" si="6"/>
        <v>1995.0805</v>
      </c>
      <c r="N1308" s="20"/>
    </row>
    <row r="1309">
      <c r="A1309" s="22"/>
      <c r="B1309" s="23" t="s">
        <v>2270</v>
      </c>
      <c r="C1309" s="24"/>
      <c r="D1309" s="25">
        <v>1799.0</v>
      </c>
      <c r="E1309" s="16">
        <f t="shared" si="1"/>
        <v>124.131</v>
      </c>
      <c r="F1309" s="16">
        <f t="shared" si="28"/>
        <v>38.6785</v>
      </c>
      <c r="G1309" s="26">
        <v>1165.56</v>
      </c>
      <c r="H1309" s="27">
        <v>0.15</v>
      </c>
      <c r="I1309" s="45">
        <f t="shared" si="36"/>
        <v>269.85</v>
      </c>
      <c r="J1309" s="25">
        <v>70.0</v>
      </c>
      <c r="K1309" s="16">
        <f t="shared" si="4"/>
        <v>130.7805</v>
      </c>
      <c r="L1309" s="19">
        <f t="shared" si="5"/>
        <v>0.1122040049</v>
      </c>
      <c r="M1309" s="16">
        <f t="shared" si="6"/>
        <v>1296.3405</v>
      </c>
      <c r="N1309" s="20"/>
    </row>
    <row r="1310">
      <c r="A1310" s="22"/>
      <c r="B1310" s="23" t="s">
        <v>2271</v>
      </c>
      <c r="C1310" s="24"/>
      <c r="D1310" s="25">
        <v>389.0</v>
      </c>
      <c r="E1310" s="16">
        <f t="shared" si="1"/>
        <v>26.841</v>
      </c>
      <c r="F1310" s="16">
        <f t="shared" si="28"/>
        <v>8.3635</v>
      </c>
      <c r="G1310" s="26">
        <v>226.48</v>
      </c>
      <c r="H1310" s="27">
        <v>0.15</v>
      </c>
      <c r="I1310" s="45">
        <f t="shared" si="36"/>
        <v>58.35</v>
      </c>
      <c r="J1310" s="25">
        <v>52.0</v>
      </c>
      <c r="K1310" s="16">
        <f t="shared" si="4"/>
        <v>16.9655</v>
      </c>
      <c r="L1310" s="19">
        <f t="shared" si="5"/>
        <v>0.07490948428</v>
      </c>
      <c r="M1310" s="16">
        <f t="shared" si="6"/>
        <v>243.4455</v>
      </c>
      <c r="N1310" s="20"/>
    </row>
    <row r="1311">
      <c r="A1311" s="22"/>
      <c r="B1311" s="23" t="s">
        <v>2272</v>
      </c>
      <c r="C1311" s="24"/>
      <c r="D1311" s="25">
        <v>2299.0</v>
      </c>
      <c r="E1311" s="16">
        <f t="shared" si="1"/>
        <v>158.631</v>
      </c>
      <c r="F1311" s="16">
        <f t="shared" si="28"/>
        <v>49.4285</v>
      </c>
      <c r="G1311" s="26">
        <v>1690.0</v>
      </c>
      <c r="H1311" s="27">
        <v>0.1</v>
      </c>
      <c r="I1311" s="45">
        <f t="shared" si="36"/>
        <v>229.9</v>
      </c>
      <c r="J1311" s="25">
        <v>74.0</v>
      </c>
      <c r="K1311" s="16">
        <f t="shared" si="4"/>
        <v>97.0405</v>
      </c>
      <c r="L1311" s="19">
        <f t="shared" si="5"/>
        <v>0.0574204142</v>
      </c>
      <c r="M1311" s="16">
        <f t="shared" si="6"/>
        <v>1787.0405</v>
      </c>
      <c r="N1311" s="20"/>
    </row>
    <row r="1312">
      <c r="A1312" s="22"/>
      <c r="B1312" s="23" t="s">
        <v>2273</v>
      </c>
      <c r="C1312" s="24"/>
      <c r="D1312" s="25">
        <v>9999.0</v>
      </c>
      <c r="E1312" s="16">
        <f t="shared" si="1"/>
        <v>689.931</v>
      </c>
      <c r="F1312" s="16">
        <f t="shared" si="28"/>
        <v>214.9785</v>
      </c>
      <c r="G1312" s="26">
        <v>9313.88</v>
      </c>
      <c r="H1312" s="27">
        <v>0.1474</v>
      </c>
      <c r="I1312" s="45">
        <f t="shared" si="36"/>
        <v>1473.8526</v>
      </c>
      <c r="J1312" s="25">
        <v>74.0</v>
      </c>
      <c r="K1312" s="16">
        <f t="shared" si="4"/>
        <v>-1767.6421</v>
      </c>
      <c r="L1312" s="19">
        <f t="shared" si="5"/>
        <v>-0.1897857928</v>
      </c>
      <c r="M1312" s="16">
        <f t="shared" si="6"/>
        <v>7546.2379</v>
      </c>
      <c r="N1312" s="20"/>
    </row>
    <row r="1313">
      <c r="A1313" s="22"/>
      <c r="B1313" s="23" t="s">
        <v>2274</v>
      </c>
      <c r="C1313" s="24"/>
      <c r="D1313" s="25">
        <v>2299.0</v>
      </c>
      <c r="E1313" s="16">
        <f t="shared" si="1"/>
        <v>158.631</v>
      </c>
      <c r="F1313" s="16">
        <f t="shared" si="28"/>
        <v>49.4285</v>
      </c>
      <c r="G1313" s="26">
        <v>1598.22</v>
      </c>
      <c r="H1313" s="27">
        <v>0.15</v>
      </c>
      <c r="I1313" s="45">
        <f t="shared" si="36"/>
        <v>344.85</v>
      </c>
      <c r="J1313" s="25">
        <v>70.0</v>
      </c>
      <c r="K1313" s="16">
        <f t="shared" si="4"/>
        <v>77.8705</v>
      </c>
      <c r="L1313" s="19">
        <f t="shared" si="5"/>
        <v>0.04872326713</v>
      </c>
      <c r="M1313" s="16">
        <f t="shared" si="6"/>
        <v>1676.0905</v>
      </c>
      <c r="N1313" s="20"/>
    </row>
    <row r="1314">
      <c r="A1314" s="22"/>
      <c r="B1314" s="23" t="s">
        <v>2275</v>
      </c>
      <c r="C1314" s="24"/>
      <c r="D1314" s="25">
        <v>1659.0</v>
      </c>
      <c r="E1314" s="16">
        <f t="shared" si="1"/>
        <v>114.471</v>
      </c>
      <c r="F1314" s="16">
        <f t="shared" si="28"/>
        <v>35.6685</v>
      </c>
      <c r="G1314" s="26">
        <v>1155.21</v>
      </c>
      <c r="H1314" s="27">
        <v>0.1</v>
      </c>
      <c r="I1314" s="45">
        <f t="shared" si="36"/>
        <v>165.9</v>
      </c>
      <c r="J1314" s="25">
        <v>161.0</v>
      </c>
      <c r="K1314" s="16">
        <f t="shared" si="4"/>
        <v>26.7505</v>
      </c>
      <c r="L1314" s="19">
        <f t="shared" si="5"/>
        <v>0.02315639581</v>
      </c>
      <c r="M1314" s="16">
        <f t="shared" si="6"/>
        <v>1181.9605</v>
      </c>
      <c r="N1314" s="20"/>
    </row>
    <row r="1315">
      <c r="A1315" s="22"/>
      <c r="B1315" s="23" t="s">
        <v>2276</v>
      </c>
      <c r="C1315" s="24"/>
      <c r="D1315" s="25">
        <v>1899.0</v>
      </c>
      <c r="E1315" s="16">
        <f t="shared" si="1"/>
        <v>131.031</v>
      </c>
      <c r="F1315" s="16">
        <f t="shared" si="28"/>
        <v>40.8285</v>
      </c>
      <c r="G1315" s="26">
        <v>1165.56</v>
      </c>
      <c r="H1315" s="27">
        <v>0.1</v>
      </c>
      <c r="I1315" s="45">
        <f t="shared" si="36"/>
        <v>189.9</v>
      </c>
      <c r="J1315" s="25">
        <v>161.0</v>
      </c>
      <c r="K1315" s="16">
        <f t="shared" si="4"/>
        <v>210.6805</v>
      </c>
      <c r="L1315" s="19">
        <f t="shared" si="5"/>
        <v>0.1807547445</v>
      </c>
      <c r="M1315" s="16">
        <f t="shared" si="6"/>
        <v>1376.2405</v>
      </c>
      <c r="N1315" s="20"/>
    </row>
    <row r="1316">
      <c r="A1316" s="22"/>
      <c r="B1316" s="23" t="s">
        <v>2277</v>
      </c>
      <c r="C1316" s="24"/>
      <c r="D1316" s="25">
        <v>1499.0</v>
      </c>
      <c r="E1316" s="16">
        <f t="shared" si="1"/>
        <v>103.431</v>
      </c>
      <c r="F1316" s="16">
        <f t="shared" si="28"/>
        <v>32.2285</v>
      </c>
      <c r="G1316" s="26">
        <v>951.73</v>
      </c>
      <c r="H1316" s="27">
        <v>0.13</v>
      </c>
      <c r="I1316" s="45">
        <f t="shared" si="36"/>
        <v>194.87</v>
      </c>
      <c r="J1316" s="25">
        <v>74.0</v>
      </c>
      <c r="K1316" s="16">
        <f t="shared" si="4"/>
        <v>142.7405</v>
      </c>
      <c r="L1316" s="19">
        <f t="shared" si="5"/>
        <v>0.1499800364</v>
      </c>
      <c r="M1316" s="16">
        <f t="shared" si="6"/>
        <v>1094.4705</v>
      </c>
      <c r="N1316" s="20"/>
    </row>
    <row r="1317">
      <c r="A1317" s="22"/>
      <c r="B1317" s="23" t="s">
        <v>2278</v>
      </c>
      <c r="C1317" s="24"/>
      <c r="D1317" s="25">
        <v>1899.0</v>
      </c>
      <c r="E1317" s="16">
        <f t="shared" si="1"/>
        <v>131.031</v>
      </c>
      <c r="F1317" s="16">
        <f t="shared" si="28"/>
        <v>40.8285</v>
      </c>
      <c r="G1317" s="26">
        <v>1165.56</v>
      </c>
      <c r="H1317" s="27">
        <v>0.1</v>
      </c>
      <c r="I1317" s="45">
        <f t="shared" si="36"/>
        <v>189.9</v>
      </c>
      <c r="J1317" s="25">
        <v>161.0</v>
      </c>
      <c r="K1317" s="16">
        <f t="shared" si="4"/>
        <v>210.6805</v>
      </c>
      <c r="L1317" s="19">
        <f t="shared" si="5"/>
        <v>0.1807547445</v>
      </c>
      <c r="M1317" s="16">
        <f t="shared" si="6"/>
        <v>1376.2405</v>
      </c>
      <c r="N1317" s="20"/>
    </row>
    <row r="1318">
      <c r="A1318" s="22"/>
      <c r="B1318" s="23" t="s">
        <v>2279</v>
      </c>
      <c r="C1318" s="24"/>
      <c r="D1318" s="25">
        <v>949.0</v>
      </c>
      <c r="E1318" s="16">
        <f t="shared" si="1"/>
        <v>65.481</v>
      </c>
      <c r="F1318" s="16">
        <f t="shared" si="28"/>
        <v>20.4035</v>
      </c>
      <c r="G1318" s="26">
        <v>620.0</v>
      </c>
      <c r="H1318" s="27">
        <v>0.1</v>
      </c>
      <c r="I1318" s="45">
        <f t="shared" si="36"/>
        <v>94.9</v>
      </c>
      <c r="J1318" s="25">
        <v>74.0</v>
      </c>
      <c r="K1318" s="16">
        <f t="shared" si="4"/>
        <v>74.2155</v>
      </c>
      <c r="L1318" s="19">
        <f t="shared" si="5"/>
        <v>0.1197024194</v>
      </c>
      <c r="M1318" s="16">
        <f t="shared" si="6"/>
        <v>694.2155</v>
      </c>
      <c r="N1318" s="20"/>
    </row>
    <row r="1319">
      <c r="A1319" s="22"/>
      <c r="B1319" s="23" t="s">
        <v>2280</v>
      </c>
      <c r="C1319" s="24"/>
      <c r="D1319" s="25">
        <v>3599.0</v>
      </c>
      <c r="E1319" s="16">
        <f t="shared" si="1"/>
        <v>248.331</v>
      </c>
      <c r="F1319" s="16">
        <f t="shared" si="28"/>
        <v>77.3785</v>
      </c>
      <c r="G1319" s="26">
        <v>2663.51</v>
      </c>
      <c r="H1319" s="27">
        <v>0.1</v>
      </c>
      <c r="I1319" s="45">
        <f t="shared" si="36"/>
        <v>359.9</v>
      </c>
      <c r="J1319" s="25">
        <v>84.0</v>
      </c>
      <c r="K1319" s="16">
        <f t="shared" si="4"/>
        <v>165.8805</v>
      </c>
      <c r="L1319" s="19">
        <f t="shared" si="5"/>
        <v>0.06227891016</v>
      </c>
      <c r="M1319" s="16">
        <f t="shared" si="6"/>
        <v>2829.3905</v>
      </c>
      <c r="N1319" s="20"/>
    </row>
    <row r="1320">
      <c r="A1320" s="22"/>
      <c r="B1320" s="23" t="s">
        <v>2281</v>
      </c>
      <c r="C1320" s="24"/>
      <c r="D1320" s="25">
        <v>2411.0</v>
      </c>
      <c r="E1320" s="16">
        <f t="shared" si="1"/>
        <v>166.359</v>
      </c>
      <c r="F1320" s="16">
        <f t="shared" si="28"/>
        <v>51.8365</v>
      </c>
      <c r="G1320" s="26">
        <v>1689.0</v>
      </c>
      <c r="H1320" s="27">
        <v>0.1</v>
      </c>
      <c r="I1320" s="45">
        <f t="shared" si="36"/>
        <v>241.1</v>
      </c>
      <c r="J1320" s="25">
        <v>74.5</v>
      </c>
      <c r="K1320" s="16">
        <f t="shared" si="4"/>
        <v>188.2045</v>
      </c>
      <c r="L1320" s="19">
        <f t="shared" si="5"/>
        <v>0.1114295441</v>
      </c>
      <c r="M1320" s="16">
        <f t="shared" si="6"/>
        <v>1877.2045</v>
      </c>
      <c r="N1320" s="20"/>
    </row>
    <row r="1321">
      <c r="A1321" s="22"/>
      <c r="B1321" s="23" t="s">
        <v>2282</v>
      </c>
      <c r="C1321" s="24"/>
      <c r="D1321" s="25">
        <v>2411.0</v>
      </c>
      <c r="E1321" s="16">
        <f t="shared" si="1"/>
        <v>166.359</v>
      </c>
      <c r="F1321" s="16">
        <f t="shared" si="28"/>
        <v>51.8365</v>
      </c>
      <c r="G1321" s="26">
        <v>1689.0</v>
      </c>
      <c r="H1321" s="27">
        <v>0.1</v>
      </c>
      <c r="I1321" s="45">
        <f t="shared" si="36"/>
        <v>241.1</v>
      </c>
      <c r="J1321" s="25">
        <v>74.5</v>
      </c>
      <c r="K1321" s="16">
        <f t="shared" si="4"/>
        <v>188.2045</v>
      </c>
      <c r="L1321" s="19">
        <f t="shared" si="5"/>
        <v>0.1114295441</v>
      </c>
      <c r="M1321" s="16">
        <f t="shared" si="6"/>
        <v>1877.2045</v>
      </c>
      <c r="N1321" s="20"/>
    </row>
    <row r="1322">
      <c r="A1322" s="22"/>
      <c r="B1322" s="23" t="s">
        <v>2283</v>
      </c>
      <c r="C1322" s="24"/>
      <c r="D1322" s="25">
        <v>1399.0</v>
      </c>
      <c r="E1322" s="16">
        <f t="shared" si="1"/>
        <v>96.531</v>
      </c>
      <c r="F1322" s="16">
        <f t="shared" si="28"/>
        <v>30.0785</v>
      </c>
      <c r="G1322" s="26">
        <v>800.0</v>
      </c>
      <c r="H1322" s="27">
        <v>0.195</v>
      </c>
      <c r="I1322" s="45">
        <f t="shared" si="36"/>
        <v>272.805</v>
      </c>
      <c r="J1322" s="25">
        <v>84.0</v>
      </c>
      <c r="K1322" s="16">
        <f t="shared" si="4"/>
        <v>115.5855</v>
      </c>
      <c r="L1322" s="19">
        <f t="shared" si="5"/>
        <v>0.144481875</v>
      </c>
      <c r="M1322" s="16">
        <f t="shared" si="6"/>
        <v>915.5855</v>
      </c>
      <c r="N1322" s="20"/>
    </row>
    <row r="1323">
      <c r="A1323" s="22"/>
      <c r="B1323" s="23" t="s">
        <v>2284</v>
      </c>
      <c r="C1323" s="24"/>
      <c r="D1323" s="25">
        <v>4399.0</v>
      </c>
      <c r="E1323" s="16">
        <f t="shared" si="1"/>
        <v>303.531</v>
      </c>
      <c r="F1323" s="16">
        <f t="shared" si="28"/>
        <v>94.5785</v>
      </c>
      <c r="G1323" s="17">
        <v>2723.0</v>
      </c>
      <c r="H1323" s="27">
        <v>0.1</v>
      </c>
      <c r="I1323" s="45">
        <f t="shared" si="36"/>
        <v>439.9</v>
      </c>
      <c r="J1323" s="25">
        <v>84.0</v>
      </c>
      <c r="K1323" s="16">
        <f t="shared" si="4"/>
        <v>753.9905</v>
      </c>
      <c r="L1323" s="19">
        <f t="shared" si="5"/>
        <v>0.2768969886</v>
      </c>
      <c r="M1323" s="16">
        <f t="shared" si="6"/>
        <v>3476.9905</v>
      </c>
      <c r="N1323" s="20"/>
    </row>
    <row r="1324">
      <c r="A1324" s="22"/>
      <c r="B1324" s="23" t="s">
        <v>2285</v>
      </c>
      <c r="C1324" s="24"/>
      <c r="D1324" s="25">
        <v>4553.0</v>
      </c>
      <c r="E1324" s="16">
        <f t="shared" si="1"/>
        <v>314.157</v>
      </c>
      <c r="F1324" s="16">
        <f t="shared" si="28"/>
        <v>97.8895</v>
      </c>
      <c r="G1324" s="17">
        <v>2723.0</v>
      </c>
      <c r="H1324" s="27">
        <v>0.1</v>
      </c>
      <c r="I1324" s="45">
        <f t="shared" si="36"/>
        <v>455.3</v>
      </c>
      <c r="J1324" s="25">
        <v>84.0</v>
      </c>
      <c r="K1324" s="16">
        <f t="shared" si="4"/>
        <v>878.6535</v>
      </c>
      <c r="L1324" s="19">
        <f t="shared" si="5"/>
        <v>0.3226784796</v>
      </c>
      <c r="M1324" s="16">
        <f t="shared" si="6"/>
        <v>3601.6535</v>
      </c>
      <c r="N1324" s="20"/>
    </row>
    <row r="1325">
      <c r="A1325" s="22"/>
      <c r="B1325" s="23" t="s">
        <v>2286</v>
      </c>
      <c r="C1325" s="24"/>
      <c r="D1325" s="25">
        <v>662.0</v>
      </c>
      <c r="E1325" s="16">
        <f t="shared" si="1"/>
        <v>45.678</v>
      </c>
      <c r="F1325" s="16">
        <f t="shared" si="28"/>
        <v>14.233</v>
      </c>
      <c r="G1325" s="26">
        <v>350.0</v>
      </c>
      <c r="H1325" s="27">
        <v>0.15</v>
      </c>
      <c r="I1325" s="45">
        <f t="shared" si="36"/>
        <v>99.3</v>
      </c>
      <c r="J1325" s="25">
        <v>74.5</v>
      </c>
      <c r="K1325" s="16">
        <f t="shared" si="4"/>
        <v>78.289</v>
      </c>
      <c r="L1325" s="19">
        <f t="shared" si="5"/>
        <v>0.2236828571</v>
      </c>
      <c r="M1325" s="16">
        <f t="shared" si="6"/>
        <v>428.289</v>
      </c>
      <c r="N1325" s="20"/>
    </row>
    <row r="1326">
      <c r="A1326" s="22"/>
      <c r="B1326" s="23" t="s">
        <v>2287</v>
      </c>
      <c r="C1326" s="24"/>
      <c r="D1326" s="25">
        <v>662.0</v>
      </c>
      <c r="E1326" s="16">
        <f t="shared" si="1"/>
        <v>45.678</v>
      </c>
      <c r="F1326" s="16">
        <f t="shared" si="28"/>
        <v>14.233</v>
      </c>
      <c r="G1326" s="26">
        <v>350.0</v>
      </c>
      <c r="H1326" s="27">
        <v>0.15</v>
      </c>
      <c r="I1326" s="45">
        <f t="shared" si="36"/>
        <v>99.3</v>
      </c>
      <c r="J1326" s="25">
        <v>74.5</v>
      </c>
      <c r="K1326" s="16">
        <f t="shared" si="4"/>
        <v>78.289</v>
      </c>
      <c r="L1326" s="19">
        <f t="shared" si="5"/>
        <v>0.2236828571</v>
      </c>
      <c r="M1326" s="16">
        <f t="shared" si="6"/>
        <v>428.289</v>
      </c>
      <c r="N1326" s="20"/>
    </row>
    <row r="1327">
      <c r="A1327" s="22"/>
      <c r="B1327" s="23" t="s">
        <v>2288</v>
      </c>
      <c r="C1327" s="24"/>
      <c r="D1327" s="25">
        <v>2699.0</v>
      </c>
      <c r="E1327" s="16">
        <f t="shared" si="1"/>
        <v>186.231</v>
      </c>
      <c r="F1327" s="16">
        <f t="shared" si="28"/>
        <v>58.0285</v>
      </c>
      <c r="G1327" s="26">
        <v>1900.0</v>
      </c>
      <c r="H1327" s="27">
        <v>0.1</v>
      </c>
      <c r="I1327" s="45">
        <f t="shared" si="36"/>
        <v>269.9</v>
      </c>
      <c r="J1327" s="25">
        <v>84.5</v>
      </c>
      <c r="K1327" s="16">
        <f t="shared" si="4"/>
        <v>200.3405</v>
      </c>
      <c r="L1327" s="19">
        <f t="shared" si="5"/>
        <v>0.1054423684</v>
      </c>
      <c r="M1327" s="16">
        <f t="shared" si="6"/>
        <v>2100.3405</v>
      </c>
      <c r="N1327" s="20"/>
    </row>
    <row r="1328">
      <c r="A1328" s="22"/>
      <c r="B1328" s="22"/>
      <c r="C1328" s="24"/>
      <c r="D1328" s="25">
        <v>1799.0</v>
      </c>
      <c r="E1328" s="16">
        <f t="shared" si="1"/>
        <v>124.131</v>
      </c>
      <c r="F1328" s="16">
        <f t="shared" si="28"/>
        <v>38.6785</v>
      </c>
      <c r="G1328" s="26">
        <v>1300.0</v>
      </c>
      <c r="H1328" s="27">
        <v>0.15</v>
      </c>
      <c r="I1328" s="45">
        <f t="shared" si="36"/>
        <v>269.85</v>
      </c>
      <c r="J1328" s="25">
        <v>84.5</v>
      </c>
      <c r="K1328" s="16">
        <f t="shared" si="4"/>
        <v>-18.1595</v>
      </c>
      <c r="L1328" s="19">
        <f t="shared" si="5"/>
        <v>-0.01396884615</v>
      </c>
      <c r="M1328" s="16">
        <f t="shared" si="6"/>
        <v>1281.8405</v>
      </c>
      <c r="N1328" s="20"/>
    </row>
    <row r="1329">
      <c r="A1329" s="22"/>
      <c r="B1329" s="23" t="s">
        <v>2289</v>
      </c>
      <c r="C1329" s="24"/>
      <c r="D1329" s="25">
        <v>4199.0</v>
      </c>
      <c r="E1329" s="16">
        <f t="shared" si="1"/>
        <v>289.731</v>
      </c>
      <c r="F1329" s="16">
        <f t="shared" si="28"/>
        <v>90.2785</v>
      </c>
      <c r="G1329" s="26">
        <v>2998.6</v>
      </c>
      <c r="H1329" s="27">
        <v>0.15</v>
      </c>
      <c r="I1329" s="45">
        <f t="shared" si="36"/>
        <v>629.85</v>
      </c>
      <c r="J1329" s="25">
        <v>84.5</v>
      </c>
      <c r="K1329" s="16">
        <f t="shared" si="4"/>
        <v>106.0405</v>
      </c>
      <c r="L1329" s="19">
        <f t="shared" si="5"/>
        <v>0.03536333622</v>
      </c>
      <c r="M1329" s="16">
        <f t="shared" si="6"/>
        <v>3104.6405</v>
      </c>
      <c r="N1329" s="20"/>
    </row>
    <row r="1330">
      <c r="A1330" s="22"/>
      <c r="B1330" s="23" t="s">
        <v>2290</v>
      </c>
      <c r="C1330" s="24"/>
      <c r="D1330" s="24"/>
      <c r="E1330" s="16">
        <f t="shared" si="1"/>
        <v>0</v>
      </c>
      <c r="F1330" s="16">
        <f t="shared" si="28"/>
        <v>0</v>
      </c>
      <c r="G1330" s="17">
        <v>682.401835897436</v>
      </c>
      <c r="H1330" s="27">
        <v>0.195</v>
      </c>
      <c r="I1330" s="45">
        <f t="shared" si="36"/>
        <v>0</v>
      </c>
      <c r="J1330" s="25">
        <v>84.5</v>
      </c>
      <c r="K1330" s="16">
        <f t="shared" si="4"/>
        <v>-766.9018359</v>
      </c>
      <c r="L1330" s="19">
        <f t="shared" si="5"/>
        <v>-1.123827334</v>
      </c>
      <c r="M1330" s="16">
        <f t="shared" si="6"/>
        <v>-84.5</v>
      </c>
      <c r="N1330" s="20"/>
    </row>
    <row r="1331">
      <c r="A1331" s="22"/>
      <c r="B1331" s="39" t="s">
        <v>2291</v>
      </c>
      <c r="C1331" s="24"/>
      <c r="D1331" s="24"/>
      <c r="E1331" s="16">
        <f t="shared" si="1"/>
        <v>0</v>
      </c>
      <c r="F1331" s="16">
        <f t="shared" si="28"/>
        <v>0</v>
      </c>
      <c r="G1331" s="35">
        <v>1068.023645401023</v>
      </c>
      <c r="H1331" s="27">
        <v>0.195</v>
      </c>
      <c r="I1331" s="45">
        <f t="shared" si="36"/>
        <v>0</v>
      </c>
      <c r="J1331" s="25">
        <v>84.5</v>
      </c>
      <c r="K1331" s="16">
        <f t="shared" si="4"/>
        <v>-1152.523645</v>
      </c>
      <c r="L1331" s="19">
        <f t="shared" si="5"/>
        <v>-1.079118099</v>
      </c>
      <c r="M1331" s="16">
        <f t="shared" si="6"/>
        <v>-84.5</v>
      </c>
      <c r="N1331" s="20"/>
    </row>
    <row r="1332">
      <c r="A1332" s="22"/>
      <c r="B1332" s="23" t="s">
        <v>2292</v>
      </c>
      <c r="C1332" s="24"/>
      <c r="D1332" s="24"/>
      <c r="E1332" s="16">
        <f t="shared" si="1"/>
        <v>0</v>
      </c>
      <c r="F1332" s="16">
        <f t="shared" si="28"/>
        <v>0</v>
      </c>
      <c r="G1332" s="35">
        <v>340.9112643549729</v>
      </c>
      <c r="H1332" s="27">
        <v>0.195</v>
      </c>
      <c r="I1332" s="45">
        <f t="shared" si="36"/>
        <v>0</v>
      </c>
      <c r="J1332" s="25">
        <v>84.5</v>
      </c>
      <c r="K1332" s="16">
        <f t="shared" si="4"/>
        <v>-425.4112644</v>
      </c>
      <c r="L1332" s="19">
        <f t="shared" si="5"/>
        <v>-1.247865086</v>
      </c>
      <c r="M1332" s="16">
        <f t="shared" si="6"/>
        <v>-84.5</v>
      </c>
      <c r="N1332" s="20"/>
    </row>
    <row r="1333">
      <c r="A1333" s="22"/>
      <c r="B1333" s="39" t="s">
        <v>2293</v>
      </c>
      <c r="C1333" s="24"/>
      <c r="D1333" s="25">
        <v>1999.0</v>
      </c>
      <c r="E1333" s="16">
        <f t="shared" si="1"/>
        <v>137.931</v>
      </c>
      <c r="F1333" s="16">
        <f t="shared" si="28"/>
        <v>42.9785</v>
      </c>
      <c r="G1333" s="26">
        <v>1300.49</v>
      </c>
      <c r="H1333" s="27">
        <v>0.195</v>
      </c>
      <c r="I1333" s="45">
        <f t="shared" si="36"/>
        <v>389.805</v>
      </c>
      <c r="J1333" s="25">
        <v>84.5</v>
      </c>
      <c r="K1333" s="16">
        <f t="shared" si="4"/>
        <v>43.2955</v>
      </c>
      <c r="L1333" s="19">
        <f t="shared" si="5"/>
        <v>0.03329168237</v>
      </c>
      <c r="M1333" s="16">
        <f t="shared" si="6"/>
        <v>1343.7855</v>
      </c>
      <c r="N1333" s="20"/>
    </row>
    <row r="1334">
      <c r="A1334" s="22"/>
      <c r="B1334" s="23" t="s">
        <v>2288</v>
      </c>
      <c r="C1334" s="24"/>
      <c r="D1334" s="24"/>
      <c r="E1334" s="16">
        <f t="shared" si="1"/>
        <v>0</v>
      </c>
      <c r="F1334" s="16">
        <f t="shared" si="28"/>
        <v>0</v>
      </c>
      <c r="G1334" s="26">
        <v>1900.0</v>
      </c>
      <c r="H1334" s="27">
        <v>0.195</v>
      </c>
      <c r="I1334" s="45">
        <f t="shared" si="36"/>
        <v>0</v>
      </c>
      <c r="J1334" s="25">
        <v>84.5</v>
      </c>
      <c r="K1334" s="16">
        <f t="shared" si="4"/>
        <v>-1984.5</v>
      </c>
      <c r="L1334" s="19">
        <f t="shared" si="5"/>
        <v>-1.044473684</v>
      </c>
      <c r="M1334" s="16">
        <f t="shared" si="6"/>
        <v>-84.5</v>
      </c>
      <c r="N1334" s="20"/>
    </row>
    <row r="1335">
      <c r="A1335" s="22"/>
      <c r="B1335" s="39" t="s">
        <v>2294</v>
      </c>
      <c r="C1335" s="24"/>
      <c r="D1335" s="25">
        <v>2599.0</v>
      </c>
      <c r="E1335" s="16">
        <f t="shared" si="1"/>
        <v>179.331</v>
      </c>
      <c r="F1335" s="16">
        <f t="shared" si="28"/>
        <v>55.8785</v>
      </c>
      <c r="G1335" s="26">
        <v>1900.0</v>
      </c>
      <c r="H1335" s="27">
        <v>0.15</v>
      </c>
      <c r="I1335" s="45">
        <f t="shared" si="36"/>
        <v>389.85</v>
      </c>
      <c r="J1335" s="25">
        <v>95.0</v>
      </c>
      <c r="K1335" s="16">
        <f t="shared" si="4"/>
        <v>-21.0595</v>
      </c>
      <c r="L1335" s="19">
        <f t="shared" si="5"/>
        <v>-0.01108394737</v>
      </c>
      <c r="M1335" s="16">
        <f t="shared" si="6"/>
        <v>1878.9405</v>
      </c>
      <c r="N1335" s="20"/>
    </row>
    <row r="1336">
      <c r="A1336" s="22"/>
      <c r="B1336" s="23" t="s">
        <v>2295</v>
      </c>
      <c r="C1336" s="24"/>
      <c r="D1336" s="25">
        <v>2459.0</v>
      </c>
      <c r="E1336" s="16">
        <f t="shared" si="1"/>
        <v>169.671</v>
      </c>
      <c r="F1336" s="16">
        <f t="shared" si="28"/>
        <v>52.8685</v>
      </c>
      <c r="G1336" s="26">
        <v>1721.92</v>
      </c>
      <c r="H1336" s="27">
        <v>0.15</v>
      </c>
      <c r="I1336" s="45">
        <f t="shared" si="36"/>
        <v>368.85</v>
      </c>
      <c r="J1336" s="25">
        <v>95.0</v>
      </c>
      <c r="K1336" s="16">
        <f t="shared" si="4"/>
        <v>50.6905</v>
      </c>
      <c r="L1336" s="19">
        <f t="shared" si="5"/>
        <v>0.02943835951</v>
      </c>
      <c r="M1336" s="16">
        <f t="shared" si="6"/>
        <v>1772.6105</v>
      </c>
      <c r="N1336" s="20"/>
    </row>
    <row r="1337">
      <c r="A1337" s="22"/>
      <c r="B1337" s="22"/>
      <c r="C1337" s="24"/>
      <c r="D1337" s="25">
        <v>354.0</v>
      </c>
      <c r="E1337" s="16">
        <f t="shared" si="1"/>
        <v>24.426</v>
      </c>
      <c r="F1337" s="16">
        <f t="shared" si="28"/>
        <v>7.611</v>
      </c>
      <c r="G1337" s="26">
        <v>240.0</v>
      </c>
      <c r="H1337" s="27">
        <v>0.15</v>
      </c>
      <c r="I1337" s="45">
        <f t="shared" si="36"/>
        <v>53.1</v>
      </c>
      <c r="J1337" s="25">
        <v>52.0</v>
      </c>
      <c r="K1337" s="16">
        <f t="shared" si="4"/>
        <v>-23.137</v>
      </c>
      <c r="L1337" s="19">
        <f t="shared" si="5"/>
        <v>-0.09640416667</v>
      </c>
      <c r="M1337" s="16">
        <f t="shared" si="6"/>
        <v>216.863</v>
      </c>
      <c r="N1337" s="20"/>
    </row>
    <row r="1338">
      <c r="A1338" s="22"/>
      <c r="B1338" s="23" t="s">
        <v>2296</v>
      </c>
      <c r="C1338" s="24"/>
      <c r="D1338" s="25">
        <v>3399.0</v>
      </c>
      <c r="E1338" s="16">
        <f t="shared" si="1"/>
        <v>234.531</v>
      </c>
      <c r="F1338" s="16">
        <f t="shared" si="28"/>
        <v>73.0785</v>
      </c>
      <c r="G1338" s="26">
        <v>2663.51</v>
      </c>
      <c r="H1338" s="27">
        <v>0.1</v>
      </c>
      <c r="I1338" s="45">
        <f t="shared" si="36"/>
        <v>339.9</v>
      </c>
      <c r="J1338" s="25">
        <v>84.5</v>
      </c>
      <c r="K1338" s="16">
        <f t="shared" si="4"/>
        <v>3.4805</v>
      </c>
      <c r="L1338" s="19">
        <f t="shared" si="5"/>
        <v>0.001306734347</v>
      </c>
      <c r="M1338" s="16">
        <f t="shared" si="6"/>
        <v>2666.9905</v>
      </c>
      <c r="N1338" s="20"/>
    </row>
    <row r="1339">
      <c r="A1339" s="22"/>
      <c r="B1339" s="23" t="s">
        <v>2297</v>
      </c>
      <c r="C1339" s="24"/>
      <c r="D1339" s="25">
        <v>3845.0</v>
      </c>
      <c r="E1339" s="16">
        <f t="shared" si="1"/>
        <v>265.305</v>
      </c>
      <c r="F1339" s="16">
        <f t="shared" si="28"/>
        <v>82.6675</v>
      </c>
      <c r="G1339" s="26">
        <v>2682.28</v>
      </c>
      <c r="H1339" s="27">
        <v>0.135</v>
      </c>
      <c r="I1339" s="45">
        <f t="shared" si="36"/>
        <v>519.075</v>
      </c>
      <c r="J1339" s="25">
        <v>95.0</v>
      </c>
      <c r="K1339" s="16">
        <f t="shared" si="4"/>
        <v>200.6725</v>
      </c>
      <c r="L1339" s="19">
        <f t="shared" si="5"/>
        <v>0.07481415065</v>
      </c>
      <c r="M1339" s="16">
        <f t="shared" si="6"/>
        <v>2882.9525</v>
      </c>
      <c r="N1339" s="20"/>
    </row>
    <row r="1340">
      <c r="A1340" s="22"/>
      <c r="B1340" s="23" t="s">
        <v>2298</v>
      </c>
      <c r="C1340" s="24"/>
      <c r="D1340" s="25">
        <v>1000.0</v>
      </c>
      <c r="E1340" s="16">
        <f t="shared" si="1"/>
        <v>69</v>
      </c>
      <c r="F1340" s="16">
        <f t="shared" si="28"/>
        <v>21.5</v>
      </c>
      <c r="G1340" s="35">
        <v>775.7518624641833</v>
      </c>
      <c r="H1340" s="27">
        <v>0.1</v>
      </c>
      <c r="I1340" s="45">
        <f t="shared" si="36"/>
        <v>100</v>
      </c>
      <c r="J1340" s="25">
        <v>65.5</v>
      </c>
      <c r="K1340" s="16">
        <f t="shared" si="4"/>
        <v>-31.75186246</v>
      </c>
      <c r="L1340" s="19">
        <f t="shared" si="5"/>
        <v>-0.04093043665</v>
      </c>
      <c r="M1340" s="16">
        <f t="shared" si="6"/>
        <v>744</v>
      </c>
      <c r="N1340" s="20"/>
    </row>
    <row r="1341">
      <c r="A1341" s="22"/>
      <c r="B1341" s="23" t="s">
        <v>2299</v>
      </c>
      <c r="C1341" s="24"/>
      <c r="D1341" s="25">
        <v>7499.0</v>
      </c>
      <c r="E1341" s="16">
        <f t="shared" si="1"/>
        <v>517.431</v>
      </c>
      <c r="F1341" s="16">
        <f t="shared" si="28"/>
        <v>161.2285</v>
      </c>
      <c r="G1341" s="35">
        <v>5167.848643491116</v>
      </c>
      <c r="H1341" s="27">
        <v>0.15</v>
      </c>
      <c r="I1341" s="45">
        <f t="shared" si="36"/>
        <v>1124.85</v>
      </c>
      <c r="J1341" s="25">
        <v>161.0</v>
      </c>
      <c r="K1341" s="16">
        <f t="shared" si="4"/>
        <v>366.6418565</v>
      </c>
      <c r="L1341" s="19">
        <f t="shared" si="5"/>
        <v>0.07094670951</v>
      </c>
      <c r="M1341" s="16">
        <f t="shared" si="6"/>
        <v>5534.4905</v>
      </c>
      <c r="N1341" s="20"/>
    </row>
    <row r="1342">
      <c r="A1342" s="22"/>
      <c r="B1342" s="23" t="s">
        <v>2300</v>
      </c>
      <c r="C1342" s="24"/>
      <c r="D1342" s="25">
        <v>7499.0</v>
      </c>
      <c r="E1342" s="16">
        <f t="shared" si="1"/>
        <v>517.431</v>
      </c>
      <c r="F1342" s="16">
        <f t="shared" si="28"/>
        <v>161.2285</v>
      </c>
      <c r="G1342" s="35">
        <v>5167.848643491116</v>
      </c>
      <c r="H1342" s="27">
        <v>0.15</v>
      </c>
      <c r="I1342" s="45">
        <f t="shared" si="36"/>
        <v>1124.85</v>
      </c>
      <c r="J1342" s="25">
        <v>161.0</v>
      </c>
      <c r="K1342" s="16">
        <f t="shared" si="4"/>
        <v>366.6418565</v>
      </c>
      <c r="L1342" s="19">
        <f t="shared" si="5"/>
        <v>0.07094670951</v>
      </c>
      <c r="M1342" s="16">
        <f t="shared" si="6"/>
        <v>5534.4905</v>
      </c>
      <c r="N1342" s="20"/>
    </row>
    <row r="1343">
      <c r="A1343" s="22"/>
      <c r="B1343" s="22"/>
      <c r="C1343" s="24" t="s">
        <v>2301</v>
      </c>
      <c r="D1343" s="25">
        <v>850.0</v>
      </c>
      <c r="E1343" s="16">
        <f t="shared" si="1"/>
        <v>58.65</v>
      </c>
      <c r="F1343" s="16">
        <f t="shared" si="28"/>
        <v>18.275</v>
      </c>
      <c r="G1343" s="26">
        <v>580.0</v>
      </c>
      <c r="H1343" s="27">
        <v>0.15</v>
      </c>
      <c r="I1343" s="45">
        <f t="shared" si="36"/>
        <v>127.5</v>
      </c>
      <c r="J1343" s="25">
        <v>84.5</v>
      </c>
      <c r="K1343" s="16">
        <f t="shared" si="4"/>
        <v>-18.925</v>
      </c>
      <c r="L1343" s="19">
        <f t="shared" si="5"/>
        <v>-0.03262931034</v>
      </c>
      <c r="M1343" s="16">
        <f t="shared" si="6"/>
        <v>561.075</v>
      </c>
      <c r="N1343" s="20"/>
    </row>
    <row r="1344">
      <c r="A1344" s="22"/>
      <c r="B1344" s="23" t="s">
        <v>2302</v>
      </c>
      <c r="C1344" s="24"/>
      <c r="D1344" s="25">
        <v>4763.0</v>
      </c>
      <c r="E1344" s="16">
        <f t="shared" si="1"/>
        <v>328.647</v>
      </c>
      <c r="F1344" s="16">
        <f t="shared" si="28"/>
        <v>102.4045</v>
      </c>
      <c r="G1344" s="35">
        <v>3512.642736</v>
      </c>
      <c r="H1344" s="27">
        <v>0.15</v>
      </c>
      <c r="I1344" s="45">
        <f t="shared" si="36"/>
        <v>714.45</v>
      </c>
      <c r="J1344" s="25">
        <v>161.0</v>
      </c>
      <c r="K1344" s="16">
        <f t="shared" si="4"/>
        <v>-56.144236</v>
      </c>
      <c r="L1344" s="19">
        <f t="shared" si="5"/>
        <v>-0.01598347461</v>
      </c>
      <c r="M1344" s="16">
        <f t="shared" si="6"/>
        <v>3456.4985</v>
      </c>
      <c r="N1344" s="20"/>
    </row>
    <row r="1345">
      <c r="A1345" s="22"/>
      <c r="B1345" s="54" t="s">
        <v>1188</v>
      </c>
      <c r="C1345" s="24"/>
      <c r="D1345" s="29">
        <v>3064.0</v>
      </c>
      <c r="E1345" s="16">
        <f t="shared" si="1"/>
        <v>211.416</v>
      </c>
      <c r="F1345" s="16">
        <f t="shared" si="28"/>
        <v>65.876</v>
      </c>
      <c r="G1345" s="32">
        <v>2380.0</v>
      </c>
      <c r="H1345" s="18">
        <v>0.15</v>
      </c>
      <c r="I1345" s="16">
        <f t="shared" si="36"/>
        <v>459.6</v>
      </c>
      <c r="J1345" s="29">
        <v>100.0</v>
      </c>
      <c r="K1345" s="16">
        <f t="shared" si="4"/>
        <v>-152.892</v>
      </c>
      <c r="L1345" s="19">
        <f t="shared" si="5"/>
        <v>-0.06424033613</v>
      </c>
      <c r="M1345" s="16">
        <f t="shared" si="6"/>
        <v>2227.108</v>
      </c>
      <c r="N1345" s="20"/>
    </row>
    <row r="1346">
      <c r="A1346" s="22"/>
      <c r="B1346" s="54" t="s">
        <v>1166</v>
      </c>
      <c r="C1346" s="24"/>
      <c r="D1346" s="29">
        <v>532.0</v>
      </c>
      <c r="E1346" s="16">
        <f t="shared" si="1"/>
        <v>36.708</v>
      </c>
      <c r="F1346" s="16">
        <f t="shared" si="28"/>
        <v>11.438</v>
      </c>
      <c r="G1346" s="32">
        <v>383.0</v>
      </c>
      <c r="H1346" s="18">
        <v>0.1</v>
      </c>
      <c r="I1346" s="16">
        <f t="shared" si="36"/>
        <v>53.2</v>
      </c>
      <c r="J1346" s="29">
        <v>65.0</v>
      </c>
      <c r="K1346" s="16">
        <f t="shared" si="4"/>
        <v>-17.346</v>
      </c>
      <c r="L1346" s="19">
        <f t="shared" si="5"/>
        <v>-0.04528981723</v>
      </c>
      <c r="M1346" s="16">
        <f t="shared" si="6"/>
        <v>365.654</v>
      </c>
      <c r="N1346" s="20"/>
    </row>
    <row r="1347">
      <c r="A1347" s="22"/>
      <c r="B1347" s="54" t="s">
        <v>2303</v>
      </c>
      <c r="C1347" s="24"/>
      <c r="D1347" s="25">
        <v>2199.0</v>
      </c>
      <c r="E1347" s="16">
        <f t="shared" si="1"/>
        <v>151.731</v>
      </c>
      <c r="F1347" s="16">
        <f t="shared" si="28"/>
        <v>47.2785</v>
      </c>
      <c r="G1347" s="26">
        <v>1600.0</v>
      </c>
      <c r="H1347" s="27">
        <v>0.135</v>
      </c>
      <c r="I1347" s="45">
        <f t="shared" si="36"/>
        <v>296.865</v>
      </c>
      <c r="J1347" s="25">
        <v>95.0</v>
      </c>
      <c r="K1347" s="16">
        <f t="shared" si="4"/>
        <v>8.1255</v>
      </c>
      <c r="L1347" s="19">
        <f t="shared" si="5"/>
        <v>0.0050784375</v>
      </c>
      <c r="M1347" s="16">
        <f t="shared" si="6"/>
        <v>1608.1255</v>
      </c>
      <c r="N1347" s="20"/>
    </row>
    <row r="1348">
      <c r="A1348" s="22"/>
      <c r="B1348" s="54" t="s">
        <v>2304</v>
      </c>
      <c r="C1348" s="24"/>
      <c r="D1348" s="25">
        <v>3099.0</v>
      </c>
      <c r="E1348" s="16">
        <f t="shared" si="1"/>
        <v>213.831</v>
      </c>
      <c r="F1348" s="16">
        <f t="shared" si="28"/>
        <v>66.6285</v>
      </c>
      <c r="G1348" s="26">
        <v>2104.53</v>
      </c>
      <c r="H1348" s="27">
        <v>0.195</v>
      </c>
      <c r="I1348" s="45">
        <f t="shared" si="36"/>
        <v>604.305</v>
      </c>
      <c r="J1348" s="25">
        <v>139.0</v>
      </c>
      <c r="K1348" s="16">
        <f t="shared" si="4"/>
        <v>-29.2945</v>
      </c>
      <c r="L1348" s="19">
        <f t="shared" si="5"/>
        <v>-0.01391973505</v>
      </c>
      <c r="M1348" s="16">
        <f t="shared" si="6"/>
        <v>2075.2355</v>
      </c>
      <c r="N1348" s="20"/>
    </row>
    <row r="1349">
      <c r="A1349" s="22"/>
      <c r="B1349" s="54" t="s">
        <v>2305</v>
      </c>
      <c r="C1349" s="24"/>
      <c r="D1349" s="25">
        <v>349.0</v>
      </c>
      <c r="E1349" s="16">
        <f t="shared" si="1"/>
        <v>24.081</v>
      </c>
      <c r="F1349" s="16">
        <f t="shared" si="28"/>
        <v>7.5035</v>
      </c>
      <c r="G1349" s="26">
        <v>235.0</v>
      </c>
      <c r="H1349" s="27">
        <v>0.1</v>
      </c>
      <c r="I1349" s="45">
        <f t="shared" si="36"/>
        <v>34.9</v>
      </c>
      <c r="J1349" s="25">
        <v>52.0</v>
      </c>
      <c r="K1349" s="16">
        <f t="shared" si="4"/>
        <v>-4.4845</v>
      </c>
      <c r="L1349" s="19">
        <f t="shared" si="5"/>
        <v>-0.01908297872</v>
      </c>
      <c r="M1349" s="16">
        <f t="shared" si="6"/>
        <v>230.5155</v>
      </c>
      <c r="N1349" s="20"/>
    </row>
    <row r="1350">
      <c r="A1350" s="22"/>
      <c r="B1350" s="54" t="s">
        <v>2306</v>
      </c>
      <c r="C1350" s="24"/>
      <c r="D1350" s="25">
        <v>12999.0</v>
      </c>
      <c r="E1350" s="16">
        <f t="shared" si="1"/>
        <v>896.931</v>
      </c>
      <c r="F1350" s="16">
        <f t="shared" si="28"/>
        <v>279.4785</v>
      </c>
      <c r="G1350" s="26">
        <v>9722.15</v>
      </c>
      <c r="H1350" s="27">
        <v>0.125</v>
      </c>
      <c r="I1350" s="28">
        <f t="shared" si="36"/>
        <v>1624.875</v>
      </c>
      <c r="J1350" s="25">
        <v>155.0</v>
      </c>
      <c r="K1350" s="16">
        <f t="shared" si="4"/>
        <v>320.5655</v>
      </c>
      <c r="L1350" s="19">
        <f t="shared" si="5"/>
        <v>0.03297269637</v>
      </c>
      <c r="M1350" s="16">
        <f t="shared" si="6"/>
        <v>10042.7155</v>
      </c>
      <c r="N1350" s="20"/>
    </row>
    <row r="1351">
      <c r="A1351" s="22"/>
      <c r="B1351" s="54" t="s">
        <v>2307</v>
      </c>
      <c r="C1351" s="24"/>
      <c r="D1351" s="25">
        <v>850.0</v>
      </c>
      <c r="E1351" s="16">
        <f t="shared" si="1"/>
        <v>58.65</v>
      </c>
      <c r="F1351" s="16">
        <f t="shared" si="28"/>
        <v>18.275</v>
      </c>
      <c r="G1351" s="26">
        <v>580.0</v>
      </c>
      <c r="H1351" s="27">
        <v>0.15</v>
      </c>
      <c r="I1351" s="28">
        <f t="shared" si="36"/>
        <v>127.5</v>
      </c>
      <c r="J1351" s="25">
        <v>84.5</v>
      </c>
      <c r="K1351" s="16">
        <f t="shared" si="4"/>
        <v>-18.925</v>
      </c>
      <c r="L1351" s="19">
        <f t="shared" si="5"/>
        <v>-0.03262931034</v>
      </c>
      <c r="M1351" s="16">
        <f t="shared" si="6"/>
        <v>561.075</v>
      </c>
      <c r="N1351" s="20"/>
    </row>
    <row r="1352">
      <c r="A1352" s="22"/>
      <c r="B1352" s="23" t="s">
        <v>2308</v>
      </c>
      <c r="C1352" s="24"/>
      <c r="D1352" s="25">
        <v>850.0</v>
      </c>
      <c r="E1352" s="16">
        <f t="shared" si="1"/>
        <v>58.65</v>
      </c>
      <c r="F1352" s="16">
        <f t="shared" si="28"/>
        <v>18.275</v>
      </c>
      <c r="G1352" s="26">
        <v>580.0</v>
      </c>
      <c r="H1352" s="27">
        <v>0.15</v>
      </c>
      <c r="I1352" s="28">
        <f t="shared" si="36"/>
        <v>127.5</v>
      </c>
      <c r="J1352" s="25">
        <v>84.5</v>
      </c>
      <c r="K1352" s="16">
        <f t="shared" si="4"/>
        <v>-18.925</v>
      </c>
      <c r="L1352" s="19">
        <f t="shared" si="5"/>
        <v>-0.03262931034</v>
      </c>
      <c r="M1352" s="16">
        <f t="shared" si="6"/>
        <v>561.075</v>
      </c>
      <c r="N1352" s="20"/>
    </row>
    <row r="1353">
      <c r="A1353" s="22"/>
      <c r="B1353" s="54" t="s">
        <v>2309</v>
      </c>
      <c r="C1353" s="24"/>
      <c r="D1353" s="25">
        <v>750.0</v>
      </c>
      <c r="E1353" s="16">
        <f t="shared" si="1"/>
        <v>51.75</v>
      </c>
      <c r="F1353" s="16">
        <f t="shared" si="28"/>
        <v>16.125</v>
      </c>
      <c r="G1353" s="35">
        <v>543.844534</v>
      </c>
      <c r="H1353" s="27">
        <v>0.1</v>
      </c>
      <c r="I1353" s="28">
        <f t="shared" si="36"/>
        <v>75</v>
      </c>
      <c r="J1353" s="25">
        <v>70.0</v>
      </c>
      <c r="K1353" s="16">
        <f t="shared" si="4"/>
        <v>-6.719534</v>
      </c>
      <c r="L1353" s="19">
        <f t="shared" si="5"/>
        <v>-0.01235561558</v>
      </c>
      <c r="M1353" s="16">
        <f t="shared" si="6"/>
        <v>537.125</v>
      </c>
      <c r="N1353" s="20"/>
    </row>
    <row r="1354">
      <c r="A1354" s="22"/>
      <c r="B1354" s="23" t="s">
        <v>2310</v>
      </c>
      <c r="C1354" s="24"/>
      <c r="D1354" s="25">
        <v>750.0</v>
      </c>
      <c r="E1354" s="16">
        <f t="shared" si="1"/>
        <v>51.75</v>
      </c>
      <c r="F1354" s="16">
        <f t="shared" si="28"/>
        <v>16.125</v>
      </c>
      <c r="G1354" s="35">
        <v>543.844534</v>
      </c>
      <c r="H1354" s="27">
        <v>0.1</v>
      </c>
      <c r="I1354" s="28">
        <f t="shared" si="36"/>
        <v>75</v>
      </c>
      <c r="J1354" s="25">
        <v>70.0</v>
      </c>
      <c r="K1354" s="16">
        <f t="shared" si="4"/>
        <v>-6.719534</v>
      </c>
      <c r="L1354" s="19">
        <f t="shared" si="5"/>
        <v>-0.01235561558</v>
      </c>
      <c r="M1354" s="16">
        <f t="shared" si="6"/>
        <v>537.125</v>
      </c>
      <c r="N1354" s="20"/>
    </row>
    <row r="1355">
      <c r="A1355" s="22"/>
      <c r="B1355" s="54" t="s">
        <v>2311</v>
      </c>
      <c r="C1355" s="24"/>
      <c r="D1355" s="44">
        <v>421.0</v>
      </c>
      <c r="E1355" s="16">
        <f t="shared" si="1"/>
        <v>29.049</v>
      </c>
      <c r="F1355" s="16">
        <f t="shared" si="28"/>
        <v>9.0515</v>
      </c>
      <c r="G1355" s="26">
        <v>300.0</v>
      </c>
      <c r="H1355" s="27">
        <v>0.1</v>
      </c>
      <c r="I1355" s="28">
        <f t="shared" si="36"/>
        <v>42.1</v>
      </c>
      <c r="J1355" s="25">
        <v>52.5</v>
      </c>
      <c r="K1355" s="16">
        <f t="shared" si="4"/>
        <v>-11.7005</v>
      </c>
      <c r="L1355" s="19">
        <f t="shared" si="5"/>
        <v>-0.03900166667</v>
      </c>
      <c r="M1355" s="16">
        <f t="shared" si="6"/>
        <v>288.2995</v>
      </c>
      <c r="N1355" s="20"/>
    </row>
    <row r="1356">
      <c r="A1356" s="22"/>
      <c r="B1356" s="54" t="s">
        <v>2312</v>
      </c>
      <c r="C1356" s="24"/>
      <c r="D1356" s="25">
        <v>929.0</v>
      </c>
      <c r="E1356" s="16">
        <f t="shared" si="1"/>
        <v>64.101</v>
      </c>
      <c r="F1356" s="16">
        <f t="shared" si="28"/>
        <v>19.9735</v>
      </c>
      <c r="G1356" s="26">
        <v>620.0</v>
      </c>
      <c r="H1356" s="27">
        <v>0.1</v>
      </c>
      <c r="I1356" s="28">
        <f t="shared" si="36"/>
        <v>92.9</v>
      </c>
      <c r="J1356" s="25">
        <v>74.5</v>
      </c>
      <c r="K1356" s="16">
        <f t="shared" si="4"/>
        <v>57.5255</v>
      </c>
      <c r="L1356" s="19">
        <f t="shared" si="5"/>
        <v>0.09278306452</v>
      </c>
      <c r="M1356" s="16">
        <f t="shared" si="6"/>
        <v>677.5255</v>
      </c>
      <c r="N1356" s="20"/>
    </row>
    <row r="1357">
      <c r="A1357" s="22"/>
      <c r="B1357" s="23" t="s">
        <v>2313</v>
      </c>
      <c r="C1357" s="24"/>
      <c r="D1357" s="25">
        <v>879.0</v>
      </c>
      <c r="E1357" s="16">
        <f t="shared" si="1"/>
        <v>60.651</v>
      </c>
      <c r="F1357" s="16">
        <f t="shared" si="28"/>
        <v>18.8985</v>
      </c>
      <c r="G1357" s="26">
        <v>620.0</v>
      </c>
      <c r="H1357" s="27">
        <v>0.1</v>
      </c>
      <c r="I1357" s="28">
        <f t="shared" si="36"/>
        <v>87.9</v>
      </c>
      <c r="J1357" s="25">
        <v>74.5</v>
      </c>
      <c r="K1357" s="16">
        <f t="shared" si="4"/>
        <v>17.0505</v>
      </c>
      <c r="L1357" s="19">
        <f t="shared" si="5"/>
        <v>0.02750080645</v>
      </c>
      <c r="M1357" s="16">
        <f t="shared" si="6"/>
        <v>637.0505</v>
      </c>
      <c r="N1357" s="20"/>
    </row>
    <row r="1358">
      <c r="A1358" s="22"/>
      <c r="B1358" s="54" t="s">
        <v>2314</v>
      </c>
      <c r="C1358" s="24"/>
      <c r="D1358" s="25">
        <v>1844.0</v>
      </c>
      <c r="E1358" s="16">
        <f t="shared" si="1"/>
        <v>127.236</v>
      </c>
      <c r="F1358" s="16">
        <f t="shared" si="28"/>
        <v>39.646</v>
      </c>
      <c r="G1358" s="26">
        <v>1432.18</v>
      </c>
      <c r="H1358" s="27">
        <v>0.1</v>
      </c>
      <c r="I1358" s="28">
        <f t="shared" si="36"/>
        <v>184.4</v>
      </c>
      <c r="J1358" s="25">
        <v>65.0</v>
      </c>
      <c r="K1358" s="16">
        <f t="shared" si="4"/>
        <v>-4.462</v>
      </c>
      <c r="L1358" s="19">
        <f t="shared" si="5"/>
        <v>-0.003115530171</v>
      </c>
      <c r="M1358" s="16">
        <f t="shared" si="6"/>
        <v>1427.718</v>
      </c>
      <c r="N1358" s="20"/>
    </row>
    <row r="1359">
      <c r="A1359" s="22"/>
      <c r="B1359" s="54" t="s">
        <v>2315</v>
      </c>
      <c r="C1359" s="24"/>
      <c r="D1359" s="25">
        <v>299.0</v>
      </c>
      <c r="E1359" s="16">
        <f t="shared" si="1"/>
        <v>20.631</v>
      </c>
      <c r="F1359" s="16">
        <f t="shared" si="28"/>
        <v>6.4285</v>
      </c>
      <c r="G1359" s="26">
        <v>100.0</v>
      </c>
      <c r="H1359" s="27">
        <v>0.15</v>
      </c>
      <c r="I1359" s="45">
        <f t="shared" si="36"/>
        <v>44.85</v>
      </c>
      <c r="J1359" s="25">
        <v>84.5</v>
      </c>
      <c r="K1359" s="16">
        <f t="shared" si="4"/>
        <v>42.5905</v>
      </c>
      <c r="L1359" s="19">
        <f t="shared" si="5"/>
        <v>0.425905</v>
      </c>
      <c r="M1359" s="16">
        <f t="shared" si="6"/>
        <v>142.5905</v>
      </c>
      <c r="N1359" s="20"/>
    </row>
    <row r="1360">
      <c r="A1360" s="22"/>
      <c r="B1360" s="23" t="s">
        <v>2316</v>
      </c>
      <c r="C1360" s="24"/>
      <c r="D1360" s="29">
        <v>12999.0</v>
      </c>
      <c r="E1360" s="16">
        <f t="shared" si="1"/>
        <v>896.931</v>
      </c>
      <c r="F1360" s="16">
        <f t="shared" si="28"/>
        <v>279.4785</v>
      </c>
      <c r="G1360" s="32">
        <v>9200.0</v>
      </c>
      <c r="H1360" s="18">
        <v>0.195</v>
      </c>
      <c r="I1360" s="16">
        <f t="shared" ref="I1360:I1363" si="37">D1360*H1360</f>
        <v>2534.805</v>
      </c>
      <c r="J1360" s="29">
        <v>300.0</v>
      </c>
      <c r="K1360" s="16">
        <f t="shared" si="4"/>
        <v>-212.2145</v>
      </c>
      <c r="L1360" s="19">
        <f t="shared" si="5"/>
        <v>-0.02306679348</v>
      </c>
      <c r="M1360" s="16">
        <f t="shared" si="6"/>
        <v>8987.7855</v>
      </c>
      <c r="N1360" s="24"/>
    </row>
    <row r="1361">
      <c r="A1361" s="22"/>
      <c r="B1361" s="23" t="s">
        <v>591</v>
      </c>
      <c r="C1361" s="24"/>
      <c r="D1361" s="29">
        <v>12999.0</v>
      </c>
      <c r="E1361" s="16">
        <f t="shared" si="1"/>
        <v>896.931</v>
      </c>
      <c r="F1361" s="16">
        <f t="shared" si="28"/>
        <v>279.4785</v>
      </c>
      <c r="G1361" s="32">
        <v>9200.0</v>
      </c>
      <c r="H1361" s="18">
        <v>0.195</v>
      </c>
      <c r="I1361" s="16">
        <f t="shared" si="37"/>
        <v>2534.805</v>
      </c>
      <c r="J1361" s="29">
        <v>300.0</v>
      </c>
      <c r="K1361" s="16">
        <f t="shared" si="4"/>
        <v>-212.2145</v>
      </c>
      <c r="L1361" s="19">
        <f t="shared" si="5"/>
        <v>-0.02306679348</v>
      </c>
      <c r="M1361" s="16">
        <f t="shared" si="6"/>
        <v>8987.7855</v>
      </c>
      <c r="N1361" s="24"/>
    </row>
    <row r="1362">
      <c r="A1362" s="22"/>
      <c r="B1362" s="23" t="s">
        <v>2317</v>
      </c>
      <c r="C1362" s="24"/>
      <c r="D1362" s="25">
        <v>750.0</v>
      </c>
      <c r="E1362" s="16">
        <f t="shared" si="1"/>
        <v>51.75</v>
      </c>
      <c r="F1362" s="16">
        <f t="shared" si="28"/>
        <v>16.125</v>
      </c>
      <c r="G1362" s="26">
        <v>350.0</v>
      </c>
      <c r="H1362" s="18">
        <v>0.1</v>
      </c>
      <c r="I1362" s="16">
        <f t="shared" si="37"/>
        <v>75</v>
      </c>
      <c r="J1362" s="29">
        <v>84.0</v>
      </c>
      <c r="K1362" s="16">
        <f t="shared" si="4"/>
        <v>173.125</v>
      </c>
      <c r="L1362" s="19">
        <f t="shared" si="5"/>
        <v>0.4946428571</v>
      </c>
      <c r="M1362" s="16">
        <f t="shared" si="6"/>
        <v>523.125</v>
      </c>
      <c r="N1362" s="24"/>
    </row>
    <row r="1363">
      <c r="A1363" s="22"/>
      <c r="B1363" s="23" t="s">
        <v>2318</v>
      </c>
      <c r="C1363" s="24"/>
      <c r="D1363" s="25">
        <v>750.0</v>
      </c>
      <c r="E1363" s="16">
        <f t="shared" si="1"/>
        <v>51.75</v>
      </c>
      <c r="F1363" s="16">
        <f t="shared" si="28"/>
        <v>16.125</v>
      </c>
      <c r="G1363" s="26">
        <v>350.0</v>
      </c>
      <c r="H1363" s="18">
        <v>0.1</v>
      </c>
      <c r="I1363" s="16">
        <f t="shared" si="37"/>
        <v>75</v>
      </c>
      <c r="J1363" s="29">
        <v>84.0</v>
      </c>
      <c r="K1363" s="16">
        <f t="shared" si="4"/>
        <v>173.125</v>
      </c>
      <c r="L1363" s="19">
        <f t="shared" si="5"/>
        <v>0.4946428571</v>
      </c>
      <c r="M1363" s="16">
        <f t="shared" si="6"/>
        <v>523.125</v>
      </c>
      <c r="N1363" s="24"/>
    </row>
    <row r="1364">
      <c r="A1364" s="22"/>
      <c r="B1364" s="54" t="s">
        <v>2319</v>
      </c>
      <c r="C1364" s="24"/>
      <c r="D1364" s="25">
        <v>2189.0</v>
      </c>
      <c r="E1364" s="16">
        <f t="shared" si="1"/>
        <v>151.041</v>
      </c>
      <c r="F1364" s="16">
        <f t="shared" si="28"/>
        <v>47.0635</v>
      </c>
      <c r="G1364" s="26">
        <v>1590.0</v>
      </c>
      <c r="H1364" s="27">
        <v>0.145</v>
      </c>
      <c r="I1364" s="28">
        <f t="shared" ref="I1364:I1407" si="38">H1364*D1364</f>
        <v>317.405</v>
      </c>
      <c r="J1364" s="25">
        <v>110.0</v>
      </c>
      <c r="K1364" s="16">
        <f t="shared" si="4"/>
        <v>-26.5095</v>
      </c>
      <c r="L1364" s="19">
        <f t="shared" si="5"/>
        <v>-0.01667264151</v>
      </c>
      <c r="M1364" s="16">
        <f t="shared" si="6"/>
        <v>1563.4905</v>
      </c>
      <c r="N1364" s="24"/>
    </row>
    <row r="1365">
      <c r="A1365" s="22"/>
      <c r="B1365" s="54" t="s">
        <v>2320</v>
      </c>
      <c r="C1365" s="24"/>
      <c r="D1365" s="25">
        <v>849.0</v>
      </c>
      <c r="E1365" s="16">
        <f t="shared" si="1"/>
        <v>58.581</v>
      </c>
      <c r="F1365" s="16">
        <f t="shared" si="28"/>
        <v>18.2535</v>
      </c>
      <c r="G1365" s="17">
        <v>682.401835897436</v>
      </c>
      <c r="H1365" s="27">
        <v>0.1</v>
      </c>
      <c r="I1365" s="45">
        <f t="shared" si="38"/>
        <v>84.9</v>
      </c>
      <c r="J1365" s="25">
        <v>70.0</v>
      </c>
      <c r="K1365" s="16">
        <f t="shared" si="4"/>
        <v>-65.1363359</v>
      </c>
      <c r="L1365" s="19">
        <f t="shared" si="5"/>
        <v>-0.09545158361</v>
      </c>
      <c r="M1365" s="16">
        <f t="shared" si="6"/>
        <v>617.2655</v>
      </c>
      <c r="N1365" s="24"/>
    </row>
    <row r="1366">
      <c r="A1366" s="22"/>
      <c r="B1366" s="54" t="s">
        <v>2321</v>
      </c>
      <c r="C1366" s="24"/>
      <c r="D1366" s="25">
        <v>120.0</v>
      </c>
      <c r="E1366" s="16">
        <f t="shared" si="1"/>
        <v>8.28</v>
      </c>
      <c r="F1366" s="16">
        <f t="shared" si="28"/>
        <v>2.58</v>
      </c>
      <c r="G1366" s="26">
        <v>78.0</v>
      </c>
      <c r="H1366" s="27">
        <v>0.145</v>
      </c>
      <c r="I1366" s="28">
        <f t="shared" si="38"/>
        <v>17.4</v>
      </c>
      <c r="J1366" s="25">
        <v>37.0</v>
      </c>
      <c r="K1366" s="16">
        <f t="shared" si="4"/>
        <v>-23.26</v>
      </c>
      <c r="L1366" s="19">
        <f t="shared" si="5"/>
        <v>-0.2982051282</v>
      </c>
      <c r="M1366" s="16">
        <f t="shared" si="6"/>
        <v>54.74</v>
      </c>
      <c r="N1366" s="24"/>
    </row>
    <row r="1367">
      <c r="A1367" s="22"/>
      <c r="B1367" s="54" t="s">
        <v>2322</v>
      </c>
      <c r="C1367" s="24"/>
      <c r="D1367" s="25">
        <v>1299.0</v>
      </c>
      <c r="E1367" s="16">
        <f t="shared" si="1"/>
        <v>89.631</v>
      </c>
      <c r="F1367" s="16">
        <f t="shared" si="28"/>
        <v>27.9285</v>
      </c>
      <c r="G1367" s="26">
        <v>845.29</v>
      </c>
      <c r="H1367" s="27">
        <v>0.145</v>
      </c>
      <c r="I1367" s="45">
        <f t="shared" si="38"/>
        <v>188.355</v>
      </c>
      <c r="J1367" s="25">
        <v>65.5</v>
      </c>
      <c r="K1367" s="16">
        <f t="shared" si="4"/>
        <v>82.2955</v>
      </c>
      <c r="L1367" s="19">
        <f t="shared" si="5"/>
        <v>0.09735771155</v>
      </c>
      <c r="M1367" s="16">
        <f t="shared" si="6"/>
        <v>927.5855</v>
      </c>
      <c r="N1367" s="24"/>
    </row>
    <row r="1368">
      <c r="A1368" s="22"/>
      <c r="B1368" s="54" t="s">
        <v>2323</v>
      </c>
      <c r="C1368" s="24"/>
      <c r="D1368" s="25">
        <v>1599.0</v>
      </c>
      <c r="E1368" s="16">
        <f t="shared" si="1"/>
        <v>110.331</v>
      </c>
      <c r="F1368" s="16">
        <f t="shared" si="28"/>
        <v>34.3785</v>
      </c>
      <c r="G1368" s="26">
        <v>1155.21</v>
      </c>
      <c r="H1368" s="27">
        <v>0.1</v>
      </c>
      <c r="I1368" s="45">
        <f t="shared" si="38"/>
        <v>159.9</v>
      </c>
      <c r="J1368" s="25">
        <v>161.0</v>
      </c>
      <c r="K1368" s="16">
        <f t="shared" si="4"/>
        <v>-21.8195</v>
      </c>
      <c r="L1368" s="19">
        <f t="shared" si="5"/>
        <v>-0.01888790783</v>
      </c>
      <c r="M1368" s="16">
        <f t="shared" si="6"/>
        <v>1133.3905</v>
      </c>
      <c r="N1368" s="24"/>
    </row>
    <row r="1369">
      <c r="A1369" s="22"/>
      <c r="B1369" s="54" t="s">
        <v>2324</v>
      </c>
      <c r="C1369" s="24"/>
      <c r="D1369" s="25">
        <v>1299.0</v>
      </c>
      <c r="E1369" s="16">
        <f t="shared" si="1"/>
        <v>89.631</v>
      </c>
      <c r="F1369" s="16">
        <f t="shared" si="28"/>
        <v>27.9285</v>
      </c>
      <c r="G1369" s="26">
        <v>890.0</v>
      </c>
      <c r="H1369" s="27">
        <v>0.1</v>
      </c>
      <c r="I1369" s="45">
        <f t="shared" si="38"/>
        <v>129.9</v>
      </c>
      <c r="J1369" s="25">
        <v>70.0</v>
      </c>
      <c r="K1369" s="16">
        <f t="shared" si="4"/>
        <v>91.5405</v>
      </c>
      <c r="L1369" s="19">
        <f t="shared" si="5"/>
        <v>0.1028544944</v>
      </c>
      <c r="M1369" s="16">
        <f t="shared" si="6"/>
        <v>981.5405</v>
      </c>
      <c r="N1369" s="24"/>
    </row>
    <row r="1370">
      <c r="A1370" s="22"/>
      <c r="B1370" s="54" t="s">
        <v>2325</v>
      </c>
      <c r="C1370" s="24"/>
      <c r="D1370" s="25">
        <v>9999.0</v>
      </c>
      <c r="E1370" s="16">
        <f t="shared" si="1"/>
        <v>689.931</v>
      </c>
      <c r="F1370" s="16">
        <f t="shared" si="28"/>
        <v>214.9785</v>
      </c>
      <c r="G1370" s="26">
        <v>7680.05</v>
      </c>
      <c r="H1370" s="27">
        <v>0.145</v>
      </c>
      <c r="I1370" s="28">
        <f t="shared" si="38"/>
        <v>1449.855</v>
      </c>
      <c r="J1370" s="25">
        <v>270.0</v>
      </c>
      <c r="K1370" s="16">
        <f t="shared" si="4"/>
        <v>-305.8145</v>
      </c>
      <c r="L1370" s="19">
        <f t="shared" si="5"/>
        <v>-0.03981933711</v>
      </c>
      <c r="M1370" s="16">
        <f t="shared" si="6"/>
        <v>7374.2355</v>
      </c>
      <c r="N1370" s="24"/>
    </row>
    <row r="1371">
      <c r="A1371" s="22"/>
      <c r="B1371" s="54" t="s">
        <v>1361</v>
      </c>
      <c r="C1371" s="24"/>
      <c r="D1371" s="25">
        <v>1499.0</v>
      </c>
      <c r="E1371" s="16">
        <f t="shared" si="1"/>
        <v>103.431</v>
      </c>
      <c r="F1371" s="16">
        <f t="shared" si="28"/>
        <v>32.2285</v>
      </c>
      <c r="G1371" s="35">
        <v>580.816505263158</v>
      </c>
      <c r="H1371" s="27">
        <v>0.1</v>
      </c>
      <c r="I1371" s="28">
        <f t="shared" si="38"/>
        <v>149.9</v>
      </c>
      <c r="J1371" s="25">
        <v>65.5</v>
      </c>
      <c r="K1371" s="16">
        <f t="shared" si="4"/>
        <v>567.1239947</v>
      </c>
      <c r="L1371" s="19">
        <f t="shared" si="5"/>
        <v>0.9764254108</v>
      </c>
      <c r="M1371" s="16">
        <f t="shared" si="6"/>
        <v>1147.9405</v>
      </c>
      <c r="N1371" s="24"/>
    </row>
    <row r="1372">
      <c r="A1372" s="22"/>
      <c r="B1372" s="54" t="s">
        <v>2326</v>
      </c>
      <c r="C1372" s="24"/>
      <c r="D1372" s="25">
        <v>2312.0</v>
      </c>
      <c r="E1372" s="16">
        <f t="shared" si="1"/>
        <v>159.528</v>
      </c>
      <c r="F1372" s="16">
        <f t="shared" si="28"/>
        <v>49.708</v>
      </c>
      <c r="G1372" s="26">
        <v>1967.2</v>
      </c>
      <c r="H1372" s="27">
        <v>0.1</v>
      </c>
      <c r="I1372" s="28">
        <f t="shared" si="38"/>
        <v>231.2</v>
      </c>
      <c r="J1372" s="25">
        <v>79.0</v>
      </c>
      <c r="K1372" s="16">
        <f t="shared" si="4"/>
        <v>-174.636</v>
      </c>
      <c r="L1372" s="19">
        <f t="shared" si="5"/>
        <v>-0.08877389183</v>
      </c>
      <c r="M1372" s="16">
        <f t="shared" si="6"/>
        <v>1792.564</v>
      </c>
      <c r="N1372" s="24"/>
    </row>
    <row r="1373">
      <c r="A1373" s="22"/>
      <c r="B1373" s="54" t="s">
        <v>2327</v>
      </c>
      <c r="C1373" s="24"/>
      <c r="D1373" s="25">
        <v>2845.0</v>
      </c>
      <c r="E1373" s="16">
        <f t="shared" si="1"/>
        <v>196.305</v>
      </c>
      <c r="F1373" s="16">
        <f t="shared" si="28"/>
        <v>61.1675</v>
      </c>
      <c r="G1373" s="26">
        <v>2278.99</v>
      </c>
      <c r="H1373" s="27">
        <v>0.195</v>
      </c>
      <c r="I1373" s="45">
        <f t="shared" si="38"/>
        <v>554.775</v>
      </c>
      <c r="J1373" s="25">
        <v>190.0</v>
      </c>
      <c r="K1373" s="16">
        <f t="shared" si="4"/>
        <v>-436.2375</v>
      </c>
      <c r="L1373" s="19">
        <f t="shared" si="5"/>
        <v>-0.1914170312</v>
      </c>
      <c r="M1373" s="16">
        <f t="shared" si="6"/>
        <v>1842.7525</v>
      </c>
      <c r="N1373" s="24"/>
    </row>
    <row r="1374">
      <c r="A1374" s="22"/>
      <c r="B1374" s="54" t="s">
        <v>1355</v>
      </c>
      <c r="C1374" s="24"/>
      <c r="D1374" s="25">
        <v>569.0</v>
      </c>
      <c r="E1374" s="16">
        <f t="shared" si="1"/>
        <v>39.261</v>
      </c>
      <c r="F1374" s="16">
        <f t="shared" si="28"/>
        <v>12.2335</v>
      </c>
      <c r="G1374" s="26">
        <v>384.51</v>
      </c>
      <c r="H1374" s="27">
        <v>0.1</v>
      </c>
      <c r="I1374" s="28">
        <f t="shared" si="38"/>
        <v>56.9</v>
      </c>
      <c r="J1374" s="25">
        <v>65.0</v>
      </c>
      <c r="K1374" s="16">
        <f t="shared" si="4"/>
        <v>11.0955</v>
      </c>
      <c r="L1374" s="19">
        <f t="shared" si="5"/>
        <v>0.0288562066</v>
      </c>
      <c r="M1374" s="16">
        <f t="shared" si="6"/>
        <v>395.6055</v>
      </c>
      <c r="N1374" s="24"/>
    </row>
    <row r="1375">
      <c r="A1375" s="22"/>
      <c r="B1375" s="54" t="s">
        <v>2328</v>
      </c>
      <c r="C1375" s="24"/>
      <c r="D1375" s="25">
        <v>299.0</v>
      </c>
      <c r="E1375" s="16">
        <f t="shared" si="1"/>
        <v>20.631</v>
      </c>
      <c r="F1375" s="16">
        <f t="shared" si="28"/>
        <v>6.4285</v>
      </c>
      <c r="G1375" s="26">
        <v>160.0</v>
      </c>
      <c r="H1375" s="27">
        <v>0.15</v>
      </c>
      <c r="I1375" s="28">
        <f t="shared" si="38"/>
        <v>44.85</v>
      </c>
      <c r="J1375" s="25">
        <v>67.6</v>
      </c>
      <c r="K1375" s="16">
        <f t="shared" si="4"/>
        <v>-0.5095</v>
      </c>
      <c r="L1375" s="19">
        <f t="shared" si="5"/>
        <v>-0.003184375</v>
      </c>
      <c r="M1375" s="16">
        <f t="shared" si="6"/>
        <v>159.4905</v>
      </c>
      <c r="N1375" s="24"/>
    </row>
    <row r="1376">
      <c r="A1376" s="22"/>
      <c r="B1376" s="54" t="s">
        <v>2329</v>
      </c>
      <c r="C1376" s="24"/>
      <c r="D1376" s="25">
        <v>4889.0</v>
      </c>
      <c r="E1376" s="16">
        <f t="shared" si="1"/>
        <v>337.341</v>
      </c>
      <c r="F1376" s="16">
        <f t="shared" si="28"/>
        <v>105.1135</v>
      </c>
      <c r="G1376" s="26">
        <v>3868.99</v>
      </c>
      <c r="H1376" s="27">
        <v>0.2</v>
      </c>
      <c r="I1376" s="28">
        <f t="shared" si="38"/>
        <v>977.8</v>
      </c>
      <c r="J1376" s="25">
        <v>222.5</v>
      </c>
      <c r="K1376" s="16">
        <f t="shared" si="4"/>
        <v>-622.7445</v>
      </c>
      <c r="L1376" s="19">
        <f t="shared" si="5"/>
        <v>-0.1609578986</v>
      </c>
      <c r="M1376" s="16">
        <f t="shared" si="6"/>
        <v>3246.2455</v>
      </c>
      <c r="N1376" s="24"/>
    </row>
    <row r="1377">
      <c r="A1377" s="22"/>
      <c r="B1377" s="54" t="s">
        <v>2330</v>
      </c>
      <c r="C1377" s="24"/>
      <c r="D1377" s="25">
        <v>764.0</v>
      </c>
      <c r="E1377" s="16">
        <f t="shared" si="1"/>
        <v>52.716</v>
      </c>
      <c r="F1377" s="16">
        <f t="shared" si="28"/>
        <v>16.426</v>
      </c>
      <c r="G1377" s="26">
        <v>564.59</v>
      </c>
      <c r="H1377" s="27">
        <v>0.1</v>
      </c>
      <c r="I1377" s="28">
        <f t="shared" si="38"/>
        <v>76.4</v>
      </c>
      <c r="J1377" s="25">
        <v>73.0</v>
      </c>
      <c r="K1377" s="16">
        <f t="shared" si="4"/>
        <v>-19.132</v>
      </c>
      <c r="L1377" s="19">
        <f t="shared" si="5"/>
        <v>-0.03388653713</v>
      </c>
      <c r="M1377" s="16">
        <f t="shared" si="6"/>
        <v>545.458</v>
      </c>
      <c r="N1377" s="24"/>
    </row>
    <row r="1378">
      <c r="A1378" s="22"/>
      <c r="B1378" s="54" t="s">
        <v>2331</v>
      </c>
      <c r="C1378" s="24"/>
      <c r="D1378" s="25">
        <v>4299.0</v>
      </c>
      <c r="E1378" s="16">
        <f t="shared" si="1"/>
        <v>296.631</v>
      </c>
      <c r="F1378" s="16">
        <f t="shared" si="28"/>
        <v>92.4285</v>
      </c>
      <c r="G1378" s="26">
        <v>3479.0</v>
      </c>
      <c r="H1378" s="27">
        <v>0.195</v>
      </c>
      <c r="I1378" s="45">
        <f t="shared" si="38"/>
        <v>838.305</v>
      </c>
      <c r="J1378" s="25">
        <v>190.0</v>
      </c>
      <c r="K1378" s="16">
        <f t="shared" si="4"/>
        <v>-597.3645</v>
      </c>
      <c r="L1378" s="19">
        <f t="shared" si="5"/>
        <v>-0.1717058063</v>
      </c>
      <c r="M1378" s="16">
        <f t="shared" si="6"/>
        <v>2881.6355</v>
      </c>
      <c r="N1378" s="20" t="s">
        <v>1660</v>
      </c>
    </row>
    <row r="1379">
      <c r="A1379" s="22"/>
      <c r="B1379" s="54" t="s">
        <v>2332</v>
      </c>
      <c r="C1379" s="24"/>
      <c r="D1379" s="25">
        <v>1076.0</v>
      </c>
      <c r="E1379" s="16">
        <f t="shared" si="1"/>
        <v>74.244</v>
      </c>
      <c r="F1379" s="16">
        <f t="shared" si="28"/>
        <v>23.134</v>
      </c>
      <c r="G1379" s="26">
        <v>700.0</v>
      </c>
      <c r="H1379" s="27">
        <v>0.18</v>
      </c>
      <c r="I1379" s="28">
        <f t="shared" si="38"/>
        <v>193.68</v>
      </c>
      <c r="J1379" s="25">
        <v>74.0</v>
      </c>
      <c r="K1379" s="16">
        <f t="shared" si="4"/>
        <v>10.942</v>
      </c>
      <c r="L1379" s="19">
        <f t="shared" si="5"/>
        <v>0.01563142857</v>
      </c>
      <c r="M1379" s="16">
        <f t="shared" si="6"/>
        <v>710.942</v>
      </c>
      <c r="N1379" s="24"/>
    </row>
    <row r="1380">
      <c r="A1380" s="22"/>
      <c r="B1380" s="54" t="s">
        <v>2333</v>
      </c>
      <c r="C1380" s="24"/>
      <c r="D1380" s="25">
        <v>2691.0</v>
      </c>
      <c r="E1380" s="16">
        <f t="shared" si="1"/>
        <v>185.679</v>
      </c>
      <c r="F1380" s="16">
        <f t="shared" si="28"/>
        <v>57.8565</v>
      </c>
      <c r="G1380" s="26">
        <v>1885.07</v>
      </c>
      <c r="H1380" s="27">
        <v>0.15</v>
      </c>
      <c r="I1380" s="45">
        <f t="shared" si="38"/>
        <v>403.65</v>
      </c>
      <c r="J1380" s="25">
        <v>222.0</v>
      </c>
      <c r="K1380" s="16">
        <f t="shared" si="4"/>
        <v>-63.2555</v>
      </c>
      <c r="L1380" s="19">
        <f t="shared" si="5"/>
        <v>-0.03355604832</v>
      </c>
      <c r="M1380" s="16">
        <f t="shared" si="6"/>
        <v>1821.8145</v>
      </c>
      <c r="N1380" s="24"/>
    </row>
    <row r="1381">
      <c r="A1381" s="22"/>
      <c r="B1381" s="54" t="s">
        <v>1279</v>
      </c>
      <c r="C1381" s="24"/>
      <c r="D1381" s="29">
        <v>883.0</v>
      </c>
      <c r="E1381" s="16">
        <f t="shared" si="1"/>
        <v>60.927</v>
      </c>
      <c r="F1381" s="16">
        <f t="shared" si="28"/>
        <v>18.9845</v>
      </c>
      <c r="G1381" s="32">
        <v>620.0</v>
      </c>
      <c r="H1381" s="18">
        <v>0.15</v>
      </c>
      <c r="I1381" s="16">
        <f t="shared" si="38"/>
        <v>132.45</v>
      </c>
      <c r="J1381" s="29">
        <v>79.5</v>
      </c>
      <c r="K1381" s="16">
        <f t="shared" si="4"/>
        <v>-28.8615</v>
      </c>
      <c r="L1381" s="19">
        <f t="shared" si="5"/>
        <v>-0.04655080645</v>
      </c>
      <c r="M1381" s="16">
        <f t="shared" si="6"/>
        <v>591.1385</v>
      </c>
      <c r="N1381" s="24"/>
    </row>
    <row r="1382">
      <c r="A1382" s="22"/>
      <c r="B1382" s="54" t="s">
        <v>2334</v>
      </c>
      <c r="C1382" s="24"/>
      <c r="D1382" s="25">
        <v>4599.0</v>
      </c>
      <c r="E1382" s="16">
        <f t="shared" si="1"/>
        <v>317.331</v>
      </c>
      <c r="F1382" s="16">
        <f t="shared" si="28"/>
        <v>98.8785</v>
      </c>
      <c r="G1382" s="26">
        <v>3316.27</v>
      </c>
      <c r="H1382" s="27">
        <v>0.15</v>
      </c>
      <c r="I1382" s="28">
        <f t="shared" si="38"/>
        <v>689.85</v>
      </c>
      <c r="J1382" s="25">
        <v>165.0</v>
      </c>
      <c r="K1382" s="16">
        <f t="shared" si="4"/>
        <v>11.6705</v>
      </c>
      <c r="L1382" s="19">
        <f t="shared" si="5"/>
        <v>0.003519164604</v>
      </c>
      <c r="M1382" s="16">
        <f t="shared" si="6"/>
        <v>3327.9405</v>
      </c>
      <c r="N1382" s="24"/>
    </row>
    <row r="1383">
      <c r="A1383" s="22"/>
      <c r="B1383" s="54" t="s">
        <v>2335</v>
      </c>
      <c r="C1383" s="24"/>
      <c r="D1383" s="25">
        <v>4669.0</v>
      </c>
      <c r="E1383" s="16">
        <f t="shared" si="1"/>
        <v>322.161</v>
      </c>
      <c r="F1383" s="16">
        <f t="shared" si="28"/>
        <v>100.3835</v>
      </c>
      <c r="G1383" s="26">
        <v>3511.71</v>
      </c>
      <c r="H1383" s="27">
        <v>0.145</v>
      </c>
      <c r="I1383" s="45">
        <f t="shared" si="38"/>
        <v>677.005</v>
      </c>
      <c r="J1383" s="25">
        <v>223.0</v>
      </c>
      <c r="K1383" s="16">
        <f t="shared" si="4"/>
        <v>-165.2595</v>
      </c>
      <c r="L1383" s="19">
        <f t="shared" si="5"/>
        <v>-0.04705955218</v>
      </c>
      <c r="M1383" s="16">
        <f t="shared" si="6"/>
        <v>3346.4505</v>
      </c>
      <c r="N1383" s="24"/>
    </row>
    <row r="1384">
      <c r="A1384" s="22"/>
      <c r="B1384" s="54" t="s">
        <v>2336</v>
      </c>
      <c r="C1384" s="25" t="s">
        <v>2337</v>
      </c>
      <c r="D1384" s="25">
        <v>349.0</v>
      </c>
      <c r="E1384" s="16">
        <f t="shared" si="1"/>
        <v>24.081</v>
      </c>
      <c r="F1384" s="16">
        <f t="shared" si="28"/>
        <v>7.5035</v>
      </c>
      <c r="G1384" s="26">
        <v>218.0</v>
      </c>
      <c r="H1384" s="27">
        <v>0.1</v>
      </c>
      <c r="I1384" s="28">
        <f t="shared" si="38"/>
        <v>34.9</v>
      </c>
      <c r="J1384" s="25">
        <v>52.0</v>
      </c>
      <c r="K1384" s="16">
        <f t="shared" si="4"/>
        <v>12.5155</v>
      </c>
      <c r="L1384" s="19">
        <f t="shared" si="5"/>
        <v>0.05741055046</v>
      </c>
      <c r="M1384" s="16">
        <f t="shared" si="6"/>
        <v>230.5155</v>
      </c>
      <c r="N1384" s="24"/>
    </row>
    <row r="1385">
      <c r="A1385" s="22"/>
      <c r="B1385" s="54" t="s">
        <v>2338</v>
      </c>
      <c r="C1385" s="24"/>
      <c r="D1385" s="25">
        <v>1899.0</v>
      </c>
      <c r="E1385" s="16">
        <f t="shared" si="1"/>
        <v>131.031</v>
      </c>
      <c r="F1385" s="16">
        <f t="shared" si="28"/>
        <v>40.8285</v>
      </c>
      <c r="G1385" s="26">
        <v>1360.0</v>
      </c>
      <c r="H1385" s="27">
        <v>0.15</v>
      </c>
      <c r="I1385" s="45">
        <f t="shared" si="38"/>
        <v>284.85</v>
      </c>
      <c r="J1385" s="25">
        <v>122.0</v>
      </c>
      <c r="K1385" s="16">
        <f t="shared" si="4"/>
        <v>-39.7095</v>
      </c>
      <c r="L1385" s="19">
        <f t="shared" si="5"/>
        <v>-0.02919816176</v>
      </c>
      <c r="M1385" s="16">
        <f t="shared" si="6"/>
        <v>1320.2905</v>
      </c>
      <c r="N1385" s="24"/>
    </row>
    <row r="1386">
      <c r="A1386" s="22"/>
      <c r="B1386" s="23" t="s">
        <v>2339</v>
      </c>
      <c r="C1386" s="24"/>
      <c r="D1386" s="25">
        <v>1799.0</v>
      </c>
      <c r="E1386" s="16">
        <f t="shared" si="1"/>
        <v>124.131</v>
      </c>
      <c r="F1386" s="16">
        <f t="shared" si="28"/>
        <v>38.6785</v>
      </c>
      <c r="G1386" s="26">
        <v>1300.0</v>
      </c>
      <c r="H1386" s="27">
        <v>0.1</v>
      </c>
      <c r="I1386" s="45">
        <f t="shared" si="38"/>
        <v>179.9</v>
      </c>
      <c r="J1386" s="25">
        <v>84.0</v>
      </c>
      <c r="K1386" s="16">
        <f t="shared" si="4"/>
        <v>72.2905</v>
      </c>
      <c r="L1386" s="19">
        <f t="shared" si="5"/>
        <v>0.05560807692</v>
      </c>
      <c r="M1386" s="16">
        <f t="shared" si="6"/>
        <v>1372.2905</v>
      </c>
      <c r="N1386" s="24"/>
    </row>
    <row r="1387">
      <c r="A1387" s="22"/>
      <c r="B1387" s="23" t="s">
        <v>2340</v>
      </c>
      <c r="C1387" s="25" t="s">
        <v>2341</v>
      </c>
      <c r="D1387" s="25">
        <v>1299.0</v>
      </c>
      <c r="E1387" s="16">
        <f t="shared" si="1"/>
        <v>89.631</v>
      </c>
      <c r="F1387" s="16">
        <f t="shared" si="28"/>
        <v>27.9285</v>
      </c>
      <c r="G1387" s="26">
        <v>888.51</v>
      </c>
      <c r="H1387" s="27">
        <v>0.1</v>
      </c>
      <c r="I1387" s="45">
        <f t="shared" si="38"/>
        <v>129.9</v>
      </c>
      <c r="J1387" s="25">
        <v>84.0</v>
      </c>
      <c r="K1387" s="16">
        <f t="shared" si="4"/>
        <v>79.0305</v>
      </c>
      <c r="L1387" s="19">
        <f t="shared" si="5"/>
        <v>0.08894722626</v>
      </c>
      <c r="M1387" s="16">
        <f t="shared" si="6"/>
        <v>967.5405</v>
      </c>
      <c r="N1387" s="24"/>
    </row>
    <row r="1388">
      <c r="A1388" s="22"/>
      <c r="B1388" s="23" t="s">
        <v>2342</v>
      </c>
      <c r="C1388" s="24"/>
      <c r="D1388" s="25">
        <v>2499.0</v>
      </c>
      <c r="E1388" s="16">
        <f t="shared" si="1"/>
        <v>172.431</v>
      </c>
      <c r="F1388" s="16">
        <f t="shared" si="28"/>
        <v>53.7285</v>
      </c>
      <c r="G1388" s="26">
        <v>1622.54</v>
      </c>
      <c r="H1388" s="27">
        <v>0.15</v>
      </c>
      <c r="I1388" s="45">
        <f t="shared" si="38"/>
        <v>374.85</v>
      </c>
      <c r="J1388" s="25">
        <v>122.5</v>
      </c>
      <c r="K1388" s="16">
        <f t="shared" si="4"/>
        <v>152.9505</v>
      </c>
      <c r="L1388" s="19">
        <f t="shared" si="5"/>
        <v>0.09426608897</v>
      </c>
      <c r="M1388" s="16">
        <f t="shared" si="6"/>
        <v>1775.4905</v>
      </c>
      <c r="N1388" s="24"/>
    </row>
    <row r="1389">
      <c r="A1389" s="22"/>
      <c r="B1389" s="23" t="s">
        <v>2343</v>
      </c>
      <c r="C1389" s="24"/>
      <c r="D1389" s="25">
        <v>1599.0</v>
      </c>
      <c r="E1389" s="16">
        <f t="shared" si="1"/>
        <v>110.331</v>
      </c>
      <c r="F1389" s="16">
        <f t="shared" si="28"/>
        <v>34.3785</v>
      </c>
      <c r="G1389" s="35">
        <v>1203.689025369979</v>
      </c>
      <c r="H1389" s="27">
        <v>0.1</v>
      </c>
      <c r="I1389" s="45">
        <f t="shared" si="38"/>
        <v>159.9</v>
      </c>
      <c r="J1389" s="25">
        <v>65.5</v>
      </c>
      <c r="K1389" s="16">
        <f t="shared" si="4"/>
        <v>25.20147463</v>
      </c>
      <c r="L1389" s="19">
        <f t="shared" si="5"/>
        <v>0.020936865</v>
      </c>
      <c r="M1389" s="16">
        <f t="shared" si="6"/>
        <v>1228.8905</v>
      </c>
      <c r="N1389" s="24"/>
    </row>
    <row r="1390">
      <c r="A1390" s="22"/>
      <c r="B1390" s="23" t="s">
        <v>2344</v>
      </c>
      <c r="C1390" s="25" t="s">
        <v>2345</v>
      </c>
      <c r="D1390" s="25">
        <v>4499.0</v>
      </c>
      <c r="E1390" s="16">
        <f t="shared" si="1"/>
        <v>310.431</v>
      </c>
      <c r="F1390" s="16">
        <f t="shared" si="28"/>
        <v>96.7285</v>
      </c>
      <c r="G1390" s="26">
        <v>3335.34</v>
      </c>
      <c r="H1390" s="27">
        <v>0.18</v>
      </c>
      <c r="I1390" s="45">
        <f t="shared" si="38"/>
        <v>809.82</v>
      </c>
      <c r="J1390" s="25">
        <v>103.0</v>
      </c>
      <c r="K1390" s="16">
        <f t="shared" si="4"/>
        <v>-156.3195</v>
      </c>
      <c r="L1390" s="19">
        <f t="shared" si="5"/>
        <v>-0.04686763568</v>
      </c>
      <c r="M1390" s="16">
        <f t="shared" si="6"/>
        <v>3179.0205</v>
      </c>
      <c r="N1390" s="24"/>
    </row>
    <row r="1391">
      <c r="A1391" s="22"/>
      <c r="B1391" s="23" t="s">
        <v>2346</v>
      </c>
      <c r="C1391" s="25" t="s">
        <v>2347</v>
      </c>
      <c r="D1391" s="25">
        <v>1780.0</v>
      </c>
      <c r="E1391" s="16">
        <f t="shared" si="1"/>
        <v>122.82</v>
      </c>
      <c r="F1391" s="16">
        <f t="shared" si="28"/>
        <v>38.27</v>
      </c>
      <c r="G1391" s="26">
        <v>1274.67</v>
      </c>
      <c r="H1391" s="27">
        <v>0.15</v>
      </c>
      <c r="I1391" s="45">
        <f t="shared" si="38"/>
        <v>267</v>
      </c>
      <c r="J1391" s="25">
        <v>74.0</v>
      </c>
      <c r="K1391" s="16">
        <f t="shared" si="4"/>
        <v>3.24</v>
      </c>
      <c r="L1391" s="19">
        <f t="shared" si="5"/>
        <v>0.002541834357</v>
      </c>
      <c r="M1391" s="16">
        <f t="shared" si="6"/>
        <v>1277.91</v>
      </c>
      <c r="N1391" s="24"/>
    </row>
    <row r="1392">
      <c r="A1392" s="22"/>
      <c r="B1392" s="39" t="s">
        <v>2348</v>
      </c>
      <c r="C1392" s="25" t="s">
        <v>2349</v>
      </c>
      <c r="D1392" s="25">
        <v>4199.0</v>
      </c>
      <c r="E1392" s="16">
        <f t="shared" si="1"/>
        <v>289.731</v>
      </c>
      <c r="F1392" s="16">
        <f t="shared" si="28"/>
        <v>90.2785</v>
      </c>
      <c r="G1392" s="26">
        <v>2858.85</v>
      </c>
      <c r="H1392" s="27">
        <v>0.15</v>
      </c>
      <c r="I1392" s="45">
        <f t="shared" si="38"/>
        <v>629.85</v>
      </c>
      <c r="J1392" s="25">
        <v>122.5</v>
      </c>
      <c r="K1392" s="16">
        <f t="shared" si="4"/>
        <v>207.7905</v>
      </c>
      <c r="L1392" s="19">
        <f t="shared" si="5"/>
        <v>0.07268324676</v>
      </c>
      <c r="M1392" s="16">
        <f t="shared" si="6"/>
        <v>3066.6405</v>
      </c>
      <c r="N1392" s="24"/>
    </row>
    <row r="1393">
      <c r="A1393" s="22"/>
      <c r="B1393" s="39" t="s">
        <v>2350</v>
      </c>
      <c r="C1393" s="25" t="s">
        <v>2351</v>
      </c>
      <c r="D1393" s="25">
        <v>663.0</v>
      </c>
      <c r="E1393" s="16">
        <f t="shared" si="1"/>
        <v>45.747</v>
      </c>
      <c r="F1393" s="16">
        <f t="shared" si="28"/>
        <v>14.2545</v>
      </c>
      <c r="G1393" s="26">
        <v>314.12</v>
      </c>
      <c r="H1393" s="27">
        <v>0.1</v>
      </c>
      <c r="I1393" s="45">
        <f t="shared" si="38"/>
        <v>66.3</v>
      </c>
      <c r="J1393" s="25">
        <v>70.0</v>
      </c>
      <c r="K1393" s="16">
        <f t="shared" si="4"/>
        <v>152.5785</v>
      </c>
      <c r="L1393" s="19">
        <f t="shared" si="5"/>
        <v>0.4857331593</v>
      </c>
      <c r="M1393" s="16">
        <f t="shared" si="6"/>
        <v>466.6985</v>
      </c>
      <c r="N1393" s="24"/>
    </row>
    <row r="1394">
      <c r="A1394" s="22"/>
      <c r="B1394" s="39" t="s">
        <v>2352</v>
      </c>
      <c r="C1394" s="25" t="s">
        <v>2353</v>
      </c>
      <c r="D1394" s="25">
        <v>1745.0</v>
      </c>
      <c r="E1394" s="16">
        <f t="shared" si="1"/>
        <v>120.405</v>
      </c>
      <c r="F1394" s="16">
        <f t="shared" si="28"/>
        <v>37.5175</v>
      </c>
      <c r="G1394" s="26">
        <v>936.83</v>
      </c>
      <c r="H1394" s="27">
        <v>0.195</v>
      </c>
      <c r="I1394" s="45">
        <f t="shared" si="38"/>
        <v>340.275</v>
      </c>
      <c r="J1394" s="25">
        <v>122.5</v>
      </c>
      <c r="K1394" s="16">
        <f t="shared" si="4"/>
        <v>187.4725</v>
      </c>
      <c r="L1394" s="19">
        <f t="shared" si="5"/>
        <v>0.2001136812</v>
      </c>
      <c r="M1394" s="16">
        <f t="shared" si="6"/>
        <v>1124.3025</v>
      </c>
      <c r="N1394" s="24"/>
    </row>
    <row r="1395">
      <c r="A1395" s="22"/>
      <c r="B1395" s="39" t="s">
        <v>2354</v>
      </c>
      <c r="C1395" s="25" t="s">
        <v>2355</v>
      </c>
      <c r="D1395" s="25">
        <v>633.0</v>
      </c>
      <c r="E1395" s="16">
        <f t="shared" si="1"/>
        <v>43.677</v>
      </c>
      <c r="F1395" s="16">
        <f t="shared" si="28"/>
        <v>13.6095</v>
      </c>
      <c r="G1395" s="26">
        <v>455.0</v>
      </c>
      <c r="H1395" s="27">
        <v>0.1</v>
      </c>
      <c r="I1395" s="45">
        <f t="shared" si="38"/>
        <v>63.3</v>
      </c>
      <c r="J1395" s="25">
        <v>84.5</v>
      </c>
      <c r="K1395" s="16">
        <f t="shared" si="4"/>
        <v>-27.0865</v>
      </c>
      <c r="L1395" s="19">
        <f t="shared" si="5"/>
        <v>-0.05953076923</v>
      </c>
      <c r="M1395" s="16">
        <f t="shared" si="6"/>
        <v>427.9135</v>
      </c>
      <c r="N1395" s="24"/>
    </row>
    <row r="1396">
      <c r="A1396" s="22"/>
      <c r="B1396" s="23" t="s">
        <v>2356</v>
      </c>
      <c r="C1396" s="25" t="s">
        <v>2357</v>
      </c>
      <c r="D1396" s="24"/>
      <c r="E1396" s="16">
        <f t="shared" si="1"/>
        <v>0</v>
      </c>
      <c r="F1396" s="16">
        <f t="shared" si="28"/>
        <v>0</v>
      </c>
      <c r="G1396" s="35"/>
      <c r="H1396" s="27">
        <v>0.1</v>
      </c>
      <c r="I1396" s="45">
        <f t="shared" si="38"/>
        <v>0</v>
      </c>
      <c r="J1396" s="25">
        <v>122.5</v>
      </c>
      <c r="K1396" s="16">
        <f t="shared" si="4"/>
        <v>-122.5</v>
      </c>
      <c r="L1396" s="19" t="str">
        <f t="shared" si="5"/>
        <v>#DIV/0!</v>
      </c>
      <c r="M1396" s="16">
        <f t="shared" si="6"/>
        <v>-122.5</v>
      </c>
      <c r="N1396" s="24"/>
    </row>
    <row r="1397">
      <c r="A1397" s="22"/>
      <c r="B1397" s="23" t="s">
        <v>2358</v>
      </c>
      <c r="C1397" s="25" t="s">
        <v>2357</v>
      </c>
      <c r="D1397" s="24"/>
      <c r="E1397" s="16">
        <f t="shared" si="1"/>
        <v>0</v>
      </c>
      <c r="F1397" s="16">
        <f t="shared" si="28"/>
        <v>0</v>
      </c>
      <c r="G1397" s="35"/>
      <c r="H1397" s="27">
        <v>0.1</v>
      </c>
      <c r="I1397" s="45">
        <f t="shared" si="38"/>
        <v>0</v>
      </c>
      <c r="J1397" s="25">
        <v>122.5</v>
      </c>
      <c r="K1397" s="16">
        <f t="shared" si="4"/>
        <v>-122.5</v>
      </c>
      <c r="L1397" s="19" t="str">
        <f t="shared" si="5"/>
        <v>#DIV/0!</v>
      </c>
      <c r="M1397" s="16">
        <f t="shared" si="6"/>
        <v>-122.5</v>
      </c>
      <c r="N1397" s="24"/>
    </row>
    <row r="1398">
      <c r="A1398" s="22"/>
      <c r="B1398" s="39" t="s">
        <v>2359</v>
      </c>
      <c r="C1398" s="55" t="s">
        <v>2360</v>
      </c>
      <c r="D1398" s="25">
        <v>1849.0</v>
      </c>
      <c r="E1398" s="16">
        <f t="shared" si="1"/>
        <v>127.581</v>
      </c>
      <c r="F1398" s="16">
        <f t="shared" si="28"/>
        <v>39.7535</v>
      </c>
      <c r="G1398" s="26">
        <v>1289.0</v>
      </c>
      <c r="H1398" s="27">
        <v>0.15</v>
      </c>
      <c r="I1398" s="45">
        <f t="shared" si="38"/>
        <v>277.35</v>
      </c>
      <c r="J1398" s="25">
        <v>122.5</v>
      </c>
      <c r="K1398" s="16">
        <f t="shared" si="4"/>
        <v>-7.1845</v>
      </c>
      <c r="L1398" s="19">
        <f t="shared" si="5"/>
        <v>-0.005573700543</v>
      </c>
      <c r="M1398" s="16">
        <f t="shared" si="6"/>
        <v>1281.8155</v>
      </c>
      <c r="N1398" s="24"/>
    </row>
    <row r="1399">
      <c r="A1399" s="22"/>
      <c r="B1399" s="39" t="s">
        <v>2361</v>
      </c>
      <c r="C1399" s="25" t="s">
        <v>2362</v>
      </c>
      <c r="D1399" s="25">
        <v>2957.0</v>
      </c>
      <c r="E1399" s="16">
        <f t="shared" si="1"/>
        <v>204.033</v>
      </c>
      <c r="F1399" s="16">
        <f t="shared" si="28"/>
        <v>63.5755</v>
      </c>
      <c r="G1399" s="26">
        <v>1980.97</v>
      </c>
      <c r="H1399" s="27">
        <v>0.195</v>
      </c>
      <c r="I1399" s="45">
        <f t="shared" si="38"/>
        <v>576.615</v>
      </c>
      <c r="J1399" s="25">
        <v>139.5</v>
      </c>
      <c r="K1399" s="16">
        <f t="shared" si="4"/>
        <v>-7.6935</v>
      </c>
      <c r="L1399" s="19">
        <f t="shared" si="5"/>
        <v>-0.003883703438</v>
      </c>
      <c r="M1399" s="16">
        <f t="shared" si="6"/>
        <v>1973.2765</v>
      </c>
      <c r="N1399" s="24"/>
    </row>
    <row r="1400">
      <c r="A1400" s="22"/>
      <c r="B1400" s="39" t="s">
        <v>2363</v>
      </c>
      <c r="C1400" s="25" t="s">
        <v>2364</v>
      </c>
      <c r="D1400" s="25">
        <v>2399.0</v>
      </c>
      <c r="E1400" s="16">
        <f t="shared" si="1"/>
        <v>165.531</v>
      </c>
      <c r="F1400" s="16">
        <f t="shared" si="28"/>
        <v>51.5785</v>
      </c>
      <c r="G1400" s="26">
        <v>1349.49</v>
      </c>
      <c r="H1400" s="27">
        <v>0.15</v>
      </c>
      <c r="I1400" s="45">
        <f t="shared" si="38"/>
        <v>359.85</v>
      </c>
      <c r="J1400" s="25">
        <v>139.5</v>
      </c>
      <c r="K1400" s="16">
        <f t="shared" si="4"/>
        <v>333.0505</v>
      </c>
      <c r="L1400" s="19">
        <f t="shared" si="5"/>
        <v>0.2467973086</v>
      </c>
      <c r="M1400" s="16">
        <f t="shared" si="6"/>
        <v>1682.5405</v>
      </c>
      <c r="N1400" s="24"/>
    </row>
    <row r="1401">
      <c r="A1401" s="22"/>
      <c r="B1401" s="39" t="s">
        <v>2365</v>
      </c>
      <c r="C1401" s="25" t="s">
        <v>2366</v>
      </c>
      <c r="D1401" s="25">
        <v>2299.0</v>
      </c>
      <c r="E1401" s="16">
        <f t="shared" si="1"/>
        <v>158.631</v>
      </c>
      <c r="F1401" s="16">
        <f t="shared" si="28"/>
        <v>49.4285</v>
      </c>
      <c r="G1401" s="26">
        <v>1576.29</v>
      </c>
      <c r="H1401" s="27">
        <v>0.15</v>
      </c>
      <c r="I1401" s="45">
        <f t="shared" si="38"/>
        <v>344.85</v>
      </c>
      <c r="J1401" s="25">
        <v>139.5</v>
      </c>
      <c r="K1401" s="16">
        <f t="shared" si="4"/>
        <v>30.3005</v>
      </c>
      <c r="L1401" s="19">
        <f t="shared" si="5"/>
        <v>0.01922266842</v>
      </c>
      <c r="M1401" s="16">
        <f t="shared" si="6"/>
        <v>1606.5905</v>
      </c>
      <c r="N1401" s="24"/>
    </row>
    <row r="1402">
      <c r="A1402" s="22"/>
      <c r="B1402" s="39" t="s">
        <v>2367</v>
      </c>
      <c r="C1402" s="25" t="s">
        <v>2368</v>
      </c>
      <c r="D1402" s="25">
        <v>5870.0</v>
      </c>
      <c r="E1402" s="16">
        <f t="shared" si="1"/>
        <v>405.03</v>
      </c>
      <c r="F1402" s="16">
        <f t="shared" si="28"/>
        <v>126.205</v>
      </c>
      <c r="G1402" s="26">
        <v>4878.53</v>
      </c>
      <c r="H1402" s="27">
        <v>0.15</v>
      </c>
      <c r="I1402" s="45">
        <f t="shared" si="38"/>
        <v>880.5</v>
      </c>
      <c r="J1402" s="25">
        <v>110.0</v>
      </c>
      <c r="K1402" s="16">
        <f t="shared" si="4"/>
        <v>-530.265</v>
      </c>
      <c r="L1402" s="19">
        <f t="shared" si="5"/>
        <v>-0.1086936024</v>
      </c>
      <c r="M1402" s="16">
        <f t="shared" si="6"/>
        <v>4348.265</v>
      </c>
      <c r="N1402" s="24"/>
    </row>
    <row r="1403">
      <c r="A1403" s="22"/>
      <c r="B1403" s="23" t="s">
        <v>2369</v>
      </c>
      <c r="C1403" s="24"/>
      <c r="D1403" s="25">
        <v>1299.0</v>
      </c>
      <c r="E1403" s="16">
        <f t="shared" si="1"/>
        <v>89.631</v>
      </c>
      <c r="F1403" s="16">
        <f t="shared" si="28"/>
        <v>27.9285</v>
      </c>
      <c r="G1403" s="26">
        <v>888.51</v>
      </c>
      <c r="H1403" s="27">
        <v>0.15</v>
      </c>
      <c r="I1403" s="45">
        <f t="shared" si="38"/>
        <v>194.85</v>
      </c>
      <c r="J1403" s="25">
        <v>70.0</v>
      </c>
      <c r="K1403" s="16">
        <f t="shared" si="4"/>
        <v>28.0805</v>
      </c>
      <c r="L1403" s="19">
        <f t="shared" si="5"/>
        <v>0.03160403372</v>
      </c>
      <c r="M1403" s="16">
        <f t="shared" si="6"/>
        <v>916.5905</v>
      </c>
      <c r="N1403" s="24"/>
    </row>
    <row r="1404">
      <c r="A1404" s="22"/>
      <c r="B1404" s="23" t="s">
        <v>2370</v>
      </c>
      <c r="C1404" s="25" t="s">
        <v>2371</v>
      </c>
      <c r="D1404" s="25">
        <v>529.0</v>
      </c>
      <c r="E1404" s="16">
        <f t="shared" si="1"/>
        <v>36.501</v>
      </c>
      <c r="F1404" s="16">
        <f t="shared" si="28"/>
        <v>11.3735</v>
      </c>
      <c r="G1404" s="26">
        <v>359.0</v>
      </c>
      <c r="H1404" s="27">
        <v>0.1</v>
      </c>
      <c r="I1404" s="45">
        <f t="shared" si="38"/>
        <v>52.9</v>
      </c>
      <c r="J1404" s="25">
        <v>65.5</v>
      </c>
      <c r="K1404" s="16">
        <f t="shared" si="4"/>
        <v>3.7255</v>
      </c>
      <c r="L1404" s="19">
        <f t="shared" si="5"/>
        <v>0.01037743733</v>
      </c>
      <c r="M1404" s="16">
        <f t="shared" si="6"/>
        <v>362.7255</v>
      </c>
      <c r="N1404" s="24"/>
    </row>
    <row r="1405">
      <c r="A1405" s="22"/>
      <c r="B1405" s="23" t="s">
        <v>2372</v>
      </c>
      <c r="C1405" s="24"/>
      <c r="D1405" s="25">
        <v>549.0</v>
      </c>
      <c r="E1405" s="16">
        <f t="shared" si="1"/>
        <v>37.881</v>
      </c>
      <c r="F1405" s="16">
        <f t="shared" si="28"/>
        <v>11.8035</v>
      </c>
      <c r="G1405" s="26">
        <v>359.0</v>
      </c>
      <c r="H1405" s="27">
        <v>0.1</v>
      </c>
      <c r="I1405" s="45">
        <f t="shared" si="38"/>
        <v>54.9</v>
      </c>
      <c r="J1405" s="25">
        <v>65.5</v>
      </c>
      <c r="K1405" s="16">
        <f t="shared" si="4"/>
        <v>19.9155</v>
      </c>
      <c r="L1405" s="19">
        <f t="shared" si="5"/>
        <v>0.05547493036</v>
      </c>
      <c r="M1405" s="16">
        <f t="shared" si="6"/>
        <v>378.9155</v>
      </c>
      <c r="N1405" s="24"/>
    </row>
    <row r="1406">
      <c r="A1406" s="22"/>
      <c r="B1406" s="23" t="s">
        <v>2373</v>
      </c>
      <c r="C1406" s="24"/>
      <c r="D1406" s="25">
        <v>549.0</v>
      </c>
      <c r="E1406" s="16">
        <f t="shared" si="1"/>
        <v>37.881</v>
      </c>
      <c r="F1406" s="16">
        <f t="shared" si="28"/>
        <v>11.8035</v>
      </c>
      <c r="G1406" s="26">
        <v>359.0</v>
      </c>
      <c r="H1406" s="27">
        <v>0.1</v>
      </c>
      <c r="I1406" s="45">
        <f t="shared" si="38"/>
        <v>54.9</v>
      </c>
      <c r="J1406" s="25">
        <v>65.5</v>
      </c>
      <c r="K1406" s="16">
        <f t="shared" si="4"/>
        <v>19.9155</v>
      </c>
      <c r="L1406" s="19">
        <f t="shared" si="5"/>
        <v>0.05547493036</v>
      </c>
      <c r="M1406" s="16">
        <f t="shared" si="6"/>
        <v>378.9155</v>
      </c>
      <c r="N1406" s="24"/>
    </row>
    <row r="1407">
      <c r="A1407" s="22"/>
      <c r="B1407" s="23" t="s">
        <v>2374</v>
      </c>
      <c r="C1407" s="24"/>
      <c r="D1407" s="25">
        <v>549.0</v>
      </c>
      <c r="E1407" s="16">
        <f t="shared" si="1"/>
        <v>37.881</v>
      </c>
      <c r="F1407" s="16">
        <f t="shared" si="28"/>
        <v>11.8035</v>
      </c>
      <c r="G1407" s="26">
        <v>359.0</v>
      </c>
      <c r="H1407" s="27">
        <v>0.1</v>
      </c>
      <c r="I1407" s="45">
        <f t="shared" si="38"/>
        <v>54.9</v>
      </c>
      <c r="J1407" s="25">
        <v>65.5</v>
      </c>
      <c r="K1407" s="16">
        <f t="shared" si="4"/>
        <v>19.9155</v>
      </c>
      <c r="L1407" s="19">
        <f t="shared" si="5"/>
        <v>0.05547493036</v>
      </c>
      <c r="M1407" s="16">
        <f t="shared" si="6"/>
        <v>378.9155</v>
      </c>
      <c r="N1407" s="24"/>
    </row>
    <row r="1408">
      <c r="A1408" s="22"/>
      <c r="B1408" s="39" t="s">
        <v>2375</v>
      </c>
      <c r="C1408" s="24"/>
      <c r="D1408" s="24"/>
      <c r="E1408" s="16">
        <f t="shared" si="1"/>
        <v>0</v>
      </c>
      <c r="F1408" s="16">
        <f t="shared" si="28"/>
        <v>0</v>
      </c>
      <c r="G1408" s="35">
        <v>262.9636107407223</v>
      </c>
      <c r="H1408" s="43"/>
      <c r="I1408" s="28"/>
      <c r="J1408" s="24"/>
      <c r="K1408" s="16">
        <f t="shared" si="4"/>
        <v>-262.9636107</v>
      </c>
      <c r="L1408" s="19">
        <f t="shared" si="5"/>
        <v>-1</v>
      </c>
      <c r="M1408" s="16">
        <f t="shared" si="6"/>
        <v>0</v>
      </c>
      <c r="N1408" s="24"/>
    </row>
    <row r="1409">
      <c r="A1409" s="22"/>
      <c r="B1409" s="23" t="s">
        <v>2376</v>
      </c>
      <c r="C1409" s="24"/>
      <c r="D1409" s="24"/>
      <c r="E1409" s="16">
        <f t="shared" si="1"/>
        <v>0</v>
      </c>
      <c r="F1409" s="16">
        <f t="shared" si="28"/>
        <v>0</v>
      </c>
      <c r="G1409" s="35">
        <v>262.9636107407223</v>
      </c>
      <c r="H1409" s="43"/>
      <c r="I1409" s="28"/>
      <c r="J1409" s="24"/>
      <c r="K1409" s="16">
        <f t="shared" si="4"/>
        <v>-262.9636107</v>
      </c>
      <c r="L1409" s="19">
        <f t="shared" si="5"/>
        <v>-1</v>
      </c>
      <c r="M1409" s="16">
        <f t="shared" si="6"/>
        <v>0</v>
      </c>
      <c r="N1409" s="24"/>
    </row>
    <row r="1410">
      <c r="A1410" s="22"/>
      <c r="B1410" s="39" t="s">
        <v>2377</v>
      </c>
      <c r="C1410" s="24"/>
      <c r="D1410" s="24"/>
      <c r="E1410" s="16">
        <f t="shared" si="1"/>
        <v>0</v>
      </c>
      <c r="F1410" s="16">
        <f t="shared" si="28"/>
        <v>0</v>
      </c>
      <c r="G1410" s="26">
        <v>638.63</v>
      </c>
      <c r="H1410" s="43"/>
      <c r="I1410" s="28"/>
      <c r="J1410" s="24"/>
      <c r="K1410" s="16">
        <f t="shared" si="4"/>
        <v>-638.63</v>
      </c>
      <c r="L1410" s="19">
        <f t="shared" si="5"/>
        <v>-1</v>
      </c>
      <c r="M1410" s="16">
        <f t="shared" si="6"/>
        <v>0</v>
      </c>
      <c r="N1410" s="24"/>
    </row>
    <row r="1411">
      <c r="A1411" s="22"/>
      <c r="B1411" s="39" t="s">
        <v>2378</v>
      </c>
      <c r="C1411" s="24"/>
      <c r="D1411" s="24"/>
      <c r="E1411" s="16">
        <f t="shared" si="1"/>
        <v>0</v>
      </c>
      <c r="F1411" s="16">
        <f t="shared" si="28"/>
        <v>0</v>
      </c>
      <c r="G1411" s="35">
        <v>340.9112643549729</v>
      </c>
      <c r="H1411" s="43"/>
      <c r="I1411" s="28"/>
      <c r="J1411" s="24"/>
      <c r="K1411" s="16">
        <f t="shared" si="4"/>
        <v>-340.9112644</v>
      </c>
      <c r="L1411" s="19">
        <f t="shared" si="5"/>
        <v>-1</v>
      </c>
      <c r="M1411" s="16">
        <f t="shared" si="6"/>
        <v>0</v>
      </c>
      <c r="N1411" s="24"/>
    </row>
    <row r="1412">
      <c r="A1412" s="22"/>
      <c r="B1412" s="39" t="s">
        <v>2379</v>
      </c>
      <c r="C1412" s="24"/>
      <c r="D1412" s="24"/>
      <c r="E1412" s="16">
        <f t="shared" si="1"/>
        <v>0</v>
      </c>
      <c r="F1412" s="16">
        <f t="shared" si="28"/>
        <v>0</v>
      </c>
      <c r="G1412" s="26">
        <v>150.0</v>
      </c>
      <c r="H1412" s="43"/>
      <c r="I1412" s="28"/>
      <c r="J1412" s="24"/>
      <c r="K1412" s="16">
        <f t="shared" si="4"/>
        <v>-150</v>
      </c>
      <c r="L1412" s="19">
        <f t="shared" si="5"/>
        <v>-1</v>
      </c>
      <c r="M1412" s="16">
        <f t="shared" si="6"/>
        <v>0</v>
      </c>
      <c r="N1412" s="24"/>
    </row>
    <row r="1413">
      <c r="A1413" s="22"/>
      <c r="B1413" s="39" t="s">
        <v>2380</v>
      </c>
      <c r="C1413" s="24"/>
      <c r="D1413" s="25">
        <v>799.0</v>
      </c>
      <c r="E1413" s="16">
        <f t="shared" si="1"/>
        <v>55.131</v>
      </c>
      <c r="F1413" s="16">
        <f t="shared" si="28"/>
        <v>17.1785</v>
      </c>
      <c r="G1413" s="35">
        <v>590.6819513673498</v>
      </c>
      <c r="H1413" s="43"/>
      <c r="I1413" s="28"/>
      <c r="J1413" s="24"/>
      <c r="K1413" s="16">
        <f t="shared" si="4"/>
        <v>136.0085486</v>
      </c>
      <c r="L1413" s="19">
        <f t="shared" si="5"/>
        <v>0.2302568215</v>
      </c>
      <c r="M1413" s="16">
        <f t="shared" si="6"/>
        <v>726.6905</v>
      </c>
      <c r="N1413" s="24"/>
    </row>
    <row r="1414">
      <c r="A1414" s="22"/>
      <c r="B1414" s="23" t="s">
        <v>2110</v>
      </c>
      <c r="C1414" s="24"/>
      <c r="D1414" s="24"/>
      <c r="E1414" s="16">
        <f t="shared" si="1"/>
        <v>0</v>
      </c>
      <c r="F1414" s="16">
        <f t="shared" si="28"/>
        <v>0</v>
      </c>
      <c r="G1414" s="35">
        <v>590.6819513673498</v>
      </c>
      <c r="H1414" s="43"/>
      <c r="I1414" s="28"/>
      <c r="J1414" s="24"/>
      <c r="K1414" s="16">
        <f t="shared" si="4"/>
        <v>-590.6819514</v>
      </c>
      <c r="L1414" s="19">
        <f t="shared" si="5"/>
        <v>-1</v>
      </c>
      <c r="M1414" s="16">
        <f t="shared" si="6"/>
        <v>0</v>
      </c>
      <c r="N1414" s="24"/>
    </row>
    <row r="1415">
      <c r="A1415" s="22"/>
      <c r="B1415" s="39" t="s">
        <v>2381</v>
      </c>
      <c r="C1415" s="24"/>
      <c r="D1415" s="24"/>
      <c r="E1415" s="16">
        <f t="shared" si="1"/>
        <v>0</v>
      </c>
      <c r="F1415" s="16">
        <f t="shared" si="28"/>
        <v>0</v>
      </c>
      <c r="G1415" s="26">
        <v>1300.0</v>
      </c>
      <c r="H1415" s="27">
        <v>0.15</v>
      </c>
      <c r="I1415" s="45">
        <f>H1415*D1415</f>
        <v>0</v>
      </c>
      <c r="J1415" s="25">
        <v>65.5</v>
      </c>
      <c r="K1415" s="16">
        <f t="shared" si="4"/>
        <v>-1365.5</v>
      </c>
      <c r="L1415" s="19">
        <f t="shared" si="5"/>
        <v>-1.050384615</v>
      </c>
      <c r="M1415" s="16">
        <f t="shared" si="6"/>
        <v>-65.5</v>
      </c>
      <c r="N1415" s="24"/>
    </row>
    <row r="1416">
      <c r="A1416" s="22"/>
      <c r="B1416" s="39" t="s">
        <v>2382</v>
      </c>
      <c r="C1416" s="24"/>
      <c r="D1416" s="24"/>
      <c r="E1416" s="16">
        <f t="shared" si="1"/>
        <v>0</v>
      </c>
      <c r="F1416" s="16">
        <f t="shared" si="28"/>
        <v>0</v>
      </c>
      <c r="G1416" s="26">
        <v>218.0</v>
      </c>
      <c r="H1416" s="43"/>
      <c r="I1416" s="28"/>
      <c r="J1416" s="24"/>
      <c r="K1416" s="16">
        <f t="shared" si="4"/>
        <v>-218</v>
      </c>
      <c r="L1416" s="19">
        <f t="shared" si="5"/>
        <v>-1</v>
      </c>
      <c r="M1416" s="16">
        <f t="shared" si="6"/>
        <v>0</v>
      </c>
      <c r="N1416" s="24"/>
    </row>
    <row r="1417">
      <c r="A1417" s="22"/>
      <c r="B1417" s="39" t="s">
        <v>2383</v>
      </c>
      <c r="C1417" s="24"/>
      <c r="D1417" s="24"/>
      <c r="E1417" s="16">
        <f t="shared" si="1"/>
        <v>0</v>
      </c>
      <c r="F1417" s="16">
        <f t="shared" si="28"/>
        <v>0</v>
      </c>
      <c r="G1417" s="26">
        <v>341.01</v>
      </c>
      <c r="H1417" s="43"/>
      <c r="I1417" s="28"/>
      <c r="J1417" s="24"/>
      <c r="K1417" s="16">
        <f t="shared" si="4"/>
        <v>-341.01</v>
      </c>
      <c r="L1417" s="19">
        <f t="shared" si="5"/>
        <v>-1</v>
      </c>
      <c r="M1417" s="16">
        <f t="shared" si="6"/>
        <v>0</v>
      </c>
      <c r="N1417" s="24"/>
    </row>
    <row r="1418">
      <c r="A1418" s="22"/>
      <c r="B1418" s="39" t="s">
        <v>2384</v>
      </c>
      <c r="C1418" s="24"/>
      <c r="D1418" s="24"/>
      <c r="E1418" s="16">
        <f t="shared" si="1"/>
        <v>0</v>
      </c>
      <c r="F1418" s="16">
        <f t="shared" si="28"/>
        <v>0</v>
      </c>
      <c r="G1418" s="35">
        <v>775.7518624641833</v>
      </c>
      <c r="H1418" s="43"/>
      <c r="I1418" s="28"/>
      <c r="J1418" s="24"/>
      <c r="K1418" s="16">
        <f t="shared" si="4"/>
        <v>-775.7518625</v>
      </c>
      <c r="L1418" s="19">
        <f t="shared" si="5"/>
        <v>-1</v>
      </c>
      <c r="M1418" s="16">
        <f t="shared" si="6"/>
        <v>0</v>
      </c>
      <c r="N1418" s="24"/>
    </row>
    <row r="1419">
      <c r="A1419" s="22"/>
      <c r="B1419" s="23" t="s">
        <v>2385</v>
      </c>
      <c r="C1419" s="25" t="s">
        <v>2386</v>
      </c>
      <c r="D1419" s="24"/>
      <c r="E1419" s="16">
        <f t="shared" si="1"/>
        <v>0</v>
      </c>
      <c r="F1419" s="16">
        <f t="shared" si="28"/>
        <v>0</v>
      </c>
      <c r="G1419" s="35">
        <v>14050.16</v>
      </c>
      <c r="H1419" s="43"/>
      <c r="I1419" s="28"/>
      <c r="J1419" s="24"/>
      <c r="K1419" s="16">
        <f t="shared" si="4"/>
        <v>-14050.16</v>
      </c>
      <c r="L1419" s="19">
        <f t="shared" si="5"/>
        <v>-1</v>
      </c>
      <c r="M1419" s="16">
        <f t="shared" si="6"/>
        <v>0</v>
      </c>
      <c r="N1419" s="24"/>
    </row>
    <row r="1420">
      <c r="A1420" s="22"/>
      <c r="B1420" s="23" t="s">
        <v>2387</v>
      </c>
      <c r="C1420" s="24"/>
      <c r="D1420" s="24"/>
      <c r="E1420" s="16">
        <f t="shared" si="1"/>
        <v>0</v>
      </c>
      <c r="F1420" s="16">
        <f t="shared" si="28"/>
        <v>0</v>
      </c>
      <c r="G1420" s="26">
        <v>1980.97</v>
      </c>
      <c r="H1420" s="43"/>
      <c r="I1420" s="28"/>
      <c r="J1420" s="24"/>
      <c r="K1420" s="16">
        <f t="shared" si="4"/>
        <v>-1980.97</v>
      </c>
      <c r="L1420" s="19">
        <f t="shared" si="5"/>
        <v>-1</v>
      </c>
      <c r="M1420" s="16">
        <f t="shared" si="6"/>
        <v>0</v>
      </c>
      <c r="N1420" s="24"/>
    </row>
    <row r="1421">
      <c r="A1421" s="22"/>
      <c r="B1421" s="23" t="s">
        <v>2388</v>
      </c>
      <c r="C1421" s="25" t="s">
        <v>2389</v>
      </c>
      <c r="D1421" s="25">
        <v>2170.0</v>
      </c>
      <c r="E1421" s="16">
        <f t="shared" si="1"/>
        <v>149.73</v>
      </c>
      <c r="F1421" s="16">
        <f t="shared" si="28"/>
        <v>46.655</v>
      </c>
      <c r="G1421" s="35">
        <v>2663.508080761988</v>
      </c>
      <c r="H1421" s="43"/>
      <c r="I1421" s="28"/>
      <c r="J1421" s="24"/>
      <c r="K1421" s="16">
        <f t="shared" si="4"/>
        <v>-689.8930808</v>
      </c>
      <c r="L1421" s="19">
        <f t="shared" si="5"/>
        <v>-0.2590167027</v>
      </c>
      <c r="M1421" s="16">
        <f t="shared" si="6"/>
        <v>1973.615</v>
      </c>
      <c r="N1421" s="24"/>
    </row>
    <row r="1422">
      <c r="A1422" s="22"/>
      <c r="B1422" s="23" t="s">
        <v>2390</v>
      </c>
      <c r="C1422" s="25" t="s">
        <v>2389</v>
      </c>
      <c r="D1422" s="24"/>
      <c r="E1422" s="16">
        <f t="shared" si="1"/>
        <v>0</v>
      </c>
      <c r="F1422" s="16">
        <f t="shared" si="28"/>
        <v>0</v>
      </c>
      <c r="G1422" s="35">
        <v>2663.508080761988</v>
      </c>
      <c r="H1422" s="43"/>
      <c r="I1422" s="28"/>
      <c r="J1422" s="24"/>
      <c r="K1422" s="16">
        <f t="shared" si="4"/>
        <v>-2663.508081</v>
      </c>
      <c r="L1422" s="19">
        <f t="shared" si="5"/>
        <v>-1</v>
      </c>
      <c r="M1422" s="16">
        <f t="shared" si="6"/>
        <v>0</v>
      </c>
      <c r="N1422" s="24"/>
    </row>
    <row r="1423">
      <c r="A1423" s="22"/>
      <c r="B1423" s="23" t="s">
        <v>2391</v>
      </c>
      <c r="C1423" s="24"/>
      <c r="D1423" s="24"/>
      <c r="E1423" s="16">
        <f t="shared" si="1"/>
        <v>0</v>
      </c>
      <c r="F1423" s="16">
        <f t="shared" si="28"/>
        <v>0</v>
      </c>
      <c r="G1423" s="35">
        <v>2663.508080761988</v>
      </c>
      <c r="H1423" s="43"/>
      <c r="I1423" s="28"/>
      <c r="J1423" s="24"/>
      <c r="K1423" s="16">
        <f t="shared" si="4"/>
        <v>-2663.508081</v>
      </c>
      <c r="L1423" s="19">
        <f t="shared" si="5"/>
        <v>-1</v>
      </c>
      <c r="M1423" s="16">
        <f t="shared" si="6"/>
        <v>0</v>
      </c>
      <c r="N1423" s="24"/>
    </row>
    <row r="1424">
      <c r="A1424" s="22"/>
      <c r="B1424" s="23" t="s">
        <v>2392</v>
      </c>
      <c r="C1424" s="24"/>
      <c r="D1424" s="24"/>
      <c r="E1424" s="16">
        <f t="shared" si="1"/>
        <v>0</v>
      </c>
      <c r="F1424" s="16">
        <f t="shared" si="28"/>
        <v>0</v>
      </c>
      <c r="G1424" s="26">
        <v>1300.0</v>
      </c>
      <c r="H1424" s="43"/>
      <c r="I1424" s="28"/>
      <c r="J1424" s="24"/>
      <c r="K1424" s="16">
        <f t="shared" si="4"/>
        <v>-1300</v>
      </c>
      <c r="L1424" s="19">
        <f t="shared" si="5"/>
        <v>-1</v>
      </c>
      <c r="M1424" s="16">
        <f t="shared" si="6"/>
        <v>0</v>
      </c>
      <c r="N1424" s="24"/>
    </row>
    <row r="1425">
      <c r="A1425" s="22"/>
      <c r="B1425" s="23" t="s">
        <v>2393</v>
      </c>
      <c r="C1425" s="24"/>
      <c r="D1425" s="24"/>
      <c r="E1425" s="16">
        <f t="shared" si="1"/>
        <v>0</v>
      </c>
      <c r="F1425" s="16">
        <f t="shared" si="28"/>
        <v>0</v>
      </c>
      <c r="G1425" s="26">
        <v>1300.0</v>
      </c>
      <c r="H1425" s="43"/>
      <c r="I1425" s="28"/>
      <c r="J1425" s="24"/>
      <c r="K1425" s="16">
        <f t="shared" si="4"/>
        <v>-1300</v>
      </c>
      <c r="L1425" s="19">
        <f t="shared" si="5"/>
        <v>-1</v>
      </c>
      <c r="M1425" s="16">
        <f t="shared" si="6"/>
        <v>0</v>
      </c>
      <c r="N1425" s="24"/>
    </row>
    <row r="1426">
      <c r="A1426" s="22"/>
      <c r="B1426" s="23" t="s">
        <v>2394</v>
      </c>
      <c r="C1426" s="24"/>
      <c r="D1426" s="24"/>
      <c r="E1426" s="16">
        <f t="shared" si="1"/>
        <v>0</v>
      </c>
      <c r="F1426" s="16">
        <f t="shared" si="28"/>
        <v>0</v>
      </c>
      <c r="G1426" s="35">
        <v>6220.2007467948715</v>
      </c>
      <c r="H1426" s="43"/>
      <c r="I1426" s="28"/>
      <c r="J1426" s="24"/>
      <c r="K1426" s="16">
        <f t="shared" si="4"/>
        <v>-6220.200747</v>
      </c>
      <c r="L1426" s="19">
        <f t="shared" si="5"/>
        <v>-1</v>
      </c>
      <c r="M1426" s="16">
        <f t="shared" si="6"/>
        <v>0</v>
      </c>
      <c r="N1426" s="24"/>
    </row>
    <row r="1427">
      <c r="A1427" s="22"/>
      <c r="B1427" s="23" t="s">
        <v>2395</v>
      </c>
      <c r="C1427" s="24"/>
      <c r="D1427" s="25">
        <v>1699.0</v>
      </c>
      <c r="E1427" s="16">
        <f t="shared" si="1"/>
        <v>117.231</v>
      </c>
      <c r="F1427" s="16">
        <f t="shared" si="28"/>
        <v>36.5285</v>
      </c>
      <c r="G1427" s="35">
        <v>1068.023645401023</v>
      </c>
      <c r="H1427" s="27">
        <v>0.15</v>
      </c>
      <c r="I1427" s="45">
        <f>H1427*D1427</f>
        <v>254.85</v>
      </c>
      <c r="J1427" s="25">
        <v>110.0</v>
      </c>
      <c r="K1427" s="16">
        <f t="shared" si="4"/>
        <v>112.3668546</v>
      </c>
      <c r="L1427" s="19">
        <f t="shared" si="5"/>
        <v>0.1052100813</v>
      </c>
      <c r="M1427" s="16">
        <f t="shared" si="6"/>
        <v>1180.3905</v>
      </c>
      <c r="N1427" s="24"/>
    </row>
    <row r="1428">
      <c r="A1428" s="22"/>
      <c r="B1428" s="23" t="s">
        <v>2396</v>
      </c>
      <c r="C1428" s="24"/>
      <c r="D1428" s="24"/>
      <c r="E1428" s="16">
        <f t="shared" si="1"/>
        <v>0</v>
      </c>
      <c r="F1428" s="16">
        <f t="shared" si="28"/>
        <v>0</v>
      </c>
      <c r="G1428" s="26">
        <v>1300.0</v>
      </c>
      <c r="H1428" s="43"/>
      <c r="I1428" s="28"/>
      <c r="J1428" s="24"/>
      <c r="K1428" s="16">
        <f t="shared" si="4"/>
        <v>-1300</v>
      </c>
      <c r="L1428" s="19">
        <f t="shared" si="5"/>
        <v>-1</v>
      </c>
      <c r="M1428" s="16">
        <f t="shared" si="6"/>
        <v>0</v>
      </c>
      <c r="N1428" s="24"/>
    </row>
    <row r="1429">
      <c r="A1429" s="22"/>
      <c r="B1429" s="23" t="s">
        <v>2397</v>
      </c>
      <c r="C1429" s="24"/>
      <c r="D1429" s="25">
        <v>1099.0</v>
      </c>
      <c r="E1429" s="16">
        <f t="shared" si="1"/>
        <v>75.831</v>
      </c>
      <c r="F1429" s="16">
        <f t="shared" si="28"/>
        <v>23.6285</v>
      </c>
      <c r="G1429" s="35">
        <v>708.8183416408199</v>
      </c>
      <c r="H1429" s="27">
        <v>0.15</v>
      </c>
      <c r="I1429" s="45">
        <f t="shared" ref="I1429:I1435" si="39">H1429*D1429</f>
        <v>164.85</v>
      </c>
      <c r="J1429" s="25">
        <v>110.0</v>
      </c>
      <c r="K1429" s="16">
        <f t="shared" si="4"/>
        <v>15.87215836</v>
      </c>
      <c r="L1429" s="19">
        <f t="shared" si="5"/>
        <v>0.02239242049</v>
      </c>
      <c r="M1429" s="16">
        <f t="shared" si="6"/>
        <v>724.6905</v>
      </c>
      <c r="N1429" s="24"/>
    </row>
    <row r="1430">
      <c r="A1430" s="22"/>
      <c r="B1430" s="23" t="s">
        <v>2398</v>
      </c>
      <c r="C1430" s="24"/>
      <c r="D1430" s="25">
        <v>659.0</v>
      </c>
      <c r="E1430" s="16">
        <f t="shared" si="1"/>
        <v>45.471</v>
      </c>
      <c r="F1430" s="16">
        <f t="shared" si="28"/>
        <v>14.1685</v>
      </c>
      <c r="G1430" s="26">
        <v>414.87</v>
      </c>
      <c r="H1430" s="27">
        <v>0.15</v>
      </c>
      <c r="I1430" s="45">
        <f t="shared" si="39"/>
        <v>98.85</v>
      </c>
      <c r="J1430" s="25">
        <v>110.0</v>
      </c>
      <c r="K1430" s="16">
        <f t="shared" si="4"/>
        <v>-24.3595</v>
      </c>
      <c r="L1430" s="19">
        <f t="shared" si="5"/>
        <v>-0.05871598332</v>
      </c>
      <c r="M1430" s="16">
        <f t="shared" si="6"/>
        <v>390.5105</v>
      </c>
      <c r="N1430" s="24"/>
    </row>
    <row r="1431">
      <c r="A1431" s="22"/>
      <c r="B1431" s="23" t="s">
        <v>2399</v>
      </c>
      <c r="C1431" s="24"/>
      <c r="D1431" s="25">
        <v>1199.0</v>
      </c>
      <c r="E1431" s="16">
        <f t="shared" si="1"/>
        <v>82.731</v>
      </c>
      <c r="F1431" s="16">
        <f t="shared" si="28"/>
        <v>25.7785</v>
      </c>
      <c r="G1431" s="26">
        <v>758.63</v>
      </c>
      <c r="H1431" s="27">
        <v>0.15</v>
      </c>
      <c r="I1431" s="45">
        <f t="shared" si="39"/>
        <v>179.85</v>
      </c>
      <c r="J1431" s="25">
        <v>65.0</v>
      </c>
      <c r="K1431" s="16">
        <f t="shared" si="4"/>
        <v>87.0105</v>
      </c>
      <c r="L1431" s="19">
        <f t="shared" si="5"/>
        <v>0.1146942515</v>
      </c>
      <c r="M1431" s="16">
        <f t="shared" si="6"/>
        <v>845.6405</v>
      </c>
      <c r="N1431" s="24"/>
    </row>
    <row r="1432">
      <c r="A1432" s="22"/>
      <c r="B1432" s="23" t="s">
        <v>2400</v>
      </c>
      <c r="C1432" s="24"/>
      <c r="D1432" s="25">
        <v>4999.0</v>
      </c>
      <c r="E1432" s="16">
        <f t="shared" si="1"/>
        <v>344.931</v>
      </c>
      <c r="F1432" s="16">
        <f t="shared" si="28"/>
        <v>107.4785</v>
      </c>
      <c r="G1432" s="26">
        <v>2999.14</v>
      </c>
      <c r="H1432" s="27">
        <v>0.15</v>
      </c>
      <c r="I1432" s="45">
        <f t="shared" si="39"/>
        <v>749.85</v>
      </c>
      <c r="J1432" s="25">
        <v>190.0</v>
      </c>
      <c r="K1432" s="16">
        <f t="shared" si="4"/>
        <v>607.6005</v>
      </c>
      <c r="L1432" s="19">
        <f t="shared" si="5"/>
        <v>0.2025915763</v>
      </c>
      <c r="M1432" s="16">
        <f t="shared" si="6"/>
        <v>3606.7405</v>
      </c>
      <c r="N1432" s="24"/>
    </row>
    <row r="1433">
      <c r="A1433" s="22"/>
      <c r="B1433" s="23" t="s">
        <v>2401</v>
      </c>
      <c r="C1433" s="24"/>
      <c r="D1433" s="25">
        <v>1699.0</v>
      </c>
      <c r="E1433" s="16">
        <f t="shared" si="1"/>
        <v>117.231</v>
      </c>
      <c r="F1433" s="16">
        <f t="shared" si="28"/>
        <v>36.5285</v>
      </c>
      <c r="G1433" s="26">
        <v>1203.69</v>
      </c>
      <c r="H1433" s="27">
        <v>0.1</v>
      </c>
      <c r="I1433" s="45">
        <f t="shared" si="39"/>
        <v>169.9</v>
      </c>
      <c r="J1433" s="25">
        <v>65.0</v>
      </c>
      <c r="K1433" s="16">
        <f t="shared" si="4"/>
        <v>106.6505</v>
      </c>
      <c r="L1433" s="19">
        <f t="shared" si="5"/>
        <v>0.08860296256</v>
      </c>
      <c r="M1433" s="16">
        <f t="shared" si="6"/>
        <v>1310.3405</v>
      </c>
      <c r="N1433" s="24"/>
    </row>
    <row r="1434">
      <c r="A1434" s="22"/>
      <c r="B1434" s="23" t="s">
        <v>2402</v>
      </c>
      <c r="C1434" s="24"/>
      <c r="D1434" s="25">
        <v>929.0</v>
      </c>
      <c r="E1434" s="16">
        <f t="shared" si="1"/>
        <v>64.101</v>
      </c>
      <c r="F1434" s="16">
        <f t="shared" si="28"/>
        <v>19.9735</v>
      </c>
      <c r="G1434" s="26">
        <v>690.2</v>
      </c>
      <c r="H1434" s="27">
        <v>0.1</v>
      </c>
      <c r="I1434" s="45">
        <f t="shared" si="39"/>
        <v>92.9</v>
      </c>
      <c r="J1434" s="25">
        <v>65.0</v>
      </c>
      <c r="K1434" s="16">
        <f t="shared" si="4"/>
        <v>-3.1745</v>
      </c>
      <c r="L1434" s="19">
        <f t="shared" si="5"/>
        <v>-0.004599391481</v>
      </c>
      <c r="M1434" s="16">
        <f t="shared" si="6"/>
        <v>687.0255</v>
      </c>
      <c r="N1434" s="24"/>
    </row>
    <row r="1435">
      <c r="A1435" s="22"/>
      <c r="B1435" s="23" t="s">
        <v>2403</v>
      </c>
      <c r="C1435" s="24"/>
      <c r="D1435" s="25">
        <v>1299.0</v>
      </c>
      <c r="E1435" s="16">
        <f t="shared" si="1"/>
        <v>89.631</v>
      </c>
      <c r="F1435" s="16">
        <f t="shared" si="28"/>
        <v>27.9285</v>
      </c>
      <c r="G1435" s="26">
        <v>760.0</v>
      </c>
      <c r="H1435" s="27">
        <v>0.195</v>
      </c>
      <c r="I1435" s="45">
        <f t="shared" si="39"/>
        <v>253.305</v>
      </c>
      <c r="J1435" s="25">
        <v>95.0</v>
      </c>
      <c r="K1435" s="16">
        <f t="shared" si="4"/>
        <v>73.1355</v>
      </c>
      <c r="L1435" s="19">
        <f t="shared" si="5"/>
        <v>0.09623092105</v>
      </c>
      <c r="M1435" s="16">
        <f t="shared" si="6"/>
        <v>833.1355</v>
      </c>
      <c r="N1435" s="24"/>
    </row>
    <row r="1436">
      <c r="A1436" s="22"/>
      <c r="B1436" s="39" t="s">
        <v>2404</v>
      </c>
      <c r="C1436" s="24"/>
      <c r="D1436" s="24"/>
      <c r="E1436" s="16">
        <f t="shared" si="1"/>
        <v>0</v>
      </c>
      <c r="F1436" s="16">
        <f t="shared" si="28"/>
        <v>0</v>
      </c>
      <c r="G1436" s="26">
        <v>620.0</v>
      </c>
      <c r="H1436" s="43"/>
      <c r="I1436" s="28"/>
      <c r="J1436" s="24"/>
      <c r="K1436" s="16">
        <f t="shared" si="4"/>
        <v>-620</v>
      </c>
      <c r="L1436" s="19">
        <f t="shared" si="5"/>
        <v>-1</v>
      </c>
      <c r="M1436" s="16">
        <f t="shared" si="6"/>
        <v>0</v>
      </c>
      <c r="N1436" s="24"/>
    </row>
    <row r="1437">
      <c r="A1437" s="22"/>
      <c r="B1437" s="39" t="s">
        <v>2405</v>
      </c>
      <c r="C1437" s="24"/>
      <c r="D1437" s="24"/>
      <c r="E1437" s="16">
        <f t="shared" si="1"/>
        <v>0</v>
      </c>
      <c r="F1437" s="16">
        <f t="shared" si="28"/>
        <v>0</v>
      </c>
      <c r="G1437" s="35">
        <v>1021.5246077415871</v>
      </c>
      <c r="H1437" s="43"/>
      <c r="I1437" s="28"/>
      <c r="J1437" s="24"/>
      <c r="K1437" s="16">
        <f t="shared" si="4"/>
        <v>-1021.524608</v>
      </c>
      <c r="L1437" s="19">
        <f t="shared" si="5"/>
        <v>-1</v>
      </c>
      <c r="M1437" s="16">
        <f t="shared" si="6"/>
        <v>0</v>
      </c>
      <c r="N1437" s="24"/>
    </row>
    <row r="1438">
      <c r="A1438" s="22"/>
      <c r="B1438" s="39" t="s">
        <v>2406</v>
      </c>
      <c r="C1438" s="24"/>
      <c r="D1438" s="24"/>
      <c r="E1438" s="16">
        <f t="shared" si="1"/>
        <v>0</v>
      </c>
      <c r="F1438" s="16">
        <f t="shared" si="28"/>
        <v>0</v>
      </c>
      <c r="G1438" s="26">
        <v>1404.41</v>
      </c>
      <c r="H1438" s="43"/>
      <c r="I1438" s="28"/>
      <c r="J1438" s="24"/>
      <c r="K1438" s="16">
        <f t="shared" si="4"/>
        <v>-1404.41</v>
      </c>
      <c r="L1438" s="19">
        <f t="shared" si="5"/>
        <v>-1</v>
      </c>
      <c r="M1438" s="16">
        <f t="shared" si="6"/>
        <v>0</v>
      </c>
      <c r="N1438" s="24"/>
    </row>
    <row r="1439">
      <c r="A1439" s="22"/>
      <c r="B1439" s="39" t="s">
        <v>2407</v>
      </c>
      <c r="C1439" s="24"/>
      <c r="D1439" s="24"/>
      <c r="E1439" s="16">
        <f t="shared" si="1"/>
        <v>0</v>
      </c>
      <c r="F1439" s="16">
        <f t="shared" si="28"/>
        <v>0</v>
      </c>
      <c r="G1439" s="35">
        <v>1340.0</v>
      </c>
      <c r="H1439" s="43"/>
      <c r="I1439" s="28"/>
      <c r="J1439" s="24"/>
      <c r="K1439" s="16">
        <f t="shared" si="4"/>
        <v>-1340</v>
      </c>
      <c r="L1439" s="19">
        <f t="shared" si="5"/>
        <v>-1</v>
      </c>
      <c r="M1439" s="16">
        <f t="shared" si="6"/>
        <v>0</v>
      </c>
      <c r="N1439" s="24"/>
    </row>
    <row r="1440">
      <c r="A1440" s="22"/>
      <c r="B1440" s="23" t="s">
        <v>2408</v>
      </c>
      <c r="C1440" s="24"/>
      <c r="D1440" s="16">
        <v>380.0</v>
      </c>
      <c r="E1440" s="16">
        <f t="shared" si="1"/>
        <v>26.22</v>
      </c>
      <c r="F1440" s="16">
        <f t="shared" si="28"/>
        <v>8.17</v>
      </c>
      <c r="G1440" s="17">
        <v>230.0</v>
      </c>
      <c r="H1440" s="19">
        <v>0.1</v>
      </c>
      <c r="I1440" s="16">
        <v>38.0</v>
      </c>
      <c r="J1440" s="16">
        <v>91.5</v>
      </c>
      <c r="K1440" s="16">
        <f t="shared" si="4"/>
        <v>-13.89</v>
      </c>
      <c r="L1440" s="19">
        <f t="shared" si="5"/>
        <v>-0.06039130435</v>
      </c>
      <c r="M1440" s="16">
        <f t="shared" si="6"/>
        <v>216.11</v>
      </c>
      <c r="N1440" s="24"/>
    </row>
    <row r="1441">
      <c r="A1441" s="22"/>
      <c r="B1441" s="54" t="s">
        <v>2409</v>
      </c>
      <c r="C1441" s="24"/>
      <c r="D1441" s="25">
        <v>429.0</v>
      </c>
      <c r="E1441" s="16">
        <f t="shared" si="1"/>
        <v>29.601</v>
      </c>
      <c r="F1441" s="16">
        <f t="shared" si="28"/>
        <v>9.2235</v>
      </c>
      <c r="G1441" s="35">
        <v>276.74815474174943</v>
      </c>
      <c r="H1441" s="19">
        <v>0.1</v>
      </c>
      <c r="I1441" s="16">
        <v>38.0</v>
      </c>
      <c r="J1441" s="29">
        <v>52.0</v>
      </c>
      <c r="K1441" s="16">
        <f t="shared" si="4"/>
        <v>23.42734526</v>
      </c>
      <c r="L1441" s="19">
        <f t="shared" si="5"/>
        <v>0.08465221848</v>
      </c>
      <c r="M1441" s="16">
        <f t="shared" si="6"/>
        <v>300.1755</v>
      </c>
      <c r="N1441" s="24"/>
    </row>
    <row r="1442">
      <c r="A1442" s="22"/>
      <c r="B1442" s="54" t="s">
        <v>2410</v>
      </c>
      <c r="C1442" s="24"/>
      <c r="D1442" s="25">
        <v>1499.0</v>
      </c>
      <c r="E1442" s="16">
        <f t="shared" si="1"/>
        <v>103.431</v>
      </c>
      <c r="F1442" s="16">
        <f t="shared" si="28"/>
        <v>32.2285</v>
      </c>
      <c r="G1442" s="35">
        <v>730.6967676946123</v>
      </c>
      <c r="H1442" s="19">
        <v>0.1</v>
      </c>
      <c r="I1442" s="16">
        <v>38.0</v>
      </c>
      <c r="J1442" s="29">
        <v>74.0</v>
      </c>
      <c r="K1442" s="16">
        <f t="shared" si="4"/>
        <v>520.6437323</v>
      </c>
      <c r="L1442" s="19">
        <f t="shared" si="5"/>
        <v>0.7125304987</v>
      </c>
      <c r="M1442" s="16">
        <f t="shared" si="6"/>
        <v>1251.3405</v>
      </c>
      <c r="N1442" s="24"/>
    </row>
    <row r="1443">
      <c r="A1443" s="22"/>
      <c r="B1443" s="54" t="s">
        <v>2411</v>
      </c>
      <c r="C1443" s="24"/>
      <c r="D1443" s="25">
        <v>899.0</v>
      </c>
      <c r="E1443" s="16">
        <f t="shared" si="1"/>
        <v>62.031</v>
      </c>
      <c r="F1443" s="16">
        <f t="shared" si="28"/>
        <v>19.3285</v>
      </c>
      <c r="G1443" s="26">
        <v>590.0</v>
      </c>
      <c r="H1443" s="27">
        <v>0.145</v>
      </c>
      <c r="I1443" s="28">
        <f t="shared" ref="I1443:I1449" si="40">H1443*D1443</f>
        <v>130.355</v>
      </c>
      <c r="J1443" s="25">
        <v>84.0</v>
      </c>
      <c r="K1443" s="16">
        <f t="shared" si="4"/>
        <v>13.2855</v>
      </c>
      <c r="L1443" s="19">
        <f t="shared" si="5"/>
        <v>0.02251779661</v>
      </c>
      <c r="M1443" s="16">
        <f t="shared" si="6"/>
        <v>603.2855</v>
      </c>
      <c r="N1443" s="24"/>
    </row>
    <row r="1444">
      <c r="A1444" s="22"/>
      <c r="B1444" s="54" t="s">
        <v>2412</v>
      </c>
      <c r="C1444" s="24"/>
      <c r="D1444" s="25">
        <v>663.0</v>
      </c>
      <c r="E1444" s="16">
        <f t="shared" si="1"/>
        <v>45.747</v>
      </c>
      <c r="F1444" s="16">
        <f t="shared" si="28"/>
        <v>14.2545</v>
      </c>
      <c r="G1444" s="26">
        <v>314.12</v>
      </c>
      <c r="H1444" s="27">
        <v>0.1</v>
      </c>
      <c r="I1444" s="45">
        <f t="shared" si="40"/>
        <v>66.3</v>
      </c>
      <c r="J1444" s="25">
        <v>70.0</v>
      </c>
      <c r="K1444" s="16">
        <f t="shared" si="4"/>
        <v>152.5785</v>
      </c>
      <c r="L1444" s="19">
        <f t="shared" si="5"/>
        <v>0.4857331593</v>
      </c>
      <c r="M1444" s="16">
        <f t="shared" si="6"/>
        <v>466.6985</v>
      </c>
      <c r="N1444" s="24"/>
    </row>
    <row r="1445">
      <c r="A1445" s="22"/>
      <c r="B1445" s="54" t="s">
        <v>1427</v>
      </c>
      <c r="C1445" s="24"/>
      <c r="D1445" s="25">
        <v>830.0</v>
      </c>
      <c r="E1445" s="16">
        <f t="shared" si="1"/>
        <v>57.27</v>
      </c>
      <c r="F1445" s="16">
        <f t="shared" si="28"/>
        <v>17.845</v>
      </c>
      <c r="G1445" s="26">
        <v>600.0</v>
      </c>
      <c r="H1445" s="27">
        <v>0.12</v>
      </c>
      <c r="I1445" s="28">
        <f t="shared" si="40"/>
        <v>99.6</v>
      </c>
      <c r="J1445" s="25">
        <v>73.0</v>
      </c>
      <c r="K1445" s="16">
        <f t="shared" si="4"/>
        <v>-17.715</v>
      </c>
      <c r="L1445" s="19">
        <f t="shared" si="5"/>
        <v>-0.029525</v>
      </c>
      <c r="M1445" s="16">
        <f t="shared" si="6"/>
        <v>582.285</v>
      </c>
      <c r="N1445" s="24"/>
    </row>
    <row r="1446">
      <c r="A1446" s="22"/>
      <c r="B1446" s="54" t="s">
        <v>2413</v>
      </c>
      <c r="C1446" s="24"/>
      <c r="D1446" s="25">
        <v>11999.0</v>
      </c>
      <c r="E1446" s="16">
        <f t="shared" si="1"/>
        <v>827.931</v>
      </c>
      <c r="F1446" s="16">
        <f t="shared" si="28"/>
        <v>257.9785</v>
      </c>
      <c r="G1446" s="26">
        <v>9313.88</v>
      </c>
      <c r="H1446" s="27">
        <v>0.1474</v>
      </c>
      <c r="I1446" s="45">
        <f t="shared" si="40"/>
        <v>1768.6526</v>
      </c>
      <c r="J1446" s="25">
        <v>74.0</v>
      </c>
      <c r="K1446" s="16">
        <f t="shared" si="4"/>
        <v>-243.4421</v>
      </c>
      <c r="L1446" s="19">
        <f t="shared" si="5"/>
        <v>-0.02613756029</v>
      </c>
      <c r="M1446" s="16">
        <f t="shared" si="6"/>
        <v>9070.4379</v>
      </c>
      <c r="N1446" s="24"/>
    </row>
    <row r="1447">
      <c r="A1447" s="22"/>
      <c r="B1447" s="54" t="s">
        <v>2414</v>
      </c>
      <c r="C1447" s="24"/>
      <c r="D1447" s="25">
        <v>2399.0</v>
      </c>
      <c r="E1447" s="16">
        <f t="shared" si="1"/>
        <v>165.531</v>
      </c>
      <c r="F1447" s="16">
        <f t="shared" si="28"/>
        <v>51.5785</v>
      </c>
      <c r="G1447" s="26">
        <v>1717.94</v>
      </c>
      <c r="H1447" s="27">
        <v>0.18</v>
      </c>
      <c r="I1447" s="45">
        <f t="shared" si="40"/>
        <v>431.82</v>
      </c>
      <c r="J1447" s="25">
        <v>70.0</v>
      </c>
      <c r="K1447" s="16">
        <f t="shared" si="4"/>
        <v>-37.8695</v>
      </c>
      <c r="L1447" s="19">
        <f t="shared" si="5"/>
        <v>-0.02204355216</v>
      </c>
      <c r="M1447" s="16">
        <f t="shared" si="6"/>
        <v>1680.0705</v>
      </c>
      <c r="N1447" s="24"/>
    </row>
    <row r="1448">
      <c r="A1448" s="22"/>
      <c r="B1448" s="54" t="s">
        <v>2415</v>
      </c>
      <c r="C1448" s="24"/>
      <c r="D1448" s="29">
        <v>14579.0</v>
      </c>
      <c r="E1448" s="16">
        <f t="shared" si="1"/>
        <v>1005.951</v>
      </c>
      <c r="F1448" s="16">
        <f t="shared" si="28"/>
        <v>313.4485</v>
      </c>
      <c r="G1448" s="35">
        <v>9869.630153766235</v>
      </c>
      <c r="H1448" s="18">
        <v>0.1</v>
      </c>
      <c r="I1448" s="16">
        <f t="shared" si="40"/>
        <v>1457.9</v>
      </c>
      <c r="J1448" s="29">
        <v>542.0</v>
      </c>
      <c r="K1448" s="16">
        <f t="shared" si="4"/>
        <v>1390.070346</v>
      </c>
      <c r="L1448" s="19">
        <f t="shared" si="5"/>
        <v>0.1408432053</v>
      </c>
      <c r="M1448" s="16">
        <f t="shared" si="6"/>
        <v>11259.7005</v>
      </c>
      <c r="N1448" s="24"/>
    </row>
    <row r="1449">
      <c r="A1449" s="22"/>
      <c r="B1449" s="54" t="s">
        <v>2416</v>
      </c>
      <c r="C1449" s="24"/>
      <c r="D1449" s="25">
        <v>8299.0</v>
      </c>
      <c r="E1449" s="16">
        <f t="shared" si="1"/>
        <v>572.631</v>
      </c>
      <c r="F1449" s="16">
        <f t="shared" si="28"/>
        <v>178.4285</v>
      </c>
      <c r="G1449" s="26">
        <v>5947.38</v>
      </c>
      <c r="H1449" s="27">
        <v>0.195</v>
      </c>
      <c r="I1449" s="45">
        <f t="shared" si="40"/>
        <v>1618.305</v>
      </c>
      <c r="J1449" s="25">
        <v>222.0</v>
      </c>
      <c r="K1449" s="16">
        <f t="shared" si="4"/>
        <v>-239.7445</v>
      </c>
      <c r="L1449" s="19">
        <f t="shared" si="5"/>
        <v>-0.04031094364</v>
      </c>
      <c r="M1449" s="16">
        <f t="shared" si="6"/>
        <v>5707.6355</v>
      </c>
      <c r="N1449" s="24"/>
    </row>
    <row r="1450">
      <c r="A1450" s="22"/>
      <c r="B1450" s="54" t="s">
        <v>2271</v>
      </c>
      <c r="C1450" s="24"/>
      <c r="D1450" s="28"/>
      <c r="E1450" s="16">
        <f t="shared" si="1"/>
        <v>0</v>
      </c>
      <c r="F1450" s="16">
        <f t="shared" si="28"/>
        <v>0</v>
      </c>
      <c r="G1450" s="35">
        <v>238.8495778254442</v>
      </c>
      <c r="H1450" s="43"/>
      <c r="I1450" s="28"/>
      <c r="J1450" s="24"/>
      <c r="K1450" s="16">
        <f t="shared" si="4"/>
        <v>-238.8495778</v>
      </c>
      <c r="L1450" s="19">
        <f t="shared" si="5"/>
        <v>-1</v>
      </c>
      <c r="M1450" s="16">
        <f t="shared" si="6"/>
        <v>0</v>
      </c>
      <c r="N1450" s="24"/>
    </row>
    <row r="1451">
      <c r="A1451" s="22"/>
      <c r="B1451" s="23" t="s">
        <v>2417</v>
      </c>
      <c r="C1451" s="24"/>
      <c r="D1451" s="24"/>
      <c r="E1451" s="16">
        <f t="shared" si="1"/>
        <v>0</v>
      </c>
      <c r="F1451" s="16">
        <f t="shared" si="28"/>
        <v>0</v>
      </c>
      <c r="G1451" s="35">
        <v>238.8495778254442</v>
      </c>
      <c r="H1451" s="43"/>
      <c r="I1451" s="28"/>
      <c r="J1451" s="24"/>
      <c r="K1451" s="16">
        <f t="shared" si="4"/>
        <v>-238.8495778</v>
      </c>
      <c r="L1451" s="19">
        <f t="shared" si="5"/>
        <v>-1</v>
      </c>
      <c r="M1451" s="16">
        <f t="shared" si="6"/>
        <v>0</v>
      </c>
      <c r="N1451" s="24"/>
    </row>
    <row r="1452">
      <c r="A1452" s="22"/>
      <c r="B1452" s="23" t="s">
        <v>2418</v>
      </c>
      <c r="C1452" s="24"/>
      <c r="D1452" s="25">
        <v>699.0</v>
      </c>
      <c r="E1452" s="16">
        <f t="shared" si="1"/>
        <v>48.231</v>
      </c>
      <c r="F1452" s="16">
        <f t="shared" si="28"/>
        <v>15.0285</v>
      </c>
      <c r="G1452" s="26">
        <v>399.88</v>
      </c>
      <c r="H1452" s="27">
        <v>0.1</v>
      </c>
      <c r="I1452" s="45">
        <f t="shared" ref="I1452:I1456" si="41">H1452*D1452</f>
        <v>69.9</v>
      </c>
      <c r="J1452" s="25">
        <v>74.0</v>
      </c>
      <c r="K1452" s="16">
        <f t="shared" si="4"/>
        <v>91.9605</v>
      </c>
      <c r="L1452" s="19">
        <f t="shared" si="5"/>
        <v>0.2299702411</v>
      </c>
      <c r="M1452" s="16">
        <f t="shared" si="6"/>
        <v>491.8405</v>
      </c>
      <c r="N1452" s="24"/>
    </row>
    <row r="1453">
      <c r="A1453" s="22"/>
      <c r="B1453" s="23" t="s">
        <v>2419</v>
      </c>
      <c r="C1453" s="24"/>
      <c r="D1453" s="25">
        <v>699.0</v>
      </c>
      <c r="E1453" s="16">
        <f t="shared" si="1"/>
        <v>48.231</v>
      </c>
      <c r="F1453" s="16">
        <f t="shared" si="28"/>
        <v>15.0285</v>
      </c>
      <c r="G1453" s="26">
        <v>399.88</v>
      </c>
      <c r="H1453" s="27">
        <v>0.1</v>
      </c>
      <c r="I1453" s="45">
        <f t="shared" si="41"/>
        <v>69.9</v>
      </c>
      <c r="J1453" s="25">
        <v>74.0</v>
      </c>
      <c r="K1453" s="16">
        <f t="shared" si="4"/>
        <v>91.9605</v>
      </c>
      <c r="L1453" s="19">
        <f t="shared" si="5"/>
        <v>0.2299702411</v>
      </c>
      <c r="M1453" s="16">
        <f t="shared" si="6"/>
        <v>491.8405</v>
      </c>
      <c r="N1453" s="24"/>
    </row>
    <row r="1454">
      <c r="A1454" s="22"/>
      <c r="B1454" s="23" t="s">
        <v>2420</v>
      </c>
      <c r="C1454" s="24"/>
      <c r="D1454" s="25">
        <v>5499.0</v>
      </c>
      <c r="E1454" s="16">
        <f t="shared" si="1"/>
        <v>379.431</v>
      </c>
      <c r="F1454" s="16">
        <f t="shared" si="28"/>
        <v>118.2285</v>
      </c>
      <c r="G1454" s="26">
        <v>3829.5</v>
      </c>
      <c r="H1454" s="27">
        <v>0.1</v>
      </c>
      <c r="I1454" s="45">
        <f t="shared" si="41"/>
        <v>549.9</v>
      </c>
      <c r="J1454" s="25">
        <v>190.0</v>
      </c>
      <c r="K1454" s="16">
        <f t="shared" si="4"/>
        <v>431.9405</v>
      </c>
      <c r="L1454" s="19">
        <f t="shared" si="5"/>
        <v>0.1127929234</v>
      </c>
      <c r="M1454" s="16">
        <f t="shared" si="6"/>
        <v>4261.4405</v>
      </c>
      <c r="N1454" s="24"/>
    </row>
    <row r="1455">
      <c r="A1455" s="22"/>
      <c r="B1455" s="23" t="s">
        <v>2421</v>
      </c>
      <c r="C1455" s="24"/>
      <c r="D1455" s="25">
        <v>1149.0</v>
      </c>
      <c r="E1455" s="16">
        <f t="shared" si="1"/>
        <v>79.281</v>
      </c>
      <c r="F1455" s="16">
        <f t="shared" si="28"/>
        <v>24.7035</v>
      </c>
      <c r="G1455" s="26">
        <v>758.63</v>
      </c>
      <c r="H1455" s="27">
        <v>0.1</v>
      </c>
      <c r="I1455" s="45">
        <f t="shared" si="41"/>
        <v>114.9</v>
      </c>
      <c r="J1455" s="25">
        <v>65.0</v>
      </c>
      <c r="K1455" s="16">
        <f t="shared" si="4"/>
        <v>106.4855</v>
      </c>
      <c r="L1455" s="19">
        <f t="shared" si="5"/>
        <v>0.1403655273</v>
      </c>
      <c r="M1455" s="16">
        <f t="shared" si="6"/>
        <v>865.1155</v>
      </c>
      <c r="N1455" s="24"/>
    </row>
    <row r="1456">
      <c r="A1456" s="22"/>
      <c r="B1456" s="23" t="s">
        <v>2422</v>
      </c>
      <c r="C1456" s="24"/>
      <c r="D1456" s="25">
        <v>635.0</v>
      </c>
      <c r="E1456" s="16">
        <f t="shared" si="1"/>
        <v>43.815</v>
      </c>
      <c r="F1456" s="16">
        <f t="shared" si="28"/>
        <v>13.6525</v>
      </c>
      <c r="G1456" s="26">
        <v>270.0</v>
      </c>
      <c r="H1456" s="27">
        <v>0.15</v>
      </c>
      <c r="I1456" s="45">
        <f t="shared" si="41"/>
        <v>95.25</v>
      </c>
      <c r="J1456" s="25">
        <v>95.0</v>
      </c>
      <c r="K1456" s="16">
        <f t="shared" si="4"/>
        <v>117.2825</v>
      </c>
      <c r="L1456" s="19">
        <f t="shared" si="5"/>
        <v>0.4343796296</v>
      </c>
      <c r="M1456" s="16">
        <f t="shared" si="6"/>
        <v>387.2825</v>
      </c>
      <c r="N1456" s="24"/>
    </row>
    <row r="1457">
      <c r="A1457" s="22"/>
      <c r="B1457" s="22"/>
      <c r="C1457" s="24"/>
      <c r="D1457" s="24"/>
      <c r="E1457" s="16">
        <f t="shared" si="1"/>
        <v>0</v>
      </c>
      <c r="F1457" s="16">
        <f t="shared" si="28"/>
        <v>0</v>
      </c>
      <c r="G1457" s="35"/>
      <c r="H1457" s="43"/>
      <c r="I1457" s="28"/>
      <c r="J1457" s="24"/>
      <c r="K1457" s="16">
        <f t="shared" si="4"/>
        <v>0</v>
      </c>
      <c r="L1457" s="19" t="str">
        <f t="shared" si="5"/>
        <v>#DIV/0!</v>
      </c>
      <c r="M1457" s="16">
        <f t="shared" si="6"/>
        <v>0</v>
      </c>
      <c r="N1457" s="24"/>
    </row>
    <row r="1458">
      <c r="A1458" s="22"/>
      <c r="B1458" s="23" t="s">
        <v>2423</v>
      </c>
      <c r="C1458" s="25" t="s">
        <v>2424</v>
      </c>
      <c r="D1458" s="25">
        <v>295.0</v>
      </c>
      <c r="E1458" s="16">
        <f t="shared" si="1"/>
        <v>20.355</v>
      </c>
      <c r="F1458" s="16">
        <f t="shared" si="28"/>
        <v>6.3425</v>
      </c>
      <c r="G1458" s="26">
        <v>149.0</v>
      </c>
      <c r="H1458" s="27">
        <v>0.1</v>
      </c>
      <c r="I1458" s="45">
        <f t="shared" ref="I1458:I1459" si="42">H1458*D1458</f>
        <v>29.5</v>
      </c>
      <c r="J1458" s="25">
        <v>37.0</v>
      </c>
      <c r="K1458" s="16">
        <f t="shared" si="4"/>
        <v>52.8025</v>
      </c>
      <c r="L1458" s="19">
        <f t="shared" si="5"/>
        <v>0.3543791946</v>
      </c>
      <c r="M1458" s="16">
        <f t="shared" si="6"/>
        <v>201.8025</v>
      </c>
      <c r="N1458" s="24"/>
    </row>
    <row r="1459">
      <c r="A1459" s="22"/>
      <c r="B1459" s="23" t="s">
        <v>2425</v>
      </c>
      <c r="C1459" s="24"/>
      <c r="D1459" s="25">
        <v>449.0</v>
      </c>
      <c r="E1459" s="16">
        <f t="shared" si="1"/>
        <v>30.981</v>
      </c>
      <c r="F1459" s="16">
        <f t="shared" si="28"/>
        <v>9.6535</v>
      </c>
      <c r="G1459" s="26">
        <v>238.53</v>
      </c>
      <c r="H1459" s="27">
        <v>0.15</v>
      </c>
      <c r="I1459" s="45">
        <f t="shared" si="42"/>
        <v>67.35</v>
      </c>
      <c r="J1459" s="25">
        <v>70.0</v>
      </c>
      <c r="K1459" s="16">
        <f t="shared" si="4"/>
        <v>32.4855</v>
      </c>
      <c r="L1459" s="19">
        <f t="shared" si="5"/>
        <v>0.1361904163</v>
      </c>
      <c r="M1459" s="16">
        <f t="shared" si="6"/>
        <v>271.0155</v>
      </c>
      <c r="N1459" s="24"/>
    </row>
    <row r="1460">
      <c r="A1460" s="22"/>
      <c r="B1460" s="23" t="s">
        <v>2259</v>
      </c>
      <c r="C1460" s="24"/>
      <c r="D1460" s="24"/>
      <c r="E1460" s="16">
        <f t="shared" si="1"/>
        <v>0</v>
      </c>
      <c r="F1460" s="16">
        <f t="shared" si="28"/>
        <v>0</v>
      </c>
      <c r="G1460" s="26">
        <v>3179.73</v>
      </c>
      <c r="H1460" s="43"/>
      <c r="I1460" s="28"/>
      <c r="J1460" s="24"/>
      <c r="K1460" s="16">
        <f t="shared" si="4"/>
        <v>-3179.73</v>
      </c>
      <c r="L1460" s="19">
        <f t="shared" si="5"/>
        <v>-1</v>
      </c>
      <c r="M1460" s="16">
        <f t="shared" si="6"/>
        <v>0</v>
      </c>
      <c r="N1460" s="24"/>
    </row>
    <row r="1461">
      <c r="A1461" s="22"/>
      <c r="B1461" s="23" t="s">
        <v>2426</v>
      </c>
      <c r="C1461" s="24"/>
      <c r="D1461" s="25">
        <v>599.0</v>
      </c>
      <c r="E1461" s="16">
        <f t="shared" si="1"/>
        <v>41.331</v>
      </c>
      <c r="F1461" s="16">
        <f t="shared" si="28"/>
        <v>12.8785</v>
      </c>
      <c r="G1461" s="26">
        <v>325.13</v>
      </c>
      <c r="H1461" s="27">
        <v>0.15</v>
      </c>
      <c r="I1461" s="45">
        <f t="shared" ref="I1461:I1465" si="43">H1461*D1461</f>
        <v>89.85</v>
      </c>
      <c r="J1461" s="25">
        <v>70.0</v>
      </c>
      <c r="K1461" s="16">
        <f t="shared" si="4"/>
        <v>59.8105</v>
      </c>
      <c r="L1461" s="19">
        <f t="shared" si="5"/>
        <v>0.1839587242</v>
      </c>
      <c r="M1461" s="16">
        <f t="shared" si="6"/>
        <v>384.9405</v>
      </c>
      <c r="N1461" s="24"/>
    </row>
    <row r="1462">
      <c r="A1462" s="22"/>
      <c r="B1462" s="23" t="s">
        <v>2427</v>
      </c>
      <c r="C1462" s="24"/>
      <c r="D1462" s="25">
        <v>529.0</v>
      </c>
      <c r="E1462" s="16">
        <f t="shared" si="1"/>
        <v>36.501</v>
      </c>
      <c r="F1462" s="16">
        <f t="shared" si="28"/>
        <v>11.3735</v>
      </c>
      <c r="G1462" s="26">
        <v>315.01</v>
      </c>
      <c r="H1462" s="27">
        <v>0.1</v>
      </c>
      <c r="I1462" s="45">
        <f t="shared" si="43"/>
        <v>52.9</v>
      </c>
      <c r="J1462" s="25">
        <v>65.0</v>
      </c>
      <c r="K1462" s="16">
        <f t="shared" si="4"/>
        <v>48.2155</v>
      </c>
      <c r="L1462" s="19">
        <f t="shared" si="5"/>
        <v>0.1530602203</v>
      </c>
      <c r="M1462" s="16">
        <f t="shared" si="6"/>
        <v>363.2255</v>
      </c>
      <c r="N1462" s="24"/>
    </row>
    <row r="1463">
      <c r="A1463" s="22"/>
      <c r="B1463" s="23" t="s">
        <v>2428</v>
      </c>
      <c r="C1463" s="24"/>
      <c r="D1463" s="25">
        <v>2199.0</v>
      </c>
      <c r="E1463" s="16">
        <f t="shared" si="1"/>
        <v>151.731</v>
      </c>
      <c r="F1463" s="16">
        <f t="shared" si="28"/>
        <v>47.2785</v>
      </c>
      <c r="G1463" s="26">
        <v>1349.49</v>
      </c>
      <c r="H1463" s="27">
        <v>0.15</v>
      </c>
      <c r="I1463" s="45">
        <f t="shared" si="43"/>
        <v>329.85</v>
      </c>
      <c r="J1463" s="25">
        <v>95.0</v>
      </c>
      <c r="K1463" s="16">
        <f t="shared" si="4"/>
        <v>225.6505</v>
      </c>
      <c r="L1463" s="19">
        <f t="shared" si="5"/>
        <v>0.1672116874</v>
      </c>
      <c r="M1463" s="16">
        <f t="shared" si="6"/>
        <v>1575.1405</v>
      </c>
      <c r="N1463" s="24"/>
    </row>
    <row r="1464">
      <c r="A1464" s="22"/>
      <c r="B1464" s="23" t="s">
        <v>2429</v>
      </c>
      <c r="C1464" s="25" t="s">
        <v>2430</v>
      </c>
      <c r="D1464" s="25">
        <v>4999.0</v>
      </c>
      <c r="E1464" s="16">
        <f t="shared" si="1"/>
        <v>344.931</v>
      </c>
      <c r="F1464" s="16">
        <f t="shared" si="28"/>
        <v>107.4785</v>
      </c>
      <c r="G1464" s="26">
        <v>3206.97</v>
      </c>
      <c r="H1464" s="27">
        <v>0.15</v>
      </c>
      <c r="I1464" s="45">
        <f t="shared" si="43"/>
        <v>749.85</v>
      </c>
      <c r="J1464" s="25">
        <v>161.0</v>
      </c>
      <c r="K1464" s="16">
        <f t="shared" si="4"/>
        <v>428.7705</v>
      </c>
      <c r="L1464" s="19">
        <f t="shared" si="5"/>
        <v>0.1336995669</v>
      </c>
      <c r="M1464" s="16">
        <f t="shared" si="6"/>
        <v>3635.7405</v>
      </c>
      <c r="N1464" s="24"/>
    </row>
    <row r="1465">
      <c r="A1465" s="22"/>
      <c r="B1465" s="23" t="s">
        <v>2431</v>
      </c>
      <c r="C1465" s="24"/>
      <c r="D1465" s="25">
        <v>7699.0</v>
      </c>
      <c r="E1465" s="16">
        <f t="shared" si="1"/>
        <v>531.231</v>
      </c>
      <c r="F1465" s="16">
        <f t="shared" si="28"/>
        <v>165.5285</v>
      </c>
      <c r="G1465" s="26">
        <v>5596.12</v>
      </c>
      <c r="H1465" s="27">
        <v>0.1</v>
      </c>
      <c r="I1465" s="45">
        <f t="shared" si="43"/>
        <v>769.9</v>
      </c>
      <c r="J1465" s="25">
        <v>103.0</v>
      </c>
      <c r="K1465" s="16">
        <f t="shared" si="4"/>
        <v>533.2205</v>
      </c>
      <c r="L1465" s="19">
        <f t="shared" si="5"/>
        <v>0.0952839646</v>
      </c>
      <c r="M1465" s="16">
        <f t="shared" si="6"/>
        <v>6129.3405</v>
      </c>
      <c r="N1465" s="24"/>
    </row>
    <row r="1466">
      <c r="A1466" s="22"/>
      <c r="B1466" s="23" t="s">
        <v>2432</v>
      </c>
      <c r="C1466" s="24"/>
      <c r="D1466" s="24"/>
      <c r="E1466" s="16">
        <f t="shared" si="1"/>
        <v>0</v>
      </c>
      <c r="F1466" s="16">
        <f t="shared" si="28"/>
        <v>0</v>
      </c>
      <c r="G1466" s="26">
        <v>149.0</v>
      </c>
      <c r="H1466" s="43"/>
      <c r="I1466" s="28"/>
      <c r="J1466" s="24"/>
      <c r="K1466" s="16">
        <f t="shared" si="4"/>
        <v>-149</v>
      </c>
      <c r="L1466" s="19">
        <f t="shared" si="5"/>
        <v>-1</v>
      </c>
      <c r="M1466" s="16">
        <f t="shared" si="6"/>
        <v>0</v>
      </c>
      <c r="N1466" s="24"/>
    </row>
    <row r="1467">
      <c r="A1467" s="22"/>
      <c r="B1467" s="23" t="s">
        <v>2433</v>
      </c>
      <c r="C1467" s="24"/>
      <c r="D1467" s="24"/>
      <c r="E1467" s="16">
        <f t="shared" si="1"/>
        <v>0</v>
      </c>
      <c r="F1467" s="16">
        <f t="shared" si="28"/>
        <v>0</v>
      </c>
      <c r="G1467" s="35">
        <v>276.74815474174943</v>
      </c>
      <c r="H1467" s="43"/>
      <c r="I1467" s="28"/>
      <c r="J1467" s="24"/>
      <c r="K1467" s="16">
        <f t="shared" si="4"/>
        <v>-276.7481547</v>
      </c>
      <c r="L1467" s="19">
        <f t="shared" si="5"/>
        <v>-1</v>
      </c>
      <c r="M1467" s="16">
        <f t="shared" si="6"/>
        <v>0</v>
      </c>
      <c r="N1467" s="24"/>
    </row>
    <row r="1468">
      <c r="A1468" s="22"/>
      <c r="B1468" s="23" t="s">
        <v>2434</v>
      </c>
      <c r="C1468" s="24"/>
      <c r="D1468" s="24"/>
      <c r="E1468" s="16">
        <f t="shared" si="1"/>
        <v>0</v>
      </c>
      <c r="F1468" s="16">
        <f t="shared" si="28"/>
        <v>0</v>
      </c>
      <c r="G1468" s="26">
        <v>633.14</v>
      </c>
      <c r="H1468" s="43"/>
      <c r="I1468" s="28"/>
      <c r="J1468" s="24"/>
      <c r="K1468" s="16">
        <f t="shared" si="4"/>
        <v>-633.14</v>
      </c>
      <c r="L1468" s="19">
        <f t="shared" si="5"/>
        <v>-1</v>
      </c>
      <c r="M1468" s="16">
        <f t="shared" si="6"/>
        <v>0</v>
      </c>
      <c r="N1468" s="24"/>
    </row>
    <row r="1469">
      <c r="A1469" s="22"/>
      <c r="B1469" s="23" t="s">
        <v>2435</v>
      </c>
      <c r="C1469" s="24"/>
      <c r="D1469" s="25">
        <v>399.0</v>
      </c>
      <c r="E1469" s="16">
        <f t="shared" si="1"/>
        <v>27.531</v>
      </c>
      <c r="F1469" s="16">
        <f t="shared" si="28"/>
        <v>8.5785</v>
      </c>
      <c r="G1469" s="26">
        <v>170.0</v>
      </c>
      <c r="H1469" s="27">
        <v>0.1</v>
      </c>
      <c r="I1469" s="45">
        <f>H1469*D1469</f>
        <v>39.9</v>
      </c>
      <c r="J1469" s="25">
        <v>103.0</v>
      </c>
      <c r="K1469" s="16">
        <f t="shared" si="4"/>
        <v>49.9905</v>
      </c>
      <c r="L1469" s="19">
        <f t="shared" si="5"/>
        <v>0.2940617647</v>
      </c>
      <c r="M1469" s="16">
        <f t="shared" si="6"/>
        <v>219.9905</v>
      </c>
      <c r="N1469" s="24"/>
    </row>
    <row r="1470">
      <c r="A1470" s="22"/>
      <c r="B1470" s="23" t="s">
        <v>2436</v>
      </c>
      <c r="C1470" s="25" t="s">
        <v>2437</v>
      </c>
      <c r="D1470" s="25">
        <v>2999.0</v>
      </c>
      <c r="E1470" s="16">
        <f t="shared" si="1"/>
        <v>206.931</v>
      </c>
      <c r="F1470" s="16">
        <f t="shared" si="28"/>
        <v>64.4785</v>
      </c>
      <c r="G1470" s="35">
        <v>1546.1357627398665</v>
      </c>
      <c r="H1470" s="43"/>
      <c r="I1470" s="28"/>
      <c r="J1470" s="24"/>
      <c r="K1470" s="16">
        <f t="shared" si="4"/>
        <v>1181.454737</v>
      </c>
      <c r="L1470" s="19">
        <f t="shared" si="5"/>
        <v>0.7641338916</v>
      </c>
      <c r="M1470" s="16">
        <f t="shared" si="6"/>
        <v>2727.5905</v>
      </c>
      <c r="N1470" s="24"/>
    </row>
    <row r="1471">
      <c r="A1471" s="22"/>
      <c r="B1471" s="23" t="s">
        <v>2438</v>
      </c>
      <c r="C1471" s="25" t="s">
        <v>2437</v>
      </c>
      <c r="D1471" s="24"/>
      <c r="E1471" s="16">
        <f t="shared" si="1"/>
        <v>0</v>
      </c>
      <c r="F1471" s="16">
        <f t="shared" si="28"/>
        <v>0</v>
      </c>
      <c r="G1471" s="35">
        <v>1546.1357627398665</v>
      </c>
      <c r="H1471" s="43"/>
      <c r="I1471" s="28"/>
      <c r="J1471" s="24"/>
      <c r="K1471" s="16">
        <f t="shared" si="4"/>
        <v>-1546.135763</v>
      </c>
      <c r="L1471" s="19">
        <f t="shared" si="5"/>
        <v>-1</v>
      </c>
      <c r="M1471" s="16">
        <f t="shared" si="6"/>
        <v>0</v>
      </c>
      <c r="N1471" s="24"/>
    </row>
    <row r="1472">
      <c r="A1472" s="22"/>
      <c r="B1472" s="23" t="s">
        <v>2439</v>
      </c>
      <c r="C1472" s="24"/>
      <c r="D1472" s="25">
        <v>899.0</v>
      </c>
      <c r="E1472" s="16">
        <f t="shared" si="1"/>
        <v>62.031</v>
      </c>
      <c r="F1472" s="16">
        <f t="shared" si="28"/>
        <v>19.3285</v>
      </c>
      <c r="G1472" s="26">
        <v>531.9992</v>
      </c>
      <c r="H1472" s="27">
        <v>0.15</v>
      </c>
      <c r="I1472" s="45">
        <f t="shared" ref="I1472:I1481" si="44">H1472*D1472</f>
        <v>134.85</v>
      </c>
      <c r="J1472" s="25">
        <v>74.0</v>
      </c>
      <c r="K1472" s="16">
        <f t="shared" si="4"/>
        <v>76.7913</v>
      </c>
      <c r="L1472" s="19">
        <f t="shared" si="5"/>
        <v>0.1443447659</v>
      </c>
      <c r="M1472" s="16">
        <f t="shared" si="6"/>
        <v>608.7905</v>
      </c>
      <c r="N1472" s="24"/>
    </row>
    <row r="1473">
      <c r="A1473" s="22"/>
      <c r="B1473" s="23" t="s">
        <v>2440</v>
      </c>
      <c r="C1473" s="25" t="s">
        <v>2441</v>
      </c>
      <c r="D1473" s="25">
        <v>2199.0</v>
      </c>
      <c r="E1473" s="16">
        <f t="shared" si="1"/>
        <v>151.731</v>
      </c>
      <c r="F1473" s="16">
        <f t="shared" si="28"/>
        <v>47.2785</v>
      </c>
      <c r="G1473" s="26">
        <v>1546.14</v>
      </c>
      <c r="H1473" s="27">
        <v>0.1</v>
      </c>
      <c r="I1473" s="45">
        <f t="shared" si="44"/>
        <v>219.9</v>
      </c>
      <c r="J1473" s="25">
        <v>74.0</v>
      </c>
      <c r="K1473" s="16">
        <f t="shared" si="4"/>
        <v>159.9505</v>
      </c>
      <c r="L1473" s="19">
        <f t="shared" si="5"/>
        <v>0.1034514986</v>
      </c>
      <c r="M1473" s="16">
        <f t="shared" si="6"/>
        <v>1706.0905</v>
      </c>
      <c r="N1473" s="24"/>
    </row>
    <row r="1474">
      <c r="A1474" s="22"/>
      <c r="B1474" s="23" t="s">
        <v>2442</v>
      </c>
      <c r="C1474" s="25" t="s">
        <v>2443</v>
      </c>
      <c r="D1474" s="25">
        <v>4172.0</v>
      </c>
      <c r="E1474" s="16">
        <f t="shared" si="1"/>
        <v>287.868</v>
      </c>
      <c r="F1474" s="16">
        <f t="shared" si="28"/>
        <v>89.698</v>
      </c>
      <c r="G1474" s="26">
        <v>2875.45</v>
      </c>
      <c r="H1474" s="27">
        <v>0.135</v>
      </c>
      <c r="I1474" s="45">
        <f t="shared" si="44"/>
        <v>563.22</v>
      </c>
      <c r="J1474" s="25">
        <v>110.0</v>
      </c>
      <c r="K1474" s="16">
        <f t="shared" si="4"/>
        <v>245.764</v>
      </c>
      <c r="L1474" s="19">
        <f t="shared" si="5"/>
        <v>0.08546975256</v>
      </c>
      <c r="M1474" s="16">
        <f t="shared" si="6"/>
        <v>3121.214</v>
      </c>
      <c r="N1474" s="24"/>
    </row>
    <row r="1475">
      <c r="A1475" s="22"/>
      <c r="B1475" s="23" t="s">
        <v>2444</v>
      </c>
      <c r="C1475" s="24"/>
      <c r="D1475" s="25">
        <v>2699.0</v>
      </c>
      <c r="E1475" s="16">
        <f t="shared" si="1"/>
        <v>186.231</v>
      </c>
      <c r="F1475" s="16">
        <f t="shared" si="28"/>
        <v>58.0285</v>
      </c>
      <c r="G1475" s="26">
        <v>1814.25</v>
      </c>
      <c r="H1475" s="27">
        <v>0.135</v>
      </c>
      <c r="I1475" s="45">
        <f t="shared" si="44"/>
        <v>364.365</v>
      </c>
      <c r="J1475" s="25">
        <v>110.0</v>
      </c>
      <c r="K1475" s="16">
        <f t="shared" si="4"/>
        <v>166.1255</v>
      </c>
      <c r="L1475" s="19">
        <f t="shared" si="5"/>
        <v>0.09156703872</v>
      </c>
      <c r="M1475" s="16">
        <f t="shared" si="6"/>
        <v>1980.3755</v>
      </c>
      <c r="N1475" s="24"/>
    </row>
    <row r="1476">
      <c r="A1476" s="22"/>
      <c r="B1476" s="23" t="s">
        <v>2445</v>
      </c>
      <c r="C1476" s="24"/>
      <c r="D1476" s="25">
        <v>4506.0</v>
      </c>
      <c r="E1476" s="16">
        <f t="shared" si="1"/>
        <v>310.914</v>
      </c>
      <c r="F1476" s="16">
        <f t="shared" si="28"/>
        <v>96.879</v>
      </c>
      <c r="G1476" s="26">
        <v>2967.2</v>
      </c>
      <c r="H1476" s="27">
        <v>0.15</v>
      </c>
      <c r="I1476" s="45">
        <f t="shared" si="44"/>
        <v>675.9</v>
      </c>
      <c r="J1476" s="25">
        <v>139.0</v>
      </c>
      <c r="K1476" s="16">
        <f t="shared" si="4"/>
        <v>316.107</v>
      </c>
      <c r="L1476" s="19">
        <f t="shared" si="5"/>
        <v>0.1065337692</v>
      </c>
      <c r="M1476" s="16">
        <f t="shared" si="6"/>
        <v>3283.307</v>
      </c>
      <c r="N1476" s="24"/>
    </row>
    <row r="1477">
      <c r="A1477" s="22"/>
      <c r="B1477" s="23" t="s">
        <v>2446</v>
      </c>
      <c r="C1477" s="24"/>
      <c r="D1477" s="25">
        <v>1599.0</v>
      </c>
      <c r="E1477" s="16">
        <f t="shared" si="1"/>
        <v>110.331</v>
      </c>
      <c r="F1477" s="16">
        <f t="shared" si="28"/>
        <v>34.3785</v>
      </c>
      <c r="G1477" s="26">
        <v>1002.18</v>
      </c>
      <c r="H1477" s="27">
        <v>0.15</v>
      </c>
      <c r="I1477" s="45">
        <f t="shared" si="44"/>
        <v>239.85</v>
      </c>
      <c r="J1477" s="25">
        <v>65.0</v>
      </c>
      <c r="K1477" s="16">
        <f t="shared" si="4"/>
        <v>147.2605</v>
      </c>
      <c r="L1477" s="19">
        <f t="shared" si="5"/>
        <v>0.1469401704</v>
      </c>
      <c r="M1477" s="16">
        <f t="shared" si="6"/>
        <v>1149.4405</v>
      </c>
      <c r="N1477" s="24"/>
    </row>
    <row r="1478">
      <c r="A1478" s="22"/>
      <c r="B1478" s="23" t="s">
        <v>2447</v>
      </c>
      <c r="C1478" s="24"/>
      <c r="D1478" s="25">
        <v>929.0</v>
      </c>
      <c r="E1478" s="16">
        <f t="shared" si="1"/>
        <v>64.101</v>
      </c>
      <c r="F1478" s="16">
        <f t="shared" si="28"/>
        <v>19.9735</v>
      </c>
      <c r="G1478" s="26">
        <v>520.09</v>
      </c>
      <c r="H1478" s="27">
        <v>0.19</v>
      </c>
      <c r="I1478" s="45">
        <f t="shared" si="44"/>
        <v>176.51</v>
      </c>
      <c r="J1478" s="25">
        <v>84.0</v>
      </c>
      <c r="K1478" s="16">
        <f t="shared" si="4"/>
        <v>64.3255</v>
      </c>
      <c r="L1478" s="19">
        <f t="shared" si="5"/>
        <v>0.1236814782</v>
      </c>
      <c r="M1478" s="16">
        <f t="shared" si="6"/>
        <v>584.4155</v>
      </c>
      <c r="N1478" s="24"/>
    </row>
    <row r="1479">
      <c r="A1479" s="22"/>
      <c r="B1479" s="23" t="s">
        <v>2448</v>
      </c>
      <c r="C1479" s="24"/>
      <c r="D1479" s="25">
        <v>2203.0</v>
      </c>
      <c r="E1479" s="16">
        <f t="shared" si="1"/>
        <v>152.007</v>
      </c>
      <c r="F1479" s="16">
        <f t="shared" si="28"/>
        <v>47.3645</v>
      </c>
      <c r="G1479" s="26">
        <v>1546.14</v>
      </c>
      <c r="H1479" s="27">
        <v>0.1</v>
      </c>
      <c r="I1479" s="45">
        <f t="shared" si="44"/>
        <v>220.3</v>
      </c>
      <c r="J1479" s="25">
        <v>74.0</v>
      </c>
      <c r="K1479" s="16">
        <f t="shared" si="4"/>
        <v>163.1885</v>
      </c>
      <c r="L1479" s="19">
        <f t="shared" si="5"/>
        <v>0.1055457462</v>
      </c>
      <c r="M1479" s="16">
        <f t="shared" si="6"/>
        <v>1709.3285</v>
      </c>
      <c r="N1479" s="24"/>
    </row>
    <row r="1480">
      <c r="A1480" s="22"/>
      <c r="B1480" s="23" t="s">
        <v>2449</v>
      </c>
      <c r="C1480" s="24"/>
      <c r="D1480" s="25">
        <v>1499.0</v>
      </c>
      <c r="E1480" s="16">
        <f t="shared" si="1"/>
        <v>103.431</v>
      </c>
      <c r="F1480" s="16">
        <f t="shared" si="28"/>
        <v>32.2285</v>
      </c>
      <c r="G1480" s="26">
        <v>896.34</v>
      </c>
      <c r="H1480" s="27">
        <v>0.15</v>
      </c>
      <c r="I1480" s="45">
        <f t="shared" si="44"/>
        <v>224.85</v>
      </c>
      <c r="J1480" s="25">
        <v>103.0</v>
      </c>
      <c r="K1480" s="16">
        <f t="shared" si="4"/>
        <v>139.1505</v>
      </c>
      <c r="L1480" s="19">
        <f t="shared" si="5"/>
        <v>0.1552429882</v>
      </c>
      <c r="M1480" s="16">
        <f t="shared" si="6"/>
        <v>1035.4905</v>
      </c>
      <c r="N1480" s="24"/>
    </row>
    <row r="1481">
      <c r="A1481" s="22"/>
      <c r="B1481" s="23" t="s">
        <v>2450</v>
      </c>
      <c r="C1481" s="24"/>
      <c r="D1481" s="25">
        <v>6299.0</v>
      </c>
      <c r="E1481" s="16">
        <f t="shared" si="1"/>
        <v>434.631</v>
      </c>
      <c r="F1481" s="16">
        <f t="shared" si="28"/>
        <v>135.4285</v>
      </c>
      <c r="G1481" s="26">
        <v>5746.13</v>
      </c>
      <c r="H1481" s="27">
        <v>0.15</v>
      </c>
      <c r="I1481" s="45">
        <f t="shared" si="44"/>
        <v>944.85</v>
      </c>
      <c r="J1481" s="25">
        <v>103.0</v>
      </c>
      <c r="K1481" s="16">
        <f t="shared" si="4"/>
        <v>-1065.0395</v>
      </c>
      <c r="L1481" s="19">
        <f t="shared" si="5"/>
        <v>-0.1853490088</v>
      </c>
      <c r="M1481" s="16">
        <f t="shared" si="6"/>
        <v>4681.0905</v>
      </c>
      <c r="N1481" s="24"/>
    </row>
    <row r="1482">
      <c r="A1482" s="22"/>
      <c r="B1482" s="23" t="s">
        <v>2451</v>
      </c>
      <c r="C1482" s="24"/>
      <c r="D1482" s="24"/>
      <c r="E1482" s="16">
        <f t="shared" si="1"/>
        <v>0</v>
      </c>
      <c r="F1482" s="16">
        <f t="shared" si="28"/>
        <v>0</v>
      </c>
      <c r="G1482" s="35">
        <v>5746.13</v>
      </c>
      <c r="H1482" s="43"/>
      <c r="I1482" s="28"/>
      <c r="J1482" s="24"/>
      <c r="K1482" s="16">
        <f t="shared" si="4"/>
        <v>-5746.13</v>
      </c>
      <c r="L1482" s="19">
        <f t="shared" si="5"/>
        <v>-1</v>
      </c>
      <c r="M1482" s="16">
        <f t="shared" si="6"/>
        <v>0</v>
      </c>
      <c r="N1482" s="24"/>
    </row>
    <row r="1483">
      <c r="A1483" s="22"/>
      <c r="B1483" s="23" t="s">
        <v>2452</v>
      </c>
      <c r="C1483" s="24"/>
      <c r="D1483" s="25">
        <v>1399.0</v>
      </c>
      <c r="E1483" s="16">
        <f t="shared" si="1"/>
        <v>96.531</v>
      </c>
      <c r="F1483" s="16">
        <f t="shared" si="28"/>
        <v>30.0785</v>
      </c>
      <c r="G1483" s="26">
        <v>800.0</v>
      </c>
      <c r="H1483" s="27">
        <v>0.195</v>
      </c>
      <c r="I1483" s="45">
        <f>H1483*D1483</f>
        <v>272.805</v>
      </c>
      <c r="J1483" s="25">
        <v>84.0</v>
      </c>
      <c r="K1483" s="16">
        <f t="shared" si="4"/>
        <v>115.5855</v>
      </c>
      <c r="L1483" s="19">
        <f t="shared" si="5"/>
        <v>0.144481875</v>
      </c>
      <c r="M1483" s="16">
        <f t="shared" si="6"/>
        <v>915.5855</v>
      </c>
      <c r="N1483" s="24"/>
    </row>
    <row r="1484">
      <c r="A1484" s="22"/>
      <c r="B1484" s="23" t="s">
        <v>2453</v>
      </c>
      <c r="C1484" s="24"/>
      <c r="D1484" s="24"/>
      <c r="E1484" s="16">
        <f t="shared" si="1"/>
        <v>0</v>
      </c>
      <c r="F1484" s="16">
        <f t="shared" si="28"/>
        <v>0</v>
      </c>
      <c r="G1484" s="26">
        <v>78.0</v>
      </c>
      <c r="H1484" s="43"/>
      <c r="I1484" s="28"/>
      <c r="J1484" s="24"/>
      <c r="K1484" s="24"/>
      <c r="L1484" s="43"/>
      <c r="M1484" s="16">
        <f t="shared" si="6"/>
        <v>0</v>
      </c>
      <c r="N1484" s="24"/>
    </row>
    <row r="1485">
      <c r="A1485" s="22"/>
      <c r="B1485" s="23" t="s">
        <v>2454</v>
      </c>
      <c r="C1485" s="24"/>
      <c r="D1485" s="25">
        <v>5499.0</v>
      </c>
      <c r="E1485" s="16">
        <f t="shared" si="1"/>
        <v>379.431</v>
      </c>
      <c r="F1485" s="16">
        <f t="shared" si="28"/>
        <v>118.2285</v>
      </c>
      <c r="G1485" s="26">
        <v>3829.5</v>
      </c>
      <c r="H1485" s="27">
        <v>0.1</v>
      </c>
      <c r="I1485" s="45">
        <f t="shared" ref="I1485:I1489" si="45">H1485*D1485</f>
        <v>549.9</v>
      </c>
      <c r="J1485" s="25">
        <v>190.0</v>
      </c>
      <c r="K1485" s="16">
        <f t="shared" ref="K1485:K1489" si="46">D1485-G1485-I1485-J1485-E1485-F1485</f>
        <v>431.9405</v>
      </c>
      <c r="L1485" s="19">
        <f t="shared" ref="L1485:L1489" si="47">K1485/G1485</f>
        <v>0.1127929234</v>
      </c>
      <c r="M1485" s="16">
        <f t="shared" si="6"/>
        <v>4261.4405</v>
      </c>
      <c r="N1485" s="24"/>
    </row>
    <row r="1486">
      <c r="A1486" s="22"/>
      <c r="B1486" s="23" t="s">
        <v>2455</v>
      </c>
      <c r="C1486" s="24"/>
      <c r="D1486" s="25">
        <v>199.0</v>
      </c>
      <c r="E1486" s="16">
        <f t="shared" si="1"/>
        <v>13.731</v>
      </c>
      <c r="F1486" s="16">
        <f t="shared" si="28"/>
        <v>4.2785</v>
      </c>
      <c r="G1486" s="26">
        <v>75.0</v>
      </c>
      <c r="H1486" s="27">
        <v>0.15</v>
      </c>
      <c r="I1486" s="45">
        <f t="shared" si="45"/>
        <v>29.85</v>
      </c>
      <c r="J1486" s="25">
        <v>52.0</v>
      </c>
      <c r="K1486" s="16">
        <f t="shared" si="46"/>
        <v>24.1405</v>
      </c>
      <c r="L1486" s="19">
        <f t="shared" si="47"/>
        <v>0.3218733333</v>
      </c>
      <c r="M1486" s="16">
        <f t="shared" si="6"/>
        <v>99.1405</v>
      </c>
      <c r="N1486" s="24"/>
    </row>
    <row r="1487">
      <c r="A1487" s="22"/>
      <c r="B1487" s="23" t="s">
        <v>2456</v>
      </c>
      <c r="C1487" s="24"/>
      <c r="D1487" s="25">
        <v>2199.0</v>
      </c>
      <c r="E1487" s="16">
        <f t="shared" si="1"/>
        <v>151.731</v>
      </c>
      <c r="F1487" s="16">
        <f t="shared" si="28"/>
        <v>47.2785</v>
      </c>
      <c r="G1487" s="26">
        <v>1550.0</v>
      </c>
      <c r="H1487" s="27">
        <v>0.1</v>
      </c>
      <c r="I1487" s="45">
        <f t="shared" si="45"/>
        <v>219.9</v>
      </c>
      <c r="J1487" s="25">
        <v>74.0</v>
      </c>
      <c r="K1487" s="16">
        <f t="shared" si="46"/>
        <v>156.0905</v>
      </c>
      <c r="L1487" s="19">
        <f t="shared" si="47"/>
        <v>0.1007035484</v>
      </c>
      <c r="M1487" s="16">
        <f t="shared" si="6"/>
        <v>1706.0905</v>
      </c>
      <c r="N1487" s="24"/>
    </row>
    <row r="1488">
      <c r="A1488" s="22"/>
      <c r="B1488" s="23" t="s">
        <v>2457</v>
      </c>
      <c r="C1488" s="24"/>
      <c r="D1488" s="25">
        <v>2499.0</v>
      </c>
      <c r="E1488" s="16">
        <f t="shared" si="1"/>
        <v>172.431</v>
      </c>
      <c r="F1488" s="16">
        <f t="shared" si="28"/>
        <v>53.7285</v>
      </c>
      <c r="G1488" s="26">
        <v>1580.23</v>
      </c>
      <c r="H1488" s="27">
        <v>0.15</v>
      </c>
      <c r="I1488" s="45">
        <f t="shared" si="45"/>
        <v>374.85</v>
      </c>
      <c r="J1488" s="25">
        <v>139.0</v>
      </c>
      <c r="K1488" s="16">
        <f t="shared" si="46"/>
        <v>178.7605</v>
      </c>
      <c r="L1488" s="19">
        <f t="shared" si="47"/>
        <v>0.1131230897</v>
      </c>
      <c r="M1488" s="16">
        <f t="shared" si="6"/>
        <v>1758.9905</v>
      </c>
      <c r="N1488" s="24"/>
    </row>
    <row r="1489">
      <c r="A1489" s="22"/>
      <c r="B1489" s="23" t="s">
        <v>2458</v>
      </c>
      <c r="C1489" s="24"/>
      <c r="D1489" s="25">
        <v>6999.0</v>
      </c>
      <c r="E1489" s="16">
        <f t="shared" si="1"/>
        <v>482.931</v>
      </c>
      <c r="F1489" s="16">
        <f t="shared" si="28"/>
        <v>150.4785</v>
      </c>
      <c r="G1489" s="26">
        <v>4242.34</v>
      </c>
      <c r="H1489" s="27">
        <v>0.18</v>
      </c>
      <c r="I1489" s="45">
        <f t="shared" si="45"/>
        <v>1259.82</v>
      </c>
      <c r="J1489" s="25">
        <v>110.0</v>
      </c>
      <c r="K1489" s="16">
        <f t="shared" si="46"/>
        <v>753.4305</v>
      </c>
      <c r="L1489" s="19">
        <f t="shared" si="47"/>
        <v>0.1775978587</v>
      </c>
      <c r="M1489" s="16">
        <f t="shared" si="6"/>
        <v>4995.7705</v>
      </c>
      <c r="N1489" s="24"/>
    </row>
    <row r="1490">
      <c r="A1490" s="22"/>
      <c r="B1490" s="23" t="s">
        <v>2456</v>
      </c>
      <c r="C1490" s="24"/>
      <c r="D1490" s="24"/>
      <c r="E1490" s="16">
        <f t="shared" si="1"/>
        <v>0</v>
      </c>
      <c r="F1490" s="16">
        <f t="shared" si="28"/>
        <v>0</v>
      </c>
      <c r="G1490" s="56">
        <v>1550.0</v>
      </c>
      <c r="H1490" s="43"/>
      <c r="I1490" s="28"/>
      <c r="J1490" s="24"/>
      <c r="K1490" s="24"/>
      <c r="L1490" s="43"/>
      <c r="M1490" s="16">
        <f t="shared" si="6"/>
        <v>0</v>
      </c>
      <c r="N1490" s="24"/>
    </row>
    <row r="1491">
      <c r="A1491" s="22"/>
      <c r="B1491" s="23" t="s">
        <v>2459</v>
      </c>
      <c r="C1491" s="24"/>
      <c r="D1491" s="24"/>
      <c r="E1491" s="16">
        <f t="shared" si="1"/>
        <v>0</v>
      </c>
      <c r="F1491" s="16">
        <f t="shared" si="28"/>
        <v>0</v>
      </c>
      <c r="G1491" s="56">
        <v>1550.0</v>
      </c>
      <c r="H1491" s="43"/>
      <c r="I1491" s="28"/>
      <c r="J1491" s="24"/>
      <c r="K1491" s="24"/>
      <c r="L1491" s="43"/>
      <c r="M1491" s="16">
        <f t="shared" si="6"/>
        <v>0</v>
      </c>
      <c r="N1491" s="24"/>
    </row>
    <row r="1492">
      <c r="A1492" s="22"/>
      <c r="B1492" s="57" t="s">
        <v>2460</v>
      </c>
      <c r="C1492" s="24"/>
      <c r="D1492" s="25">
        <v>7999.0</v>
      </c>
      <c r="E1492" s="16">
        <f t="shared" si="1"/>
        <v>551.931</v>
      </c>
      <c r="F1492" s="16">
        <f t="shared" si="28"/>
        <v>171.9785</v>
      </c>
      <c r="G1492" s="26">
        <v>5596.12</v>
      </c>
      <c r="H1492" s="27">
        <v>0.1</v>
      </c>
      <c r="I1492" s="45">
        <f t="shared" ref="I1492:I1493" si="48">H1492*D1492</f>
        <v>799.9</v>
      </c>
      <c r="J1492" s="25">
        <v>103.0</v>
      </c>
      <c r="K1492" s="16">
        <f t="shared" ref="K1492:K1493" si="49">D1492-G1492-I1492-J1492-E1492-F1492</f>
        <v>776.0705</v>
      </c>
      <c r="L1492" s="19">
        <f t="shared" ref="L1492:L1493" si="50">K1492/G1492</f>
        <v>0.1386801034</v>
      </c>
      <c r="M1492" s="16">
        <f t="shared" si="6"/>
        <v>6372.1905</v>
      </c>
      <c r="N1492" s="24"/>
    </row>
    <row r="1493">
      <c r="A1493" s="22"/>
      <c r="B1493" s="57" t="s">
        <v>2461</v>
      </c>
      <c r="C1493" s="24"/>
      <c r="D1493" s="25">
        <v>885.0</v>
      </c>
      <c r="E1493" s="16">
        <f t="shared" si="1"/>
        <v>61.065</v>
      </c>
      <c r="F1493" s="16">
        <f t="shared" si="28"/>
        <v>19.0275</v>
      </c>
      <c r="G1493" s="58">
        <f t="shared" ref="G1493:G1494" si="51">474.4*1.16</f>
        <v>550.304</v>
      </c>
      <c r="H1493" s="27">
        <v>0.1</v>
      </c>
      <c r="I1493" s="45">
        <f t="shared" si="48"/>
        <v>88.5</v>
      </c>
      <c r="J1493" s="25">
        <v>103.0</v>
      </c>
      <c r="K1493" s="16">
        <f t="shared" si="49"/>
        <v>63.1035</v>
      </c>
      <c r="L1493" s="19">
        <f t="shared" si="50"/>
        <v>0.114670255</v>
      </c>
      <c r="M1493" s="16">
        <f t="shared" si="6"/>
        <v>613.4075</v>
      </c>
      <c r="N1493" s="24"/>
    </row>
    <row r="1494">
      <c r="A1494" s="22"/>
      <c r="B1494" s="59" t="s">
        <v>2462</v>
      </c>
      <c r="C1494" s="24"/>
      <c r="D1494" s="24"/>
      <c r="E1494" s="16">
        <f t="shared" si="1"/>
        <v>0</v>
      </c>
      <c r="F1494" s="16">
        <f t="shared" si="28"/>
        <v>0</v>
      </c>
      <c r="G1494" s="58">
        <f t="shared" si="51"/>
        <v>550.304</v>
      </c>
      <c r="H1494" s="43"/>
      <c r="I1494" s="28"/>
      <c r="J1494" s="24"/>
      <c r="K1494" s="24"/>
      <c r="L1494" s="43"/>
      <c r="M1494" s="16">
        <f t="shared" si="6"/>
        <v>0</v>
      </c>
      <c r="N1494" s="24"/>
    </row>
    <row r="1495">
      <c r="A1495" s="22"/>
      <c r="B1495" s="57" t="s">
        <v>2463</v>
      </c>
      <c r="C1495" s="24"/>
      <c r="D1495" s="25">
        <v>4599.0</v>
      </c>
      <c r="E1495" s="16">
        <f t="shared" si="1"/>
        <v>317.331</v>
      </c>
      <c r="F1495" s="16">
        <f t="shared" si="28"/>
        <v>98.8785</v>
      </c>
      <c r="G1495" s="26">
        <v>2875.45</v>
      </c>
      <c r="H1495" s="27">
        <v>0.135</v>
      </c>
      <c r="I1495" s="45">
        <f>H1495*D1495</f>
        <v>620.865</v>
      </c>
      <c r="J1495" s="25">
        <v>110.0</v>
      </c>
      <c r="K1495" s="16">
        <f>D1495-G1495-I1495-J1495-E1495-F1495</f>
        <v>576.4755</v>
      </c>
      <c r="L1495" s="19">
        <f>K1495/G1495</f>
        <v>0.2004818376</v>
      </c>
      <c r="M1495" s="16">
        <f t="shared" si="6"/>
        <v>3451.9255</v>
      </c>
      <c r="N1495" s="24"/>
    </row>
    <row r="1496">
      <c r="A1496" s="22"/>
      <c r="B1496" s="57" t="s">
        <v>2464</v>
      </c>
      <c r="C1496" s="24"/>
      <c r="D1496" s="24"/>
      <c r="E1496" s="16">
        <f t="shared" si="1"/>
        <v>0</v>
      </c>
      <c r="F1496" s="16">
        <f t="shared" si="28"/>
        <v>0</v>
      </c>
      <c r="G1496" s="60">
        <v>580.0</v>
      </c>
      <c r="H1496" s="43"/>
      <c r="I1496" s="28"/>
      <c r="J1496" s="24"/>
      <c r="K1496" s="24"/>
      <c r="L1496" s="43"/>
      <c r="M1496" s="16">
        <f t="shared" si="6"/>
        <v>0</v>
      </c>
      <c r="N1496" s="24"/>
    </row>
    <row r="1497">
      <c r="A1497" s="22"/>
      <c r="B1497" s="59" t="s">
        <v>2465</v>
      </c>
      <c r="C1497" s="24"/>
      <c r="D1497" s="24"/>
      <c r="E1497" s="16">
        <f t="shared" si="1"/>
        <v>0</v>
      </c>
      <c r="F1497" s="16">
        <f t="shared" si="28"/>
        <v>0</v>
      </c>
      <c r="G1497" s="26">
        <v>580.0</v>
      </c>
      <c r="H1497" s="43"/>
      <c r="I1497" s="28"/>
      <c r="J1497" s="24"/>
      <c r="K1497" s="24"/>
      <c r="L1497" s="43"/>
      <c r="M1497" s="16">
        <f t="shared" si="6"/>
        <v>0</v>
      </c>
      <c r="N1497" s="24"/>
    </row>
    <row r="1498">
      <c r="A1498" s="22"/>
      <c r="B1498" s="57" t="s">
        <v>2466</v>
      </c>
      <c r="C1498" s="24"/>
      <c r="D1498" s="25">
        <v>1499.0</v>
      </c>
      <c r="E1498" s="16">
        <f t="shared" si="1"/>
        <v>103.431</v>
      </c>
      <c r="F1498" s="16">
        <f t="shared" si="28"/>
        <v>32.2285</v>
      </c>
      <c r="G1498" s="26">
        <v>896.34</v>
      </c>
      <c r="H1498" s="27">
        <v>0.15</v>
      </c>
      <c r="I1498" s="45">
        <f t="shared" ref="I1498:I1501" si="52">H1498*D1498</f>
        <v>224.85</v>
      </c>
      <c r="J1498" s="25">
        <v>103.0</v>
      </c>
      <c r="K1498" s="16">
        <f t="shared" ref="K1498:K1501" si="53">D1498-G1498-I1498-J1498-E1498-F1498</f>
        <v>139.1505</v>
      </c>
      <c r="L1498" s="19">
        <f t="shared" ref="L1498:L1501" si="54">K1498/G1498</f>
        <v>0.1552429882</v>
      </c>
      <c r="M1498" s="16">
        <f t="shared" si="6"/>
        <v>1035.4905</v>
      </c>
      <c r="N1498" s="24"/>
    </row>
    <row r="1499">
      <c r="A1499" s="22"/>
      <c r="B1499" s="57" t="s">
        <v>2467</v>
      </c>
      <c r="C1499" s="24"/>
      <c r="D1499" s="25">
        <v>2499.0</v>
      </c>
      <c r="E1499" s="16">
        <f t="shared" si="1"/>
        <v>172.431</v>
      </c>
      <c r="F1499" s="16">
        <f t="shared" si="28"/>
        <v>53.7285</v>
      </c>
      <c r="G1499" s="26">
        <v>1747.56</v>
      </c>
      <c r="H1499" s="27">
        <v>0.135</v>
      </c>
      <c r="I1499" s="28">
        <f t="shared" si="52"/>
        <v>337.365</v>
      </c>
      <c r="J1499" s="25">
        <v>65.0</v>
      </c>
      <c r="K1499" s="16">
        <f t="shared" si="53"/>
        <v>122.9155</v>
      </c>
      <c r="L1499" s="19">
        <f t="shared" si="54"/>
        <v>0.07033549635</v>
      </c>
      <c r="M1499" s="16">
        <f t="shared" si="6"/>
        <v>1870.4755</v>
      </c>
      <c r="N1499" s="24"/>
    </row>
    <row r="1500">
      <c r="A1500" s="22"/>
      <c r="B1500" s="57" t="s">
        <v>2468</v>
      </c>
      <c r="C1500" s="24"/>
      <c r="D1500" s="25">
        <v>6193.0</v>
      </c>
      <c r="E1500" s="16">
        <f t="shared" si="1"/>
        <v>427.317</v>
      </c>
      <c r="F1500" s="16">
        <f t="shared" si="28"/>
        <v>133.1495</v>
      </c>
      <c r="G1500" s="58">
        <v>4720.867862232393</v>
      </c>
      <c r="H1500" s="27">
        <v>0.1</v>
      </c>
      <c r="I1500" s="28">
        <f t="shared" si="52"/>
        <v>619.3</v>
      </c>
      <c r="J1500" s="25">
        <v>65.0</v>
      </c>
      <c r="K1500" s="16">
        <f t="shared" si="53"/>
        <v>227.3656378</v>
      </c>
      <c r="L1500" s="19">
        <f t="shared" si="54"/>
        <v>0.04816183049</v>
      </c>
      <c r="M1500" s="16">
        <f t="shared" si="6"/>
        <v>4948.2335</v>
      </c>
      <c r="N1500" s="24"/>
    </row>
    <row r="1501">
      <c r="A1501" s="22"/>
      <c r="B1501" s="57" t="s">
        <v>2469</v>
      </c>
      <c r="C1501" s="24"/>
      <c r="D1501" s="25">
        <v>599.0</v>
      </c>
      <c r="E1501" s="16">
        <f t="shared" si="1"/>
        <v>41.331</v>
      </c>
      <c r="F1501" s="16">
        <f t="shared" si="28"/>
        <v>12.8785</v>
      </c>
      <c r="G1501" s="26">
        <v>351.48</v>
      </c>
      <c r="H1501" s="27">
        <v>0.1</v>
      </c>
      <c r="I1501" s="45">
        <f t="shared" si="52"/>
        <v>59.9</v>
      </c>
      <c r="J1501" s="25">
        <v>65.0</v>
      </c>
      <c r="K1501" s="16">
        <f t="shared" si="53"/>
        <v>68.4105</v>
      </c>
      <c r="L1501" s="19">
        <f t="shared" si="54"/>
        <v>0.1946355411</v>
      </c>
      <c r="M1501" s="16">
        <f t="shared" si="6"/>
        <v>419.8905</v>
      </c>
      <c r="N1501" s="24"/>
    </row>
    <row r="1502">
      <c r="A1502" s="22"/>
      <c r="B1502" s="59" t="s">
        <v>2470</v>
      </c>
      <c r="C1502" s="24"/>
      <c r="D1502" s="24"/>
      <c r="E1502" s="16">
        <f t="shared" si="1"/>
        <v>0</v>
      </c>
      <c r="F1502" s="16">
        <f t="shared" si="28"/>
        <v>0</v>
      </c>
      <c r="G1502" s="58">
        <v>4720.867862232393</v>
      </c>
      <c r="H1502" s="43"/>
      <c r="I1502" s="28"/>
      <c r="J1502" s="24"/>
      <c r="K1502" s="24"/>
      <c r="L1502" s="43"/>
      <c r="M1502" s="16">
        <f t="shared" si="6"/>
        <v>0</v>
      </c>
      <c r="N1502" s="24"/>
    </row>
    <row r="1503">
      <c r="A1503" s="22"/>
      <c r="B1503" s="23" t="s">
        <v>2471</v>
      </c>
      <c r="C1503" s="24"/>
      <c r="D1503" s="25">
        <v>299.0</v>
      </c>
      <c r="E1503" s="16">
        <f t="shared" si="1"/>
        <v>20.631</v>
      </c>
      <c r="F1503" s="16">
        <f t="shared" si="28"/>
        <v>6.4285</v>
      </c>
      <c r="G1503" s="26">
        <v>150.0</v>
      </c>
      <c r="H1503" s="27">
        <v>0.15</v>
      </c>
      <c r="I1503" s="45">
        <f t="shared" ref="I1503:I1521" si="55">H1503*D1503</f>
        <v>44.85</v>
      </c>
      <c r="J1503" s="25">
        <v>59.0</v>
      </c>
      <c r="K1503" s="16">
        <f t="shared" ref="K1503:K1521" si="56">D1503-G1503-I1503-J1503-E1503-F1503</f>
        <v>18.0905</v>
      </c>
      <c r="L1503" s="19">
        <f t="shared" ref="L1503:L1521" si="57">K1503/G1503</f>
        <v>0.1206033333</v>
      </c>
      <c r="M1503" s="16">
        <f t="shared" si="6"/>
        <v>168.0905</v>
      </c>
      <c r="N1503" s="24"/>
    </row>
    <row r="1504">
      <c r="A1504" s="22"/>
      <c r="B1504" s="23" t="s">
        <v>2472</v>
      </c>
      <c r="C1504" s="24"/>
      <c r="D1504" s="25">
        <v>2099.0</v>
      </c>
      <c r="E1504" s="16">
        <f t="shared" si="1"/>
        <v>144.831</v>
      </c>
      <c r="F1504" s="16">
        <f t="shared" si="28"/>
        <v>45.1285</v>
      </c>
      <c r="G1504" s="26">
        <v>1411.67</v>
      </c>
      <c r="H1504" s="27">
        <v>0.15</v>
      </c>
      <c r="I1504" s="45">
        <f t="shared" si="55"/>
        <v>314.85</v>
      </c>
      <c r="J1504" s="25">
        <v>74.0</v>
      </c>
      <c r="K1504" s="16">
        <f t="shared" si="56"/>
        <v>108.5205</v>
      </c>
      <c r="L1504" s="19">
        <f t="shared" si="57"/>
        <v>0.07687384445</v>
      </c>
      <c r="M1504" s="16">
        <f t="shared" si="6"/>
        <v>1520.1905</v>
      </c>
      <c r="N1504" s="24"/>
    </row>
    <row r="1505">
      <c r="A1505" s="22"/>
      <c r="B1505" s="23" t="s">
        <v>2473</v>
      </c>
      <c r="C1505" s="24"/>
      <c r="D1505" s="25">
        <v>2299.0</v>
      </c>
      <c r="E1505" s="16">
        <f t="shared" si="1"/>
        <v>158.631</v>
      </c>
      <c r="F1505" s="16">
        <f t="shared" si="28"/>
        <v>49.4285</v>
      </c>
      <c r="G1505" s="26">
        <v>1290.0</v>
      </c>
      <c r="H1505" s="27">
        <v>0.195</v>
      </c>
      <c r="I1505" s="45">
        <f t="shared" si="55"/>
        <v>448.305</v>
      </c>
      <c r="J1505" s="25">
        <v>122.0</v>
      </c>
      <c r="K1505" s="16">
        <f t="shared" si="56"/>
        <v>230.6355</v>
      </c>
      <c r="L1505" s="19">
        <f t="shared" si="57"/>
        <v>0.1787872093</v>
      </c>
      <c r="M1505" s="16">
        <f t="shared" si="6"/>
        <v>1520.6355</v>
      </c>
      <c r="N1505" s="24"/>
    </row>
    <row r="1506">
      <c r="A1506" s="22"/>
      <c r="B1506" s="23" t="s">
        <v>2474</v>
      </c>
      <c r="C1506" s="25">
        <v>2299.0</v>
      </c>
      <c r="D1506" s="25">
        <v>1991.0</v>
      </c>
      <c r="E1506" s="16">
        <f t="shared" si="1"/>
        <v>137.379</v>
      </c>
      <c r="F1506" s="16">
        <f t="shared" si="28"/>
        <v>42.8065</v>
      </c>
      <c r="G1506" s="26">
        <v>1550.0</v>
      </c>
      <c r="H1506" s="27">
        <v>0.1</v>
      </c>
      <c r="I1506" s="45">
        <f t="shared" si="55"/>
        <v>199.1</v>
      </c>
      <c r="J1506" s="25">
        <v>74.0</v>
      </c>
      <c r="K1506" s="16">
        <f t="shared" si="56"/>
        <v>-12.2855</v>
      </c>
      <c r="L1506" s="19">
        <f t="shared" si="57"/>
        <v>-0.007926129032</v>
      </c>
      <c r="M1506" s="16">
        <f t="shared" si="6"/>
        <v>1537.7145</v>
      </c>
      <c r="N1506" s="24"/>
    </row>
    <row r="1507">
      <c r="A1507" s="22"/>
      <c r="B1507" s="23" t="s">
        <v>2475</v>
      </c>
      <c r="C1507" s="24"/>
      <c r="D1507" s="25">
        <v>2299.0</v>
      </c>
      <c r="E1507" s="16">
        <f t="shared" si="1"/>
        <v>158.631</v>
      </c>
      <c r="F1507" s="16">
        <f t="shared" si="28"/>
        <v>49.4285</v>
      </c>
      <c r="G1507" s="26">
        <v>1615.86</v>
      </c>
      <c r="H1507" s="27">
        <v>0.1</v>
      </c>
      <c r="I1507" s="45">
        <f t="shared" si="55"/>
        <v>229.9</v>
      </c>
      <c r="J1507" s="25">
        <v>74.0</v>
      </c>
      <c r="K1507" s="16">
        <f t="shared" si="56"/>
        <v>171.1805</v>
      </c>
      <c r="L1507" s="19">
        <f t="shared" si="57"/>
        <v>0.105937705</v>
      </c>
      <c r="M1507" s="16">
        <f t="shared" si="6"/>
        <v>1787.0405</v>
      </c>
      <c r="N1507" s="24"/>
    </row>
    <row r="1508">
      <c r="A1508" s="22"/>
      <c r="B1508" s="23" t="s">
        <v>2476</v>
      </c>
      <c r="C1508" s="24"/>
      <c r="D1508" s="25">
        <v>899.0</v>
      </c>
      <c r="E1508" s="16">
        <f t="shared" si="1"/>
        <v>62.031</v>
      </c>
      <c r="F1508" s="16">
        <f t="shared" si="28"/>
        <v>19.3285</v>
      </c>
      <c r="G1508" s="26">
        <v>550.0</v>
      </c>
      <c r="H1508" s="27">
        <v>0.1</v>
      </c>
      <c r="I1508" s="45">
        <f t="shared" si="55"/>
        <v>89.9</v>
      </c>
      <c r="J1508" s="25">
        <v>74.0</v>
      </c>
      <c r="K1508" s="16">
        <f t="shared" si="56"/>
        <v>103.7405</v>
      </c>
      <c r="L1508" s="19">
        <f t="shared" si="57"/>
        <v>0.1886190909</v>
      </c>
      <c r="M1508" s="16">
        <f t="shared" si="6"/>
        <v>653.7405</v>
      </c>
      <c r="N1508" s="24"/>
    </row>
    <row r="1509">
      <c r="A1509" s="22"/>
      <c r="B1509" s="23" t="s">
        <v>2477</v>
      </c>
      <c r="C1509" s="24"/>
      <c r="D1509" s="25">
        <v>841.0</v>
      </c>
      <c r="E1509" s="16">
        <f t="shared" si="1"/>
        <v>58.029</v>
      </c>
      <c r="F1509" s="16">
        <f t="shared" si="28"/>
        <v>18.0815</v>
      </c>
      <c r="G1509" s="26">
        <v>550.0</v>
      </c>
      <c r="H1509" s="27">
        <v>0.1</v>
      </c>
      <c r="I1509" s="45">
        <f t="shared" si="55"/>
        <v>84.1</v>
      </c>
      <c r="J1509" s="25">
        <v>74.0</v>
      </c>
      <c r="K1509" s="16">
        <f t="shared" si="56"/>
        <v>56.7895</v>
      </c>
      <c r="L1509" s="19">
        <f t="shared" si="57"/>
        <v>0.1032536364</v>
      </c>
      <c r="M1509" s="16">
        <f t="shared" si="6"/>
        <v>606.7895</v>
      </c>
      <c r="N1509" s="24"/>
    </row>
    <row r="1510">
      <c r="A1510" s="22"/>
      <c r="B1510" s="22"/>
      <c r="C1510" s="61" t="s">
        <v>2478</v>
      </c>
      <c r="D1510" s="25">
        <v>3459.0</v>
      </c>
      <c r="E1510" s="16">
        <f t="shared" si="1"/>
        <v>238.671</v>
      </c>
      <c r="F1510" s="16">
        <f t="shared" si="28"/>
        <v>74.3685</v>
      </c>
      <c r="G1510" s="45">
        <v>2218.9988</v>
      </c>
      <c r="H1510" s="27">
        <v>0.1</v>
      </c>
      <c r="I1510" s="45">
        <f t="shared" si="55"/>
        <v>345.9</v>
      </c>
      <c r="J1510" s="25">
        <v>221.0</v>
      </c>
      <c r="K1510" s="16">
        <f t="shared" si="56"/>
        <v>360.0617</v>
      </c>
      <c r="L1510" s="19">
        <f t="shared" si="57"/>
        <v>0.1622631342</v>
      </c>
      <c r="M1510" s="16">
        <f t="shared" si="6"/>
        <v>2579.0605</v>
      </c>
      <c r="N1510" s="24"/>
    </row>
    <row r="1511">
      <c r="A1511" s="22"/>
      <c r="B1511" s="23" t="s">
        <v>2479</v>
      </c>
      <c r="C1511" s="24" t="s">
        <v>2480</v>
      </c>
      <c r="D1511" s="25">
        <v>999.0</v>
      </c>
      <c r="E1511" s="16">
        <f t="shared" si="1"/>
        <v>68.931</v>
      </c>
      <c r="F1511" s="16">
        <f t="shared" si="28"/>
        <v>21.4785</v>
      </c>
      <c r="G1511" s="28">
        <v>640.0</v>
      </c>
      <c r="H1511" s="27">
        <v>0.1</v>
      </c>
      <c r="I1511" s="45">
        <f t="shared" si="55"/>
        <v>99.9</v>
      </c>
      <c r="J1511" s="25">
        <v>74.0</v>
      </c>
      <c r="K1511" s="16">
        <f t="shared" si="56"/>
        <v>94.6905</v>
      </c>
      <c r="L1511" s="19">
        <f t="shared" si="57"/>
        <v>0.1479539063</v>
      </c>
      <c r="M1511" s="16">
        <f t="shared" si="6"/>
        <v>734.6905</v>
      </c>
      <c r="N1511" s="24"/>
    </row>
    <row r="1512">
      <c r="A1512" s="22"/>
      <c r="B1512" s="22"/>
      <c r="C1512" s="24" t="s">
        <v>2481</v>
      </c>
      <c r="D1512" s="25">
        <v>1599.0</v>
      </c>
      <c r="E1512" s="16">
        <f t="shared" si="1"/>
        <v>110.331</v>
      </c>
      <c r="F1512" s="16">
        <f t="shared" si="28"/>
        <v>34.3785</v>
      </c>
      <c r="G1512" s="28">
        <v>920.0</v>
      </c>
      <c r="H1512" s="27">
        <v>0.1</v>
      </c>
      <c r="I1512" s="45">
        <f t="shared" si="55"/>
        <v>159.9</v>
      </c>
      <c r="J1512" s="25">
        <v>74.0</v>
      </c>
      <c r="K1512" s="16">
        <f t="shared" si="56"/>
        <v>300.3905</v>
      </c>
      <c r="L1512" s="19">
        <f t="shared" si="57"/>
        <v>0.326511413</v>
      </c>
      <c r="M1512" s="16">
        <f t="shared" si="6"/>
        <v>1220.3905</v>
      </c>
      <c r="N1512" s="24"/>
    </row>
    <row r="1513">
      <c r="A1513" s="22"/>
      <c r="B1513" s="22"/>
      <c r="C1513" s="24" t="s">
        <v>2482</v>
      </c>
      <c r="D1513" s="25">
        <v>799.0</v>
      </c>
      <c r="E1513" s="16">
        <f t="shared" si="1"/>
        <v>55.131</v>
      </c>
      <c r="F1513" s="16">
        <f t="shared" si="28"/>
        <v>17.1785</v>
      </c>
      <c r="G1513" s="28">
        <v>500.0</v>
      </c>
      <c r="H1513" s="27">
        <v>0.1</v>
      </c>
      <c r="I1513" s="45">
        <f t="shared" si="55"/>
        <v>79.9</v>
      </c>
      <c r="J1513" s="25">
        <v>74.0</v>
      </c>
      <c r="K1513" s="16">
        <f t="shared" si="56"/>
        <v>72.7905</v>
      </c>
      <c r="L1513" s="19">
        <f t="shared" si="57"/>
        <v>0.145581</v>
      </c>
      <c r="M1513" s="16">
        <f t="shared" si="6"/>
        <v>572.7905</v>
      </c>
      <c r="N1513" s="24"/>
    </row>
    <row r="1514">
      <c r="A1514" s="22"/>
      <c r="B1514" s="22"/>
      <c r="C1514" s="25" t="s">
        <v>2483</v>
      </c>
      <c r="D1514" s="25">
        <v>949.0</v>
      </c>
      <c r="E1514" s="16">
        <f t="shared" si="1"/>
        <v>65.481</v>
      </c>
      <c r="F1514" s="16">
        <f t="shared" si="28"/>
        <v>20.4035</v>
      </c>
      <c r="G1514" s="26">
        <v>660.0</v>
      </c>
      <c r="H1514" s="27">
        <v>0.15</v>
      </c>
      <c r="I1514" s="45">
        <f t="shared" si="55"/>
        <v>142.35</v>
      </c>
      <c r="J1514" s="25">
        <v>74.0</v>
      </c>
      <c r="K1514" s="16">
        <f t="shared" si="56"/>
        <v>-13.2345</v>
      </c>
      <c r="L1514" s="19">
        <f t="shared" si="57"/>
        <v>-0.02005227273</v>
      </c>
      <c r="M1514" s="16">
        <f t="shared" si="6"/>
        <v>646.7655</v>
      </c>
      <c r="N1514" s="24"/>
    </row>
    <row r="1515">
      <c r="A1515" s="22"/>
      <c r="B1515" s="23" t="s">
        <v>2484</v>
      </c>
      <c r="C1515" s="24"/>
      <c r="D1515" s="25">
        <v>2242.0</v>
      </c>
      <c r="E1515" s="16">
        <f t="shared" si="1"/>
        <v>154.698</v>
      </c>
      <c r="F1515" s="16">
        <f t="shared" si="28"/>
        <v>48.203</v>
      </c>
      <c r="G1515" s="58">
        <v>1602.7614751521862</v>
      </c>
      <c r="H1515" s="27">
        <v>0.15</v>
      </c>
      <c r="I1515" s="45">
        <f t="shared" si="55"/>
        <v>336.3</v>
      </c>
      <c r="J1515" s="25">
        <v>84.5</v>
      </c>
      <c r="K1515" s="16">
        <f t="shared" si="56"/>
        <v>15.53752485</v>
      </c>
      <c r="L1515" s="19">
        <f t="shared" si="57"/>
        <v>0.00969422156</v>
      </c>
      <c r="M1515" s="16">
        <f t="shared" si="6"/>
        <v>1618.299</v>
      </c>
      <c r="N1515" s="24"/>
    </row>
    <row r="1516">
      <c r="A1516" s="22"/>
      <c r="B1516" s="23" t="s">
        <v>2485</v>
      </c>
      <c r="C1516" s="24"/>
      <c r="D1516" s="25">
        <v>649.0</v>
      </c>
      <c r="E1516" s="16">
        <f t="shared" si="1"/>
        <v>44.781</v>
      </c>
      <c r="F1516" s="16">
        <f t="shared" ref="F1516:F1517" si="58">E1516*0.069</f>
        <v>3.089889</v>
      </c>
      <c r="G1516" s="58">
        <v>437.55400000000003</v>
      </c>
      <c r="H1516" s="27">
        <v>0.1</v>
      </c>
      <c r="I1516" s="45">
        <f t="shared" si="55"/>
        <v>64.9</v>
      </c>
      <c r="J1516" s="25">
        <v>74.5</v>
      </c>
      <c r="K1516" s="16">
        <f t="shared" si="56"/>
        <v>24.175111</v>
      </c>
      <c r="L1516" s="19">
        <f t="shared" si="57"/>
        <v>0.05525057707</v>
      </c>
      <c r="M1516" s="16">
        <f t="shared" si="6"/>
        <v>461.729111</v>
      </c>
      <c r="N1516" s="24"/>
    </row>
    <row r="1517">
      <c r="A1517" s="22"/>
      <c r="B1517" s="23" t="s">
        <v>2486</v>
      </c>
      <c r="C1517" s="24"/>
      <c r="D1517" s="25">
        <v>4463.1</v>
      </c>
      <c r="E1517" s="16">
        <f t="shared" si="1"/>
        <v>307.9539</v>
      </c>
      <c r="F1517" s="16">
        <f t="shared" si="58"/>
        <v>21.2488191</v>
      </c>
      <c r="G1517" s="62">
        <v>3101.06</v>
      </c>
      <c r="H1517" s="27">
        <v>0.1</v>
      </c>
      <c r="I1517" s="45">
        <f t="shared" si="55"/>
        <v>446.31</v>
      </c>
      <c r="J1517" s="25">
        <v>74.5</v>
      </c>
      <c r="K1517" s="16">
        <f t="shared" si="56"/>
        <v>512.0272809</v>
      </c>
      <c r="L1517" s="19">
        <f t="shared" si="57"/>
        <v>0.1651136324</v>
      </c>
      <c r="M1517" s="16">
        <f t="shared" si="6"/>
        <v>3613.087281</v>
      </c>
      <c r="N1517" s="24"/>
    </row>
    <row r="1518">
      <c r="A1518" s="22"/>
      <c r="B1518" s="23" t="s">
        <v>2487</v>
      </c>
      <c r="C1518" s="24"/>
      <c r="D1518" s="25">
        <v>4800.0</v>
      </c>
      <c r="E1518" s="16">
        <f t="shared" si="1"/>
        <v>331.2</v>
      </c>
      <c r="F1518" s="16">
        <f t="shared" ref="F1518:F1746" si="59">D1518*0.0215</f>
        <v>103.2</v>
      </c>
      <c r="G1518" s="58">
        <v>3158.240085965735</v>
      </c>
      <c r="H1518" s="27">
        <v>0.16</v>
      </c>
      <c r="I1518" s="45">
        <f t="shared" si="55"/>
        <v>768</v>
      </c>
      <c r="J1518" s="25">
        <v>74.5</v>
      </c>
      <c r="K1518" s="16">
        <f t="shared" si="56"/>
        <v>364.859914</v>
      </c>
      <c r="L1518" s="19">
        <f t="shared" si="57"/>
        <v>0.1155263388</v>
      </c>
      <c r="M1518" s="16">
        <f t="shared" si="6"/>
        <v>3523.1</v>
      </c>
      <c r="N1518" s="24"/>
    </row>
    <row r="1519">
      <c r="A1519" s="22"/>
      <c r="B1519" s="23" t="s">
        <v>2488</v>
      </c>
      <c r="C1519" s="24"/>
      <c r="D1519" s="25">
        <v>929.0</v>
      </c>
      <c r="E1519" s="16">
        <f t="shared" si="1"/>
        <v>64.101</v>
      </c>
      <c r="F1519" s="16">
        <f t="shared" si="59"/>
        <v>19.9735</v>
      </c>
      <c r="G1519" s="26">
        <v>520.09</v>
      </c>
      <c r="H1519" s="27">
        <v>0.19</v>
      </c>
      <c r="I1519" s="45">
        <f t="shared" si="55"/>
        <v>176.51</v>
      </c>
      <c r="J1519" s="25">
        <v>84.0</v>
      </c>
      <c r="K1519" s="16">
        <f t="shared" si="56"/>
        <v>64.3255</v>
      </c>
      <c r="L1519" s="19">
        <f t="shared" si="57"/>
        <v>0.1236814782</v>
      </c>
      <c r="M1519" s="16">
        <f t="shared" si="6"/>
        <v>584.4155</v>
      </c>
      <c r="N1519" s="24"/>
    </row>
    <row r="1520">
      <c r="A1520" s="22"/>
      <c r="B1520" s="23" t="s">
        <v>2489</v>
      </c>
      <c r="C1520" s="24"/>
      <c r="D1520" s="25">
        <v>635.0</v>
      </c>
      <c r="E1520" s="16">
        <f t="shared" si="1"/>
        <v>43.815</v>
      </c>
      <c r="F1520" s="16">
        <f t="shared" si="59"/>
        <v>13.6525</v>
      </c>
      <c r="G1520" s="26">
        <v>270.0</v>
      </c>
      <c r="H1520" s="27">
        <v>0.15</v>
      </c>
      <c r="I1520" s="45">
        <f t="shared" si="55"/>
        <v>95.25</v>
      </c>
      <c r="J1520" s="25">
        <v>95.0</v>
      </c>
      <c r="K1520" s="16">
        <f t="shared" si="56"/>
        <v>117.2825</v>
      </c>
      <c r="L1520" s="19">
        <f t="shared" si="57"/>
        <v>0.4343796296</v>
      </c>
      <c r="M1520" s="16">
        <f t="shared" si="6"/>
        <v>387.2825</v>
      </c>
      <c r="N1520" s="24"/>
    </row>
    <row r="1521">
      <c r="A1521" s="22"/>
      <c r="B1521" s="23" t="s">
        <v>2490</v>
      </c>
      <c r="C1521" s="24"/>
      <c r="D1521" s="25">
        <v>999.0</v>
      </c>
      <c r="E1521" s="16">
        <f t="shared" si="1"/>
        <v>68.931</v>
      </c>
      <c r="F1521" s="16">
        <f t="shared" si="59"/>
        <v>21.4785</v>
      </c>
      <c r="G1521" s="26">
        <v>550.0</v>
      </c>
      <c r="H1521" s="27">
        <v>0.1</v>
      </c>
      <c r="I1521" s="28">
        <f t="shared" si="55"/>
        <v>99.9</v>
      </c>
      <c r="J1521" s="25">
        <v>84.0</v>
      </c>
      <c r="K1521" s="16">
        <f t="shared" si="56"/>
        <v>174.6905</v>
      </c>
      <c r="L1521" s="19">
        <f t="shared" si="57"/>
        <v>0.3176190909</v>
      </c>
      <c r="M1521" s="16">
        <f t="shared" si="6"/>
        <v>724.6905</v>
      </c>
      <c r="N1521" s="24"/>
    </row>
    <row r="1522">
      <c r="A1522" s="22"/>
      <c r="B1522" s="23" t="s">
        <v>2491</v>
      </c>
      <c r="C1522" s="24"/>
      <c r="D1522" s="24"/>
      <c r="E1522" s="16">
        <f t="shared" si="1"/>
        <v>0</v>
      </c>
      <c r="F1522" s="16">
        <f t="shared" si="59"/>
        <v>0</v>
      </c>
      <c r="G1522" s="58">
        <v>1580.2257042253523</v>
      </c>
      <c r="H1522" s="43"/>
      <c r="I1522" s="28"/>
      <c r="J1522" s="24"/>
      <c r="K1522" s="24"/>
      <c r="L1522" s="43"/>
      <c r="M1522" s="16">
        <f t="shared" si="6"/>
        <v>0</v>
      </c>
      <c r="N1522" s="24"/>
    </row>
    <row r="1523">
      <c r="A1523" s="22"/>
      <c r="B1523" s="23" t="s">
        <v>2492</v>
      </c>
      <c r="C1523" s="24"/>
      <c r="D1523" s="24"/>
      <c r="E1523" s="16">
        <f t="shared" si="1"/>
        <v>0</v>
      </c>
      <c r="F1523" s="16">
        <f t="shared" si="59"/>
        <v>0</v>
      </c>
      <c r="G1523" s="58">
        <v>1580.2257042253523</v>
      </c>
      <c r="H1523" s="43"/>
      <c r="I1523" s="28"/>
      <c r="J1523" s="24"/>
      <c r="K1523" s="24"/>
      <c r="L1523" s="43"/>
      <c r="M1523" s="16">
        <f t="shared" si="6"/>
        <v>0</v>
      </c>
      <c r="N1523" s="24"/>
    </row>
    <row r="1524">
      <c r="A1524" s="22"/>
      <c r="B1524" s="23" t="s">
        <v>2493</v>
      </c>
      <c r="C1524" s="24"/>
      <c r="D1524" s="25">
        <v>899.0</v>
      </c>
      <c r="E1524" s="16">
        <f t="shared" si="1"/>
        <v>62.031</v>
      </c>
      <c r="F1524" s="16">
        <f t="shared" si="59"/>
        <v>19.3285</v>
      </c>
      <c r="G1524" s="26">
        <v>550.0</v>
      </c>
      <c r="H1524" s="27">
        <v>0.1</v>
      </c>
      <c r="I1524" s="45">
        <f t="shared" ref="I1524:I1529" si="60">H1524*D1524</f>
        <v>89.9</v>
      </c>
      <c r="J1524" s="25">
        <v>74.0</v>
      </c>
      <c r="K1524" s="16">
        <f t="shared" ref="K1524:K1529" si="61">D1524-G1524-I1524-J1524-E1524-F1524</f>
        <v>103.7405</v>
      </c>
      <c r="L1524" s="19">
        <f t="shared" ref="L1524:L1529" si="62">K1524/G1524</f>
        <v>0.1886190909</v>
      </c>
      <c r="M1524" s="16">
        <f t="shared" si="6"/>
        <v>653.7405</v>
      </c>
      <c r="N1524" s="24"/>
    </row>
    <row r="1525">
      <c r="A1525" s="22"/>
      <c r="B1525" s="23" t="s">
        <v>2494</v>
      </c>
      <c r="C1525" s="24"/>
      <c r="D1525" s="25">
        <v>1299.0</v>
      </c>
      <c r="E1525" s="16">
        <f t="shared" si="1"/>
        <v>89.631</v>
      </c>
      <c r="F1525" s="16">
        <f t="shared" si="59"/>
        <v>27.9285</v>
      </c>
      <c r="G1525" s="26">
        <v>888.51</v>
      </c>
      <c r="H1525" s="27">
        <v>0.15</v>
      </c>
      <c r="I1525" s="45">
        <f t="shared" si="60"/>
        <v>194.85</v>
      </c>
      <c r="J1525" s="25">
        <v>70.0</v>
      </c>
      <c r="K1525" s="16">
        <f t="shared" si="61"/>
        <v>28.0805</v>
      </c>
      <c r="L1525" s="19">
        <f t="shared" si="62"/>
        <v>0.03160403372</v>
      </c>
      <c r="M1525" s="16">
        <f t="shared" si="6"/>
        <v>916.5905</v>
      </c>
      <c r="N1525" s="24"/>
    </row>
    <row r="1526">
      <c r="A1526" s="22"/>
      <c r="B1526" s="23" t="s">
        <v>2495</v>
      </c>
      <c r="C1526" s="24"/>
      <c r="D1526" s="25">
        <v>2299.0</v>
      </c>
      <c r="E1526" s="16">
        <f t="shared" si="1"/>
        <v>158.631</v>
      </c>
      <c r="F1526" s="16">
        <f t="shared" si="59"/>
        <v>49.4285</v>
      </c>
      <c r="G1526" s="26">
        <v>1615.86</v>
      </c>
      <c r="H1526" s="27">
        <v>0.1</v>
      </c>
      <c r="I1526" s="45">
        <f t="shared" si="60"/>
        <v>229.9</v>
      </c>
      <c r="J1526" s="25">
        <v>74.0</v>
      </c>
      <c r="K1526" s="16">
        <f t="shared" si="61"/>
        <v>171.1805</v>
      </c>
      <c r="L1526" s="19">
        <f t="shared" si="62"/>
        <v>0.105937705</v>
      </c>
      <c r="M1526" s="16">
        <f t="shared" si="6"/>
        <v>1787.0405</v>
      </c>
      <c r="N1526" s="24"/>
    </row>
    <row r="1527">
      <c r="A1527" s="22"/>
      <c r="B1527" s="23" t="s">
        <v>2496</v>
      </c>
      <c r="C1527" s="24"/>
      <c r="D1527" s="25">
        <v>2299.0</v>
      </c>
      <c r="E1527" s="16">
        <f t="shared" si="1"/>
        <v>158.631</v>
      </c>
      <c r="F1527" s="16">
        <f t="shared" si="59"/>
        <v>49.4285</v>
      </c>
      <c r="G1527" s="26">
        <v>1550.0</v>
      </c>
      <c r="H1527" s="27">
        <v>0.1</v>
      </c>
      <c r="I1527" s="45">
        <f t="shared" si="60"/>
        <v>229.9</v>
      </c>
      <c r="J1527" s="25">
        <v>74.0</v>
      </c>
      <c r="K1527" s="16">
        <f t="shared" si="61"/>
        <v>237.0405</v>
      </c>
      <c r="L1527" s="19">
        <f t="shared" si="62"/>
        <v>0.1529293548</v>
      </c>
      <c r="M1527" s="16">
        <f t="shared" si="6"/>
        <v>1787.0405</v>
      </c>
      <c r="N1527" s="24"/>
    </row>
    <row r="1528">
      <c r="A1528" s="22"/>
      <c r="B1528" s="23" t="s">
        <v>2497</v>
      </c>
      <c r="C1528" s="24"/>
      <c r="D1528" s="25">
        <v>835.0</v>
      </c>
      <c r="E1528" s="16">
        <f t="shared" si="1"/>
        <v>57.615</v>
      </c>
      <c r="F1528" s="16">
        <f t="shared" si="59"/>
        <v>17.9525</v>
      </c>
      <c r="G1528" s="26">
        <v>620.0</v>
      </c>
      <c r="H1528" s="27">
        <v>0.1</v>
      </c>
      <c r="I1528" s="28">
        <f t="shared" si="60"/>
        <v>83.5</v>
      </c>
      <c r="J1528" s="25">
        <v>74.0</v>
      </c>
      <c r="K1528" s="16">
        <f t="shared" si="61"/>
        <v>-18.0675</v>
      </c>
      <c r="L1528" s="19">
        <f t="shared" si="62"/>
        <v>-0.02914112903</v>
      </c>
      <c r="M1528" s="16">
        <f t="shared" si="6"/>
        <v>601.9325</v>
      </c>
      <c r="N1528" s="24"/>
    </row>
    <row r="1529">
      <c r="A1529" s="22"/>
      <c r="B1529" s="23" t="s">
        <v>2498</v>
      </c>
      <c r="C1529" s="24"/>
      <c r="D1529" s="25">
        <v>379.0</v>
      </c>
      <c r="E1529" s="16">
        <f t="shared" si="1"/>
        <v>26.151</v>
      </c>
      <c r="F1529" s="16">
        <f t="shared" si="59"/>
        <v>8.1485</v>
      </c>
      <c r="G1529" s="26">
        <v>225.0</v>
      </c>
      <c r="H1529" s="27">
        <v>0.1</v>
      </c>
      <c r="I1529" s="28">
        <f t="shared" si="60"/>
        <v>37.9</v>
      </c>
      <c r="J1529" s="25">
        <v>52.0</v>
      </c>
      <c r="K1529" s="16">
        <f t="shared" si="61"/>
        <v>29.8005</v>
      </c>
      <c r="L1529" s="19">
        <f t="shared" si="62"/>
        <v>0.1324466667</v>
      </c>
      <c r="M1529" s="16">
        <f t="shared" si="6"/>
        <v>254.8005</v>
      </c>
      <c r="N1529" s="24"/>
    </row>
    <row r="1530">
      <c r="A1530" s="22"/>
      <c r="B1530" s="23" t="s">
        <v>2499</v>
      </c>
      <c r="C1530" s="24"/>
      <c r="D1530" s="24"/>
      <c r="E1530" s="16">
        <f t="shared" si="1"/>
        <v>0</v>
      </c>
      <c r="F1530" s="16">
        <f t="shared" si="59"/>
        <v>0</v>
      </c>
      <c r="G1530" s="28">
        <v>4720.867862232393</v>
      </c>
      <c r="H1530" s="43"/>
      <c r="I1530" s="28"/>
      <c r="J1530" s="24"/>
      <c r="K1530" s="24"/>
      <c r="L1530" s="43"/>
      <c r="M1530" s="16">
        <f t="shared" si="6"/>
        <v>0</v>
      </c>
      <c r="N1530" s="24"/>
    </row>
    <row r="1531">
      <c r="A1531" s="22"/>
      <c r="B1531" s="23" t="s">
        <v>2500</v>
      </c>
      <c r="C1531" s="24"/>
      <c r="D1531" s="24"/>
      <c r="E1531" s="16">
        <f t="shared" si="1"/>
        <v>0</v>
      </c>
      <c r="F1531" s="16">
        <f t="shared" si="59"/>
        <v>0</v>
      </c>
      <c r="G1531" s="28">
        <v>4720.867862232393</v>
      </c>
      <c r="H1531" s="43"/>
      <c r="I1531" s="28"/>
      <c r="J1531" s="24"/>
      <c r="K1531" s="24"/>
      <c r="L1531" s="43"/>
      <c r="M1531" s="16">
        <f t="shared" si="6"/>
        <v>0</v>
      </c>
      <c r="N1531" s="24"/>
    </row>
    <row r="1532">
      <c r="A1532" s="22"/>
      <c r="B1532" s="23" t="s">
        <v>2501</v>
      </c>
      <c r="C1532" s="24"/>
      <c r="D1532" s="25">
        <v>21999.0</v>
      </c>
      <c r="E1532" s="16">
        <f t="shared" si="1"/>
        <v>1517.931</v>
      </c>
      <c r="F1532" s="16">
        <f t="shared" si="59"/>
        <v>472.9785</v>
      </c>
      <c r="G1532" s="28">
        <v>17347.0</v>
      </c>
      <c r="H1532" s="27">
        <v>0.1</v>
      </c>
      <c r="I1532" s="45">
        <f t="shared" ref="I1532:I1538" si="63">H1532*D1532</f>
        <v>2199.9</v>
      </c>
      <c r="J1532" s="25">
        <v>70.0</v>
      </c>
      <c r="K1532" s="16">
        <f t="shared" ref="K1532:K1538" si="64">D1532-G1532-I1532-J1532-E1532-F1532</f>
        <v>391.1905</v>
      </c>
      <c r="L1532" s="19">
        <f t="shared" ref="L1532:L1538" si="65">K1532/G1532</f>
        <v>0.02255090217</v>
      </c>
      <c r="M1532" s="16">
        <f t="shared" si="6"/>
        <v>17738.1905</v>
      </c>
      <c r="N1532" s="24"/>
    </row>
    <row r="1533">
      <c r="A1533" s="22"/>
      <c r="B1533" s="23" t="s">
        <v>2502</v>
      </c>
      <c r="C1533" s="24"/>
      <c r="D1533" s="25">
        <v>2719.0</v>
      </c>
      <c r="E1533" s="16">
        <f t="shared" si="1"/>
        <v>187.611</v>
      </c>
      <c r="F1533" s="16">
        <f t="shared" si="59"/>
        <v>58.4585</v>
      </c>
      <c r="G1533" s="26">
        <v>1885.07</v>
      </c>
      <c r="H1533" s="27">
        <v>0.195</v>
      </c>
      <c r="I1533" s="45">
        <f t="shared" si="63"/>
        <v>530.205</v>
      </c>
      <c r="J1533" s="25">
        <v>123.0</v>
      </c>
      <c r="K1533" s="16">
        <f t="shared" si="64"/>
        <v>-65.3445</v>
      </c>
      <c r="L1533" s="19">
        <f t="shared" si="65"/>
        <v>-0.03466422998</v>
      </c>
      <c r="M1533" s="16">
        <f t="shared" si="6"/>
        <v>1819.7255</v>
      </c>
      <c r="N1533" s="24"/>
    </row>
    <row r="1534">
      <c r="A1534" s="22"/>
      <c r="B1534" s="23" t="s">
        <v>2503</v>
      </c>
      <c r="C1534" s="24"/>
      <c r="D1534" s="25">
        <v>16999.0</v>
      </c>
      <c r="E1534" s="16">
        <f t="shared" si="1"/>
        <v>1172.931</v>
      </c>
      <c r="F1534" s="16">
        <f t="shared" si="59"/>
        <v>365.4785</v>
      </c>
      <c r="G1534" s="26">
        <v>11749.02</v>
      </c>
      <c r="H1534" s="27">
        <v>0.145</v>
      </c>
      <c r="I1534" s="28">
        <f t="shared" si="63"/>
        <v>2464.855</v>
      </c>
      <c r="J1534" s="25">
        <v>451.0</v>
      </c>
      <c r="K1534" s="16">
        <f t="shared" si="64"/>
        <v>795.7155</v>
      </c>
      <c r="L1534" s="19">
        <f t="shared" si="65"/>
        <v>0.06772611673</v>
      </c>
      <c r="M1534" s="16">
        <f t="shared" si="6"/>
        <v>12544.7355</v>
      </c>
      <c r="N1534" s="24"/>
    </row>
    <row r="1535">
      <c r="A1535" s="22"/>
      <c r="B1535" s="23" t="s">
        <v>2504</v>
      </c>
      <c r="C1535" s="24"/>
      <c r="D1535" s="25">
        <v>2399.0</v>
      </c>
      <c r="E1535" s="16">
        <f t="shared" si="1"/>
        <v>165.531</v>
      </c>
      <c r="F1535" s="16">
        <f t="shared" si="59"/>
        <v>51.5785</v>
      </c>
      <c r="G1535" s="26">
        <v>1622.96</v>
      </c>
      <c r="H1535" s="27">
        <v>0.145</v>
      </c>
      <c r="I1535" s="28">
        <f t="shared" si="63"/>
        <v>347.855</v>
      </c>
      <c r="J1535" s="25">
        <v>84.0</v>
      </c>
      <c r="K1535" s="16">
        <f t="shared" si="64"/>
        <v>127.0755</v>
      </c>
      <c r="L1535" s="19">
        <f t="shared" si="65"/>
        <v>0.07829860255</v>
      </c>
      <c r="M1535" s="16">
        <f t="shared" si="6"/>
        <v>1750.0355</v>
      </c>
      <c r="N1535" s="24"/>
    </row>
    <row r="1536">
      <c r="A1536" s="22"/>
      <c r="B1536" s="23" t="s">
        <v>2505</v>
      </c>
      <c r="C1536" s="24"/>
      <c r="D1536" s="25">
        <v>3999.0</v>
      </c>
      <c r="E1536" s="16">
        <f t="shared" si="1"/>
        <v>275.931</v>
      </c>
      <c r="F1536" s="16">
        <f t="shared" si="59"/>
        <v>85.9785</v>
      </c>
      <c r="G1536" s="26">
        <v>2654.84</v>
      </c>
      <c r="H1536" s="27">
        <v>0.135</v>
      </c>
      <c r="I1536" s="28">
        <f t="shared" si="63"/>
        <v>539.865</v>
      </c>
      <c r="J1536" s="25">
        <v>84.0</v>
      </c>
      <c r="K1536" s="16">
        <f t="shared" si="64"/>
        <v>358.3855</v>
      </c>
      <c r="L1536" s="19">
        <f t="shared" si="65"/>
        <v>0.1349932576</v>
      </c>
      <c r="M1536" s="16">
        <f t="shared" si="6"/>
        <v>3013.2255</v>
      </c>
      <c r="N1536" s="24"/>
    </row>
    <row r="1537">
      <c r="A1537" s="22"/>
      <c r="B1537" s="23" t="s">
        <v>2506</v>
      </c>
      <c r="C1537" s="25" t="s">
        <v>2507</v>
      </c>
      <c r="D1537" s="25">
        <v>685.0</v>
      </c>
      <c r="E1537" s="16">
        <f t="shared" si="1"/>
        <v>47.265</v>
      </c>
      <c r="F1537" s="16">
        <f t="shared" si="59"/>
        <v>14.7275</v>
      </c>
      <c r="G1537" s="26">
        <v>500.0</v>
      </c>
      <c r="H1537" s="27">
        <v>0.135</v>
      </c>
      <c r="I1537" s="28">
        <f t="shared" si="63"/>
        <v>92.475</v>
      </c>
      <c r="J1537" s="25">
        <v>84.0</v>
      </c>
      <c r="K1537" s="16">
        <f t="shared" si="64"/>
        <v>-53.4675</v>
      </c>
      <c r="L1537" s="19">
        <f t="shared" si="65"/>
        <v>-0.106935</v>
      </c>
      <c r="M1537" s="16">
        <f t="shared" si="6"/>
        <v>446.5325</v>
      </c>
      <c r="N1537" s="24"/>
    </row>
    <row r="1538">
      <c r="A1538" s="22"/>
      <c r="B1538" s="23" t="s">
        <v>2508</v>
      </c>
      <c r="C1538" s="25"/>
      <c r="D1538" s="25">
        <v>5999.0</v>
      </c>
      <c r="E1538" s="16">
        <f t="shared" si="1"/>
        <v>413.931</v>
      </c>
      <c r="F1538" s="16">
        <f t="shared" si="59"/>
        <v>128.9785</v>
      </c>
      <c r="G1538" s="26">
        <v>4500.0</v>
      </c>
      <c r="H1538" s="27">
        <v>0.1</v>
      </c>
      <c r="I1538" s="28">
        <f t="shared" si="63"/>
        <v>599.9</v>
      </c>
      <c r="J1538" s="25">
        <v>222.0</v>
      </c>
      <c r="K1538" s="16">
        <f t="shared" si="64"/>
        <v>134.1905</v>
      </c>
      <c r="L1538" s="19">
        <f t="shared" si="65"/>
        <v>0.02982011111</v>
      </c>
      <c r="M1538" s="16">
        <f t="shared" si="6"/>
        <v>4634.1905</v>
      </c>
      <c r="N1538" s="24"/>
    </row>
    <row r="1539">
      <c r="A1539" s="22"/>
      <c r="B1539" s="23" t="s">
        <v>2509</v>
      </c>
      <c r="C1539" s="24"/>
      <c r="D1539" s="24"/>
      <c r="E1539" s="16">
        <f t="shared" si="1"/>
        <v>0</v>
      </c>
      <c r="F1539" s="16">
        <f t="shared" si="59"/>
        <v>0</v>
      </c>
      <c r="G1539" s="35"/>
      <c r="H1539" s="43"/>
      <c r="I1539" s="28"/>
      <c r="J1539" s="24"/>
      <c r="K1539" s="24"/>
      <c r="L1539" s="43"/>
      <c r="M1539" s="16">
        <f t="shared" si="6"/>
        <v>0</v>
      </c>
      <c r="N1539" s="24"/>
    </row>
    <row r="1540">
      <c r="A1540" s="22"/>
      <c r="B1540" s="23" t="s">
        <v>2510</v>
      </c>
      <c r="C1540" s="24"/>
      <c r="D1540" s="24"/>
      <c r="E1540" s="16">
        <f t="shared" si="1"/>
        <v>0</v>
      </c>
      <c r="F1540" s="16">
        <f t="shared" si="59"/>
        <v>0</v>
      </c>
      <c r="G1540" s="45">
        <v>153.0</v>
      </c>
      <c r="H1540" s="43"/>
      <c r="I1540" s="28"/>
      <c r="J1540" s="24"/>
      <c r="K1540" s="24"/>
      <c r="L1540" s="43"/>
      <c r="M1540" s="16">
        <f t="shared" si="6"/>
        <v>0</v>
      </c>
      <c r="N1540" s="24"/>
    </row>
    <row r="1541">
      <c r="A1541" s="22"/>
      <c r="B1541" s="23" t="s">
        <v>2511</v>
      </c>
      <c r="C1541" s="24"/>
      <c r="D1541" s="24"/>
      <c r="E1541" s="16">
        <f t="shared" si="1"/>
        <v>0</v>
      </c>
      <c r="F1541" s="16">
        <f t="shared" si="59"/>
        <v>0</v>
      </c>
      <c r="G1541" s="28">
        <v>2495.298590947062</v>
      </c>
      <c r="H1541" s="43"/>
      <c r="I1541" s="28"/>
      <c r="J1541" s="24"/>
      <c r="K1541" s="24"/>
      <c r="L1541" s="43"/>
      <c r="M1541" s="16">
        <f t="shared" si="6"/>
        <v>0</v>
      </c>
      <c r="N1541" s="24"/>
    </row>
    <row r="1542">
      <c r="A1542" s="22"/>
      <c r="B1542" s="23" t="s">
        <v>2512</v>
      </c>
      <c r="C1542" s="24"/>
      <c r="D1542" s="24"/>
      <c r="E1542" s="16">
        <f t="shared" si="1"/>
        <v>0</v>
      </c>
      <c r="F1542" s="16">
        <f t="shared" si="59"/>
        <v>0</v>
      </c>
      <c r="G1542" s="28">
        <v>1602.7614751521862</v>
      </c>
      <c r="H1542" s="43"/>
      <c r="I1542" s="28"/>
      <c r="J1542" s="24"/>
      <c r="K1542" s="24"/>
      <c r="L1542" s="43"/>
      <c r="M1542" s="16">
        <f t="shared" si="6"/>
        <v>0</v>
      </c>
      <c r="N1542" s="24"/>
    </row>
    <row r="1543">
      <c r="A1543" s="22"/>
      <c r="B1543" s="23" t="s">
        <v>2513</v>
      </c>
      <c r="C1543" s="24"/>
      <c r="D1543" s="24"/>
      <c r="E1543" s="16">
        <f t="shared" si="1"/>
        <v>0</v>
      </c>
      <c r="F1543" s="16">
        <f t="shared" si="59"/>
        <v>0</v>
      </c>
      <c r="G1543" s="28">
        <v>1546.1357627398665</v>
      </c>
      <c r="H1543" s="43"/>
      <c r="I1543" s="28"/>
      <c r="J1543" s="24"/>
      <c r="K1543" s="24"/>
      <c r="L1543" s="43"/>
      <c r="M1543" s="16">
        <f t="shared" si="6"/>
        <v>0</v>
      </c>
      <c r="N1543" s="24"/>
    </row>
    <row r="1544">
      <c r="A1544" s="22"/>
      <c r="B1544" s="23" t="s">
        <v>2514</v>
      </c>
      <c r="C1544" s="24"/>
      <c r="D1544" s="25">
        <v>999.0</v>
      </c>
      <c r="E1544" s="16">
        <f t="shared" si="1"/>
        <v>68.931</v>
      </c>
      <c r="F1544" s="16">
        <f t="shared" si="59"/>
        <v>21.4785</v>
      </c>
      <c r="G1544" s="45">
        <v>660.0</v>
      </c>
      <c r="H1544" s="27">
        <v>0.15</v>
      </c>
      <c r="I1544" s="28">
        <f>H1544*D1544</f>
        <v>149.85</v>
      </c>
      <c r="J1544" s="25">
        <v>74.0</v>
      </c>
      <c r="K1544" s="16">
        <f>D1544-G1544-I1544-J1544-E1544-F1544</f>
        <v>24.7405</v>
      </c>
      <c r="L1544" s="19">
        <f>K1544/G1544</f>
        <v>0.03748560606</v>
      </c>
      <c r="M1544" s="16">
        <f t="shared" si="6"/>
        <v>684.7405</v>
      </c>
      <c r="N1544" s="24"/>
    </row>
    <row r="1545">
      <c r="A1545" s="22"/>
      <c r="B1545" s="22" t="s">
        <v>2515</v>
      </c>
      <c r="C1545" s="24"/>
      <c r="D1545" s="24"/>
      <c r="E1545" s="16">
        <f t="shared" si="1"/>
        <v>0</v>
      </c>
      <c r="F1545" s="16">
        <f t="shared" si="59"/>
        <v>0</v>
      </c>
      <c r="G1545" s="45">
        <v>640.0</v>
      </c>
      <c r="H1545" s="43"/>
      <c r="I1545" s="28"/>
      <c r="J1545" s="24"/>
      <c r="K1545" s="24"/>
      <c r="L1545" s="43"/>
      <c r="M1545" s="16">
        <f t="shared" si="6"/>
        <v>0</v>
      </c>
      <c r="N1545" s="24"/>
    </row>
    <row r="1546">
      <c r="A1546" s="22"/>
      <c r="B1546" s="22" t="s">
        <v>2516</v>
      </c>
      <c r="C1546" s="24"/>
      <c r="D1546" s="24"/>
      <c r="E1546" s="16">
        <f t="shared" si="1"/>
        <v>0</v>
      </c>
      <c r="F1546" s="16">
        <f t="shared" si="59"/>
        <v>0</v>
      </c>
      <c r="G1546" s="28">
        <v>522.1591999999999</v>
      </c>
      <c r="H1546" s="43"/>
      <c r="I1546" s="28"/>
      <c r="J1546" s="24"/>
      <c r="K1546" s="24"/>
      <c r="L1546" s="43"/>
      <c r="M1546" s="16">
        <f t="shared" si="6"/>
        <v>0</v>
      </c>
      <c r="N1546" s="24"/>
    </row>
    <row r="1547">
      <c r="A1547" s="22"/>
      <c r="B1547" s="22" t="s">
        <v>2517</v>
      </c>
      <c r="C1547" s="24"/>
      <c r="D1547" s="24"/>
      <c r="E1547" s="16">
        <f t="shared" si="1"/>
        <v>0</v>
      </c>
      <c r="F1547" s="16">
        <f t="shared" si="59"/>
        <v>0</v>
      </c>
      <c r="G1547" s="28">
        <v>758.6275369978858</v>
      </c>
      <c r="H1547" s="43"/>
      <c r="I1547" s="28"/>
      <c r="J1547" s="24"/>
      <c r="K1547" s="24"/>
      <c r="L1547" s="43"/>
      <c r="M1547" s="16">
        <f t="shared" si="6"/>
        <v>0</v>
      </c>
      <c r="N1547" s="24"/>
    </row>
    <row r="1548">
      <c r="A1548" s="22"/>
      <c r="B1548" s="22" t="s">
        <v>2518</v>
      </c>
      <c r="C1548" s="24"/>
      <c r="D1548" s="24"/>
      <c r="E1548" s="16">
        <f t="shared" si="1"/>
        <v>0</v>
      </c>
      <c r="F1548" s="16">
        <f t="shared" si="59"/>
        <v>0</v>
      </c>
      <c r="G1548" s="45">
        <v>11349.0</v>
      </c>
      <c r="H1548" s="43"/>
      <c r="I1548" s="28"/>
      <c r="J1548" s="24"/>
      <c r="K1548" s="24"/>
      <c r="L1548" s="43"/>
      <c r="M1548" s="16">
        <f t="shared" si="6"/>
        <v>0</v>
      </c>
      <c r="N1548" s="24"/>
    </row>
    <row r="1549">
      <c r="A1549" s="22"/>
      <c r="B1549" s="22" t="s">
        <v>2519</v>
      </c>
      <c r="C1549" s="24"/>
      <c r="D1549" s="24"/>
      <c r="E1549" s="16">
        <f t="shared" si="1"/>
        <v>0</v>
      </c>
      <c r="F1549" s="16">
        <f t="shared" si="59"/>
        <v>0</v>
      </c>
      <c r="G1549" s="45">
        <v>127.0</v>
      </c>
      <c r="H1549" s="43"/>
      <c r="I1549" s="28"/>
      <c r="J1549" s="24"/>
      <c r="K1549" s="24"/>
      <c r="L1549" s="43"/>
      <c r="M1549" s="16">
        <f t="shared" si="6"/>
        <v>0</v>
      </c>
      <c r="N1549" s="24"/>
    </row>
    <row r="1550">
      <c r="A1550" s="22"/>
      <c r="B1550" s="23" t="s">
        <v>2520</v>
      </c>
      <c r="C1550" s="25" t="s">
        <v>2521</v>
      </c>
      <c r="D1550" s="25">
        <v>799.0</v>
      </c>
      <c r="E1550" s="16">
        <f t="shared" si="1"/>
        <v>55.131</v>
      </c>
      <c r="F1550" s="16">
        <f t="shared" si="59"/>
        <v>17.1785</v>
      </c>
      <c r="G1550" s="26">
        <v>522.16</v>
      </c>
      <c r="H1550" s="27">
        <v>0.1</v>
      </c>
      <c r="I1550" s="28">
        <f t="shared" ref="I1550:I1554" si="66">H1550*D1550</f>
        <v>79.9</v>
      </c>
      <c r="J1550" s="25">
        <v>74.0</v>
      </c>
      <c r="K1550" s="16">
        <f t="shared" ref="K1550:K1554" si="67">D1550-G1550-I1550-J1550-E1550-F1550</f>
        <v>50.6305</v>
      </c>
      <c r="L1550" s="19">
        <f t="shared" ref="L1550:L1554" si="68">K1550/G1550</f>
        <v>0.09696357438</v>
      </c>
      <c r="M1550" s="16">
        <f t="shared" si="6"/>
        <v>572.7905</v>
      </c>
      <c r="N1550" s="24"/>
    </row>
    <row r="1551">
      <c r="A1551" s="22"/>
      <c r="B1551" s="23"/>
      <c r="C1551" s="63" t="s">
        <v>2522</v>
      </c>
      <c r="D1551" s="25">
        <v>13299.0</v>
      </c>
      <c r="E1551" s="16">
        <f t="shared" si="1"/>
        <v>917.631</v>
      </c>
      <c r="F1551" s="16">
        <f t="shared" si="59"/>
        <v>285.9285</v>
      </c>
      <c r="G1551" s="28">
        <v>9397.1</v>
      </c>
      <c r="H1551" s="27">
        <v>0.1</v>
      </c>
      <c r="I1551" s="28">
        <f t="shared" si="66"/>
        <v>1329.9</v>
      </c>
      <c r="J1551" s="25">
        <v>74.0</v>
      </c>
      <c r="K1551" s="16">
        <f t="shared" si="67"/>
        <v>1294.4405</v>
      </c>
      <c r="L1551" s="19">
        <f t="shared" si="68"/>
        <v>0.1377489332</v>
      </c>
      <c r="M1551" s="16">
        <f t="shared" si="6"/>
        <v>10691.5405</v>
      </c>
      <c r="N1551" s="24"/>
    </row>
    <row r="1552">
      <c r="A1552" s="22"/>
      <c r="B1552" s="23" t="s">
        <v>2520</v>
      </c>
      <c r="C1552" s="25" t="s">
        <v>2521</v>
      </c>
      <c r="D1552" s="25">
        <v>2599.0</v>
      </c>
      <c r="E1552" s="16">
        <f t="shared" si="1"/>
        <v>179.331</v>
      </c>
      <c r="F1552" s="16">
        <f t="shared" si="59"/>
        <v>55.8785</v>
      </c>
      <c r="G1552" s="26">
        <v>1629.84</v>
      </c>
      <c r="H1552" s="27">
        <v>0.1</v>
      </c>
      <c r="I1552" s="28">
        <f t="shared" si="66"/>
        <v>259.9</v>
      </c>
      <c r="J1552" s="25">
        <v>74.0</v>
      </c>
      <c r="K1552" s="16">
        <f t="shared" si="67"/>
        <v>400.0505</v>
      </c>
      <c r="L1552" s="19">
        <f t="shared" si="68"/>
        <v>0.2454538482</v>
      </c>
      <c r="M1552" s="16">
        <f t="shared" si="6"/>
        <v>2029.8905</v>
      </c>
      <c r="N1552" s="24"/>
    </row>
    <row r="1553">
      <c r="A1553" s="22"/>
      <c r="B1553" s="23" t="s">
        <v>2523</v>
      </c>
      <c r="C1553" s="24"/>
      <c r="D1553" s="25">
        <v>12499.0</v>
      </c>
      <c r="E1553" s="16">
        <f t="shared" si="1"/>
        <v>862.431</v>
      </c>
      <c r="F1553" s="16">
        <f t="shared" si="59"/>
        <v>268.7285</v>
      </c>
      <c r="G1553" s="26">
        <v>8912.18</v>
      </c>
      <c r="H1553" s="27">
        <v>0.105</v>
      </c>
      <c r="I1553" s="28">
        <f t="shared" si="66"/>
        <v>1312.395</v>
      </c>
      <c r="J1553" s="25">
        <v>85.0</v>
      </c>
      <c r="K1553" s="16">
        <f t="shared" si="67"/>
        <v>1058.2655</v>
      </c>
      <c r="L1553" s="19">
        <f t="shared" si="68"/>
        <v>0.1187437305</v>
      </c>
      <c r="M1553" s="16">
        <f t="shared" si="6"/>
        <v>9970.4455</v>
      </c>
      <c r="N1553" s="24"/>
    </row>
    <row r="1554">
      <c r="A1554" s="22"/>
      <c r="B1554" s="23" t="s">
        <v>2524</v>
      </c>
      <c r="C1554" s="24"/>
      <c r="D1554" s="25">
        <v>419.0</v>
      </c>
      <c r="E1554" s="16">
        <f t="shared" si="1"/>
        <v>28.911</v>
      </c>
      <c r="F1554" s="16">
        <f t="shared" si="59"/>
        <v>9.0085</v>
      </c>
      <c r="G1554" s="26">
        <v>238.85</v>
      </c>
      <c r="H1554" s="27">
        <v>0.15</v>
      </c>
      <c r="I1554" s="28">
        <f t="shared" si="66"/>
        <v>62.85</v>
      </c>
      <c r="J1554" s="25">
        <v>65.0</v>
      </c>
      <c r="K1554" s="16">
        <f t="shared" si="67"/>
        <v>14.3805</v>
      </c>
      <c r="L1554" s="19">
        <f t="shared" si="68"/>
        <v>0.06020724304</v>
      </c>
      <c r="M1554" s="16">
        <f t="shared" si="6"/>
        <v>253.2305</v>
      </c>
      <c r="N1554" s="24"/>
    </row>
    <row r="1555">
      <c r="A1555" s="22"/>
      <c r="B1555" s="22" t="s">
        <v>2525</v>
      </c>
      <c r="C1555" s="24"/>
      <c r="D1555" s="24"/>
      <c r="E1555" s="16">
        <f t="shared" si="1"/>
        <v>0</v>
      </c>
      <c r="F1555" s="16">
        <f t="shared" si="59"/>
        <v>0</v>
      </c>
      <c r="G1555" s="62">
        <v>3039.92</v>
      </c>
      <c r="H1555" s="43"/>
      <c r="I1555" s="28"/>
      <c r="J1555" s="24"/>
      <c r="K1555" s="24"/>
      <c r="L1555" s="43"/>
      <c r="M1555" s="16">
        <f t="shared" si="6"/>
        <v>0</v>
      </c>
      <c r="N1555" s="24"/>
    </row>
    <row r="1556">
      <c r="A1556" s="22"/>
      <c r="B1556" s="22" t="s">
        <v>1376</v>
      </c>
      <c r="C1556" s="24"/>
      <c r="D1556" s="24"/>
      <c r="E1556" s="16">
        <f t="shared" si="1"/>
        <v>0</v>
      </c>
      <c r="F1556" s="16">
        <f t="shared" si="59"/>
        <v>0</v>
      </c>
      <c r="G1556" s="58">
        <v>238.8495778254442</v>
      </c>
      <c r="H1556" s="43"/>
      <c r="I1556" s="28"/>
      <c r="J1556" s="24"/>
      <c r="K1556" s="24"/>
      <c r="L1556" s="43"/>
      <c r="M1556" s="16">
        <f t="shared" si="6"/>
        <v>0</v>
      </c>
      <c r="N1556" s="24"/>
    </row>
    <row r="1557">
      <c r="A1557" s="22"/>
      <c r="B1557" s="22" t="s">
        <v>2526</v>
      </c>
      <c r="C1557" s="24"/>
      <c r="D1557" s="24"/>
      <c r="E1557" s="16">
        <f t="shared" si="1"/>
        <v>0</v>
      </c>
      <c r="F1557" s="16">
        <f t="shared" si="59"/>
        <v>0</v>
      </c>
      <c r="G1557" s="62">
        <v>1102.0</v>
      </c>
      <c r="H1557" s="43"/>
      <c r="I1557" s="28"/>
      <c r="J1557" s="24"/>
      <c r="K1557" s="24"/>
      <c r="L1557" s="43"/>
      <c r="M1557" s="16">
        <f t="shared" si="6"/>
        <v>0</v>
      </c>
      <c r="N1557" s="24"/>
    </row>
    <row r="1558">
      <c r="A1558" s="22"/>
      <c r="B1558" s="22" t="s">
        <v>2527</v>
      </c>
      <c r="C1558" s="24"/>
      <c r="D1558" s="24"/>
      <c r="E1558" s="16">
        <f t="shared" si="1"/>
        <v>0</v>
      </c>
      <c r="F1558" s="16">
        <f t="shared" si="59"/>
        <v>0</v>
      </c>
      <c r="G1558" s="62">
        <v>2967.2</v>
      </c>
      <c r="H1558" s="43"/>
      <c r="I1558" s="28"/>
      <c r="J1558" s="24"/>
      <c r="K1558" s="24"/>
      <c r="L1558" s="43"/>
      <c r="M1558" s="16">
        <f t="shared" si="6"/>
        <v>0</v>
      </c>
      <c r="N1558" s="24"/>
    </row>
    <row r="1559">
      <c r="A1559" s="22"/>
      <c r="B1559" s="22" t="s">
        <v>2528</v>
      </c>
      <c r="C1559" s="24"/>
      <c r="D1559" s="24"/>
      <c r="E1559" s="16">
        <f t="shared" si="1"/>
        <v>0</v>
      </c>
      <c r="F1559" s="16">
        <f t="shared" si="59"/>
        <v>0</v>
      </c>
      <c r="G1559" s="62">
        <v>531.9992</v>
      </c>
      <c r="H1559" s="43"/>
      <c r="I1559" s="28"/>
      <c r="J1559" s="24"/>
      <c r="K1559" s="24"/>
      <c r="L1559" s="43"/>
      <c r="M1559" s="16">
        <f t="shared" si="6"/>
        <v>0</v>
      </c>
      <c r="N1559" s="24"/>
    </row>
    <row r="1560">
      <c r="A1560" s="22"/>
      <c r="B1560" s="23" t="s">
        <v>2529</v>
      </c>
      <c r="C1560" s="24"/>
      <c r="D1560" s="25">
        <v>3299.0</v>
      </c>
      <c r="E1560" s="16">
        <f t="shared" si="1"/>
        <v>227.631</v>
      </c>
      <c r="F1560" s="16">
        <f t="shared" si="59"/>
        <v>70.9285</v>
      </c>
      <c r="G1560" s="26">
        <v>2495.3</v>
      </c>
      <c r="H1560" s="27">
        <v>0.145</v>
      </c>
      <c r="I1560" s="28">
        <f t="shared" ref="I1560:I1563" si="69">H1560*D1560</f>
        <v>478.355</v>
      </c>
      <c r="J1560" s="25">
        <v>74.0</v>
      </c>
      <c r="K1560" s="16">
        <f t="shared" ref="K1560:K1563" si="70">D1560-G1560-I1560-J1560-E1560-F1560</f>
        <v>-47.2145</v>
      </c>
      <c r="L1560" s="19">
        <f t="shared" ref="L1560:L1563" si="71">K1560/G1560</f>
        <v>-0.01892137218</v>
      </c>
      <c r="M1560" s="16">
        <f t="shared" si="6"/>
        <v>2448.0855</v>
      </c>
      <c r="N1560" s="24"/>
    </row>
    <row r="1561">
      <c r="A1561" s="22"/>
      <c r="B1561" s="23" t="s">
        <v>2530</v>
      </c>
      <c r="C1561" s="24"/>
      <c r="D1561" s="25">
        <v>2499.0</v>
      </c>
      <c r="E1561" s="16">
        <f t="shared" si="1"/>
        <v>172.431</v>
      </c>
      <c r="F1561" s="16">
        <f t="shared" si="59"/>
        <v>53.7285</v>
      </c>
      <c r="G1561" s="26">
        <v>1680.0</v>
      </c>
      <c r="H1561" s="27">
        <v>0.15</v>
      </c>
      <c r="I1561" s="28">
        <f t="shared" si="69"/>
        <v>374.85</v>
      </c>
      <c r="J1561" s="25">
        <v>110.0</v>
      </c>
      <c r="K1561" s="16">
        <f t="shared" si="70"/>
        <v>107.9905</v>
      </c>
      <c r="L1561" s="19">
        <f t="shared" si="71"/>
        <v>0.06428005952</v>
      </c>
      <c r="M1561" s="16">
        <f t="shared" si="6"/>
        <v>1787.9905</v>
      </c>
      <c r="N1561" s="24"/>
    </row>
    <row r="1562">
      <c r="A1562" s="22"/>
      <c r="B1562" s="23" t="s">
        <v>2531</v>
      </c>
      <c r="C1562" s="24"/>
      <c r="D1562" s="25">
        <v>330.0</v>
      </c>
      <c r="E1562" s="16">
        <f t="shared" si="1"/>
        <v>22.77</v>
      </c>
      <c r="F1562" s="16">
        <f t="shared" si="59"/>
        <v>7.095</v>
      </c>
      <c r="G1562" s="26">
        <v>220.0</v>
      </c>
      <c r="H1562" s="27">
        <v>0.1</v>
      </c>
      <c r="I1562" s="28">
        <f t="shared" si="69"/>
        <v>33</v>
      </c>
      <c r="J1562" s="25">
        <v>52.0</v>
      </c>
      <c r="K1562" s="16">
        <f t="shared" si="70"/>
        <v>-4.865</v>
      </c>
      <c r="L1562" s="19">
        <f t="shared" si="71"/>
        <v>-0.02211363636</v>
      </c>
      <c r="M1562" s="16">
        <f t="shared" si="6"/>
        <v>215.135</v>
      </c>
      <c r="N1562" s="24"/>
    </row>
    <row r="1563">
      <c r="A1563" s="22"/>
      <c r="B1563" s="23" t="s">
        <v>2532</v>
      </c>
      <c r="C1563" s="24"/>
      <c r="D1563" s="25">
        <v>5899.0</v>
      </c>
      <c r="E1563" s="16">
        <f t="shared" si="1"/>
        <v>407.031</v>
      </c>
      <c r="F1563" s="16">
        <f t="shared" si="59"/>
        <v>126.8285</v>
      </c>
      <c r="G1563" s="26">
        <v>4023.73</v>
      </c>
      <c r="H1563" s="27">
        <v>0.145</v>
      </c>
      <c r="I1563" s="28">
        <f t="shared" si="69"/>
        <v>855.355</v>
      </c>
      <c r="J1563" s="25">
        <v>161.0</v>
      </c>
      <c r="K1563" s="16">
        <f t="shared" si="70"/>
        <v>325.0555</v>
      </c>
      <c r="L1563" s="19">
        <f t="shared" si="71"/>
        <v>0.08078462024</v>
      </c>
      <c r="M1563" s="16">
        <f t="shared" si="6"/>
        <v>4348.7855</v>
      </c>
      <c r="N1563" s="24"/>
    </row>
    <row r="1564">
      <c r="A1564" s="22"/>
      <c r="B1564" s="64" t="s">
        <v>1302</v>
      </c>
      <c r="C1564" s="24"/>
      <c r="D1564" s="24"/>
      <c r="E1564" s="16">
        <f t="shared" si="1"/>
        <v>0</v>
      </c>
      <c r="F1564" s="16">
        <f t="shared" si="59"/>
        <v>0</v>
      </c>
      <c r="G1564" s="28">
        <v>590.3072860215053</v>
      </c>
      <c r="H1564" s="43"/>
      <c r="I1564" s="28"/>
      <c r="J1564" s="24"/>
      <c r="K1564" s="24"/>
      <c r="L1564" s="43"/>
      <c r="M1564" s="16">
        <f t="shared" si="6"/>
        <v>0</v>
      </c>
      <c r="N1564" s="24"/>
    </row>
    <row r="1565">
      <c r="A1565" s="22"/>
      <c r="B1565" s="64" t="s">
        <v>1139</v>
      </c>
      <c r="C1565" s="24"/>
      <c r="D1565" s="24"/>
      <c r="E1565" s="16">
        <f t="shared" si="1"/>
        <v>0</v>
      </c>
      <c r="F1565" s="16">
        <f t="shared" si="59"/>
        <v>0</v>
      </c>
      <c r="G1565" s="28">
        <v>590.3072860215053</v>
      </c>
      <c r="H1565" s="43"/>
      <c r="I1565" s="28"/>
      <c r="J1565" s="24"/>
      <c r="K1565" s="24"/>
      <c r="L1565" s="43"/>
      <c r="M1565" s="16">
        <f t="shared" si="6"/>
        <v>0</v>
      </c>
      <c r="N1565" s="24"/>
    </row>
    <row r="1566">
      <c r="A1566" s="22"/>
      <c r="B1566" s="64" t="s">
        <v>2533</v>
      </c>
      <c r="C1566" s="24"/>
      <c r="D1566" s="24"/>
      <c r="E1566" s="16">
        <f t="shared" si="1"/>
        <v>0</v>
      </c>
      <c r="F1566" s="16">
        <f t="shared" si="59"/>
        <v>0</v>
      </c>
      <c r="G1566" s="58">
        <v>238.8495778254442</v>
      </c>
      <c r="H1566" s="43"/>
      <c r="I1566" s="28"/>
      <c r="J1566" s="24"/>
      <c r="K1566" s="24"/>
      <c r="L1566" s="43"/>
      <c r="M1566" s="16">
        <f t="shared" si="6"/>
        <v>0</v>
      </c>
      <c r="N1566" s="24"/>
    </row>
    <row r="1567">
      <c r="A1567" s="22"/>
      <c r="B1567" s="64" t="s">
        <v>2534</v>
      </c>
      <c r="C1567" s="24"/>
      <c r="D1567" s="24"/>
      <c r="E1567" s="16">
        <f t="shared" si="1"/>
        <v>0</v>
      </c>
      <c r="F1567" s="16">
        <f t="shared" si="59"/>
        <v>0</v>
      </c>
      <c r="G1567" s="28">
        <v>950.8319225563993</v>
      </c>
      <c r="H1567" s="43"/>
      <c r="I1567" s="28"/>
      <c r="J1567" s="24"/>
      <c r="K1567" s="24"/>
      <c r="L1567" s="43"/>
      <c r="M1567" s="16">
        <f t="shared" si="6"/>
        <v>0</v>
      </c>
      <c r="N1567" s="24"/>
    </row>
    <row r="1568">
      <c r="A1568" s="22"/>
      <c r="B1568" s="64" t="s">
        <v>2535</v>
      </c>
      <c r="C1568" s="24"/>
      <c r="D1568" s="24"/>
      <c r="E1568" s="16">
        <f t="shared" si="1"/>
        <v>0</v>
      </c>
      <c r="F1568" s="16">
        <f t="shared" si="59"/>
        <v>0</v>
      </c>
      <c r="G1568" s="45">
        <v>3499.0</v>
      </c>
      <c r="H1568" s="43"/>
      <c r="I1568" s="28"/>
      <c r="J1568" s="24"/>
      <c r="K1568" s="24"/>
      <c r="L1568" s="43"/>
      <c r="M1568" s="16">
        <f t="shared" si="6"/>
        <v>0</v>
      </c>
      <c r="N1568" s="24"/>
    </row>
    <row r="1569">
      <c r="A1569" s="22"/>
      <c r="B1569" s="64" t="s">
        <v>2536</v>
      </c>
      <c r="C1569" s="24"/>
      <c r="D1569" s="24"/>
      <c r="E1569" s="16">
        <f t="shared" si="1"/>
        <v>0</v>
      </c>
      <c r="F1569" s="16">
        <f t="shared" si="59"/>
        <v>0</v>
      </c>
      <c r="G1569" s="45">
        <v>660.0</v>
      </c>
      <c r="H1569" s="43"/>
      <c r="I1569" s="28"/>
      <c r="J1569" s="24"/>
      <c r="K1569" s="24"/>
      <c r="L1569" s="43"/>
      <c r="M1569" s="16">
        <f t="shared" si="6"/>
        <v>0</v>
      </c>
      <c r="N1569" s="24"/>
    </row>
    <row r="1570">
      <c r="A1570" s="22"/>
      <c r="B1570" s="23" t="s">
        <v>2537</v>
      </c>
      <c r="C1570" s="24"/>
      <c r="D1570" s="25">
        <v>6199.0</v>
      </c>
      <c r="E1570" s="16">
        <f t="shared" si="1"/>
        <v>427.731</v>
      </c>
      <c r="F1570" s="16">
        <f t="shared" si="59"/>
        <v>133.2785</v>
      </c>
      <c r="G1570" s="26">
        <v>4359.92</v>
      </c>
      <c r="H1570" s="27">
        <v>0.11</v>
      </c>
      <c r="I1570" s="28">
        <f t="shared" ref="I1570:I1579" si="72">H1570*D1570</f>
        <v>681.89</v>
      </c>
      <c r="J1570" s="25">
        <v>161.0</v>
      </c>
      <c r="K1570" s="16">
        <f t="shared" ref="K1570:K1579" si="73">D1570-G1570-I1570-J1570-E1570-F1570</f>
        <v>435.1805</v>
      </c>
      <c r="L1570" s="19">
        <f t="shared" ref="L1570:L1579" si="74">K1570/G1570</f>
        <v>0.09981387273</v>
      </c>
      <c r="M1570" s="16">
        <f t="shared" si="6"/>
        <v>4795.1005</v>
      </c>
      <c r="N1570" s="24"/>
    </row>
    <row r="1571">
      <c r="A1571" s="22"/>
      <c r="B1571" s="23" t="s">
        <v>2538</v>
      </c>
      <c r="C1571" s="24"/>
      <c r="D1571" s="25">
        <v>335.0</v>
      </c>
      <c r="E1571" s="16">
        <f t="shared" si="1"/>
        <v>23.115</v>
      </c>
      <c r="F1571" s="16">
        <f t="shared" si="59"/>
        <v>7.2025</v>
      </c>
      <c r="G1571" s="26">
        <v>220.01</v>
      </c>
      <c r="H1571" s="27">
        <v>0.1</v>
      </c>
      <c r="I1571" s="28">
        <f t="shared" si="72"/>
        <v>33.5</v>
      </c>
      <c r="J1571" s="25">
        <v>52.0</v>
      </c>
      <c r="K1571" s="16">
        <f t="shared" si="73"/>
        <v>-0.8275</v>
      </c>
      <c r="L1571" s="19">
        <f t="shared" si="74"/>
        <v>-0.003761192673</v>
      </c>
      <c r="M1571" s="16">
        <f t="shared" si="6"/>
        <v>219.1825</v>
      </c>
      <c r="N1571" s="24"/>
    </row>
    <row r="1572">
      <c r="A1572" s="22"/>
      <c r="B1572" s="23" t="s">
        <v>2539</v>
      </c>
      <c r="C1572" s="24"/>
      <c r="D1572" s="25">
        <v>429.0</v>
      </c>
      <c r="E1572" s="16">
        <f t="shared" si="1"/>
        <v>29.601</v>
      </c>
      <c r="F1572" s="16">
        <f t="shared" si="59"/>
        <v>9.2235</v>
      </c>
      <c r="G1572" s="26">
        <v>235.0</v>
      </c>
      <c r="H1572" s="27">
        <v>0.135</v>
      </c>
      <c r="I1572" s="28">
        <f t="shared" si="72"/>
        <v>57.915</v>
      </c>
      <c r="J1572" s="25">
        <v>65.0</v>
      </c>
      <c r="K1572" s="16">
        <f t="shared" si="73"/>
        <v>32.2605</v>
      </c>
      <c r="L1572" s="19">
        <f t="shared" si="74"/>
        <v>0.1372787234</v>
      </c>
      <c r="M1572" s="16">
        <f t="shared" si="6"/>
        <v>267.2605</v>
      </c>
      <c r="N1572" s="24"/>
    </row>
    <row r="1573">
      <c r="A1573" s="22"/>
      <c r="B1573" s="23" t="s">
        <v>2540</v>
      </c>
      <c r="C1573" s="24"/>
      <c r="D1573" s="25">
        <v>4699.0</v>
      </c>
      <c r="E1573" s="16">
        <f t="shared" si="1"/>
        <v>324.231</v>
      </c>
      <c r="F1573" s="16">
        <f t="shared" si="59"/>
        <v>101.0285</v>
      </c>
      <c r="G1573" s="26">
        <v>3447.8</v>
      </c>
      <c r="H1573" s="27">
        <v>0.135</v>
      </c>
      <c r="I1573" s="28">
        <f t="shared" si="72"/>
        <v>634.365</v>
      </c>
      <c r="J1573" s="25">
        <v>95.0</v>
      </c>
      <c r="K1573" s="16">
        <f t="shared" si="73"/>
        <v>96.5755</v>
      </c>
      <c r="L1573" s="19">
        <f t="shared" si="74"/>
        <v>0.02801076048</v>
      </c>
      <c r="M1573" s="16">
        <f t="shared" si="6"/>
        <v>3544.3755</v>
      </c>
      <c r="N1573" s="24"/>
    </row>
    <row r="1574">
      <c r="A1574" s="22"/>
      <c r="B1574" s="23" t="s">
        <v>2541</v>
      </c>
      <c r="C1574" s="24"/>
      <c r="D1574" s="25">
        <v>1699.0</v>
      </c>
      <c r="E1574" s="16">
        <f t="shared" si="1"/>
        <v>117.231</v>
      </c>
      <c r="F1574" s="16">
        <f t="shared" si="59"/>
        <v>36.5285</v>
      </c>
      <c r="G1574" s="26">
        <v>1031.57</v>
      </c>
      <c r="H1574" s="27">
        <v>0.135</v>
      </c>
      <c r="I1574" s="28">
        <f t="shared" si="72"/>
        <v>229.365</v>
      </c>
      <c r="J1574" s="25">
        <v>95.0</v>
      </c>
      <c r="K1574" s="16">
        <f t="shared" si="73"/>
        <v>189.3055</v>
      </c>
      <c r="L1574" s="19">
        <f t="shared" si="74"/>
        <v>0.1835120254</v>
      </c>
      <c r="M1574" s="16">
        <f t="shared" si="6"/>
        <v>1220.8755</v>
      </c>
      <c r="N1574" s="24"/>
    </row>
    <row r="1575">
      <c r="A1575" s="22"/>
      <c r="B1575" s="23" t="s">
        <v>2542</v>
      </c>
      <c r="C1575" s="24"/>
      <c r="D1575" s="25">
        <v>725.0</v>
      </c>
      <c r="E1575" s="16">
        <f t="shared" si="1"/>
        <v>50.025</v>
      </c>
      <c r="F1575" s="16">
        <f t="shared" si="59"/>
        <v>15.5875</v>
      </c>
      <c r="G1575" s="26">
        <v>432.37</v>
      </c>
      <c r="H1575" s="27">
        <v>0.1</v>
      </c>
      <c r="I1575" s="28">
        <f t="shared" si="72"/>
        <v>72.5</v>
      </c>
      <c r="J1575" s="25">
        <v>84.0</v>
      </c>
      <c r="K1575" s="16">
        <f t="shared" si="73"/>
        <v>70.5175</v>
      </c>
      <c r="L1575" s="19">
        <f t="shared" si="74"/>
        <v>0.1630952656</v>
      </c>
      <c r="M1575" s="16">
        <f t="shared" si="6"/>
        <v>502.8875</v>
      </c>
      <c r="N1575" s="24"/>
    </row>
    <row r="1576">
      <c r="A1576" s="22"/>
      <c r="B1576" s="23" t="s">
        <v>2543</v>
      </c>
      <c r="C1576" s="24"/>
      <c r="D1576" s="25">
        <v>8811.0</v>
      </c>
      <c r="E1576" s="16">
        <f t="shared" si="1"/>
        <v>607.959</v>
      </c>
      <c r="F1576" s="16">
        <f t="shared" si="59"/>
        <v>189.4365</v>
      </c>
      <c r="G1576" s="26">
        <v>6200.0</v>
      </c>
      <c r="H1576" s="27">
        <v>0.15</v>
      </c>
      <c r="I1576" s="28">
        <f t="shared" si="72"/>
        <v>1321.65</v>
      </c>
      <c r="J1576" s="25">
        <v>95.0</v>
      </c>
      <c r="K1576" s="16">
        <f t="shared" si="73"/>
        <v>396.9545</v>
      </c>
      <c r="L1576" s="19">
        <f t="shared" si="74"/>
        <v>0.06402491935</v>
      </c>
      <c r="M1576" s="16">
        <f t="shared" si="6"/>
        <v>6596.9545</v>
      </c>
      <c r="N1576" s="24"/>
    </row>
    <row r="1577">
      <c r="A1577" s="22"/>
      <c r="B1577" s="23" t="s">
        <v>2544</v>
      </c>
      <c r="C1577" s="24"/>
      <c r="D1577" s="25">
        <v>741.0</v>
      </c>
      <c r="E1577" s="16">
        <f t="shared" si="1"/>
        <v>51.129</v>
      </c>
      <c r="F1577" s="16">
        <f t="shared" si="59"/>
        <v>15.9315</v>
      </c>
      <c r="G1577" s="26">
        <v>432.37</v>
      </c>
      <c r="H1577" s="27">
        <v>0.1</v>
      </c>
      <c r="I1577" s="28">
        <f t="shared" si="72"/>
        <v>74.1</v>
      </c>
      <c r="J1577" s="25">
        <v>74.0</v>
      </c>
      <c r="K1577" s="16">
        <f t="shared" si="73"/>
        <v>93.4695</v>
      </c>
      <c r="L1577" s="19">
        <f t="shared" si="74"/>
        <v>0.2161794297</v>
      </c>
      <c r="M1577" s="16">
        <f t="shared" si="6"/>
        <v>525.8395</v>
      </c>
      <c r="N1577" s="24"/>
    </row>
    <row r="1578">
      <c r="A1578" s="22"/>
      <c r="B1578" s="23" t="s">
        <v>2545</v>
      </c>
      <c r="C1578" s="24"/>
      <c r="D1578" s="25">
        <v>4999.0</v>
      </c>
      <c r="E1578" s="16">
        <f t="shared" si="1"/>
        <v>344.931</v>
      </c>
      <c r="F1578" s="16">
        <f t="shared" si="59"/>
        <v>107.4785</v>
      </c>
      <c r="G1578" s="26">
        <v>3447.8</v>
      </c>
      <c r="H1578" s="27">
        <v>0.15</v>
      </c>
      <c r="I1578" s="28">
        <f t="shared" si="72"/>
        <v>749.85</v>
      </c>
      <c r="J1578" s="25">
        <v>95.0</v>
      </c>
      <c r="K1578" s="16">
        <f t="shared" si="73"/>
        <v>253.9405</v>
      </c>
      <c r="L1578" s="19">
        <f t="shared" si="74"/>
        <v>0.0736529091</v>
      </c>
      <c r="M1578" s="16">
        <f t="shared" si="6"/>
        <v>3701.7405</v>
      </c>
      <c r="N1578" s="24"/>
    </row>
    <row r="1579">
      <c r="A1579" s="22"/>
      <c r="B1579" s="23" t="s">
        <v>2546</v>
      </c>
      <c r="C1579" s="24"/>
      <c r="D1579" s="25">
        <v>699.0</v>
      </c>
      <c r="E1579" s="16">
        <f t="shared" si="1"/>
        <v>48.231</v>
      </c>
      <c r="F1579" s="16">
        <f t="shared" si="59"/>
        <v>15.0285</v>
      </c>
      <c r="G1579" s="26">
        <v>432.37</v>
      </c>
      <c r="H1579" s="27">
        <v>0.12</v>
      </c>
      <c r="I1579" s="28">
        <f t="shared" si="72"/>
        <v>83.88</v>
      </c>
      <c r="J1579" s="25">
        <v>74.0</v>
      </c>
      <c r="K1579" s="16">
        <f t="shared" si="73"/>
        <v>45.4905</v>
      </c>
      <c r="L1579" s="19">
        <f t="shared" si="74"/>
        <v>0.1052119712</v>
      </c>
      <c r="M1579" s="16">
        <f t="shared" si="6"/>
        <v>477.8605</v>
      </c>
      <c r="N1579" s="24"/>
    </row>
    <row r="1580">
      <c r="A1580" s="22"/>
      <c r="B1580" s="23" t="s">
        <v>2547</v>
      </c>
      <c r="C1580" s="24"/>
      <c r="D1580" s="24"/>
      <c r="E1580" s="16">
        <f t="shared" si="1"/>
        <v>0</v>
      </c>
      <c r="F1580" s="16">
        <f t="shared" si="59"/>
        <v>0</v>
      </c>
      <c r="G1580" s="26">
        <v>547.27</v>
      </c>
      <c r="H1580" s="43"/>
      <c r="I1580" s="28"/>
      <c r="J1580" s="24"/>
      <c r="K1580" s="24"/>
      <c r="L1580" s="43"/>
      <c r="M1580" s="16">
        <f t="shared" si="6"/>
        <v>0</v>
      </c>
      <c r="N1580" s="24"/>
    </row>
    <row r="1581">
      <c r="A1581" s="22"/>
      <c r="B1581" s="23" t="s">
        <v>2548</v>
      </c>
      <c r="C1581" s="24"/>
      <c r="D1581" s="24"/>
      <c r="E1581" s="16">
        <f t="shared" si="1"/>
        <v>0</v>
      </c>
      <c r="F1581" s="16">
        <f t="shared" si="59"/>
        <v>0</v>
      </c>
      <c r="G1581" s="26">
        <v>1680.47</v>
      </c>
      <c r="H1581" s="43"/>
      <c r="I1581" s="28"/>
      <c r="J1581" s="24"/>
      <c r="K1581" s="24"/>
      <c r="L1581" s="43"/>
      <c r="M1581" s="16">
        <f t="shared" si="6"/>
        <v>0</v>
      </c>
      <c r="N1581" s="24"/>
    </row>
    <row r="1582">
      <c r="A1582" s="22"/>
      <c r="B1582" s="23" t="s">
        <v>2549</v>
      </c>
      <c r="C1582" s="24"/>
      <c r="D1582" s="24"/>
      <c r="E1582" s="16">
        <f t="shared" si="1"/>
        <v>0</v>
      </c>
      <c r="F1582" s="16">
        <f t="shared" si="59"/>
        <v>0</v>
      </c>
      <c r="G1582" s="26">
        <v>590.31</v>
      </c>
      <c r="H1582" s="43"/>
      <c r="I1582" s="28"/>
      <c r="J1582" s="24"/>
      <c r="K1582" s="24"/>
      <c r="L1582" s="43"/>
      <c r="M1582" s="16">
        <f t="shared" si="6"/>
        <v>0</v>
      </c>
      <c r="N1582" s="24"/>
    </row>
    <row r="1583">
      <c r="A1583" s="22"/>
      <c r="B1583" s="23" t="s">
        <v>2550</v>
      </c>
      <c r="C1583" s="24"/>
      <c r="D1583" s="24"/>
      <c r="E1583" s="16">
        <f t="shared" si="1"/>
        <v>0</v>
      </c>
      <c r="F1583" s="16">
        <f t="shared" si="59"/>
        <v>0</v>
      </c>
      <c r="G1583" s="26">
        <v>590.31</v>
      </c>
      <c r="H1583" s="43"/>
      <c r="I1583" s="28"/>
      <c r="J1583" s="24"/>
      <c r="K1583" s="24"/>
      <c r="L1583" s="43"/>
      <c r="M1583" s="16">
        <f t="shared" si="6"/>
        <v>0</v>
      </c>
      <c r="N1583" s="24"/>
    </row>
    <row r="1584">
      <c r="A1584" s="22"/>
      <c r="B1584" s="23" t="s">
        <v>2551</v>
      </c>
      <c r="C1584" s="24"/>
      <c r="D1584" s="24"/>
      <c r="E1584" s="16">
        <f t="shared" si="1"/>
        <v>0</v>
      </c>
      <c r="F1584" s="16">
        <f t="shared" si="59"/>
        <v>0</v>
      </c>
      <c r="G1584" s="26">
        <v>4803.62</v>
      </c>
      <c r="H1584" s="43"/>
      <c r="I1584" s="28"/>
      <c r="J1584" s="24"/>
      <c r="K1584" s="24"/>
      <c r="L1584" s="43"/>
      <c r="M1584" s="16">
        <f t="shared" si="6"/>
        <v>0</v>
      </c>
      <c r="N1584" s="24"/>
    </row>
    <row r="1585">
      <c r="A1585" s="22"/>
      <c r="B1585" s="23" t="s">
        <v>2552</v>
      </c>
      <c r="C1585" s="24"/>
      <c r="D1585" s="24"/>
      <c r="E1585" s="16">
        <f t="shared" si="1"/>
        <v>0</v>
      </c>
      <c r="F1585" s="16">
        <f t="shared" si="59"/>
        <v>0</v>
      </c>
      <c r="G1585" s="26">
        <v>590.31</v>
      </c>
      <c r="H1585" s="43"/>
      <c r="I1585" s="28"/>
      <c r="J1585" s="24"/>
      <c r="K1585" s="24"/>
      <c r="L1585" s="43"/>
      <c r="M1585" s="16">
        <f t="shared" si="6"/>
        <v>0</v>
      </c>
      <c r="N1585" s="24"/>
    </row>
    <row r="1586">
      <c r="A1586" s="22"/>
      <c r="B1586" s="23" t="s">
        <v>2553</v>
      </c>
      <c r="C1586" s="24"/>
      <c r="D1586" s="25">
        <v>8999.0</v>
      </c>
      <c r="E1586" s="16">
        <f t="shared" si="1"/>
        <v>620.931</v>
      </c>
      <c r="F1586" s="16">
        <f t="shared" si="59"/>
        <v>193.4785</v>
      </c>
      <c r="G1586" s="26">
        <v>6978.6</v>
      </c>
      <c r="H1586" s="27">
        <v>0.11</v>
      </c>
      <c r="I1586" s="28">
        <f t="shared" ref="I1586:I1587" si="75">H1586*D1586</f>
        <v>989.89</v>
      </c>
      <c r="J1586" s="25">
        <v>74.0</v>
      </c>
      <c r="K1586" s="16">
        <f t="shared" ref="K1586:K1587" si="76">D1586-G1586-I1586-J1586-E1586-F1586</f>
        <v>142.1005</v>
      </c>
      <c r="L1586" s="19">
        <f t="shared" ref="L1586:L1587" si="77">K1586/G1586</f>
        <v>0.02036232196</v>
      </c>
      <c r="M1586" s="16">
        <f t="shared" si="6"/>
        <v>7120.7005</v>
      </c>
      <c r="N1586" s="24"/>
    </row>
    <row r="1587">
      <c r="A1587" s="22"/>
      <c r="B1587" s="23" t="s">
        <v>2554</v>
      </c>
      <c r="C1587" s="24"/>
      <c r="D1587" s="25">
        <v>8499.0</v>
      </c>
      <c r="E1587" s="16">
        <f t="shared" si="1"/>
        <v>586.431</v>
      </c>
      <c r="F1587" s="16">
        <f t="shared" si="59"/>
        <v>182.7285</v>
      </c>
      <c r="G1587" s="26">
        <v>5842.08</v>
      </c>
      <c r="H1587" s="27">
        <v>0.11</v>
      </c>
      <c r="I1587" s="28">
        <f t="shared" si="75"/>
        <v>934.89</v>
      </c>
      <c r="J1587" s="25">
        <v>74.0</v>
      </c>
      <c r="K1587" s="16">
        <f t="shared" si="76"/>
        <v>878.8705</v>
      </c>
      <c r="L1587" s="19">
        <f t="shared" si="77"/>
        <v>0.1504379433</v>
      </c>
      <c r="M1587" s="16">
        <f t="shared" si="6"/>
        <v>6720.9505</v>
      </c>
      <c r="N1587" s="24"/>
    </row>
    <row r="1588">
      <c r="A1588" s="22"/>
      <c r="B1588" s="23" t="s">
        <v>2555</v>
      </c>
      <c r="C1588" s="24"/>
      <c r="D1588" s="24"/>
      <c r="E1588" s="16">
        <f t="shared" si="1"/>
        <v>0</v>
      </c>
      <c r="F1588" s="16">
        <f t="shared" si="59"/>
        <v>0</v>
      </c>
      <c r="G1588" s="26">
        <v>4500.0</v>
      </c>
      <c r="H1588" s="43"/>
      <c r="I1588" s="28"/>
      <c r="J1588" s="24"/>
      <c r="K1588" s="24"/>
      <c r="L1588" s="43"/>
      <c r="M1588" s="16">
        <f t="shared" si="6"/>
        <v>0</v>
      </c>
      <c r="N1588" s="24"/>
    </row>
    <row r="1589">
      <c r="A1589" s="22"/>
      <c r="B1589" s="23" t="s">
        <v>2556</v>
      </c>
      <c r="C1589" s="24"/>
      <c r="D1589" s="24"/>
      <c r="E1589" s="16">
        <f t="shared" si="1"/>
        <v>0</v>
      </c>
      <c r="F1589" s="16">
        <f t="shared" si="59"/>
        <v>0</v>
      </c>
      <c r="G1589" s="26">
        <v>839.32</v>
      </c>
      <c r="H1589" s="43"/>
      <c r="I1589" s="28"/>
      <c r="J1589" s="24"/>
      <c r="K1589" s="24"/>
      <c r="L1589" s="43"/>
      <c r="M1589" s="16">
        <f t="shared" si="6"/>
        <v>0</v>
      </c>
      <c r="N1589" s="24"/>
    </row>
    <row r="1590">
      <c r="A1590" s="22"/>
      <c r="B1590" s="23" t="s">
        <v>2557</v>
      </c>
      <c r="C1590" s="24"/>
      <c r="D1590" s="24"/>
      <c r="E1590" s="16">
        <f t="shared" si="1"/>
        <v>0</v>
      </c>
      <c r="F1590" s="16">
        <f t="shared" si="59"/>
        <v>0</v>
      </c>
      <c r="G1590" s="26">
        <v>180.0</v>
      </c>
      <c r="H1590" s="43"/>
      <c r="I1590" s="28"/>
      <c r="J1590" s="24"/>
      <c r="K1590" s="24"/>
      <c r="L1590" s="43"/>
      <c r="M1590" s="16">
        <f t="shared" si="6"/>
        <v>0</v>
      </c>
      <c r="N1590" s="24"/>
    </row>
    <row r="1591">
      <c r="A1591" s="22"/>
      <c r="B1591" s="23" t="s">
        <v>2558</v>
      </c>
      <c r="C1591" s="24"/>
      <c r="D1591" s="25">
        <v>799.0</v>
      </c>
      <c r="E1591" s="16">
        <f t="shared" si="1"/>
        <v>55.131</v>
      </c>
      <c r="F1591" s="16">
        <f t="shared" si="59"/>
        <v>17.1785</v>
      </c>
      <c r="G1591" s="26">
        <v>487.45</v>
      </c>
      <c r="H1591" s="27">
        <v>0.1</v>
      </c>
      <c r="I1591" s="28">
        <f t="shared" ref="I1591:I1592" si="78">H1591*D1591</f>
        <v>79.9</v>
      </c>
      <c r="J1591" s="25">
        <v>70.0</v>
      </c>
      <c r="K1591" s="16">
        <f t="shared" ref="K1591:K1592" si="79">D1591-G1591-I1591-J1591-E1591-F1591</f>
        <v>89.3405</v>
      </c>
      <c r="L1591" s="19">
        <f t="shared" ref="L1591:L1592" si="80">K1591/G1591</f>
        <v>0.1832813622</v>
      </c>
      <c r="M1591" s="16">
        <f t="shared" si="6"/>
        <v>576.7905</v>
      </c>
      <c r="N1591" s="24"/>
    </row>
    <row r="1592">
      <c r="A1592" s="22"/>
      <c r="B1592" s="23" t="s">
        <v>2559</v>
      </c>
      <c r="C1592" s="24"/>
      <c r="D1592" s="25">
        <v>899.0</v>
      </c>
      <c r="E1592" s="16">
        <f t="shared" si="1"/>
        <v>62.031</v>
      </c>
      <c r="F1592" s="16">
        <f t="shared" si="59"/>
        <v>19.3285</v>
      </c>
      <c r="G1592" s="26">
        <v>487.45</v>
      </c>
      <c r="H1592" s="27">
        <v>0.1</v>
      </c>
      <c r="I1592" s="28">
        <f t="shared" si="78"/>
        <v>89.9</v>
      </c>
      <c r="J1592" s="25">
        <v>70.0</v>
      </c>
      <c r="K1592" s="16">
        <f t="shared" si="79"/>
        <v>170.2905</v>
      </c>
      <c r="L1592" s="19">
        <f t="shared" si="80"/>
        <v>0.3493496769</v>
      </c>
      <c r="M1592" s="16">
        <f t="shared" si="6"/>
        <v>657.7405</v>
      </c>
      <c r="N1592" s="24"/>
    </row>
    <row r="1593">
      <c r="A1593" s="22"/>
      <c r="B1593" s="23" t="s">
        <v>2560</v>
      </c>
      <c r="C1593" s="24"/>
      <c r="D1593" s="24"/>
      <c r="E1593" s="16">
        <f t="shared" si="1"/>
        <v>0</v>
      </c>
      <c r="F1593" s="16">
        <f t="shared" si="59"/>
        <v>0</v>
      </c>
      <c r="G1593" s="26">
        <v>487.45</v>
      </c>
      <c r="H1593" s="43"/>
      <c r="I1593" s="28"/>
      <c r="J1593" s="24"/>
      <c r="K1593" s="24"/>
      <c r="L1593" s="43"/>
      <c r="M1593" s="16">
        <f t="shared" si="6"/>
        <v>0</v>
      </c>
      <c r="N1593" s="24"/>
    </row>
    <row r="1594">
      <c r="A1594" s="22"/>
      <c r="B1594" s="23" t="s">
        <v>2561</v>
      </c>
      <c r="C1594" s="24"/>
      <c r="D1594" s="25">
        <v>5199.0</v>
      </c>
      <c r="E1594" s="16">
        <f t="shared" si="1"/>
        <v>358.731</v>
      </c>
      <c r="F1594" s="16">
        <f t="shared" si="59"/>
        <v>111.7785</v>
      </c>
      <c r="G1594" s="26">
        <v>3594.69</v>
      </c>
      <c r="H1594" s="27">
        <v>0.11</v>
      </c>
      <c r="I1594" s="28">
        <f t="shared" ref="I1594:I1612" si="81">H1594*D1594</f>
        <v>571.89</v>
      </c>
      <c r="J1594" s="25">
        <v>103.0</v>
      </c>
      <c r="K1594" s="16">
        <f t="shared" ref="K1594:K1612" si="82">D1594-G1594-I1594-J1594-E1594-F1594</f>
        <v>458.9105</v>
      </c>
      <c r="L1594" s="19">
        <f t="shared" ref="L1594:L1612" si="83">K1594/G1594</f>
        <v>0.1276634425</v>
      </c>
      <c r="M1594" s="16">
        <f t="shared" si="6"/>
        <v>4053.6005</v>
      </c>
      <c r="N1594" s="24"/>
    </row>
    <row r="1595">
      <c r="A1595" s="22"/>
      <c r="B1595" s="23" t="s">
        <v>2562</v>
      </c>
      <c r="C1595" s="24"/>
      <c r="D1595" s="25">
        <v>4824.0</v>
      </c>
      <c r="E1595" s="16">
        <f t="shared" si="1"/>
        <v>332.856</v>
      </c>
      <c r="F1595" s="16">
        <f t="shared" si="59"/>
        <v>103.716</v>
      </c>
      <c r="G1595" s="26">
        <v>3418.42</v>
      </c>
      <c r="H1595" s="27">
        <v>0.145</v>
      </c>
      <c r="I1595" s="28">
        <f t="shared" si="81"/>
        <v>699.48</v>
      </c>
      <c r="J1595" s="25">
        <v>65.0</v>
      </c>
      <c r="K1595" s="16">
        <f t="shared" si="82"/>
        <v>204.528</v>
      </c>
      <c r="L1595" s="19">
        <f t="shared" si="83"/>
        <v>0.05983115006</v>
      </c>
      <c r="M1595" s="16">
        <f t="shared" si="6"/>
        <v>3622.948</v>
      </c>
      <c r="N1595" s="24"/>
    </row>
    <row r="1596">
      <c r="A1596" s="22"/>
      <c r="B1596" s="23" t="s">
        <v>2563</v>
      </c>
      <c r="C1596" s="25" t="s">
        <v>2564</v>
      </c>
      <c r="D1596" s="25">
        <v>4733.87</v>
      </c>
      <c r="E1596" s="16">
        <f t="shared" si="1"/>
        <v>326.63703</v>
      </c>
      <c r="F1596" s="16">
        <f t="shared" si="59"/>
        <v>101.778205</v>
      </c>
      <c r="G1596" s="26">
        <v>3545.42</v>
      </c>
      <c r="H1596" s="27">
        <v>0.145</v>
      </c>
      <c r="I1596" s="28">
        <f t="shared" si="81"/>
        <v>686.41115</v>
      </c>
      <c r="J1596" s="25">
        <v>65.0</v>
      </c>
      <c r="K1596" s="16">
        <f t="shared" si="82"/>
        <v>8.623615</v>
      </c>
      <c r="L1596" s="19">
        <f t="shared" si="83"/>
        <v>0.002432325366</v>
      </c>
      <c r="M1596" s="16">
        <f t="shared" si="6"/>
        <v>3554.043615</v>
      </c>
      <c r="N1596" s="24"/>
    </row>
    <row r="1597">
      <c r="A1597" s="22"/>
      <c r="B1597" s="23" t="s">
        <v>2565</v>
      </c>
      <c r="C1597" s="24"/>
      <c r="D1597" s="25">
        <v>2899.0</v>
      </c>
      <c r="E1597" s="16">
        <f t="shared" si="1"/>
        <v>200.031</v>
      </c>
      <c r="F1597" s="16">
        <f t="shared" si="59"/>
        <v>62.3285</v>
      </c>
      <c r="G1597" s="26">
        <v>1680.47</v>
      </c>
      <c r="H1597" s="27">
        <v>0.15</v>
      </c>
      <c r="I1597" s="28">
        <f t="shared" si="81"/>
        <v>434.85</v>
      </c>
      <c r="J1597" s="25">
        <v>70.0</v>
      </c>
      <c r="K1597" s="16">
        <f t="shared" si="82"/>
        <v>451.3205</v>
      </c>
      <c r="L1597" s="19">
        <f t="shared" si="83"/>
        <v>0.2685680197</v>
      </c>
      <c r="M1597" s="16">
        <f t="shared" si="6"/>
        <v>2131.7905</v>
      </c>
      <c r="N1597" s="24"/>
    </row>
    <row r="1598">
      <c r="A1598" s="22"/>
      <c r="B1598" s="23" t="s">
        <v>2566</v>
      </c>
      <c r="C1598" s="24"/>
      <c r="D1598" s="25">
        <v>899.0</v>
      </c>
      <c r="E1598" s="16">
        <f t="shared" si="1"/>
        <v>62.031</v>
      </c>
      <c r="F1598" s="16">
        <f t="shared" si="59"/>
        <v>19.3285</v>
      </c>
      <c r="G1598" s="26">
        <v>383.99</v>
      </c>
      <c r="H1598" s="27">
        <v>0.16</v>
      </c>
      <c r="I1598" s="28">
        <f t="shared" si="81"/>
        <v>143.84</v>
      </c>
      <c r="J1598" s="25">
        <v>122.0</v>
      </c>
      <c r="K1598" s="16">
        <f t="shared" si="82"/>
        <v>167.8105</v>
      </c>
      <c r="L1598" s="19">
        <f t="shared" si="83"/>
        <v>0.4370178911</v>
      </c>
      <c r="M1598" s="16">
        <f t="shared" si="6"/>
        <v>551.8005</v>
      </c>
      <c r="N1598" s="24"/>
    </row>
    <row r="1599">
      <c r="A1599" s="22"/>
      <c r="B1599" s="23" t="s">
        <v>2567</v>
      </c>
      <c r="C1599" s="24"/>
      <c r="D1599" s="25">
        <v>519.0</v>
      </c>
      <c r="E1599" s="16">
        <f t="shared" si="1"/>
        <v>35.811</v>
      </c>
      <c r="F1599" s="16">
        <f t="shared" si="59"/>
        <v>11.1585</v>
      </c>
      <c r="G1599" s="26">
        <v>231.6</v>
      </c>
      <c r="H1599" s="27">
        <v>0.16</v>
      </c>
      <c r="I1599" s="28">
        <f t="shared" si="81"/>
        <v>83.04</v>
      </c>
      <c r="J1599" s="25">
        <v>103.0</v>
      </c>
      <c r="K1599" s="16">
        <f t="shared" si="82"/>
        <v>54.3905</v>
      </c>
      <c r="L1599" s="19">
        <f t="shared" si="83"/>
        <v>0.2348467185</v>
      </c>
      <c r="M1599" s="16">
        <f t="shared" si="6"/>
        <v>285.9905</v>
      </c>
      <c r="N1599" s="24"/>
    </row>
    <row r="1600">
      <c r="A1600" s="22"/>
      <c r="B1600" s="23" t="s">
        <v>2568</v>
      </c>
      <c r="C1600" s="24"/>
      <c r="D1600" s="25">
        <v>399.0</v>
      </c>
      <c r="E1600" s="16">
        <f t="shared" si="1"/>
        <v>27.531</v>
      </c>
      <c r="F1600" s="16">
        <f t="shared" si="59"/>
        <v>8.5785</v>
      </c>
      <c r="G1600" s="26">
        <v>118.8</v>
      </c>
      <c r="H1600" s="27">
        <v>0.16</v>
      </c>
      <c r="I1600" s="28">
        <f t="shared" si="81"/>
        <v>63.84</v>
      </c>
      <c r="J1600" s="25">
        <v>84.0</v>
      </c>
      <c r="K1600" s="16">
        <f t="shared" si="82"/>
        <v>96.2505</v>
      </c>
      <c r="L1600" s="19">
        <f t="shared" si="83"/>
        <v>0.8101893939</v>
      </c>
      <c r="M1600" s="16">
        <f t="shared" si="6"/>
        <v>215.0505</v>
      </c>
      <c r="N1600" s="24"/>
    </row>
    <row r="1601">
      <c r="A1601" s="22"/>
      <c r="B1601" s="23" t="s">
        <v>2569</v>
      </c>
      <c r="C1601" s="24"/>
      <c r="D1601" s="25">
        <v>799.0</v>
      </c>
      <c r="E1601" s="16">
        <f t="shared" si="1"/>
        <v>55.131</v>
      </c>
      <c r="F1601" s="16">
        <f t="shared" si="59"/>
        <v>17.1785</v>
      </c>
      <c r="G1601" s="26">
        <v>348.21</v>
      </c>
      <c r="H1601" s="27">
        <v>0.16</v>
      </c>
      <c r="I1601" s="28">
        <f t="shared" si="81"/>
        <v>127.84</v>
      </c>
      <c r="J1601" s="25">
        <v>84.0</v>
      </c>
      <c r="K1601" s="16">
        <f t="shared" si="82"/>
        <v>166.6405</v>
      </c>
      <c r="L1601" s="19">
        <f t="shared" si="83"/>
        <v>0.4785632233</v>
      </c>
      <c r="M1601" s="16">
        <f t="shared" si="6"/>
        <v>514.8505</v>
      </c>
      <c r="N1601" s="24"/>
    </row>
    <row r="1602">
      <c r="A1602" s="22"/>
      <c r="B1602" s="23" t="s">
        <v>2570</v>
      </c>
      <c r="C1602" s="24"/>
      <c r="D1602" s="25">
        <v>799.0</v>
      </c>
      <c r="E1602" s="16">
        <f t="shared" si="1"/>
        <v>55.131</v>
      </c>
      <c r="F1602" s="16">
        <f t="shared" si="59"/>
        <v>17.1785</v>
      </c>
      <c r="G1602" s="26">
        <v>399.83</v>
      </c>
      <c r="H1602" s="27">
        <v>0.16</v>
      </c>
      <c r="I1602" s="28">
        <f t="shared" si="81"/>
        <v>127.84</v>
      </c>
      <c r="J1602" s="25">
        <v>110.0</v>
      </c>
      <c r="K1602" s="16">
        <f t="shared" si="82"/>
        <v>89.0205</v>
      </c>
      <c r="L1602" s="19">
        <f t="shared" si="83"/>
        <v>0.2226458745</v>
      </c>
      <c r="M1602" s="16">
        <f t="shared" si="6"/>
        <v>488.8505</v>
      </c>
      <c r="N1602" s="24"/>
    </row>
    <row r="1603">
      <c r="A1603" s="22"/>
      <c r="B1603" s="23" t="s">
        <v>2571</v>
      </c>
      <c r="C1603" s="24"/>
      <c r="D1603" s="25">
        <v>159.0</v>
      </c>
      <c r="E1603" s="16">
        <f t="shared" si="1"/>
        <v>10.971</v>
      </c>
      <c r="F1603" s="16">
        <f t="shared" si="59"/>
        <v>3.4185</v>
      </c>
      <c r="G1603" s="26">
        <v>52.71</v>
      </c>
      <c r="H1603" s="27">
        <v>0.16</v>
      </c>
      <c r="I1603" s="28">
        <f t="shared" si="81"/>
        <v>25.44</v>
      </c>
      <c r="J1603" s="25">
        <v>39.0</v>
      </c>
      <c r="K1603" s="16">
        <f t="shared" si="82"/>
        <v>27.4605</v>
      </c>
      <c r="L1603" s="19">
        <f t="shared" si="83"/>
        <v>0.5209732499</v>
      </c>
      <c r="M1603" s="16">
        <f t="shared" si="6"/>
        <v>80.1705</v>
      </c>
      <c r="N1603" s="24"/>
    </row>
    <row r="1604">
      <c r="A1604" s="22"/>
      <c r="B1604" s="23" t="s">
        <v>2572</v>
      </c>
      <c r="C1604" s="24"/>
      <c r="D1604" s="25">
        <v>3399.0</v>
      </c>
      <c r="E1604" s="16">
        <f t="shared" si="1"/>
        <v>234.531</v>
      </c>
      <c r="F1604" s="16">
        <f t="shared" si="59"/>
        <v>73.0785</v>
      </c>
      <c r="G1604" s="26">
        <v>2350.0</v>
      </c>
      <c r="H1604" s="27">
        <v>0.1</v>
      </c>
      <c r="I1604" s="28">
        <f t="shared" si="81"/>
        <v>339.9</v>
      </c>
      <c r="J1604" s="25">
        <v>139.0</v>
      </c>
      <c r="K1604" s="16">
        <f t="shared" si="82"/>
        <v>262.4905</v>
      </c>
      <c r="L1604" s="19">
        <f t="shared" si="83"/>
        <v>0.1116980851</v>
      </c>
      <c r="M1604" s="16">
        <f t="shared" si="6"/>
        <v>2612.4905</v>
      </c>
      <c r="N1604" s="24"/>
    </row>
    <row r="1605">
      <c r="A1605" s="22"/>
      <c r="B1605" s="23" t="s">
        <v>2573</v>
      </c>
      <c r="C1605" s="24"/>
      <c r="D1605" s="25">
        <v>3399.0</v>
      </c>
      <c r="E1605" s="16">
        <f t="shared" si="1"/>
        <v>234.531</v>
      </c>
      <c r="F1605" s="16">
        <f t="shared" si="59"/>
        <v>73.0785</v>
      </c>
      <c r="G1605" s="26">
        <v>229.68</v>
      </c>
      <c r="H1605" s="27">
        <v>0.1</v>
      </c>
      <c r="I1605" s="28">
        <f t="shared" si="81"/>
        <v>339.9</v>
      </c>
      <c r="J1605" s="25">
        <v>139.0</v>
      </c>
      <c r="K1605" s="16">
        <f t="shared" si="82"/>
        <v>2382.8105</v>
      </c>
      <c r="L1605" s="19">
        <f t="shared" si="83"/>
        <v>10.37447971</v>
      </c>
      <c r="M1605" s="16">
        <f t="shared" si="6"/>
        <v>2612.4905</v>
      </c>
      <c r="N1605" s="24"/>
    </row>
    <row r="1606">
      <c r="A1606" s="22"/>
      <c r="B1606" s="23" t="s">
        <v>2574</v>
      </c>
      <c r="C1606" s="24"/>
      <c r="D1606" s="25">
        <v>716.0</v>
      </c>
      <c r="E1606" s="16">
        <f t="shared" si="1"/>
        <v>49.404</v>
      </c>
      <c r="F1606" s="16">
        <f t="shared" si="59"/>
        <v>15.394</v>
      </c>
      <c r="G1606" s="26">
        <v>477.57</v>
      </c>
      <c r="H1606" s="27">
        <v>0.1</v>
      </c>
      <c r="I1606" s="28">
        <f t="shared" si="81"/>
        <v>71.6</v>
      </c>
      <c r="J1606" s="25">
        <v>65.0</v>
      </c>
      <c r="K1606" s="16">
        <f t="shared" si="82"/>
        <v>37.032</v>
      </c>
      <c r="L1606" s="19">
        <f t="shared" si="83"/>
        <v>0.07754255921</v>
      </c>
      <c r="M1606" s="16">
        <f t="shared" si="6"/>
        <v>514.602</v>
      </c>
      <c r="N1606" s="24"/>
    </row>
    <row r="1607">
      <c r="A1607" s="22"/>
      <c r="B1607" s="23" t="s">
        <v>2575</v>
      </c>
      <c r="C1607" s="24"/>
      <c r="D1607" s="25">
        <v>716.0</v>
      </c>
      <c r="E1607" s="16">
        <f t="shared" si="1"/>
        <v>49.404</v>
      </c>
      <c r="F1607" s="16">
        <f t="shared" si="59"/>
        <v>15.394</v>
      </c>
      <c r="G1607" s="26">
        <v>477.57</v>
      </c>
      <c r="H1607" s="27">
        <v>0.1</v>
      </c>
      <c r="I1607" s="28">
        <f t="shared" si="81"/>
        <v>71.6</v>
      </c>
      <c r="J1607" s="25">
        <v>65.0</v>
      </c>
      <c r="K1607" s="16">
        <f t="shared" si="82"/>
        <v>37.032</v>
      </c>
      <c r="L1607" s="19">
        <f t="shared" si="83"/>
        <v>0.07754255921</v>
      </c>
      <c r="M1607" s="16">
        <f t="shared" si="6"/>
        <v>514.602</v>
      </c>
      <c r="N1607" s="24"/>
    </row>
    <row r="1608">
      <c r="A1608" s="22"/>
      <c r="B1608" s="23" t="s">
        <v>2576</v>
      </c>
      <c r="C1608" s="24"/>
      <c r="D1608" s="25">
        <v>13888.0</v>
      </c>
      <c r="E1608" s="16">
        <f t="shared" si="1"/>
        <v>958.272</v>
      </c>
      <c r="F1608" s="16">
        <f t="shared" si="59"/>
        <v>298.592</v>
      </c>
      <c r="G1608" s="26">
        <v>10289.45</v>
      </c>
      <c r="H1608" s="27">
        <v>0.1</v>
      </c>
      <c r="I1608" s="28">
        <f t="shared" si="81"/>
        <v>1388.8</v>
      </c>
      <c r="J1608" s="25">
        <v>222.0</v>
      </c>
      <c r="K1608" s="16">
        <f t="shared" si="82"/>
        <v>730.886</v>
      </c>
      <c r="L1608" s="19">
        <f t="shared" si="83"/>
        <v>0.07103256248</v>
      </c>
      <c r="M1608" s="16">
        <f t="shared" si="6"/>
        <v>11020.336</v>
      </c>
      <c r="N1608" s="24"/>
    </row>
    <row r="1609">
      <c r="A1609" s="22"/>
      <c r="B1609" s="23" t="s">
        <v>2577</v>
      </c>
      <c r="C1609" s="24"/>
      <c r="D1609" s="25">
        <v>1099.0</v>
      </c>
      <c r="E1609" s="16">
        <f t="shared" si="1"/>
        <v>75.831</v>
      </c>
      <c r="F1609" s="16">
        <f t="shared" si="59"/>
        <v>23.6285</v>
      </c>
      <c r="G1609" s="26">
        <v>587.43</v>
      </c>
      <c r="H1609" s="27">
        <v>0.1</v>
      </c>
      <c r="I1609" s="28">
        <f t="shared" si="81"/>
        <v>109.9</v>
      </c>
      <c r="J1609" s="25">
        <v>222.0</v>
      </c>
      <c r="K1609" s="16">
        <f t="shared" si="82"/>
        <v>80.2105</v>
      </c>
      <c r="L1609" s="19">
        <f t="shared" si="83"/>
        <v>0.1365447798</v>
      </c>
      <c r="M1609" s="16">
        <f t="shared" si="6"/>
        <v>667.6405</v>
      </c>
      <c r="N1609" s="24"/>
    </row>
    <row r="1610">
      <c r="A1610" s="22"/>
      <c r="B1610" s="23" t="s">
        <v>2578</v>
      </c>
      <c r="C1610" s="24"/>
      <c r="D1610" s="25">
        <v>925.0</v>
      </c>
      <c r="E1610" s="16">
        <f t="shared" si="1"/>
        <v>63.825</v>
      </c>
      <c r="F1610" s="16">
        <f t="shared" si="59"/>
        <v>19.8875</v>
      </c>
      <c r="G1610" s="26">
        <v>587.43</v>
      </c>
      <c r="H1610" s="27">
        <v>0.1</v>
      </c>
      <c r="I1610" s="28">
        <f t="shared" si="81"/>
        <v>92.5</v>
      </c>
      <c r="J1610" s="25">
        <v>70.0</v>
      </c>
      <c r="K1610" s="16">
        <f t="shared" si="82"/>
        <v>91.3575</v>
      </c>
      <c r="L1610" s="19">
        <f t="shared" si="83"/>
        <v>0.1555206578</v>
      </c>
      <c r="M1610" s="16">
        <f t="shared" si="6"/>
        <v>678.7875</v>
      </c>
      <c r="N1610" s="24"/>
    </row>
    <row r="1611">
      <c r="A1611" s="22"/>
      <c r="B1611" s="23" t="s">
        <v>2579</v>
      </c>
      <c r="C1611" s="24"/>
      <c r="D1611" s="25">
        <v>379.0</v>
      </c>
      <c r="E1611" s="16">
        <f t="shared" si="1"/>
        <v>26.151</v>
      </c>
      <c r="F1611" s="16">
        <f t="shared" si="59"/>
        <v>8.1485</v>
      </c>
      <c r="G1611" s="26">
        <v>118.8</v>
      </c>
      <c r="H1611" s="27">
        <v>0.15</v>
      </c>
      <c r="I1611" s="28">
        <f t="shared" si="81"/>
        <v>56.85</v>
      </c>
      <c r="J1611" s="25">
        <v>67.0</v>
      </c>
      <c r="K1611" s="16">
        <f t="shared" si="82"/>
        <v>102.0505</v>
      </c>
      <c r="L1611" s="19">
        <f t="shared" si="83"/>
        <v>0.8590109428</v>
      </c>
      <c r="M1611" s="16">
        <f t="shared" si="6"/>
        <v>220.8505</v>
      </c>
      <c r="N1611" s="24"/>
    </row>
    <row r="1612">
      <c r="A1612" s="22"/>
      <c r="B1612" s="23" t="s">
        <v>2580</v>
      </c>
      <c r="C1612" s="24"/>
      <c r="D1612" s="25">
        <v>4799.0</v>
      </c>
      <c r="E1612" s="16">
        <f t="shared" si="1"/>
        <v>331.131</v>
      </c>
      <c r="F1612" s="16">
        <f t="shared" si="59"/>
        <v>103.1785</v>
      </c>
      <c r="G1612" s="26">
        <v>3418.42</v>
      </c>
      <c r="H1612" s="27">
        <v>0.15</v>
      </c>
      <c r="I1612" s="28">
        <f t="shared" si="81"/>
        <v>719.85</v>
      </c>
      <c r="J1612" s="25">
        <v>65.0</v>
      </c>
      <c r="K1612" s="16">
        <f t="shared" si="82"/>
        <v>161.4205</v>
      </c>
      <c r="L1612" s="19">
        <f t="shared" si="83"/>
        <v>0.04722079206</v>
      </c>
      <c r="M1612" s="16">
        <f t="shared" si="6"/>
        <v>3579.8405</v>
      </c>
      <c r="N1612" s="24"/>
    </row>
    <row r="1613">
      <c r="A1613" s="22"/>
      <c r="B1613" s="22"/>
      <c r="C1613" s="24"/>
      <c r="D1613" s="24"/>
      <c r="E1613" s="16">
        <f t="shared" si="1"/>
        <v>0</v>
      </c>
      <c r="F1613" s="16">
        <f t="shared" si="59"/>
        <v>0</v>
      </c>
      <c r="G1613" s="35"/>
      <c r="H1613" s="43"/>
      <c r="I1613" s="28"/>
      <c r="J1613" s="24"/>
      <c r="K1613" s="24"/>
      <c r="L1613" s="43"/>
      <c r="M1613" s="16">
        <f t="shared" si="6"/>
        <v>0</v>
      </c>
      <c r="N1613" s="24"/>
    </row>
    <row r="1614">
      <c r="A1614" s="22"/>
      <c r="B1614" s="65" t="s">
        <v>2581</v>
      </c>
      <c r="C1614" s="24"/>
      <c r="D1614" s="24"/>
      <c r="E1614" s="16">
        <f t="shared" si="1"/>
        <v>0</v>
      </c>
      <c r="F1614" s="16">
        <f t="shared" si="59"/>
        <v>0</v>
      </c>
      <c r="G1614" s="66">
        <v>882.1889521106126</v>
      </c>
      <c r="H1614" s="43"/>
      <c r="I1614" s="28"/>
      <c r="J1614" s="24"/>
      <c r="K1614" s="24"/>
      <c r="L1614" s="43"/>
      <c r="M1614" s="16">
        <f t="shared" si="6"/>
        <v>0</v>
      </c>
      <c r="N1614" s="24"/>
    </row>
    <row r="1615">
      <c r="A1615" s="22"/>
      <c r="B1615" s="65"/>
      <c r="C1615" s="24"/>
      <c r="D1615" s="24"/>
      <c r="E1615" s="16">
        <f t="shared" si="1"/>
        <v>0</v>
      </c>
      <c r="F1615" s="16">
        <f t="shared" si="59"/>
        <v>0</v>
      </c>
      <c r="G1615" s="35"/>
      <c r="H1615" s="43"/>
      <c r="I1615" s="28"/>
      <c r="J1615" s="24"/>
      <c r="K1615" s="24"/>
      <c r="L1615" s="43"/>
      <c r="M1615" s="16">
        <f t="shared" si="6"/>
        <v>0</v>
      </c>
      <c r="N1615" s="24"/>
    </row>
    <row r="1616">
      <c r="A1616" s="22"/>
      <c r="B1616" s="65" t="s">
        <v>2582</v>
      </c>
      <c r="C1616" s="24"/>
      <c r="D1616" s="24"/>
      <c r="E1616" s="16">
        <f t="shared" si="1"/>
        <v>0</v>
      </c>
      <c r="F1616" s="16">
        <f t="shared" si="59"/>
        <v>0</v>
      </c>
      <c r="G1616" s="26">
        <v>127.0</v>
      </c>
      <c r="H1616" s="43"/>
      <c r="I1616" s="28"/>
      <c r="J1616" s="24"/>
      <c r="K1616" s="24"/>
      <c r="L1616" s="43"/>
      <c r="M1616" s="16">
        <f t="shared" si="6"/>
        <v>0</v>
      </c>
      <c r="N1616" s="24"/>
    </row>
    <row r="1617">
      <c r="A1617" s="22"/>
      <c r="B1617" s="65" t="s">
        <v>2583</v>
      </c>
      <c r="C1617" s="24"/>
      <c r="D1617" s="24"/>
      <c r="E1617" s="16">
        <f t="shared" si="1"/>
        <v>0</v>
      </c>
      <c r="F1617" s="16">
        <f t="shared" si="59"/>
        <v>0</v>
      </c>
      <c r="G1617" s="26">
        <v>690.0</v>
      </c>
      <c r="H1617" s="43"/>
      <c r="I1617" s="28"/>
      <c r="J1617" s="24"/>
      <c r="K1617" s="24"/>
      <c r="L1617" s="43"/>
      <c r="M1617" s="16">
        <f t="shared" si="6"/>
        <v>0</v>
      </c>
      <c r="N1617" s="24"/>
    </row>
    <row r="1618">
      <c r="A1618" s="22"/>
      <c r="B1618" s="65" t="s">
        <v>2584</v>
      </c>
      <c r="C1618" s="24"/>
      <c r="D1618" s="24"/>
      <c r="E1618" s="16">
        <f t="shared" si="1"/>
        <v>0</v>
      </c>
      <c r="F1618" s="16">
        <f t="shared" si="59"/>
        <v>0</v>
      </c>
      <c r="G1618" s="67">
        <v>1439.99</v>
      </c>
      <c r="H1618" s="43"/>
      <c r="I1618" s="28"/>
      <c r="J1618" s="24"/>
      <c r="K1618" s="24"/>
      <c r="L1618" s="43"/>
      <c r="M1618" s="16">
        <f t="shared" si="6"/>
        <v>0</v>
      </c>
      <c r="N1618" s="24"/>
    </row>
    <row r="1619">
      <c r="A1619" s="22"/>
      <c r="B1619" s="65" t="s">
        <v>2585</v>
      </c>
      <c r="C1619" s="24"/>
      <c r="D1619" s="24"/>
      <c r="E1619" s="16">
        <f t="shared" si="1"/>
        <v>0</v>
      </c>
      <c r="F1619" s="16">
        <f t="shared" si="59"/>
        <v>0</v>
      </c>
      <c r="G1619" s="66">
        <v>6220.0</v>
      </c>
      <c r="H1619" s="43"/>
      <c r="I1619" s="28"/>
      <c r="J1619" s="24"/>
      <c r="K1619" s="24"/>
      <c r="L1619" s="43"/>
      <c r="M1619" s="16">
        <f t="shared" si="6"/>
        <v>0</v>
      </c>
      <c r="N1619" s="24"/>
    </row>
    <row r="1620">
      <c r="A1620" s="22"/>
      <c r="B1620" s="65" t="s">
        <v>2586</v>
      </c>
      <c r="C1620" s="24"/>
      <c r="D1620" s="24"/>
      <c r="E1620" s="16">
        <f t="shared" si="1"/>
        <v>0</v>
      </c>
      <c r="F1620" s="16">
        <f t="shared" si="59"/>
        <v>0</v>
      </c>
      <c r="G1620" s="66">
        <v>388.94730215789656</v>
      </c>
      <c r="H1620" s="43"/>
      <c r="I1620" s="28"/>
      <c r="J1620" s="24"/>
      <c r="K1620" s="24"/>
      <c r="L1620" s="43"/>
      <c r="M1620" s="16">
        <f t="shared" si="6"/>
        <v>0</v>
      </c>
      <c r="N1620" s="24"/>
    </row>
    <row r="1621">
      <c r="A1621" s="22"/>
      <c r="B1621" s="65" t="s">
        <v>2587</v>
      </c>
      <c r="C1621" s="24"/>
      <c r="D1621" s="24"/>
      <c r="E1621" s="16">
        <f t="shared" si="1"/>
        <v>0</v>
      </c>
      <c r="F1621" s="16">
        <f t="shared" si="59"/>
        <v>0</v>
      </c>
      <c r="G1621" s="66">
        <v>1021.5246077415871</v>
      </c>
      <c r="H1621" s="43"/>
      <c r="I1621" s="28"/>
      <c r="J1621" s="24"/>
      <c r="K1621" s="24"/>
      <c r="L1621" s="43"/>
      <c r="M1621" s="16">
        <f t="shared" si="6"/>
        <v>0</v>
      </c>
      <c r="N1621" s="24"/>
    </row>
    <row r="1622">
      <c r="A1622" s="22"/>
      <c r="B1622" s="65" t="s">
        <v>2588</v>
      </c>
      <c r="C1622" s="24"/>
      <c r="D1622" s="24"/>
      <c r="E1622" s="16">
        <f t="shared" si="1"/>
        <v>0</v>
      </c>
      <c r="F1622" s="16">
        <f t="shared" si="59"/>
        <v>0</v>
      </c>
      <c r="G1622" s="68">
        <v>250.0</v>
      </c>
      <c r="H1622" s="43"/>
      <c r="I1622" s="28"/>
      <c r="J1622" s="24"/>
      <c r="K1622" s="24"/>
      <c r="L1622" s="43"/>
      <c r="M1622" s="16">
        <f t="shared" si="6"/>
        <v>0</v>
      </c>
      <c r="N1622" s="24"/>
    </row>
    <row r="1623">
      <c r="A1623" s="22"/>
      <c r="B1623" s="65" t="s">
        <v>2589</v>
      </c>
      <c r="C1623" s="24"/>
      <c r="D1623" s="24"/>
      <c r="E1623" s="16">
        <f t="shared" si="1"/>
        <v>0</v>
      </c>
      <c r="F1623" s="16">
        <f t="shared" si="59"/>
        <v>0</v>
      </c>
      <c r="G1623" s="68">
        <v>2967.2</v>
      </c>
      <c r="H1623" s="43"/>
      <c r="I1623" s="28"/>
      <c r="J1623" s="24"/>
      <c r="K1623" s="24"/>
      <c r="L1623" s="43"/>
      <c r="M1623" s="16">
        <f t="shared" si="6"/>
        <v>0</v>
      </c>
      <c r="N1623" s="24"/>
    </row>
    <row r="1624">
      <c r="A1624" s="22"/>
      <c r="B1624" s="65" t="s">
        <v>2236</v>
      </c>
      <c r="C1624" s="24"/>
      <c r="D1624" s="24"/>
      <c r="E1624" s="16">
        <f t="shared" si="1"/>
        <v>0</v>
      </c>
      <c r="F1624" s="16">
        <f t="shared" si="59"/>
        <v>0</v>
      </c>
      <c r="G1624" s="68">
        <v>200.0</v>
      </c>
      <c r="H1624" s="43"/>
      <c r="I1624" s="28"/>
      <c r="J1624" s="24"/>
      <c r="K1624" s="24"/>
      <c r="L1624" s="43"/>
      <c r="M1624" s="16">
        <f t="shared" si="6"/>
        <v>0</v>
      </c>
      <c r="N1624" s="24"/>
    </row>
    <row r="1625">
      <c r="A1625" s="22"/>
      <c r="B1625" s="65" t="s">
        <v>2590</v>
      </c>
      <c r="C1625" s="24"/>
      <c r="D1625" s="24"/>
      <c r="E1625" s="16">
        <f t="shared" si="1"/>
        <v>0</v>
      </c>
      <c r="F1625" s="16">
        <f t="shared" si="59"/>
        <v>0</v>
      </c>
      <c r="G1625" s="66">
        <v>750.8824584393477</v>
      </c>
      <c r="H1625" s="43"/>
      <c r="I1625" s="28"/>
      <c r="J1625" s="24"/>
      <c r="K1625" s="24"/>
      <c r="L1625" s="43"/>
      <c r="M1625" s="16">
        <f t="shared" si="6"/>
        <v>0</v>
      </c>
      <c r="N1625" s="24"/>
    </row>
    <row r="1626">
      <c r="A1626" s="22"/>
      <c r="B1626" s="65" t="s">
        <v>2591</v>
      </c>
      <c r="C1626" s="24"/>
      <c r="D1626" s="24"/>
      <c r="E1626" s="16">
        <f t="shared" si="1"/>
        <v>0</v>
      </c>
      <c r="F1626" s="16">
        <f t="shared" si="59"/>
        <v>0</v>
      </c>
      <c r="G1626" s="68">
        <v>860.0</v>
      </c>
      <c r="H1626" s="43"/>
      <c r="I1626" s="28"/>
      <c r="J1626" s="24"/>
      <c r="K1626" s="24"/>
      <c r="L1626" s="43"/>
      <c r="M1626" s="16">
        <f t="shared" si="6"/>
        <v>0</v>
      </c>
      <c r="N1626" s="24"/>
    </row>
    <row r="1627">
      <c r="A1627" s="22"/>
      <c r="B1627" s="65" t="s">
        <v>2592</v>
      </c>
      <c r="C1627" s="24"/>
      <c r="D1627" s="24"/>
      <c r="E1627" s="16">
        <f t="shared" si="1"/>
        <v>0</v>
      </c>
      <c r="F1627" s="16">
        <f t="shared" si="59"/>
        <v>0</v>
      </c>
      <c r="G1627" s="66">
        <v>1738.687770230698</v>
      </c>
      <c r="H1627" s="43"/>
      <c r="I1627" s="28"/>
      <c r="J1627" s="24"/>
      <c r="K1627" s="24"/>
      <c r="L1627" s="43"/>
      <c r="M1627" s="16">
        <f t="shared" si="6"/>
        <v>0</v>
      </c>
      <c r="N1627" s="24"/>
    </row>
    <row r="1628">
      <c r="A1628" s="22"/>
      <c r="B1628" s="65" t="s">
        <v>2593</v>
      </c>
      <c r="C1628" s="24"/>
      <c r="D1628" s="24"/>
      <c r="E1628" s="16">
        <f t="shared" si="1"/>
        <v>0</v>
      </c>
      <c r="F1628" s="16">
        <f t="shared" si="59"/>
        <v>0</v>
      </c>
      <c r="G1628" s="66">
        <v>1680.4734563316433</v>
      </c>
      <c r="H1628" s="43"/>
      <c r="I1628" s="28"/>
      <c r="J1628" s="24"/>
      <c r="K1628" s="24"/>
      <c r="L1628" s="43"/>
      <c r="M1628" s="16">
        <f t="shared" si="6"/>
        <v>0</v>
      </c>
      <c r="N1628" s="24"/>
    </row>
    <row r="1629">
      <c r="A1629" s="22"/>
      <c r="B1629" s="65" t="s">
        <v>2594</v>
      </c>
      <c r="C1629" s="24"/>
      <c r="D1629" s="24"/>
      <c r="E1629" s="16">
        <f t="shared" si="1"/>
        <v>0</v>
      </c>
      <c r="F1629" s="16">
        <f t="shared" si="59"/>
        <v>0</v>
      </c>
      <c r="G1629" s="66">
        <v>1165.5563585342663</v>
      </c>
      <c r="H1629" s="43"/>
      <c r="I1629" s="28"/>
      <c r="J1629" s="24"/>
      <c r="K1629" s="24"/>
      <c r="L1629" s="43"/>
      <c r="M1629" s="16">
        <f t="shared" si="6"/>
        <v>0</v>
      </c>
      <c r="N1629" s="24"/>
    </row>
    <row r="1630">
      <c r="A1630" s="22"/>
      <c r="B1630" s="65" t="s">
        <v>2595</v>
      </c>
      <c r="C1630" s="24"/>
      <c r="D1630" s="24"/>
      <c r="E1630" s="16">
        <f t="shared" si="1"/>
        <v>0</v>
      </c>
      <c r="F1630" s="16">
        <f t="shared" si="59"/>
        <v>0</v>
      </c>
      <c r="G1630" s="66">
        <v>1165.5563585342663</v>
      </c>
      <c r="H1630" s="43"/>
      <c r="I1630" s="28"/>
      <c r="J1630" s="24"/>
      <c r="K1630" s="24"/>
      <c r="L1630" s="43"/>
      <c r="M1630" s="16">
        <f t="shared" si="6"/>
        <v>0</v>
      </c>
      <c r="N1630" s="24"/>
    </row>
    <row r="1631">
      <c r="A1631" s="22"/>
      <c r="B1631" s="65" t="s">
        <v>2596</v>
      </c>
      <c r="C1631" s="24"/>
      <c r="D1631" s="24"/>
      <c r="E1631" s="16">
        <f t="shared" si="1"/>
        <v>0</v>
      </c>
      <c r="F1631" s="16">
        <f t="shared" si="59"/>
        <v>0</v>
      </c>
      <c r="G1631" s="66">
        <v>951.7330429426332</v>
      </c>
      <c r="H1631" s="43"/>
      <c r="I1631" s="28"/>
      <c r="J1631" s="24"/>
      <c r="K1631" s="24"/>
      <c r="L1631" s="43"/>
      <c r="M1631" s="16">
        <f t="shared" si="6"/>
        <v>0</v>
      </c>
      <c r="N1631" s="24"/>
    </row>
    <row r="1632">
      <c r="A1632" s="22"/>
      <c r="B1632" s="65" t="s">
        <v>2597</v>
      </c>
      <c r="C1632" s="24"/>
      <c r="D1632" s="24"/>
      <c r="E1632" s="16">
        <f t="shared" si="1"/>
        <v>0</v>
      </c>
      <c r="F1632" s="16">
        <f t="shared" si="59"/>
        <v>0</v>
      </c>
      <c r="G1632" s="66">
        <v>3868.9944</v>
      </c>
      <c r="H1632" s="43"/>
      <c r="I1632" s="28"/>
      <c r="J1632" s="24"/>
      <c r="K1632" s="24"/>
      <c r="L1632" s="43"/>
      <c r="M1632" s="16">
        <f t="shared" si="6"/>
        <v>0</v>
      </c>
      <c r="N1632" s="24"/>
    </row>
    <row r="1633">
      <c r="A1633" s="22"/>
      <c r="B1633" s="65" t="s">
        <v>2598</v>
      </c>
      <c r="C1633" s="24"/>
      <c r="D1633" s="24"/>
      <c r="E1633" s="16">
        <f t="shared" si="1"/>
        <v>0</v>
      </c>
      <c r="F1633" s="16">
        <f t="shared" si="59"/>
        <v>0</v>
      </c>
      <c r="G1633" s="68">
        <v>2758.0044</v>
      </c>
      <c r="H1633" s="43"/>
      <c r="I1633" s="28"/>
      <c r="J1633" s="24"/>
      <c r="K1633" s="24"/>
      <c r="L1633" s="43"/>
      <c r="M1633" s="16">
        <f t="shared" si="6"/>
        <v>0</v>
      </c>
      <c r="N1633" s="24"/>
    </row>
    <row r="1634">
      <c r="A1634" s="22"/>
      <c r="B1634" s="65" t="s">
        <v>2599</v>
      </c>
      <c r="C1634" s="24"/>
      <c r="D1634" s="24"/>
      <c r="E1634" s="16">
        <f t="shared" si="1"/>
        <v>0</v>
      </c>
      <c r="F1634" s="16">
        <f t="shared" si="59"/>
        <v>0</v>
      </c>
      <c r="G1634" s="66">
        <v>3206.971092112838</v>
      </c>
      <c r="H1634" s="43"/>
      <c r="I1634" s="28"/>
      <c r="J1634" s="24"/>
      <c r="K1634" s="24"/>
      <c r="L1634" s="43"/>
      <c r="M1634" s="16">
        <f t="shared" si="6"/>
        <v>0</v>
      </c>
      <c r="N1634" s="24"/>
    </row>
    <row r="1635">
      <c r="A1635" s="22"/>
      <c r="B1635" s="65" t="s">
        <v>2600</v>
      </c>
      <c r="C1635" s="24"/>
      <c r="D1635" s="24"/>
      <c r="E1635" s="16">
        <f t="shared" si="1"/>
        <v>0</v>
      </c>
      <c r="F1635" s="16">
        <f t="shared" si="59"/>
        <v>0</v>
      </c>
      <c r="G1635" s="66">
        <v>437.55400000000003</v>
      </c>
      <c r="H1635" s="43"/>
      <c r="I1635" s="28"/>
      <c r="J1635" s="24"/>
      <c r="K1635" s="24"/>
      <c r="L1635" s="43"/>
      <c r="M1635" s="16">
        <f t="shared" si="6"/>
        <v>0</v>
      </c>
      <c r="N1635" s="24"/>
    </row>
    <row r="1636">
      <c r="A1636" s="22"/>
      <c r="B1636" s="65" t="s">
        <v>2601</v>
      </c>
      <c r="C1636" s="24"/>
      <c r="D1636" s="24"/>
      <c r="E1636" s="16">
        <f t="shared" si="1"/>
        <v>0</v>
      </c>
      <c r="F1636" s="16">
        <f t="shared" si="59"/>
        <v>0</v>
      </c>
      <c r="G1636" s="68">
        <v>150.0</v>
      </c>
      <c r="H1636" s="43"/>
      <c r="I1636" s="28"/>
      <c r="J1636" s="24"/>
      <c r="K1636" s="24"/>
      <c r="L1636" s="43"/>
      <c r="M1636" s="16">
        <f t="shared" si="6"/>
        <v>0</v>
      </c>
      <c r="N1636" s="24"/>
    </row>
    <row r="1637">
      <c r="A1637" s="22"/>
      <c r="B1637" s="65" t="s">
        <v>2602</v>
      </c>
      <c r="C1637" s="24"/>
      <c r="D1637" s="24"/>
      <c r="E1637" s="16">
        <f t="shared" si="1"/>
        <v>0</v>
      </c>
      <c r="F1637" s="16">
        <f t="shared" si="59"/>
        <v>0</v>
      </c>
      <c r="G1637" s="66">
        <v>2654.841326708992</v>
      </c>
      <c r="H1637" s="43"/>
      <c r="I1637" s="28"/>
      <c r="J1637" s="24"/>
      <c r="K1637" s="24"/>
      <c r="L1637" s="43"/>
      <c r="M1637" s="16">
        <f t="shared" si="6"/>
        <v>0</v>
      </c>
      <c r="N1637" s="24"/>
    </row>
    <row r="1638">
      <c r="A1638" s="22"/>
      <c r="B1638" s="65" t="s">
        <v>2603</v>
      </c>
      <c r="C1638" s="24"/>
      <c r="D1638" s="24"/>
      <c r="E1638" s="16">
        <f t="shared" si="1"/>
        <v>0</v>
      </c>
      <c r="F1638" s="16">
        <f t="shared" si="59"/>
        <v>0</v>
      </c>
      <c r="G1638" s="66">
        <v>3158.240085965735</v>
      </c>
      <c r="H1638" s="43"/>
      <c r="I1638" s="28"/>
      <c r="J1638" s="24"/>
      <c r="K1638" s="24"/>
      <c r="L1638" s="43"/>
      <c r="M1638" s="16">
        <f t="shared" si="6"/>
        <v>0</v>
      </c>
      <c r="N1638" s="24"/>
    </row>
    <row r="1639">
      <c r="A1639" s="22"/>
      <c r="B1639" s="65" t="s">
        <v>2604</v>
      </c>
      <c r="C1639" s="24"/>
      <c r="D1639" s="24"/>
      <c r="E1639" s="16">
        <f t="shared" si="1"/>
        <v>0</v>
      </c>
      <c r="F1639" s="16">
        <f t="shared" si="59"/>
        <v>0</v>
      </c>
      <c r="G1639" s="66">
        <v>1622.9584331363008</v>
      </c>
      <c r="H1639" s="43"/>
      <c r="I1639" s="28"/>
      <c r="J1639" s="24"/>
      <c r="K1639" s="24"/>
      <c r="L1639" s="43"/>
      <c r="M1639" s="16">
        <f t="shared" si="6"/>
        <v>0</v>
      </c>
      <c r="N1639" s="24"/>
    </row>
    <row r="1640">
      <c r="A1640" s="22"/>
      <c r="B1640" s="65" t="s">
        <v>2605</v>
      </c>
      <c r="C1640" s="24"/>
      <c r="D1640" s="24"/>
      <c r="E1640" s="16">
        <f t="shared" si="1"/>
        <v>0</v>
      </c>
      <c r="F1640" s="16">
        <f t="shared" si="59"/>
        <v>0</v>
      </c>
      <c r="G1640" s="68">
        <v>1680.0</v>
      </c>
      <c r="H1640" s="43"/>
      <c r="I1640" s="28"/>
      <c r="J1640" s="24"/>
      <c r="K1640" s="24"/>
      <c r="L1640" s="43"/>
      <c r="M1640" s="16">
        <f t="shared" si="6"/>
        <v>0</v>
      </c>
      <c r="N1640" s="24"/>
    </row>
    <row r="1641">
      <c r="A1641" s="22"/>
      <c r="B1641" s="65" t="s">
        <v>2606</v>
      </c>
      <c r="C1641" s="24"/>
      <c r="D1641" s="24"/>
      <c r="E1641" s="16">
        <f t="shared" si="1"/>
        <v>0</v>
      </c>
      <c r="F1641" s="16">
        <f t="shared" si="59"/>
        <v>0</v>
      </c>
      <c r="G1641" s="66">
        <v>218.5746436285097</v>
      </c>
      <c r="H1641" s="43"/>
      <c r="I1641" s="28"/>
      <c r="J1641" s="24"/>
      <c r="K1641" s="24"/>
      <c r="L1641" s="43"/>
      <c r="M1641" s="16">
        <f t="shared" si="6"/>
        <v>0</v>
      </c>
      <c r="N1641" s="24"/>
    </row>
    <row r="1642">
      <c r="A1642" s="22"/>
      <c r="B1642" s="65" t="s">
        <v>2607</v>
      </c>
      <c r="C1642" s="24"/>
      <c r="D1642" s="24"/>
      <c r="E1642" s="16">
        <f t="shared" si="1"/>
        <v>0</v>
      </c>
      <c r="F1642" s="16">
        <f t="shared" si="59"/>
        <v>0</v>
      </c>
      <c r="G1642" s="69">
        <v>452.0</v>
      </c>
      <c r="H1642" s="43"/>
      <c r="I1642" s="28"/>
      <c r="J1642" s="24"/>
      <c r="K1642" s="24"/>
      <c r="L1642" s="43"/>
      <c r="M1642" s="16">
        <f t="shared" si="6"/>
        <v>0</v>
      </c>
      <c r="N1642" s="24"/>
    </row>
    <row r="1643">
      <c r="A1643" s="22"/>
      <c r="B1643" s="65" t="s">
        <v>2608</v>
      </c>
      <c r="C1643" s="24"/>
      <c r="D1643" s="24"/>
      <c r="E1643" s="16">
        <f t="shared" si="1"/>
        <v>0</v>
      </c>
      <c r="F1643" s="16">
        <f t="shared" si="59"/>
        <v>0</v>
      </c>
      <c r="G1643" s="66">
        <v>218.5746436285097</v>
      </c>
      <c r="H1643" s="43"/>
      <c r="I1643" s="28"/>
      <c r="J1643" s="24"/>
      <c r="K1643" s="24"/>
      <c r="L1643" s="43"/>
      <c r="M1643" s="16">
        <f t="shared" si="6"/>
        <v>0</v>
      </c>
      <c r="N1643" s="24"/>
    </row>
    <row r="1644">
      <c r="A1644" s="22"/>
      <c r="B1644" s="65" t="s">
        <v>2609</v>
      </c>
      <c r="C1644" s="24"/>
      <c r="D1644" s="24"/>
      <c r="E1644" s="16">
        <f t="shared" si="1"/>
        <v>0</v>
      </c>
      <c r="F1644" s="16">
        <f t="shared" si="59"/>
        <v>0</v>
      </c>
      <c r="G1644" s="66">
        <v>590.3072860215053</v>
      </c>
      <c r="H1644" s="43"/>
      <c r="I1644" s="28"/>
      <c r="J1644" s="24"/>
      <c r="K1644" s="24"/>
      <c r="L1644" s="43"/>
      <c r="M1644" s="16">
        <f t="shared" si="6"/>
        <v>0</v>
      </c>
      <c r="N1644" s="24"/>
    </row>
    <row r="1645">
      <c r="A1645" s="22"/>
      <c r="B1645" s="65" t="s">
        <v>2610</v>
      </c>
      <c r="C1645" s="24"/>
      <c r="D1645" s="24"/>
      <c r="E1645" s="16">
        <f t="shared" si="1"/>
        <v>0</v>
      </c>
      <c r="F1645" s="16">
        <f t="shared" si="59"/>
        <v>0</v>
      </c>
      <c r="G1645" s="66">
        <v>4359.915167736466</v>
      </c>
      <c r="H1645" s="43"/>
      <c r="I1645" s="28"/>
      <c r="J1645" s="24"/>
      <c r="K1645" s="24"/>
      <c r="L1645" s="43"/>
      <c r="M1645" s="16">
        <f t="shared" si="6"/>
        <v>0</v>
      </c>
      <c r="N1645" s="24"/>
    </row>
    <row r="1646">
      <c r="A1646" s="22"/>
      <c r="B1646" s="65" t="s">
        <v>2611</v>
      </c>
      <c r="C1646" s="24"/>
      <c r="D1646" s="24"/>
      <c r="E1646" s="16">
        <f t="shared" si="1"/>
        <v>0</v>
      </c>
      <c r="F1646" s="16">
        <f t="shared" si="59"/>
        <v>0</v>
      </c>
      <c r="G1646" s="66">
        <v>6200.0</v>
      </c>
      <c r="H1646" s="43"/>
      <c r="I1646" s="28"/>
      <c r="J1646" s="24"/>
      <c r="K1646" s="24"/>
      <c r="L1646" s="43"/>
      <c r="M1646" s="16">
        <f t="shared" si="6"/>
        <v>0</v>
      </c>
      <c r="N1646" s="24"/>
    </row>
    <row r="1647">
      <c r="A1647" s="22"/>
      <c r="B1647" s="65" t="s">
        <v>2612</v>
      </c>
      <c r="C1647" s="24"/>
      <c r="D1647" s="24"/>
      <c r="E1647" s="16">
        <f t="shared" si="1"/>
        <v>0</v>
      </c>
      <c r="F1647" s="16">
        <f t="shared" si="59"/>
        <v>0</v>
      </c>
      <c r="G1647" s="66">
        <v>3594.691779310345</v>
      </c>
      <c r="H1647" s="43"/>
      <c r="I1647" s="28"/>
      <c r="J1647" s="24"/>
      <c r="K1647" s="24"/>
      <c r="L1647" s="43"/>
      <c r="M1647" s="16">
        <f t="shared" si="6"/>
        <v>0</v>
      </c>
      <c r="N1647" s="24"/>
    </row>
    <row r="1648">
      <c r="A1648" s="22"/>
      <c r="B1648" s="65" t="s">
        <v>2613</v>
      </c>
      <c r="C1648" s="24"/>
      <c r="D1648" s="24"/>
      <c r="E1648" s="16">
        <f t="shared" si="1"/>
        <v>0</v>
      </c>
      <c r="F1648" s="16">
        <f t="shared" si="59"/>
        <v>0</v>
      </c>
      <c r="G1648" s="66">
        <v>3418.4237839999996</v>
      </c>
      <c r="H1648" s="43"/>
      <c r="I1648" s="28"/>
      <c r="J1648" s="24"/>
      <c r="K1648" s="24"/>
      <c r="L1648" s="43"/>
      <c r="M1648" s="16">
        <f t="shared" si="6"/>
        <v>0</v>
      </c>
      <c r="N1648" s="24"/>
    </row>
    <row r="1649">
      <c r="A1649" s="22"/>
      <c r="B1649" s="65" t="s">
        <v>2614</v>
      </c>
      <c r="C1649" s="24"/>
      <c r="D1649" s="24"/>
      <c r="E1649" s="16">
        <f t="shared" si="1"/>
        <v>0</v>
      </c>
      <c r="F1649" s="16">
        <f t="shared" si="59"/>
        <v>0</v>
      </c>
      <c r="G1649" s="66">
        <v>856.01921083994</v>
      </c>
      <c r="H1649" s="43"/>
      <c r="I1649" s="28"/>
      <c r="J1649" s="24"/>
      <c r="K1649" s="24"/>
      <c r="L1649" s="43"/>
      <c r="M1649" s="16">
        <f t="shared" si="6"/>
        <v>0</v>
      </c>
      <c r="N1649" s="24"/>
    </row>
    <row r="1650">
      <c r="A1650" s="22"/>
      <c r="B1650" s="65" t="s">
        <v>2615</v>
      </c>
      <c r="C1650" s="24"/>
      <c r="D1650" s="24"/>
      <c r="E1650" s="16">
        <f t="shared" si="1"/>
        <v>0</v>
      </c>
      <c r="F1650" s="16">
        <f t="shared" si="59"/>
        <v>0</v>
      </c>
      <c r="G1650" s="66">
        <v>856.01921083994</v>
      </c>
      <c r="H1650" s="43"/>
      <c r="I1650" s="28"/>
      <c r="J1650" s="24"/>
      <c r="K1650" s="24"/>
      <c r="L1650" s="43"/>
      <c r="M1650" s="16">
        <f t="shared" si="6"/>
        <v>0</v>
      </c>
      <c r="N1650" s="24"/>
    </row>
    <row r="1651">
      <c r="A1651" s="22"/>
      <c r="B1651" s="65" t="s">
        <v>2616</v>
      </c>
      <c r="C1651" s="24"/>
      <c r="D1651" s="24"/>
      <c r="E1651" s="16">
        <f t="shared" si="1"/>
        <v>0</v>
      </c>
      <c r="F1651" s="16">
        <f t="shared" si="59"/>
        <v>0</v>
      </c>
      <c r="G1651" s="66">
        <v>383.99077777390687</v>
      </c>
      <c r="H1651" s="43"/>
      <c r="I1651" s="28"/>
      <c r="J1651" s="24"/>
      <c r="K1651" s="24"/>
      <c r="L1651" s="43"/>
      <c r="M1651" s="16">
        <f t="shared" si="6"/>
        <v>0</v>
      </c>
      <c r="N1651" s="24"/>
    </row>
    <row r="1652">
      <c r="A1652" s="22"/>
      <c r="B1652" s="65" t="s">
        <v>2617</v>
      </c>
      <c r="C1652" s="24"/>
      <c r="D1652" s="24"/>
      <c r="E1652" s="16">
        <f t="shared" si="1"/>
        <v>0</v>
      </c>
      <c r="F1652" s="16">
        <f t="shared" si="59"/>
        <v>0</v>
      </c>
      <c r="G1652" s="66">
        <v>348.2135431449013</v>
      </c>
      <c r="H1652" s="43"/>
      <c r="I1652" s="28"/>
      <c r="J1652" s="24"/>
      <c r="K1652" s="24"/>
      <c r="L1652" s="43"/>
      <c r="M1652" s="16">
        <f t="shared" si="6"/>
        <v>0</v>
      </c>
      <c r="N1652" s="24"/>
    </row>
    <row r="1653">
      <c r="A1653" s="22"/>
      <c r="B1653" s="65" t="s">
        <v>2618</v>
      </c>
      <c r="C1653" s="24"/>
      <c r="D1653" s="24"/>
      <c r="E1653" s="16">
        <f t="shared" si="1"/>
        <v>0</v>
      </c>
      <c r="F1653" s="16">
        <f t="shared" si="59"/>
        <v>0</v>
      </c>
      <c r="G1653" s="66">
        <v>10289.44965503247</v>
      </c>
      <c r="H1653" s="43"/>
      <c r="I1653" s="28"/>
      <c r="J1653" s="24"/>
      <c r="K1653" s="24"/>
      <c r="L1653" s="43"/>
      <c r="M1653" s="16">
        <f t="shared" si="6"/>
        <v>0</v>
      </c>
      <c r="N1653" s="24"/>
    </row>
    <row r="1654">
      <c r="A1654" s="22"/>
      <c r="B1654" s="65" t="s">
        <v>2619</v>
      </c>
      <c r="C1654" s="24"/>
      <c r="D1654" s="24"/>
      <c r="E1654" s="16">
        <f t="shared" si="1"/>
        <v>0</v>
      </c>
      <c r="F1654" s="16">
        <f t="shared" si="59"/>
        <v>0</v>
      </c>
      <c r="G1654" s="66">
        <v>587.4271442099567</v>
      </c>
      <c r="H1654" s="43"/>
      <c r="I1654" s="28"/>
      <c r="J1654" s="24"/>
      <c r="K1654" s="24"/>
      <c r="L1654" s="43"/>
      <c r="M1654" s="16">
        <f t="shared" si="6"/>
        <v>0</v>
      </c>
      <c r="N1654" s="24"/>
    </row>
    <row r="1655">
      <c r="A1655" s="22"/>
      <c r="B1655" s="65" t="s">
        <v>2620</v>
      </c>
      <c r="C1655" s="24"/>
      <c r="D1655" s="24"/>
      <c r="E1655" s="16">
        <f t="shared" si="1"/>
        <v>0</v>
      </c>
      <c r="F1655" s="16">
        <f t="shared" si="59"/>
        <v>0</v>
      </c>
      <c r="G1655" s="66">
        <v>1067.790648</v>
      </c>
      <c r="H1655" s="43"/>
      <c r="I1655" s="28"/>
      <c r="J1655" s="24"/>
      <c r="K1655" s="24"/>
      <c r="L1655" s="43"/>
      <c r="M1655" s="28"/>
      <c r="N1655" s="24"/>
    </row>
    <row r="1656">
      <c r="A1656" s="22"/>
      <c r="B1656" s="65" t="s">
        <v>2621</v>
      </c>
      <c r="C1656" s="24"/>
      <c r="D1656" s="24"/>
      <c r="E1656" s="16">
        <f t="shared" si="1"/>
        <v>0</v>
      </c>
      <c r="F1656" s="16">
        <f t="shared" si="59"/>
        <v>0</v>
      </c>
      <c r="G1656" s="66">
        <v>1058.1519740869564</v>
      </c>
      <c r="H1656" s="43"/>
      <c r="I1656" s="28"/>
      <c r="J1656" s="24"/>
      <c r="K1656" s="24"/>
      <c r="L1656" s="43"/>
      <c r="M1656" s="28"/>
      <c r="N1656" s="24"/>
    </row>
    <row r="1657">
      <c r="A1657" s="22"/>
      <c r="B1657" s="65" t="s">
        <v>2622</v>
      </c>
      <c r="C1657" s="24"/>
      <c r="D1657" s="25">
        <v>499.0</v>
      </c>
      <c r="E1657" s="16">
        <f t="shared" si="1"/>
        <v>34.431</v>
      </c>
      <c r="F1657" s="16">
        <f t="shared" si="59"/>
        <v>10.7285</v>
      </c>
      <c r="G1657" s="66">
        <v>229.6843841449898</v>
      </c>
      <c r="H1657" s="27">
        <v>0.15</v>
      </c>
      <c r="I1657" s="28">
        <f>H1657*D1657</f>
        <v>74.85</v>
      </c>
      <c r="J1657" s="25">
        <v>102.0</v>
      </c>
      <c r="K1657" s="16">
        <f>D1657-G1657-I1657-J1657-E1657-F1657</f>
        <v>47.30611586</v>
      </c>
      <c r="L1657" s="19">
        <f>K1657/G1657</f>
        <v>0.2059613936</v>
      </c>
      <c r="M1657" s="16">
        <f>D1657-E1657-F1657-I1657-J1657</f>
        <v>276.9905</v>
      </c>
      <c r="N1657" s="24"/>
    </row>
    <row r="1658">
      <c r="A1658" s="22"/>
      <c r="B1658" s="65" t="s">
        <v>2623</v>
      </c>
      <c r="C1658" s="24"/>
      <c r="D1658" s="24"/>
      <c r="E1658" s="16">
        <f t="shared" si="1"/>
        <v>0</v>
      </c>
      <c r="F1658" s="16">
        <f t="shared" si="59"/>
        <v>0</v>
      </c>
      <c r="G1658" s="66">
        <v>306.7010266288033</v>
      </c>
      <c r="H1658" s="43"/>
      <c r="I1658" s="28"/>
      <c r="J1658" s="24"/>
      <c r="K1658" s="24"/>
      <c r="L1658" s="43"/>
      <c r="M1658" s="28"/>
      <c r="N1658" s="24"/>
    </row>
    <row r="1659">
      <c r="A1659" s="22"/>
      <c r="B1659" s="65" t="s">
        <v>2624</v>
      </c>
      <c r="C1659" s="24"/>
      <c r="D1659" s="24"/>
      <c r="E1659" s="16">
        <f t="shared" si="1"/>
        <v>0</v>
      </c>
      <c r="F1659" s="16">
        <f t="shared" si="59"/>
        <v>0</v>
      </c>
      <c r="G1659" s="66">
        <v>52.7099716289929</v>
      </c>
      <c r="H1659" s="43"/>
      <c r="I1659" s="28"/>
      <c r="J1659" s="24"/>
      <c r="K1659" s="24"/>
      <c r="L1659" s="43"/>
      <c r="M1659" s="28"/>
      <c r="N1659" s="24"/>
    </row>
    <row r="1660">
      <c r="A1660" s="22"/>
      <c r="B1660" s="65" t="s">
        <v>2625</v>
      </c>
      <c r="C1660" s="24"/>
      <c r="D1660" s="24"/>
      <c r="E1660" s="16">
        <f t="shared" si="1"/>
        <v>0</v>
      </c>
      <c r="F1660" s="16">
        <f t="shared" si="59"/>
        <v>0</v>
      </c>
      <c r="G1660" s="66">
        <v>477.5686123633349</v>
      </c>
      <c r="H1660" s="43"/>
      <c r="I1660" s="28"/>
      <c r="J1660" s="24"/>
      <c r="K1660" s="24"/>
      <c r="L1660" s="43"/>
      <c r="M1660" s="28"/>
      <c r="N1660" s="24"/>
    </row>
    <row r="1661">
      <c r="A1661" s="22"/>
      <c r="B1661" s="65" t="s">
        <v>2626</v>
      </c>
      <c r="C1661" s="24"/>
      <c r="D1661" s="24"/>
      <c r="E1661" s="16">
        <f t="shared" si="1"/>
        <v>0</v>
      </c>
      <c r="F1661" s="16">
        <f t="shared" si="59"/>
        <v>0</v>
      </c>
      <c r="G1661" s="66">
        <v>477.5686123633349</v>
      </c>
      <c r="H1661" s="43"/>
      <c r="I1661" s="28"/>
      <c r="J1661" s="24"/>
      <c r="K1661" s="24"/>
      <c r="L1661" s="43"/>
      <c r="M1661" s="28"/>
      <c r="N1661" s="24"/>
    </row>
    <row r="1662">
      <c r="A1662" s="22"/>
      <c r="B1662" s="65" t="s">
        <v>2627</v>
      </c>
      <c r="C1662" s="24"/>
      <c r="D1662" s="25">
        <v>999.0</v>
      </c>
      <c r="E1662" s="16">
        <f t="shared" si="1"/>
        <v>68.931</v>
      </c>
      <c r="F1662" s="16">
        <f t="shared" si="59"/>
        <v>21.4785</v>
      </c>
      <c r="G1662" s="66">
        <v>590.3072860215053</v>
      </c>
      <c r="H1662" s="27">
        <v>0.15</v>
      </c>
      <c r="I1662" s="28">
        <f>H1662*D1662</f>
        <v>149.85</v>
      </c>
      <c r="J1662" s="25">
        <v>70.0</v>
      </c>
      <c r="K1662" s="16">
        <f>D1662-G1662-I1662-J1662-E1662-F1662</f>
        <v>98.43321398</v>
      </c>
      <c r="L1662" s="19">
        <f>K1662/G1662</f>
        <v>0.166749109</v>
      </c>
      <c r="M1662" s="16">
        <f>D1662-E1662-F1662-I1662-J1662</f>
        <v>688.7405</v>
      </c>
      <c r="N1662" s="24"/>
    </row>
    <row r="1663">
      <c r="A1663" s="22"/>
      <c r="B1663" s="65" t="s">
        <v>2628</v>
      </c>
      <c r="C1663" s="24"/>
      <c r="D1663" s="24"/>
      <c r="E1663" s="16">
        <f t="shared" si="1"/>
        <v>0</v>
      </c>
      <c r="F1663" s="16">
        <f t="shared" si="59"/>
        <v>0</v>
      </c>
      <c r="G1663" s="66">
        <v>3179.73055147634</v>
      </c>
      <c r="H1663" s="43"/>
      <c r="I1663" s="28"/>
      <c r="J1663" s="24"/>
      <c r="K1663" s="24"/>
      <c r="L1663" s="43"/>
      <c r="M1663" s="28"/>
      <c r="N1663" s="24"/>
    </row>
    <row r="1664">
      <c r="A1664" s="22"/>
      <c r="B1664" s="65" t="s">
        <v>2629</v>
      </c>
      <c r="C1664" s="24"/>
      <c r="D1664" s="24"/>
      <c r="E1664" s="16">
        <f t="shared" si="1"/>
        <v>0</v>
      </c>
      <c r="F1664" s="16">
        <f t="shared" si="59"/>
        <v>0</v>
      </c>
      <c r="G1664" s="66">
        <v>509.78560000000004</v>
      </c>
      <c r="H1664" s="43"/>
      <c r="I1664" s="28"/>
      <c r="J1664" s="24"/>
      <c r="K1664" s="24"/>
      <c r="L1664" s="43"/>
      <c r="M1664" s="28"/>
      <c r="N1664" s="24"/>
    </row>
    <row r="1665">
      <c r="A1665" s="22"/>
      <c r="B1665" s="65" t="s">
        <v>2630</v>
      </c>
      <c r="C1665" s="24"/>
      <c r="D1665" s="24"/>
      <c r="E1665" s="16">
        <f t="shared" si="1"/>
        <v>0</v>
      </c>
      <c r="F1665" s="16">
        <f t="shared" si="59"/>
        <v>0</v>
      </c>
      <c r="G1665" s="68">
        <v>1102.0</v>
      </c>
      <c r="H1665" s="43"/>
      <c r="I1665" s="28"/>
      <c r="J1665" s="24"/>
      <c r="K1665" s="24"/>
      <c r="L1665" s="43"/>
      <c r="M1665" s="28"/>
      <c r="N1665" s="24"/>
    </row>
    <row r="1666">
      <c r="A1666" s="22"/>
      <c r="B1666" s="65" t="s">
        <v>2631</v>
      </c>
      <c r="C1666" s="24"/>
      <c r="D1666" s="24"/>
      <c r="E1666" s="16">
        <f t="shared" si="1"/>
        <v>0</v>
      </c>
      <c r="F1666" s="16">
        <f t="shared" si="59"/>
        <v>0</v>
      </c>
      <c r="G1666" s="68">
        <v>986.0</v>
      </c>
      <c r="H1666" s="43"/>
      <c r="I1666" s="28"/>
      <c r="J1666" s="24"/>
      <c r="K1666" s="24"/>
      <c r="L1666" s="43"/>
      <c r="M1666" s="28"/>
      <c r="N1666" s="24"/>
    </row>
    <row r="1667">
      <c r="A1667" s="22"/>
      <c r="B1667" s="65" t="s">
        <v>2632</v>
      </c>
      <c r="C1667" s="24"/>
      <c r="D1667" s="24"/>
      <c r="E1667" s="16">
        <f t="shared" si="1"/>
        <v>0</v>
      </c>
      <c r="F1667" s="16">
        <f t="shared" si="59"/>
        <v>0</v>
      </c>
      <c r="G1667" s="68">
        <v>1102.0</v>
      </c>
      <c r="H1667" s="43"/>
      <c r="I1667" s="28"/>
      <c r="J1667" s="24"/>
      <c r="K1667" s="24"/>
      <c r="L1667" s="43"/>
      <c r="M1667" s="28"/>
      <c r="N1667" s="24"/>
    </row>
    <row r="1668">
      <c r="A1668" s="22"/>
      <c r="B1668" s="65" t="s">
        <v>2633</v>
      </c>
      <c r="C1668" s="24"/>
      <c r="D1668" s="24"/>
      <c r="E1668" s="16">
        <f t="shared" si="1"/>
        <v>0</v>
      </c>
      <c r="F1668" s="16">
        <f t="shared" si="59"/>
        <v>0</v>
      </c>
      <c r="G1668" s="68">
        <v>1102.0</v>
      </c>
      <c r="H1668" s="43"/>
      <c r="I1668" s="28"/>
      <c r="J1668" s="24"/>
      <c r="K1668" s="24"/>
      <c r="L1668" s="43"/>
      <c r="M1668" s="28"/>
      <c r="N1668" s="24"/>
    </row>
    <row r="1669">
      <c r="A1669" s="22"/>
      <c r="B1669" s="65" t="s">
        <v>2634</v>
      </c>
      <c r="C1669" s="24"/>
      <c r="D1669" s="24"/>
      <c r="E1669" s="16">
        <f t="shared" si="1"/>
        <v>0</v>
      </c>
      <c r="F1669" s="16">
        <f t="shared" si="59"/>
        <v>0</v>
      </c>
      <c r="G1669" s="68">
        <v>690.1999999999999</v>
      </c>
      <c r="H1669" s="43"/>
      <c r="I1669" s="28"/>
      <c r="J1669" s="24"/>
      <c r="K1669" s="24"/>
      <c r="L1669" s="43"/>
      <c r="M1669" s="28"/>
      <c r="N1669" s="24"/>
    </row>
    <row r="1670">
      <c r="A1670" s="22"/>
      <c r="B1670" s="65" t="s">
        <v>2635</v>
      </c>
      <c r="C1670" s="24"/>
      <c r="D1670" s="24"/>
      <c r="E1670" s="16">
        <f t="shared" si="1"/>
        <v>0</v>
      </c>
      <c r="F1670" s="16">
        <f t="shared" si="59"/>
        <v>0</v>
      </c>
      <c r="G1670" s="66">
        <v>1102.0</v>
      </c>
      <c r="H1670" s="43"/>
      <c r="I1670" s="28"/>
      <c r="J1670" s="24"/>
      <c r="K1670" s="24"/>
      <c r="L1670" s="43"/>
      <c r="M1670" s="28"/>
      <c r="N1670" s="24"/>
    </row>
    <row r="1671">
      <c r="A1671" s="22"/>
      <c r="B1671" s="65" t="s">
        <v>2636</v>
      </c>
      <c r="C1671" s="24"/>
      <c r="D1671" s="24"/>
      <c r="E1671" s="16">
        <f t="shared" si="1"/>
        <v>0</v>
      </c>
      <c r="F1671" s="16">
        <f t="shared" si="59"/>
        <v>0</v>
      </c>
      <c r="G1671" s="66">
        <v>690.2</v>
      </c>
      <c r="H1671" s="43"/>
      <c r="I1671" s="28"/>
      <c r="J1671" s="24"/>
      <c r="K1671" s="24"/>
      <c r="L1671" s="43"/>
      <c r="M1671" s="28"/>
      <c r="N1671" s="24"/>
    </row>
    <row r="1672">
      <c r="A1672" s="22"/>
      <c r="B1672" s="65" t="s">
        <v>2637</v>
      </c>
      <c r="C1672" s="24"/>
      <c r="D1672" s="24"/>
      <c r="E1672" s="16">
        <f t="shared" si="1"/>
        <v>0</v>
      </c>
      <c r="F1672" s="16">
        <f t="shared" si="59"/>
        <v>0</v>
      </c>
      <c r="G1672" s="68">
        <v>520.0</v>
      </c>
      <c r="H1672" s="43"/>
      <c r="I1672" s="28"/>
      <c r="J1672" s="24"/>
      <c r="K1672" s="24"/>
      <c r="L1672" s="43"/>
      <c r="M1672" s="28"/>
      <c r="N1672" s="24"/>
    </row>
    <row r="1673">
      <c r="A1673" s="22"/>
      <c r="B1673" s="65" t="s">
        <v>2638</v>
      </c>
      <c r="C1673" s="24"/>
      <c r="D1673" s="24"/>
      <c r="E1673" s="16">
        <f t="shared" si="1"/>
        <v>0</v>
      </c>
      <c r="F1673" s="16">
        <f t="shared" si="59"/>
        <v>0</v>
      </c>
      <c r="G1673" s="66">
        <v>1068.023645401023</v>
      </c>
      <c r="H1673" s="43"/>
      <c r="I1673" s="28"/>
      <c r="J1673" s="24"/>
      <c r="K1673" s="24"/>
      <c r="L1673" s="43"/>
      <c r="M1673" s="28"/>
      <c r="N1673" s="24"/>
    </row>
    <row r="1674">
      <c r="A1674" s="22"/>
      <c r="B1674" s="65" t="s">
        <v>2639</v>
      </c>
      <c r="C1674" s="24"/>
      <c r="D1674" s="24"/>
      <c r="E1674" s="16">
        <f t="shared" si="1"/>
        <v>0</v>
      </c>
      <c r="F1674" s="16">
        <f t="shared" si="59"/>
        <v>0</v>
      </c>
      <c r="G1674" s="66">
        <v>1721.915673197568</v>
      </c>
      <c r="H1674" s="43"/>
      <c r="I1674" s="28"/>
      <c r="J1674" s="24"/>
      <c r="K1674" s="24"/>
      <c r="L1674" s="43"/>
      <c r="M1674" s="28"/>
      <c r="N1674" s="24"/>
    </row>
    <row r="1675">
      <c r="A1675" s="22"/>
      <c r="B1675" s="65" t="s">
        <v>2640</v>
      </c>
      <c r="C1675" s="24"/>
      <c r="D1675" s="24"/>
      <c r="E1675" s="16">
        <f t="shared" si="1"/>
        <v>0</v>
      </c>
      <c r="F1675" s="16">
        <f t="shared" si="59"/>
        <v>0</v>
      </c>
      <c r="G1675" s="70">
        <v>250.0</v>
      </c>
      <c r="H1675" s="43"/>
      <c r="I1675" s="28"/>
      <c r="J1675" s="24"/>
      <c r="K1675" s="24"/>
      <c r="L1675" s="43"/>
      <c r="M1675" s="28"/>
      <c r="N1675" s="24"/>
    </row>
    <row r="1676">
      <c r="A1676" s="22"/>
      <c r="B1676" s="65" t="s">
        <v>2641</v>
      </c>
      <c r="C1676" s="24"/>
      <c r="D1676" s="24"/>
      <c r="E1676" s="16">
        <f t="shared" si="1"/>
        <v>0</v>
      </c>
      <c r="F1676" s="16">
        <f t="shared" si="59"/>
        <v>0</v>
      </c>
      <c r="G1676" s="68">
        <v>630.0</v>
      </c>
      <c r="H1676" s="43"/>
      <c r="I1676" s="28"/>
      <c r="J1676" s="24"/>
      <c r="K1676" s="24"/>
      <c r="L1676" s="43"/>
      <c r="M1676" s="28"/>
      <c r="N1676" s="24"/>
    </row>
    <row r="1677">
      <c r="A1677" s="22"/>
      <c r="B1677" s="65" t="s">
        <v>2642</v>
      </c>
      <c r="C1677" s="24"/>
      <c r="D1677" s="24"/>
      <c r="E1677" s="16">
        <f t="shared" si="1"/>
        <v>0</v>
      </c>
      <c r="F1677" s="16">
        <f t="shared" si="59"/>
        <v>0</v>
      </c>
      <c r="G1677" s="66">
        <v>4242.344111897377</v>
      </c>
      <c r="H1677" s="43"/>
      <c r="I1677" s="28"/>
      <c r="J1677" s="24"/>
      <c r="K1677" s="24"/>
      <c r="L1677" s="43"/>
      <c r="M1677" s="28"/>
      <c r="N1677" s="24"/>
    </row>
    <row r="1678">
      <c r="A1678" s="22"/>
      <c r="B1678" s="65" t="s">
        <v>2643</v>
      </c>
      <c r="C1678" s="24"/>
      <c r="D1678" s="24"/>
      <c r="E1678" s="16">
        <f t="shared" si="1"/>
        <v>0</v>
      </c>
      <c r="F1678" s="16">
        <f t="shared" si="59"/>
        <v>0</v>
      </c>
      <c r="G1678" s="68">
        <v>1622.54</v>
      </c>
      <c r="H1678" s="43"/>
      <c r="I1678" s="28"/>
      <c r="J1678" s="24"/>
      <c r="K1678" s="24"/>
      <c r="L1678" s="43"/>
      <c r="M1678" s="28"/>
      <c r="N1678" s="24"/>
    </row>
    <row r="1679">
      <c r="A1679" s="22"/>
      <c r="B1679" s="65" t="s">
        <v>2644</v>
      </c>
      <c r="C1679" s="24"/>
      <c r="D1679" s="24"/>
      <c r="E1679" s="16">
        <f t="shared" si="1"/>
        <v>0</v>
      </c>
      <c r="F1679" s="16">
        <f t="shared" si="59"/>
        <v>0</v>
      </c>
      <c r="G1679" s="66">
        <v>1580.2257042253523</v>
      </c>
      <c r="H1679" s="43"/>
      <c r="I1679" s="28"/>
      <c r="J1679" s="24"/>
      <c r="K1679" s="24"/>
      <c r="L1679" s="43"/>
      <c r="M1679" s="28"/>
      <c r="N1679" s="24"/>
    </row>
    <row r="1680">
      <c r="A1680" s="22"/>
      <c r="B1680" s="65" t="s">
        <v>2645</v>
      </c>
      <c r="C1680" s="24"/>
      <c r="D1680" s="25">
        <v>4999.0</v>
      </c>
      <c r="E1680" s="16">
        <f t="shared" si="1"/>
        <v>344.931</v>
      </c>
      <c r="F1680" s="16">
        <f t="shared" si="59"/>
        <v>107.4785</v>
      </c>
      <c r="G1680" s="71">
        <v>3489.967898386365</v>
      </c>
      <c r="H1680" s="27">
        <v>0.11</v>
      </c>
      <c r="I1680" s="28">
        <f>H1680*D1680</f>
        <v>549.89</v>
      </c>
      <c r="J1680" s="25">
        <v>70.0</v>
      </c>
      <c r="K1680" s="16">
        <f>D1680-G1680-I1680-J1680-E1680-F1680</f>
        <v>436.7326016</v>
      </c>
      <c r="L1680" s="19">
        <f>K1680/G1680</f>
        <v>0.1251394323</v>
      </c>
      <c r="M1680" s="16">
        <f>D1680-E1680-F1680-I1680-J1680</f>
        <v>3926.7005</v>
      </c>
      <c r="N1680" s="24"/>
    </row>
    <row r="1681">
      <c r="A1681" s="22"/>
      <c r="B1681" s="65" t="s">
        <v>2646</v>
      </c>
      <c r="C1681" s="24"/>
      <c r="D1681" s="24"/>
      <c r="E1681" s="16">
        <f t="shared" si="1"/>
        <v>0</v>
      </c>
      <c r="F1681" s="16">
        <f t="shared" si="59"/>
        <v>0</v>
      </c>
      <c r="G1681" s="70">
        <v>550.0</v>
      </c>
      <c r="H1681" s="43"/>
      <c r="I1681" s="28"/>
      <c r="J1681" s="24"/>
      <c r="K1681" s="24"/>
      <c r="L1681" s="43"/>
      <c r="M1681" s="28"/>
      <c r="N1681" s="24"/>
    </row>
    <row r="1682">
      <c r="A1682" s="22"/>
      <c r="B1682" s="65" t="s">
        <v>2647</v>
      </c>
      <c r="C1682" s="24"/>
      <c r="D1682" s="24"/>
      <c r="E1682" s="16">
        <f t="shared" si="1"/>
        <v>0</v>
      </c>
      <c r="F1682" s="16">
        <f t="shared" si="59"/>
        <v>0</v>
      </c>
      <c r="G1682" s="66">
        <v>2495.298590947062</v>
      </c>
      <c r="H1682" s="43"/>
      <c r="I1682" s="28"/>
      <c r="J1682" s="24"/>
      <c r="K1682" s="24"/>
      <c r="L1682" s="43"/>
      <c r="M1682" s="28"/>
      <c r="N1682" s="24"/>
    </row>
    <row r="1683">
      <c r="A1683" s="22"/>
      <c r="B1683" s="65" t="s">
        <v>2648</v>
      </c>
      <c r="C1683" s="24"/>
      <c r="D1683" s="24"/>
      <c r="E1683" s="16">
        <f t="shared" si="1"/>
        <v>0</v>
      </c>
      <c r="F1683" s="16">
        <f t="shared" si="59"/>
        <v>0</v>
      </c>
      <c r="G1683" s="66">
        <v>8912.1808</v>
      </c>
      <c r="H1683" s="43"/>
      <c r="I1683" s="28"/>
      <c r="J1683" s="24"/>
      <c r="K1683" s="24"/>
      <c r="L1683" s="43"/>
      <c r="M1683" s="28"/>
      <c r="N1683" s="24"/>
    </row>
    <row r="1684">
      <c r="A1684" s="22"/>
      <c r="B1684" s="65" t="s">
        <v>2649</v>
      </c>
      <c r="C1684" s="24"/>
      <c r="D1684" s="24"/>
      <c r="E1684" s="16">
        <f t="shared" si="1"/>
        <v>0</v>
      </c>
      <c r="F1684" s="16">
        <f t="shared" si="59"/>
        <v>0</v>
      </c>
      <c r="G1684" s="66">
        <v>590.3072860215053</v>
      </c>
      <c r="H1684" s="43"/>
      <c r="I1684" s="28"/>
      <c r="J1684" s="24"/>
      <c r="K1684" s="24"/>
      <c r="L1684" s="43"/>
      <c r="M1684" s="28"/>
      <c r="N1684" s="24"/>
    </row>
    <row r="1685">
      <c r="A1685" s="22"/>
      <c r="B1685" s="65" t="s">
        <v>2650</v>
      </c>
      <c r="C1685" s="24"/>
      <c r="D1685" s="24"/>
      <c r="E1685" s="16">
        <f t="shared" si="1"/>
        <v>0</v>
      </c>
      <c r="F1685" s="16">
        <f t="shared" si="59"/>
        <v>0</v>
      </c>
      <c r="G1685" s="66">
        <v>590.3072860215053</v>
      </c>
      <c r="H1685" s="43"/>
      <c r="I1685" s="28"/>
      <c r="J1685" s="24"/>
      <c r="K1685" s="24"/>
      <c r="L1685" s="43"/>
      <c r="M1685" s="28"/>
      <c r="N1685" s="24"/>
    </row>
    <row r="1686">
      <c r="A1686" s="22"/>
      <c r="B1686" s="65" t="s">
        <v>2651</v>
      </c>
      <c r="C1686" s="24"/>
      <c r="D1686" s="24"/>
      <c r="E1686" s="16">
        <f t="shared" si="1"/>
        <v>0</v>
      </c>
      <c r="F1686" s="16">
        <f t="shared" si="59"/>
        <v>0</v>
      </c>
      <c r="G1686" s="68">
        <v>600.0</v>
      </c>
      <c r="H1686" s="43"/>
      <c r="I1686" s="28"/>
      <c r="J1686" s="24"/>
      <c r="K1686" s="24"/>
      <c r="L1686" s="43"/>
      <c r="M1686" s="28"/>
      <c r="N1686" s="24"/>
    </row>
    <row r="1687">
      <c r="A1687" s="22"/>
      <c r="B1687" s="65" t="s">
        <v>2652</v>
      </c>
      <c r="C1687" s="24"/>
      <c r="D1687" s="24"/>
      <c r="E1687" s="16">
        <f t="shared" si="1"/>
        <v>0</v>
      </c>
      <c r="F1687" s="16">
        <f t="shared" si="59"/>
        <v>0</v>
      </c>
      <c r="G1687" s="68">
        <v>600.0</v>
      </c>
      <c r="H1687" s="43"/>
      <c r="I1687" s="28"/>
      <c r="J1687" s="24"/>
      <c r="K1687" s="24"/>
      <c r="L1687" s="43"/>
      <c r="M1687" s="28"/>
      <c r="N1687" s="24"/>
    </row>
    <row r="1688">
      <c r="A1688" s="22"/>
      <c r="B1688" s="65" t="s">
        <v>2653</v>
      </c>
      <c r="C1688" s="24"/>
      <c r="D1688" s="24"/>
      <c r="E1688" s="16">
        <f t="shared" si="1"/>
        <v>0</v>
      </c>
      <c r="F1688" s="16">
        <f t="shared" si="59"/>
        <v>0</v>
      </c>
      <c r="G1688" s="66">
        <v>432.37268448766025</v>
      </c>
      <c r="H1688" s="43"/>
      <c r="I1688" s="28"/>
      <c r="J1688" s="24"/>
      <c r="K1688" s="24"/>
      <c r="L1688" s="43"/>
      <c r="M1688" s="28"/>
      <c r="N1688" s="24"/>
    </row>
    <row r="1689">
      <c r="A1689" s="22"/>
      <c r="B1689" s="65" t="s">
        <v>2654</v>
      </c>
      <c r="C1689" s="24"/>
      <c r="D1689" s="24"/>
      <c r="E1689" s="16">
        <f t="shared" si="1"/>
        <v>0</v>
      </c>
      <c r="F1689" s="16">
        <f t="shared" si="59"/>
        <v>0</v>
      </c>
      <c r="G1689" s="68">
        <v>4023.73</v>
      </c>
      <c r="H1689" s="43"/>
      <c r="I1689" s="28"/>
      <c r="J1689" s="24"/>
      <c r="K1689" s="24"/>
      <c r="L1689" s="43"/>
      <c r="M1689" s="28"/>
      <c r="N1689" s="24"/>
    </row>
    <row r="1690">
      <c r="A1690" s="22"/>
      <c r="B1690" s="65" t="s">
        <v>2655</v>
      </c>
      <c r="C1690" s="24"/>
      <c r="D1690" s="24"/>
      <c r="E1690" s="16">
        <f t="shared" si="1"/>
        <v>0</v>
      </c>
      <c r="F1690" s="16">
        <f t="shared" si="59"/>
        <v>0</v>
      </c>
      <c r="G1690" s="66">
        <v>432.37268448766025</v>
      </c>
      <c r="H1690" s="43"/>
      <c r="I1690" s="28"/>
      <c r="J1690" s="24"/>
      <c r="K1690" s="24"/>
      <c r="L1690" s="43"/>
      <c r="M1690" s="28"/>
      <c r="N1690" s="24"/>
    </row>
    <row r="1691">
      <c r="A1691" s="22"/>
      <c r="B1691" s="65" t="s">
        <v>2656</v>
      </c>
      <c r="C1691" s="24"/>
      <c r="D1691" s="24"/>
      <c r="E1691" s="16">
        <f t="shared" si="1"/>
        <v>0</v>
      </c>
      <c r="F1691" s="16">
        <f t="shared" si="59"/>
        <v>0</v>
      </c>
      <c r="G1691" s="66">
        <v>739.4122091824028</v>
      </c>
      <c r="H1691" s="43"/>
      <c r="I1691" s="28"/>
      <c r="J1691" s="24"/>
      <c r="K1691" s="24"/>
      <c r="L1691" s="43"/>
      <c r="M1691" s="28"/>
      <c r="N1691" s="24"/>
    </row>
    <row r="1692">
      <c r="A1692" s="22"/>
      <c r="B1692" s="65" t="s">
        <v>2657</v>
      </c>
      <c r="C1692" s="24"/>
      <c r="D1692" s="24"/>
      <c r="E1692" s="16">
        <f t="shared" si="1"/>
        <v>0</v>
      </c>
      <c r="F1692" s="16">
        <f t="shared" si="59"/>
        <v>0</v>
      </c>
      <c r="G1692" s="72">
        <v>235.0</v>
      </c>
      <c r="H1692" s="43"/>
      <c r="I1692" s="28"/>
      <c r="J1692" s="24"/>
      <c r="K1692" s="24"/>
      <c r="L1692" s="43"/>
      <c r="M1692" s="28"/>
      <c r="N1692" s="24"/>
    </row>
    <row r="1693">
      <c r="A1693" s="22"/>
      <c r="B1693" s="65" t="s">
        <v>2658</v>
      </c>
      <c r="C1693" s="24"/>
      <c r="D1693" s="24"/>
      <c r="E1693" s="16">
        <f t="shared" si="1"/>
        <v>0</v>
      </c>
      <c r="F1693" s="16">
        <f t="shared" si="59"/>
        <v>0</v>
      </c>
      <c r="G1693" s="66">
        <v>5842.08</v>
      </c>
      <c r="H1693" s="43"/>
      <c r="I1693" s="28"/>
      <c r="J1693" s="24"/>
      <c r="K1693" s="24"/>
      <c r="L1693" s="43"/>
      <c r="M1693" s="28"/>
      <c r="N1693" s="24"/>
    </row>
    <row r="1694">
      <c r="A1694" s="22"/>
      <c r="B1694" s="65" t="s">
        <v>2659</v>
      </c>
      <c r="C1694" s="24"/>
      <c r="D1694" s="24"/>
      <c r="E1694" s="16">
        <f t="shared" si="1"/>
        <v>0</v>
      </c>
      <c r="F1694" s="16">
        <f t="shared" si="59"/>
        <v>0</v>
      </c>
      <c r="G1694" s="66">
        <v>1031.5665904064158</v>
      </c>
      <c r="H1694" s="43"/>
      <c r="I1694" s="28"/>
      <c r="J1694" s="24"/>
      <c r="K1694" s="24"/>
      <c r="L1694" s="43"/>
      <c r="M1694" s="28"/>
      <c r="N1694" s="24"/>
    </row>
    <row r="1695">
      <c r="A1695" s="22"/>
      <c r="B1695" s="65" t="s">
        <v>2660</v>
      </c>
      <c r="C1695" s="24"/>
      <c r="D1695" s="24"/>
      <c r="E1695" s="16">
        <f t="shared" si="1"/>
        <v>0</v>
      </c>
      <c r="F1695" s="16">
        <f t="shared" si="59"/>
        <v>0</v>
      </c>
      <c r="G1695" s="66">
        <v>547.269686326753</v>
      </c>
      <c r="H1695" s="43"/>
      <c r="I1695" s="28"/>
      <c r="J1695" s="24"/>
      <c r="K1695" s="24"/>
      <c r="L1695" s="43"/>
      <c r="M1695" s="28"/>
      <c r="N1695" s="24"/>
    </row>
    <row r="1696">
      <c r="A1696" s="22"/>
      <c r="B1696" s="65" t="s">
        <v>2661</v>
      </c>
      <c r="C1696" s="24"/>
      <c r="D1696" s="24"/>
      <c r="E1696" s="16">
        <f t="shared" si="1"/>
        <v>0</v>
      </c>
      <c r="F1696" s="16">
        <f t="shared" si="59"/>
        <v>0</v>
      </c>
      <c r="G1696" s="66">
        <v>6978.6</v>
      </c>
      <c r="H1696" s="43"/>
      <c r="I1696" s="28"/>
      <c r="J1696" s="24"/>
      <c r="K1696" s="24"/>
      <c r="L1696" s="43"/>
      <c r="M1696" s="28"/>
      <c r="N1696" s="24"/>
    </row>
    <row r="1697">
      <c r="A1697" s="22"/>
      <c r="B1697" s="65" t="s">
        <v>2662</v>
      </c>
      <c r="C1697" s="24"/>
      <c r="D1697" s="24"/>
      <c r="E1697" s="16">
        <f t="shared" si="1"/>
        <v>0</v>
      </c>
      <c r="F1697" s="16">
        <f t="shared" si="59"/>
        <v>0</v>
      </c>
      <c r="G1697" s="66">
        <v>3418.4237839999996</v>
      </c>
      <c r="H1697" s="43"/>
      <c r="I1697" s="28"/>
      <c r="J1697" s="24"/>
      <c r="K1697" s="24"/>
      <c r="L1697" s="43"/>
      <c r="M1697" s="28"/>
      <c r="N1697" s="24"/>
    </row>
    <row r="1698">
      <c r="A1698" s="22"/>
      <c r="B1698" s="65" t="s">
        <v>2663</v>
      </c>
      <c r="C1698" s="24"/>
      <c r="D1698" s="25">
        <v>999.0</v>
      </c>
      <c r="E1698" s="16">
        <f t="shared" si="1"/>
        <v>68.931</v>
      </c>
      <c r="F1698" s="16">
        <f t="shared" si="59"/>
        <v>21.4785</v>
      </c>
      <c r="G1698" s="66">
        <v>582.4380060744674</v>
      </c>
      <c r="H1698" s="27">
        <v>0.15</v>
      </c>
      <c r="I1698" s="28">
        <f>H1698*D1698</f>
        <v>149.85</v>
      </c>
      <c r="J1698" s="25">
        <v>102.0</v>
      </c>
      <c r="K1698" s="16">
        <f>D1698-G1698-I1698-J1698-E1698-F1698</f>
        <v>74.30249393</v>
      </c>
      <c r="L1698" s="19">
        <f>K1698/G1698</f>
        <v>0.1275715066</v>
      </c>
      <c r="M1698" s="16">
        <f>D1698-E1698-F1698-I1698-J1698</f>
        <v>656.7405</v>
      </c>
      <c r="N1698" s="24"/>
    </row>
    <row r="1699">
      <c r="A1699" s="22"/>
      <c r="B1699" s="65" t="s">
        <v>2664</v>
      </c>
      <c r="C1699" s="24"/>
      <c r="D1699" s="24"/>
      <c r="E1699" s="16">
        <f t="shared" si="1"/>
        <v>0</v>
      </c>
      <c r="F1699" s="16">
        <f t="shared" si="59"/>
        <v>0</v>
      </c>
      <c r="G1699" s="66">
        <v>399.8310801287338</v>
      </c>
      <c r="H1699" s="43"/>
      <c r="I1699" s="28"/>
      <c r="J1699" s="24"/>
      <c r="K1699" s="24"/>
      <c r="L1699" s="43"/>
      <c r="M1699" s="28"/>
      <c r="N1699" s="24"/>
    </row>
    <row r="1700">
      <c r="A1700" s="22"/>
      <c r="B1700" s="65" t="s">
        <v>2665</v>
      </c>
      <c r="C1700" s="24"/>
      <c r="D1700" s="24"/>
      <c r="E1700" s="16">
        <f t="shared" si="1"/>
        <v>0</v>
      </c>
      <c r="F1700" s="16">
        <f t="shared" si="59"/>
        <v>0</v>
      </c>
      <c r="G1700" s="66">
        <v>587.4271442099567</v>
      </c>
      <c r="H1700" s="43"/>
      <c r="I1700" s="28"/>
      <c r="J1700" s="24"/>
      <c r="K1700" s="24"/>
      <c r="L1700" s="43"/>
      <c r="M1700" s="28"/>
      <c r="N1700" s="24"/>
    </row>
    <row r="1701">
      <c r="A1701" s="22"/>
      <c r="B1701" s="65" t="s">
        <v>2666</v>
      </c>
      <c r="C1701" s="24"/>
      <c r="D1701" s="24"/>
      <c r="E1701" s="16">
        <f t="shared" si="1"/>
        <v>0</v>
      </c>
      <c r="F1701" s="16">
        <f t="shared" si="59"/>
        <v>0</v>
      </c>
      <c r="G1701" s="66">
        <v>1058.1519740869564</v>
      </c>
      <c r="H1701" s="43"/>
      <c r="I1701" s="28"/>
      <c r="J1701" s="24"/>
      <c r="K1701" s="24"/>
      <c r="L1701" s="43"/>
      <c r="M1701" s="28"/>
      <c r="N1701" s="24"/>
    </row>
    <row r="1702">
      <c r="A1702" s="22"/>
      <c r="B1702" s="65" t="s">
        <v>2667</v>
      </c>
      <c r="C1702" s="24"/>
      <c r="D1702" s="24"/>
      <c r="E1702" s="16">
        <f t="shared" si="1"/>
        <v>0</v>
      </c>
      <c r="F1702" s="16">
        <f t="shared" si="59"/>
        <v>0</v>
      </c>
      <c r="G1702" s="66">
        <v>1058.1519740869564</v>
      </c>
      <c r="H1702" s="43"/>
      <c r="I1702" s="28"/>
      <c r="J1702" s="24"/>
      <c r="K1702" s="24"/>
      <c r="L1702" s="43"/>
      <c r="M1702" s="28"/>
      <c r="N1702" s="24"/>
    </row>
    <row r="1703">
      <c r="A1703" s="22"/>
      <c r="B1703" s="65" t="s">
        <v>2668</v>
      </c>
      <c r="C1703" s="24"/>
      <c r="D1703" s="25">
        <v>595.0</v>
      </c>
      <c r="E1703" s="16">
        <f t="shared" si="1"/>
        <v>41.055</v>
      </c>
      <c r="F1703" s="16">
        <f t="shared" si="59"/>
        <v>12.7925</v>
      </c>
      <c r="G1703" s="66">
        <v>306.7010266288033</v>
      </c>
      <c r="H1703" s="27">
        <v>0.15</v>
      </c>
      <c r="I1703" s="28">
        <f>H1703*D1703</f>
        <v>89.25</v>
      </c>
      <c r="J1703" s="25">
        <v>102.0</v>
      </c>
      <c r="K1703" s="16">
        <f>D1703-G1703-I1703-J1703-E1703-F1703</f>
        <v>43.20147337</v>
      </c>
      <c r="L1703" s="19">
        <f>K1703/G1703</f>
        <v>0.1408585874</v>
      </c>
      <c r="M1703" s="16">
        <f>D1703-E1703-F1703-I1703-J1703</f>
        <v>349.9025</v>
      </c>
      <c r="N1703" s="24"/>
    </row>
    <row r="1704">
      <c r="A1704" s="22"/>
      <c r="B1704" s="65" t="s">
        <v>2669</v>
      </c>
      <c r="C1704" s="24"/>
      <c r="D1704" s="24"/>
      <c r="E1704" s="16">
        <f t="shared" si="1"/>
        <v>0</v>
      </c>
      <c r="F1704" s="16">
        <f t="shared" si="59"/>
        <v>0</v>
      </c>
      <c r="G1704" s="66">
        <v>231.59614477402067</v>
      </c>
      <c r="H1704" s="43"/>
      <c r="I1704" s="28"/>
      <c r="J1704" s="24"/>
      <c r="K1704" s="24"/>
      <c r="L1704" s="43"/>
      <c r="M1704" s="28"/>
      <c r="N1704" s="24"/>
    </row>
    <row r="1705">
      <c r="A1705" s="22"/>
      <c r="B1705" s="65" t="s">
        <v>2670</v>
      </c>
      <c r="C1705" s="24"/>
      <c r="D1705" s="24"/>
      <c r="E1705" s="16">
        <f t="shared" si="1"/>
        <v>0</v>
      </c>
      <c r="F1705" s="16">
        <f t="shared" si="59"/>
        <v>0</v>
      </c>
      <c r="G1705" s="68">
        <v>839.32</v>
      </c>
      <c r="H1705" s="43"/>
      <c r="I1705" s="28"/>
      <c r="J1705" s="24"/>
      <c r="K1705" s="24"/>
      <c r="L1705" s="43"/>
      <c r="M1705" s="28"/>
      <c r="N1705" s="24"/>
    </row>
    <row r="1706">
      <c r="A1706" s="22"/>
      <c r="B1706" s="65" t="s">
        <v>2671</v>
      </c>
      <c r="C1706" s="24"/>
      <c r="D1706" s="24"/>
      <c r="E1706" s="16">
        <f t="shared" si="1"/>
        <v>0</v>
      </c>
      <c r="F1706" s="16">
        <f t="shared" si="59"/>
        <v>0</v>
      </c>
      <c r="G1706" s="68">
        <v>2350.0</v>
      </c>
      <c r="H1706" s="43"/>
      <c r="I1706" s="28"/>
      <c r="J1706" s="24"/>
      <c r="K1706" s="24"/>
      <c r="L1706" s="43"/>
      <c r="M1706" s="28"/>
      <c r="N1706" s="24"/>
    </row>
    <row r="1707">
      <c r="A1707" s="22"/>
      <c r="B1707" s="65" t="s">
        <v>2672</v>
      </c>
      <c r="C1707" s="24"/>
      <c r="D1707" s="24"/>
      <c r="E1707" s="16">
        <f t="shared" si="1"/>
        <v>0</v>
      </c>
      <c r="F1707" s="16">
        <f t="shared" si="59"/>
        <v>0</v>
      </c>
      <c r="G1707" s="68">
        <v>1730.0</v>
      </c>
      <c r="H1707" s="43"/>
      <c r="I1707" s="28"/>
      <c r="J1707" s="24"/>
      <c r="K1707" s="24"/>
      <c r="L1707" s="43"/>
      <c r="M1707" s="28"/>
      <c r="N1707" s="24"/>
    </row>
    <row r="1708">
      <c r="A1708" s="22"/>
      <c r="B1708" s="65" t="s">
        <v>2673</v>
      </c>
      <c r="C1708" s="24"/>
      <c r="D1708" s="25">
        <v>2729.0</v>
      </c>
      <c r="E1708" s="16">
        <f t="shared" si="1"/>
        <v>188.301</v>
      </c>
      <c r="F1708" s="16">
        <f t="shared" si="59"/>
        <v>58.6735</v>
      </c>
      <c r="G1708" s="68">
        <v>1730.0</v>
      </c>
      <c r="H1708" s="27">
        <v>0.16</v>
      </c>
      <c r="I1708" s="28">
        <f>H1708*D1708</f>
        <v>436.64</v>
      </c>
      <c r="J1708" s="25">
        <v>122.0</v>
      </c>
      <c r="K1708" s="16">
        <f>D1708-G1708-I1708-J1708-E1708-F1708</f>
        <v>193.3855</v>
      </c>
      <c r="L1708" s="19">
        <f>K1708/G1708</f>
        <v>0.111783526</v>
      </c>
      <c r="M1708" s="16">
        <f>D1708-E1708-F1708-I1708-J1708</f>
        <v>1923.3855</v>
      </c>
      <c r="N1708" s="24"/>
    </row>
    <row r="1709">
      <c r="A1709" s="22"/>
      <c r="B1709" s="65" t="s">
        <v>2674</v>
      </c>
      <c r="C1709" s="24"/>
      <c r="D1709" s="24"/>
      <c r="E1709" s="16">
        <f t="shared" si="1"/>
        <v>0</v>
      </c>
      <c r="F1709" s="16">
        <f t="shared" si="59"/>
        <v>0</v>
      </c>
      <c r="G1709" s="35">
        <f>388.39+125.36</f>
        <v>513.75</v>
      </c>
      <c r="H1709" s="43"/>
      <c r="I1709" s="28"/>
      <c r="J1709" s="24"/>
      <c r="K1709" s="24"/>
      <c r="L1709" s="43"/>
      <c r="M1709" s="28"/>
      <c r="N1709" s="24"/>
    </row>
    <row r="1710">
      <c r="A1710" s="22"/>
      <c r="B1710" s="65" t="s">
        <v>2675</v>
      </c>
      <c r="C1710" s="24"/>
      <c r="D1710" s="24"/>
      <c r="E1710" s="16">
        <f t="shared" si="1"/>
        <v>0</v>
      </c>
      <c r="F1710" s="16">
        <f t="shared" si="59"/>
        <v>0</v>
      </c>
      <c r="G1710" s="35">
        <f>833.66+125.36</f>
        <v>959.02</v>
      </c>
      <c r="H1710" s="43"/>
      <c r="I1710" s="28"/>
      <c r="J1710" s="24"/>
      <c r="K1710" s="24"/>
      <c r="L1710" s="43"/>
      <c r="M1710" s="28"/>
      <c r="N1710" s="24"/>
    </row>
    <row r="1711">
      <c r="A1711" s="22"/>
      <c r="B1711" s="65" t="s">
        <v>2676</v>
      </c>
      <c r="C1711" s="24"/>
      <c r="D1711" s="24"/>
      <c r="E1711" s="16">
        <f t="shared" si="1"/>
        <v>0</v>
      </c>
      <c r="F1711" s="16">
        <f t="shared" si="59"/>
        <v>0</v>
      </c>
      <c r="G1711" s="35">
        <f>125.36+213.53</f>
        <v>338.89</v>
      </c>
      <c r="H1711" s="43"/>
      <c r="I1711" s="28"/>
      <c r="J1711" s="24"/>
      <c r="K1711" s="24"/>
      <c r="L1711" s="43"/>
      <c r="M1711" s="28"/>
      <c r="N1711" s="24"/>
    </row>
    <row r="1712">
      <c r="A1712" s="22"/>
      <c r="B1712" s="65" t="s">
        <v>2677</v>
      </c>
      <c r="C1712" s="24"/>
      <c r="D1712" s="24"/>
      <c r="E1712" s="16">
        <f t="shared" si="1"/>
        <v>0</v>
      </c>
      <c r="F1712" s="16">
        <f t="shared" si="59"/>
        <v>0</v>
      </c>
      <c r="G1712" s="35">
        <f>190+276.75</f>
        <v>466.75</v>
      </c>
      <c r="H1712" s="43"/>
      <c r="I1712" s="28"/>
      <c r="J1712" s="24"/>
      <c r="K1712" s="24"/>
      <c r="L1712" s="43"/>
      <c r="M1712" s="28"/>
      <c r="N1712" s="24"/>
    </row>
    <row r="1713">
      <c r="A1713" s="22"/>
      <c r="B1713" s="65" t="s">
        <v>2678</v>
      </c>
      <c r="C1713" s="24"/>
      <c r="D1713" s="24"/>
      <c r="E1713" s="16">
        <f t="shared" si="1"/>
        <v>0</v>
      </c>
      <c r="F1713" s="16">
        <f t="shared" si="59"/>
        <v>0</v>
      </c>
      <c r="G1713" s="35">
        <f>276.75+125.36</f>
        <v>402.11</v>
      </c>
      <c r="H1713" s="43"/>
      <c r="I1713" s="28"/>
      <c r="J1713" s="24"/>
      <c r="K1713" s="24"/>
      <c r="L1713" s="43"/>
      <c r="M1713" s="28"/>
      <c r="N1713" s="24"/>
    </row>
    <row r="1714">
      <c r="A1714" s="22"/>
      <c r="B1714" s="23" t="s">
        <v>2679</v>
      </c>
      <c r="C1714" s="24"/>
      <c r="D1714" s="25">
        <v>2599.0</v>
      </c>
      <c r="E1714" s="16">
        <f t="shared" si="1"/>
        <v>179.331</v>
      </c>
      <c r="F1714" s="16">
        <f t="shared" si="59"/>
        <v>55.8785</v>
      </c>
      <c r="G1714" s="68">
        <v>1629.84</v>
      </c>
      <c r="H1714" s="27">
        <v>0.1</v>
      </c>
      <c r="I1714" s="28">
        <f t="shared" ref="I1714:I1724" si="84">H1714*D1714</f>
        <v>259.9</v>
      </c>
      <c r="J1714" s="25">
        <v>65.0</v>
      </c>
      <c r="K1714" s="16">
        <f t="shared" ref="K1714:K1724" si="85">D1714-G1714-I1714-J1714-E1714-F1714</f>
        <v>409.0505</v>
      </c>
      <c r="L1714" s="19">
        <f t="shared" ref="L1714:L1724" si="86">K1714/G1714</f>
        <v>0.2509758627</v>
      </c>
      <c r="M1714" s="16">
        <f t="shared" ref="M1714:M1724" si="87">D1714-E1714-F1714-I1714-J1714</f>
        <v>2038.8905</v>
      </c>
      <c r="N1714" s="24"/>
    </row>
    <row r="1715">
      <c r="A1715" s="22"/>
      <c r="B1715" s="23" t="s">
        <v>2680</v>
      </c>
      <c r="C1715" s="24"/>
      <c r="D1715" s="25">
        <v>2499.0</v>
      </c>
      <c r="E1715" s="16">
        <f t="shared" si="1"/>
        <v>172.431</v>
      </c>
      <c r="F1715" s="16">
        <f t="shared" si="59"/>
        <v>53.7285</v>
      </c>
      <c r="G1715" s="68">
        <v>1629.84</v>
      </c>
      <c r="H1715" s="27">
        <v>0.1</v>
      </c>
      <c r="I1715" s="28">
        <f t="shared" si="84"/>
        <v>249.9</v>
      </c>
      <c r="J1715" s="25">
        <v>65.0</v>
      </c>
      <c r="K1715" s="16">
        <f t="shared" si="85"/>
        <v>328.1005</v>
      </c>
      <c r="L1715" s="19">
        <f t="shared" si="86"/>
        <v>0.2013084106</v>
      </c>
      <c r="M1715" s="16">
        <f t="shared" si="87"/>
        <v>1957.9405</v>
      </c>
      <c r="N1715" s="24"/>
    </row>
    <row r="1716">
      <c r="A1716" s="22"/>
      <c r="B1716" s="23" t="s">
        <v>2681</v>
      </c>
      <c r="C1716" s="24"/>
      <c r="D1716" s="25">
        <v>6399.0</v>
      </c>
      <c r="E1716" s="16">
        <f t="shared" si="1"/>
        <v>441.531</v>
      </c>
      <c r="F1716" s="16">
        <f t="shared" si="59"/>
        <v>137.5785</v>
      </c>
      <c r="G1716" s="26">
        <v>4720.49</v>
      </c>
      <c r="H1716" s="27">
        <v>0.11</v>
      </c>
      <c r="I1716" s="28">
        <f t="shared" si="84"/>
        <v>703.89</v>
      </c>
      <c r="J1716" s="25">
        <v>65.0</v>
      </c>
      <c r="K1716" s="16">
        <f t="shared" si="85"/>
        <v>330.5105</v>
      </c>
      <c r="L1716" s="19">
        <f t="shared" si="86"/>
        <v>0.07001614239</v>
      </c>
      <c r="M1716" s="16">
        <f t="shared" si="87"/>
        <v>5051.0005</v>
      </c>
      <c r="N1716" s="24"/>
    </row>
    <row r="1717">
      <c r="A1717" s="22"/>
      <c r="B1717" s="23" t="s">
        <v>2682</v>
      </c>
      <c r="C1717" s="25" t="s">
        <v>2683</v>
      </c>
      <c r="D1717" s="25">
        <v>13099.0</v>
      </c>
      <c r="E1717" s="16">
        <f t="shared" si="1"/>
        <v>903.831</v>
      </c>
      <c r="F1717" s="16">
        <f t="shared" si="59"/>
        <v>281.6285</v>
      </c>
      <c r="G1717" s="26">
        <v>9397.1</v>
      </c>
      <c r="H1717" s="27">
        <v>0.11</v>
      </c>
      <c r="I1717" s="28">
        <f t="shared" si="84"/>
        <v>1440.89</v>
      </c>
      <c r="J1717" s="25">
        <v>65.0</v>
      </c>
      <c r="K1717" s="16">
        <f t="shared" si="85"/>
        <v>1010.5505</v>
      </c>
      <c r="L1717" s="19">
        <f t="shared" si="86"/>
        <v>0.1075385491</v>
      </c>
      <c r="M1717" s="16">
        <f t="shared" si="87"/>
        <v>10407.6505</v>
      </c>
      <c r="N1717" s="24"/>
    </row>
    <row r="1718">
      <c r="A1718" s="22"/>
      <c r="B1718" s="23" t="s">
        <v>2684</v>
      </c>
      <c r="C1718" s="24"/>
      <c r="D1718" s="25">
        <v>5999.0</v>
      </c>
      <c r="E1718" s="16">
        <f t="shared" si="1"/>
        <v>413.931</v>
      </c>
      <c r="F1718" s="16">
        <f t="shared" si="59"/>
        <v>128.9785</v>
      </c>
      <c r="G1718" s="26">
        <v>4773.0</v>
      </c>
      <c r="H1718" s="27">
        <v>0.11</v>
      </c>
      <c r="I1718" s="28">
        <f t="shared" si="84"/>
        <v>659.89</v>
      </c>
      <c r="J1718" s="25">
        <v>65.0</v>
      </c>
      <c r="K1718" s="16">
        <f t="shared" si="85"/>
        <v>-41.7995</v>
      </c>
      <c r="L1718" s="19">
        <f t="shared" si="86"/>
        <v>-0.008757490048</v>
      </c>
      <c r="M1718" s="16">
        <f t="shared" si="87"/>
        <v>4731.2005</v>
      </c>
      <c r="N1718" s="24"/>
    </row>
    <row r="1719">
      <c r="A1719" s="22"/>
      <c r="B1719" s="23" t="s">
        <v>2685</v>
      </c>
      <c r="C1719" s="24"/>
      <c r="D1719" s="25">
        <v>11655.0</v>
      </c>
      <c r="E1719" s="16">
        <f t="shared" si="1"/>
        <v>804.195</v>
      </c>
      <c r="F1719" s="16">
        <f t="shared" si="59"/>
        <v>250.5825</v>
      </c>
      <c r="G1719" s="26">
        <v>8400.0</v>
      </c>
      <c r="H1719" s="27">
        <v>0.125</v>
      </c>
      <c r="I1719" s="28">
        <f t="shared" si="84"/>
        <v>1456.875</v>
      </c>
      <c r="J1719" s="25">
        <v>65.0</v>
      </c>
      <c r="K1719" s="16">
        <f t="shared" si="85"/>
        <v>678.3475</v>
      </c>
      <c r="L1719" s="19">
        <f t="shared" si="86"/>
        <v>0.08075565476</v>
      </c>
      <c r="M1719" s="16">
        <f t="shared" si="87"/>
        <v>9078.3475</v>
      </c>
      <c r="N1719" s="24"/>
    </row>
    <row r="1720">
      <c r="A1720" s="22"/>
      <c r="B1720" s="23" t="s">
        <v>2686</v>
      </c>
      <c r="C1720" s="25" t="s">
        <v>2687</v>
      </c>
      <c r="D1720" s="25">
        <v>13999.0</v>
      </c>
      <c r="E1720" s="16">
        <f t="shared" si="1"/>
        <v>965.931</v>
      </c>
      <c r="F1720" s="16">
        <f t="shared" si="59"/>
        <v>300.9785</v>
      </c>
      <c r="G1720" s="26">
        <v>11100.0</v>
      </c>
      <c r="H1720" s="27">
        <v>0.125</v>
      </c>
      <c r="I1720" s="28">
        <f t="shared" si="84"/>
        <v>1749.875</v>
      </c>
      <c r="J1720" s="25">
        <v>65.0</v>
      </c>
      <c r="K1720" s="16">
        <f t="shared" si="85"/>
        <v>-182.7845</v>
      </c>
      <c r="L1720" s="19">
        <f t="shared" si="86"/>
        <v>-0.01646707207</v>
      </c>
      <c r="M1720" s="16">
        <f t="shared" si="87"/>
        <v>10917.2155</v>
      </c>
      <c r="N1720" s="24"/>
    </row>
    <row r="1721">
      <c r="A1721" s="22"/>
      <c r="B1721" s="25">
        <v>5.368811166E9</v>
      </c>
      <c r="C1721" s="25" t="s">
        <v>2688</v>
      </c>
      <c r="D1721" s="25">
        <v>629.0</v>
      </c>
      <c r="E1721" s="16">
        <f t="shared" si="1"/>
        <v>43.401</v>
      </c>
      <c r="F1721" s="16">
        <f t="shared" si="59"/>
        <v>13.5235</v>
      </c>
      <c r="G1721" s="66">
        <v>229.6843841449898</v>
      </c>
      <c r="H1721" s="27">
        <v>0.15</v>
      </c>
      <c r="I1721" s="28">
        <f t="shared" si="84"/>
        <v>94.35</v>
      </c>
      <c r="J1721" s="25">
        <v>102.5</v>
      </c>
      <c r="K1721" s="16">
        <f t="shared" si="85"/>
        <v>145.5411159</v>
      </c>
      <c r="L1721" s="19">
        <f t="shared" si="86"/>
        <v>0.6336569915</v>
      </c>
      <c r="M1721" s="16">
        <f t="shared" si="87"/>
        <v>375.2255</v>
      </c>
      <c r="N1721" s="24"/>
    </row>
    <row r="1722">
      <c r="A1722" s="22"/>
      <c r="B1722" s="23" t="s">
        <v>2689</v>
      </c>
      <c r="C1722" s="24"/>
      <c r="D1722" s="25">
        <v>999.0</v>
      </c>
      <c r="E1722" s="16">
        <f t="shared" si="1"/>
        <v>68.931</v>
      </c>
      <c r="F1722" s="16">
        <f t="shared" si="59"/>
        <v>21.4785</v>
      </c>
      <c r="G1722" s="26">
        <v>586.39</v>
      </c>
      <c r="H1722" s="27">
        <v>0.15</v>
      </c>
      <c r="I1722" s="28">
        <f t="shared" si="84"/>
        <v>149.85</v>
      </c>
      <c r="J1722" s="25">
        <v>102.5</v>
      </c>
      <c r="K1722" s="16">
        <f t="shared" si="85"/>
        <v>69.8505</v>
      </c>
      <c r="L1722" s="19">
        <f t="shared" si="86"/>
        <v>0.119119528</v>
      </c>
      <c r="M1722" s="16">
        <f t="shared" si="87"/>
        <v>656.2405</v>
      </c>
      <c r="N1722" s="24"/>
    </row>
    <row r="1723">
      <c r="A1723" s="22"/>
      <c r="B1723" s="23" t="s">
        <v>2690</v>
      </c>
      <c r="C1723" s="24"/>
      <c r="D1723" s="25">
        <v>999.0</v>
      </c>
      <c r="E1723" s="16">
        <f t="shared" si="1"/>
        <v>68.931</v>
      </c>
      <c r="F1723" s="16">
        <f t="shared" si="59"/>
        <v>21.4785</v>
      </c>
      <c r="G1723" s="26">
        <v>586.39</v>
      </c>
      <c r="H1723" s="27">
        <v>0.15</v>
      </c>
      <c r="I1723" s="28">
        <f t="shared" si="84"/>
        <v>149.85</v>
      </c>
      <c r="J1723" s="25">
        <v>102.5</v>
      </c>
      <c r="K1723" s="16">
        <f t="shared" si="85"/>
        <v>69.8505</v>
      </c>
      <c r="L1723" s="19">
        <f t="shared" si="86"/>
        <v>0.119119528</v>
      </c>
      <c r="M1723" s="16">
        <f t="shared" si="87"/>
        <v>656.2405</v>
      </c>
      <c r="N1723" s="24"/>
    </row>
    <row r="1724">
      <c r="A1724" s="22"/>
      <c r="B1724" s="23" t="s">
        <v>2691</v>
      </c>
      <c r="C1724" s="24"/>
      <c r="D1724" s="25">
        <v>599.0</v>
      </c>
      <c r="E1724" s="16">
        <f t="shared" si="1"/>
        <v>41.331</v>
      </c>
      <c r="F1724" s="16">
        <f t="shared" si="59"/>
        <v>12.8785</v>
      </c>
      <c r="G1724" s="26">
        <v>388.39</v>
      </c>
      <c r="H1724" s="27">
        <v>0.1</v>
      </c>
      <c r="I1724" s="28">
        <f t="shared" si="84"/>
        <v>59.9</v>
      </c>
      <c r="J1724" s="25">
        <v>65.0</v>
      </c>
      <c r="K1724" s="16">
        <f t="shared" si="85"/>
        <v>31.5005</v>
      </c>
      <c r="L1724" s="19">
        <f t="shared" si="86"/>
        <v>0.08110533227</v>
      </c>
      <c r="M1724" s="16">
        <f t="shared" si="87"/>
        <v>419.8905</v>
      </c>
      <c r="N1724" s="24"/>
    </row>
    <row r="1725">
      <c r="A1725" s="22"/>
      <c r="B1725" s="23" t="s">
        <v>2692</v>
      </c>
      <c r="C1725" s="24"/>
      <c r="D1725" s="25">
        <v>999.0</v>
      </c>
      <c r="E1725" s="16">
        <f t="shared" si="1"/>
        <v>68.931</v>
      </c>
      <c r="F1725" s="16">
        <f t="shared" si="59"/>
        <v>21.4785</v>
      </c>
      <c r="G1725" s="26">
        <v>218.0</v>
      </c>
      <c r="H1725" s="43"/>
      <c r="I1725" s="28"/>
      <c r="J1725" s="24"/>
      <c r="K1725" s="24"/>
      <c r="L1725" s="43"/>
      <c r="M1725" s="28"/>
      <c r="N1725" s="24"/>
    </row>
    <row r="1726">
      <c r="A1726" s="22"/>
      <c r="B1726" s="23" t="s">
        <v>2693</v>
      </c>
      <c r="C1726" s="24"/>
      <c r="D1726" s="25">
        <v>999.0</v>
      </c>
      <c r="E1726" s="16">
        <f t="shared" si="1"/>
        <v>68.931</v>
      </c>
      <c r="F1726" s="16">
        <f t="shared" si="59"/>
        <v>21.4785</v>
      </c>
      <c r="G1726" s="26">
        <v>4720.49</v>
      </c>
      <c r="H1726" s="43"/>
      <c r="I1726" s="28"/>
      <c r="J1726" s="24"/>
      <c r="K1726" s="24"/>
      <c r="L1726" s="43"/>
      <c r="M1726" s="28"/>
      <c r="N1726" s="24"/>
    </row>
    <row r="1727">
      <c r="A1727" s="22"/>
      <c r="B1727" s="23" t="s">
        <v>2694</v>
      </c>
      <c r="C1727" s="24"/>
      <c r="D1727" s="25">
        <v>5299.0</v>
      </c>
      <c r="E1727" s="16">
        <f t="shared" si="1"/>
        <v>365.631</v>
      </c>
      <c r="F1727" s="16">
        <f t="shared" si="59"/>
        <v>113.9285</v>
      </c>
      <c r="G1727" s="26">
        <v>3475.09</v>
      </c>
      <c r="H1727" s="27">
        <v>0.11</v>
      </c>
      <c r="I1727" s="28">
        <f>H1727*D1727</f>
        <v>582.89</v>
      </c>
      <c r="J1727" s="25">
        <v>103.0</v>
      </c>
      <c r="K1727" s="16">
        <f>D1727-G1727-I1727-J1727-E1727-F1727</f>
        <v>658.4605</v>
      </c>
      <c r="L1727" s="19">
        <f>K1727/G1727</f>
        <v>0.1894801286</v>
      </c>
      <c r="M1727" s="16">
        <f>D1727-E1727-F1727-I1727-J1727</f>
        <v>4133.5505</v>
      </c>
      <c r="N1727" s="24"/>
    </row>
    <row r="1728">
      <c r="A1728" s="22"/>
      <c r="B1728" s="23" t="s">
        <v>2264</v>
      </c>
      <c r="C1728" s="24"/>
      <c r="D1728" s="25">
        <v>999.0</v>
      </c>
      <c r="E1728" s="16">
        <f t="shared" si="1"/>
        <v>68.931</v>
      </c>
      <c r="F1728" s="16">
        <f t="shared" si="59"/>
        <v>21.4785</v>
      </c>
      <c r="G1728" s="26">
        <v>3986.49</v>
      </c>
      <c r="H1728" s="43"/>
      <c r="I1728" s="28"/>
      <c r="J1728" s="24"/>
      <c r="K1728" s="24"/>
      <c r="L1728" s="43"/>
      <c r="M1728" s="28"/>
      <c r="N1728" s="24"/>
    </row>
    <row r="1729">
      <c r="A1729" s="22"/>
      <c r="B1729" s="23" t="s">
        <v>2695</v>
      </c>
      <c r="C1729" s="24"/>
      <c r="D1729" s="25">
        <v>999.0</v>
      </c>
      <c r="E1729" s="16">
        <f t="shared" si="1"/>
        <v>68.931</v>
      </c>
      <c r="F1729" s="16">
        <f t="shared" si="59"/>
        <v>21.4785</v>
      </c>
      <c r="G1729" s="26">
        <v>4773.0</v>
      </c>
      <c r="H1729" s="43"/>
      <c r="I1729" s="28"/>
      <c r="J1729" s="24"/>
      <c r="K1729" s="24"/>
      <c r="L1729" s="43"/>
      <c r="M1729" s="28"/>
      <c r="N1729" s="24"/>
    </row>
    <row r="1730">
      <c r="A1730" s="22"/>
      <c r="B1730" s="23" t="s">
        <v>2696</v>
      </c>
      <c r="C1730" s="24"/>
      <c r="D1730" s="25">
        <v>5999.0</v>
      </c>
      <c r="E1730" s="16">
        <f t="shared" si="1"/>
        <v>413.931</v>
      </c>
      <c r="F1730" s="16">
        <f t="shared" si="59"/>
        <v>128.9785</v>
      </c>
      <c r="G1730" s="26">
        <v>3986.49</v>
      </c>
      <c r="H1730" s="27">
        <v>0.15</v>
      </c>
      <c r="I1730" s="28">
        <f>H1730*D1730</f>
        <v>899.85</v>
      </c>
      <c r="J1730" s="25">
        <v>95.0</v>
      </c>
      <c r="K1730" s="16">
        <f>D1730-G1730-I1730-J1730-E1730-F1730</f>
        <v>474.7505</v>
      </c>
      <c r="L1730" s="19">
        <f>K1730/G1730</f>
        <v>0.119089851</v>
      </c>
      <c r="M1730" s="16">
        <f>D1730-E1730-F1730-I1730-J1730</f>
        <v>4461.2405</v>
      </c>
      <c r="N1730" s="24"/>
    </row>
    <row r="1731">
      <c r="A1731" s="22"/>
      <c r="B1731" s="23" t="s">
        <v>2697</v>
      </c>
      <c r="C1731" s="24"/>
      <c r="D1731" s="25">
        <v>999.0</v>
      </c>
      <c r="E1731" s="16">
        <f t="shared" si="1"/>
        <v>68.931</v>
      </c>
      <c r="F1731" s="16">
        <f t="shared" si="59"/>
        <v>21.4785</v>
      </c>
      <c r="G1731" s="26">
        <v>78.11</v>
      </c>
      <c r="H1731" s="43"/>
      <c r="I1731" s="28"/>
      <c r="J1731" s="24"/>
      <c r="K1731" s="24"/>
      <c r="L1731" s="43"/>
      <c r="M1731" s="28"/>
      <c r="N1731" s="24"/>
    </row>
    <row r="1732">
      <c r="A1732" s="22"/>
      <c r="B1732" s="23" t="s">
        <v>2698</v>
      </c>
      <c r="C1732" s="24"/>
      <c r="D1732" s="25">
        <v>999.0</v>
      </c>
      <c r="E1732" s="16">
        <f t="shared" si="1"/>
        <v>68.931</v>
      </c>
      <c r="F1732" s="16">
        <f t="shared" si="59"/>
        <v>21.4785</v>
      </c>
      <c r="G1732" s="26">
        <v>88.1</v>
      </c>
      <c r="H1732" s="43"/>
      <c r="I1732" s="28"/>
      <c r="J1732" s="24"/>
      <c r="K1732" s="24"/>
      <c r="L1732" s="43"/>
      <c r="M1732" s="28"/>
      <c r="N1732" s="24"/>
    </row>
    <row r="1733">
      <c r="A1733" s="22"/>
      <c r="B1733" s="23" t="s">
        <v>2699</v>
      </c>
      <c r="C1733" s="24"/>
      <c r="D1733" s="25">
        <v>999.0</v>
      </c>
      <c r="E1733" s="16">
        <f t="shared" si="1"/>
        <v>68.931</v>
      </c>
      <c r="F1733" s="16">
        <f t="shared" si="59"/>
        <v>21.4785</v>
      </c>
      <c r="G1733" s="26">
        <v>517.01</v>
      </c>
      <c r="H1733" s="27">
        <v>0.15</v>
      </c>
      <c r="I1733" s="28">
        <f t="shared" ref="I1733:I1737" si="88">H1733*D1733</f>
        <v>149.85</v>
      </c>
      <c r="J1733" s="25">
        <v>74.0</v>
      </c>
      <c r="K1733" s="16">
        <f t="shared" ref="K1733:K1737" si="89">D1733-G1733-I1733-J1733-E1733-F1733</f>
        <v>167.7305</v>
      </c>
      <c r="L1733" s="19">
        <f t="shared" ref="L1733:L1737" si="90">K1733/G1733</f>
        <v>0.3244240924</v>
      </c>
      <c r="M1733" s="16">
        <f t="shared" ref="M1733:M1737" si="91">D1733-E1733-F1733-I1733-J1733</f>
        <v>684.7405</v>
      </c>
      <c r="N1733" s="24"/>
    </row>
    <row r="1734">
      <c r="A1734" s="22"/>
      <c r="B1734" s="23" t="s">
        <v>2700</v>
      </c>
      <c r="C1734" s="24"/>
      <c r="D1734" s="25">
        <v>499.0</v>
      </c>
      <c r="E1734" s="16">
        <f t="shared" si="1"/>
        <v>34.431</v>
      </c>
      <c r="F1734" s="16">
        <f t="shared" si="59"/>
        <v>10.7285</v>
      </c>
      <c r="G1734" s="26">
        <v>60.91</v>
      </c>
      <c r="H1734" s="27">
        <v>0.15</v>
      </c>
      <c r="I1734" s="28">
        <f t="shared" si="88"/>
        <v>74.85</v>
      </c>
      <c r="J1734" s="25">
        <v>74.0</v>
      </c>
      <c r="K1734" s="16">
        <f t="shared" si="89"/>
        <v>244.0805</v>
      </c>
      <c r="L1734" s="19">
        <f t="shared" si="90"/>
        <v>4.007231982</v>
      </c>
      <c r="M1734" s="16">
        <f t="shared" si="91"/>
        <v>304.9905</v>
      </c>
      <c r="N1734" s="24"/>
    </row>
    <row r="1735">
      <c r="A1735" s="22"/>
      <c r="B1735" s="23" t="s">
        <v>2701</v>
      </c>
      <c r="C1735" s="24"/>
      <c r="D1735" s="25">
        <v>999.0</v>
      </c>
      <c r="E1735" s="16">
        <f t="shared" si="1"/>
        <v>68.931</v>
      </c>
      <c r="F1735" s="16">
        <f t="shared" si="59"/>
        <v>21.4785</v>
      </c>
      <c r="G1735" s="26">
        <v>199.15</v>
      </c>
      <c r="H1735" s="27">
        <v>0.15</v>
      </c>
      <c r="I1735" s="28">
        <f t="shared" si="88"/>
        <v>149.85</v>
      </c>
      <c r="J1735" s="25">
        <v>74.0</v>
      </c>
      <c r="K1735" s="16">
        <f t="shared" si="89"/>
        <v>485.5905</v>
      </c>
      <c r="L1735" s="19">
        <f t="shared" si="90"/>
        <v>2.43831534</v>
      </c>
      <c r="M1735" s="16">
        <f t="shared" si="91"/>
        <v>684.7405</v>
      </c>
      <c r="N1735" s="24"/>
    </row>
    <row r="1736">
      <c r="A1736" s="22"/>
      <c r="B1736" s="23" t="s">
        <v>2702</v>
      </c>
      <c r="C1736" s="24"/>
      <c r="D1736" s="25">
        <v>999.0</v>
      </c>
      <c r="E1736" s="16">
        <f t="shared" si="1"/>
        <v>68.931</v>
      </c>
      <c r="F1736" s="16">
        <f t="shared" si="59"/>
        <v>21.4785</v>
      </c>
      <c r="G1736" s="26">
        <v>137.88</v>
      </c>
      <c r="H1736" s="27">
        <v>0.15</v>
      </c>
      <c r="I1736" s="28">
        <f t="shared" si="88"/>
        <v>149.85</v>
      </c>
      <c r="J1736" s="25">
        <v>74.0</v>
      </c>
      <c r="K1736" s="16">
        <f t="shared" si="89"/>
        <v>546.8605</v>
      </c>
      <c r="L1736" s="19">
        <f t="shared" si="90"/>
        <v>3.966206121</v>
      </c>
      <c r="M1736" s="16">
        <f t="shared" si="91"/>
        <v>684.7405</v>
      </c>
      <c r="N1736" s="24"/>
    </row>
    <row r="1737">
      <c r="A1737" s="22"/>
      <c r="B1737" s="23" t="s">
        <v>2703</v>
      </c>
      <c r="C1737" s="24"/>
      <c r="D1737" s="25">
        <v>599.0</v>
      </c>
      <c r="E1737" s="16">
        <f t="shared" si="1"/>
        <v>41.331</v>
      </c>
      <c r="F1737" s="16">
        <f t="shared" si="59"/>
        <v>12.8785</v>
      </c>
      <c r="G1737" s="26">
        <v>298.65</v>
      </c>
      <c r="H1737" s="27">
        <v>0.15</v>
      </c>
      <c r="I1737" s="28">
        <f t="shared" si="88"/>
        <v>89.85</v>
      </c>
      <c r="J1737" s="25">
        <v>74.0</v>
      </c>
      <c r="K1737" s="16">
        <f t="shared" si="89"/>
        <v>82.2905</v>
      </c>
      <c r="L1737" s="19">
        <f t="shared" si="90"/>
        <v>0.2755416039</v>
      </c>
      <c r="M1737" s="16">
        <f t="shared" si="91"/>
        <v>380.9405</v>
      </c>
      <c r="N1737" s="24"/>
    </row>
    <row r="1738">
      <c r="A1738" s="22"/>
      <c r="B1738" s="23" t="s">
        <v>2704</v>
      </c>
      <c r="C1738" s="24"/>
      <c r="D1738" s="24"/>
      <c r="E1738" s="16">
        <f t="shared" si="1"/>
        <v>0</v>
      </c>
      <c r="F1738" s="16">
        <f t="shared" si="59"/>
        <v>0</v>
      </c>
      <c r="G1738" s="26"/>
      <c r="H1738" s="43"/>
      <c r="I1738" s="28"/>
      <c r="J1738" s="24"/>
      <c r="K1738" s="24"/>
      <c r="L1738" s="43"/>
      <c r="M1738" s="28"/>
      <c r="N1738" s="24"/>
    </row>
    <row r="1739">
      <c r="A1739" s="22"/>
      <c r="B1739" s="23" t="s">
        <v>2705</v>
      </c>
      <c r="C1739" s="24"/>
      <c r="D1739" s="24"/>
      <c r="E1739" s="16">
        <f t="shared" si="1"/>
        <v>0</v>
      </c>
      <c r="F1739" s="16">
        <f t="shared" si="59"/>
        <v>0</v>
      </c>
      <c r="G1739" s="26">
        <v>149.37</v>
      </c>
      <c r="H1739" s="43"/>
      <c r="I1739" s="28"/>
      <c r="J1739" s="24"/>
      <c r="K1739" s="24"/>
      <c r="L1739" s="43"/>
      <c r="M1739" s="28"/>
      <c r="N1739" s="24"/>
    </row>
    <row r="1740">
      <c r="A1740" s="22"/>
      <c r="B1740" s="23" t="s">
        <v>2706</v>
      </c>
      <c r="C1740" s="24"/>
      <c r="D1740" s="24"/>
      <c r="E1740" s="16">
        <f t="shared" si="1"/>
        <v>0</v>
      </c>
      <c r="F1740" s="16">
        <f t="shared" si="59"/>
        <v>0</v>
      </c>
      <c r="G1740" s="26">
        <v>57.46</v>
      </c>
      <c r="H1740" s="43"/>
      <c r="I1740" s="28"/>
      <c r="J1740" s="24"/>
      <c r="K1740" s="24"/>
      <c r="L1740" s="43"/>
      <c r="M1740" s="28"/>
      <c r="N1740" s="24"/>
    </row>
    <row r="1741">
      <c r="A1741" s="22"/>
      <c r="B1741" s="23" t="s">
        <v>2707</v>
      </c>
      <c r="C1741" s="24"/>
      <c r="D1741" s="24"/>
      <c r="E1741" s="16">
        <f t="shared" si="1"/>
        <v>0</v>
      </c>
      <c r="F1741" s="16">
        <f t="shared" si="59"/>
        <v>0</v>
      </c>
      <c r="G1741" s="26">
        <v>229.78</v>
      </c>
      <c r="H1741" s="43"/>
      <c r="I1741" s="28"/>
      <c r="J1741" s="24"/>
      <c r="K1741" s="24"/>
      <c r="L1741" s="43"/>
      <c r="M1741" s="28"/>
      <c r="N1741" s="24"/>
    </row>
    <row r="1742">
      <c r="A1742" s="22"/>
      <c r="B1742" s="23" t="s">
        <v>2708</v>
      </c>
      <c r="C1742" s="24"/>
      <c r="D1742" s="24"/>
      <c r="E1742" s="16">
        <f t="shared" si="1"/>
        <v>0</v>
      </c>
      <c r="F1742" s="16">
        <f t="shared" si="59"/>
        <v>0</v>
      </c>
      <c r="G1742" s="26">
        <v>260.52</v>
      </c>
      <c r="H1742" s="43"/>
      <c r="I1742" s="28"/>
      <c r="J1742" s="24"/>
      <c r="K1742" s="24"/>
      <c r="L1742" s="43"/>
      <c r="M1742" s="28"/>
      <c r="N1742" s="24"/>
    </row>
    <row r="1743">
      <c r="A1743" s="22"/>
      <c r="B1743" s="23" t="s">
        <v>2709</v>
      </c>
      <c r="C1743" s="24"/>
      <c r="D1743" s="24"/>
      <c r="E1743" s="16">
        <f t="shared" si="1"/>
        <v>0</v>
      </c>
      <c r="F1743" s="16">
        <f t="shared" si="59"/>
        <v>0</v>
      </c>
      <c r="G1743" s="26">
        <v>264.31</v>
      </c>
      <c r="H1743" s="43"/>
      <c r="I1743" s="28"/>
      <c r="J1743" s="24"/>
      <c r="K1743" s="24"/>
      <c r="L1743" s="43"/>
      <c r="M1743" s="28"/>
      <c r="N1743" s="24"/>
    </row>
    <row r="1744">
      <c r="A1744" s="22"/>
      <c r="B1744" s="23" t="s">
        <v>2710</v>
      </c>
      <c r="C1744" s="24"/>
      <c r="D1744" s="25">
        <v>299.0</v>
      </c>
      <c r="E1744" s="16">
        <f t="shared" si="1"/>
        <v>20.631</v>
      </c>
      <c r="F1744" s="16">
        <f t="shared" si="59"/>
        <v>6.4285</v>
      </c>
      <c r="G1744" s="26">
        <v>137.88</v>
      </c>
      <c r="H1744" s="27">
        <v>0.15</v>
      </c>
      <c r="I1744" s="28">
        <f t="shared" ref="I1744:I1746" si="92">H1744*D1744</f>
        <v>44.85</v>
      </c>
      <c r="J1744" s="25">
        <v>74.0</v>
      </c>
      <c r="K1744" s="16">
        <f t="shared" ref="K1744:K1746" si="93">D1744-G1744-I1744-J1744-E1744-F1744</f>
        <v>15.2105</v>
      </c>
      <c r="L1744" s="19">
        <f t="shared" ref="L1744:L1746" si="94">K1744/G1744</f>
        <v>0.1103169423</v>
      </c>
      <c r="M1744" s="16">
        <f t="shared" ref="M1744:M1746" si="95">D1744-E1744-F1744-I1744-J1744</f>
        <v>153.0905</v>
      </c>
      <c r="N1744" s="24"/>
    </row>
    <row r="1745">
      <c r="A1745" s="22"/>
      <c r="B1745" s="23" t="s">
        <v>2711</v>
      </c>
      <c r="C1745" s="24"/>
      <c r="D1745" s="25">
        <v>399.0</v>
      </c>
      <c r="E1745" s="16">
        <f t="shared" si="1"/>
        <v>27.531</v>
      </c>
      <c r="F1745" s="16">
        <f t="shared" si="59"/>
        <v>8.5785</v>
      </c>
      <c r="G1745" s="26">
        <v>149.37</v>
      </c>
      <c r="H1745" s="27">
        <v>0.15</v>
      </c>
      <c r="I1745" s="28">
        <f t="shared" si="92"/>
        <v>59.85</v>
      </c>
      <c r="J1745" s="25">
        <v>74.0</v>
      </c>
      <c r="K1745" s="16">
        <f t="shared" si="93"/>
        <v>79.6705</v>
      </c>
      <c r="L1745" s="19">
        <f t="shared" si="94"/>
        <v>0.5333768494</v>
      </c>
      <c r="M1745" s="16">
        <f t="shared" si="95"/>
        <v>229.0405</v>
      </c>
      <c r="N1745" s="24"/>
    </row>
    <row r="1746">
      <c r="A1746" s="22"/>
      <c r="B1746" s="23" t="s">
        <v>2712</v>
      </c>
      <c r="C1746" s="24"/>
      <c r="D1746" s="25">
        <v>599.0</v>
      </c>
      <c r="E1746" s="16">
        <f t="shared" si="1"/>
        <v>41.331</v>
      </c>
      <c r="F1746" s="16">
        <f t="shared" si="59"/>
        <v>12.8785</v>
      </c>
      <c r="G1746" s="26">
        <v>298.65</v>
      </c>
      <c r="H1746" s="27">
        <v>0.15</v>
      </c>
      <c r="I1746" s="28">
        <f t="shared" si="92"/>
        <v>89.85</v>
      </c>
      <c r="J1746" s="25">
        <v>74.0</v>
      </c>
      <c r="K1746" s="16">
        <f t="shared" si="93"/>
        <v>82.2905</v>
      </c>
      <c r="L1746" s="19">
        <f t="shared" si="94"/>
        <v>0.2755416039</v>
      </c>
      <c r="M1746" s="16">
        <f t="shared" si="95"/>
        <v>380.9405</v>
      </c>
      <c r="N1746" s="24"/>
    </row>
    <row r="1747">
      <c r="A1747" s="22"/>
      <c r="B1747" s="23" t="s">
        <v>2713</v>
      </c>
      <c r="C1747" s="24"/>
      <c r="D1747" s="24"/>
      <c r="E1747" s="24"/>
      <c r="F1747" s="24"/>
      <c r="G1747" s="26">
        <v>141.7</v>
      </c>
      <c r="H1747" s="43"/>
      <c r="I1747" s="28"/>
      <c r="J1747" s="24"/>
      <c r="K1747" s="24"/>
      <c r="L1747" s="43"/>
      <c r="M1747" s="28"/>
      <c r="N1747" s="24"/>
    </row>
    <row r="1748">
      <c r="A1748" s="22"/>
      <c r="B1748" s="23" t="s">
        <v>2714</v>
      </c>
      <c r="C1748" s="24"/>
      <c r="D1748" s="24"/>
      <c r="E1748" s="24"/>
      <c r="F1748" s="24"/>
      <c r="G1748" s="26">
        <v>264.31</v>
      </c>
      <c r="H1748" s="43"/>
      <c r="I1748" s="28"/>
      <c r="J1748" s="24"/>
      <c r="K1748" s="24"/>
      <c r="L1748" s="43"/>
      <c r="M1748" s="28"/>
      <c r="N1748" s="24"/>
    </row>
    <row r="1749">
      <c r="A1749" s="22"/>
      <c r="B1749" s="23" t="s">
        <v>2715</v>
      </c>
      <c r="C1749" s="24"/>
      <c r="D1749" s="25">
        <v>299.0</v>
      </c>
      <c r="E1749" s="16">
        <f>D1749*0.069</f>
        <v>20.631</v>
      </c>
      <c r="F1749" s="16">
        <f>D1749*0.0215</f>
        <v>6.4285</v>
      </c>
      <c r="G1749" s="26">
        <v>107.24</v>
      </c>
      <c r="H1749" s="27">
        <v>0.15</v>
      </c>
      <c r="I1749" s="28">
        <f>H1749*D1749</f>
        <v>44.85</v>
      </c>
      <c r="J1749" s="25">
        <v>84.0</v>
      </c>
      <c r="K1749" s="16">
        <f>D1749-G1749-I1749-J1749-E1749-F1749</f>
        <v>35.8505</v>
      </c>
      <c r="L1749" s="19">
        <f>K1749/G1749</f>
        <v>0.3343015666</v>
      </c>
      <c r="M1749" s="16">
        <f>D1749-E1749-F1749-I1749-J1749</f>
        <v>143.0905</v>
      </c>
      <c r="N1749" s="24"/>
    </row>
    <row r="1750">
      <c r="A1750" s="22"/>
      <c r="B1750" s="22"/>
      <c r="C1750" s="24"/>
      <c r="D1750" s="24"/>
      <c r="E1750" s="24"/>
      <c r="F1750" s="24"/>
      <c r="G1750" s="35"/>
      <c r="H1750" s="43"/>
      <c r="I1750" s="28"/>
      <c r="J1750" s="24"/>
      <c r="K1750" s="24"/>
      <c r="L1750" s="43"/>
      <c r="M1750" s="28"/>
      <c r="N1750" s="24"/>
    </row>
    <row r="1751">
      <c r="A1751" s="22"/>
      <c r="B1751" s="22"/>
      <c r="C1751" s="24"/>
      <c r="D1751" s="24"/>
      <c r="E1751" s="24"/>
      <c r="F1751" s="24"/>
      <c r="G1751" s="35"/>
      <c r="H1751" s="43"/>
      <c r="I1751" s="28"/>
      <c r="J1751" s="24"/>
      <c r="K1751" s="24"/>
      <c r="L1751" s="43"/>
      <c r="M1751" s="28"/>
      <c r="N1751" s="24"/>
    </row>
    <row r="1752">
      <c r="A1752" s="22"/>
      <c r="B1752" s="22"/>
      <c r="C1752" s="24"/>
      <c r="D1752" s="24"/>
      <c r="E1752" s="24"/>
      <c r="F1752" s="24"/>
      <c r="G1752" s="35"/>
      <c r="H1752" s="43"/>
      <c r="I1752" s="28"/>
      <c r="J1752" s="24"/>
      <c r="K1752" s="24"/>
      <c r="L1752" s="43"/>
      <c r="M1752" s="28"/>
      <c r="N1752" s="24"/>
    </row>
    <row r="1753">
      <c r="A1753" s="22"/>
      <c r="B1753" s="22"/>
      <c r="C1753" s="24"/>
      <c r="D1753" s="24"/>
      <c r="E1753" s="24"/>
      <c r="F1753" s="24"/>
      <c r="G1753" s="35"/>
      <c r="H1753" s="43"/>
      <c r="I1753" s="28"/>
      <c r="J1753" s="24"/>
      <c r="K1753" s="24"/>
      <c r="L1753" s="43"/>
      <c r="M1753" s="28"/>
      <c r="N1753" s="24"/>
    </row>
    <row r="1754">
      <c r="A1754" s="22"/>
      <c r="B1754" s="22"/>
      <c r="C1754" s="24"/>
      <c r="D1754" s="24"/>
      <c r="E1754" s="24"/>
      <c r="F1754" s="24"/>
      <c r="G1754" s="35"/>
      <c r="H1754" s="43"/>
      <c r="I1754" s="28"/>
      <c r="J1754" s="24"/>
      <c r="K1754" s="24"/>
      <c r="L1754" s="43"/>
      <c r="M1754" s="28"/>
      <c r="N1754" s="24"/>
    </row>
    <row r="1755">
      <c r="A1755" s="22"/>
      <c r="B1755" s="22"/>
      <c r="C1755" s="24"/>
      <c r="D1755" s="24"/>
      <c r="E1755" s="24"/>
      <c r="F1755" s="24"/>
      <c r="G1755" s="35"/>
      <c r="H1755" s="43"/>
      <c r="I1755" s="28"/>
      <c r="J1755" s="24"/>
      <c r="K1755" s="24"/>
      <c r="L1755" s="43"/>
      <c r="M1755" s="28"/>
      <c r="N1755" s="24"/>
    </row>
    <row r="1756">
      <c r="A1756" s="22"/>
      <c r="B1756" s="22"/>
      <c r="C1756" s="24"/>
      <c r="D1756" s="24"/>
      <c r="E1756" s="24"/>
      <c r="F1756" s="24"/>
      <c r="G1756" s="35"/>
      <c r="H1756" s="43"/>
      <c r="I1756" s="28"/>
      <c r="J1756" s="24"/>
      <c r="K1756" s="24"/>
      <c r="L1756" s="43"/>
      <c r="M1756" s="28"/>
      <c r="N1756" s="24"/>
    </row>
    <row r="1757">
      <c r="A1757" s="22"/>
      <c r="B1757" s="22"/>
      <c r="C1757" s="24"/>
      <c r="D1757" s="24"/>
      <c r="E1757" s="24"/>
      <c r="F1757" s="24"/>
      <c r="G1757" s="35"/>
      <c r="H1757" s="43"/>
      <c r="I1757" s="28"/>
      <c r="J1757" s="24"/>
      <c r="K1757" s="24"/>
      <c r="L1757" s="43"/>
      <c r="M1757" s="28"/>
      <c r="N1757" s="24"/>
    </row>
    <row r="1758">
      <c r="A1758" s="22"/>
      <c r="B1758" s="22"/>
      <c r="C1758" s="24"/>
      <c r="D1758" s="24"/>
      <c r="E1758" s="24"/>
      <c r="F1758" s="24"/>
      <c r="G1758" s="35"/>
      <c r="H1758" s="43"/>
      <c r="I1758" s="28"/>
      <c r="J1758" s="24"/>
      <c r="K1758" s="24"/>
      <c r="L1758" s="43"/>
      <c r="M1758" s="28"/>
      <c r="N1758" s="24"/>
    </row>
    <row r="1759">
      <c r="A1759" s="22"/>
      <c r="B1759" s="22"/>
      <c r="C1759" s="24"/>
      <c r="D1759" s="24"/>
      <c r="E1759" s="24"/>
      <c r="F1759" s="24"/>
      <c r="G1759" s="35"/>
      <c r="H1759" s="43"/>
      <c r="I1759" s="28"/>
      <c r="J1759" s="24"/>
      <c r="K1759" s="24"/>
      <c r="L1759" s="43"/>
      <c r="M1759" s="28"/>
      <c r="N1759" s="24"/>
    </row>
    <row r="1760">
      <c r="A1760" s="22"/>
      <c r="B1760" s="22"/>
      <c r="C1760" s="24"/>
      <c r="D1760" s="24"/>
      <c r="E1760" s="24"/>
      <c r="F1760" s="24"/>
      <c r="G1760" s="35"/>
      <c r="H1760" s="43"/>
      <c r="I1760" s="28"/>
      <c r="J1760" s="24"/>
      <c r="K1760" s="24"/>
      <c r="L1760" s="43"/>
      <c r="M1760" s="28"/>
      <c r="N1760" s="24"/>
    </row>
    <row r="1761">
      <c r="A1761" s="22"/>
      <c r="B1761" s="22"/>
      <c r="C1761" s="24"/>
      <c r="D1761" s="24"/>
      <c r="E1761" s="24"/>
      <c r="F1761" s="24"/>
      <c r="G1761" s="35"/>
      <c r="H1761" s="43"/>
      <c r="I1761" s="28"/>
      <c r="J1761" s="24"/>
      <c r="K1761" s="24"/>
      <c r="L1761" s="43"/>
      <c r="M1761" s="28"/>
      <c r="N1761" s="24"/>
    </row>
    <row r="1762">
      <c r="A1762" s="22"/>
      <c r="B1762" s="22"/>
      <c r="C1762" s="24"/>
      <c r="D1762" s="24"/>
      <c r="E1762" s="24"/>
      <c r="F1762" s="24"/>
      <c r="G1762" s="35"/>
      <c r="H1762" s="43"/>
      <c r="I1762" s="28"/>
      <c r="J1762" s="24"/>
      <c r="K1762" s="24"/>
      <c r="L1762" s="43"/>
      <c r="M1762" s="28"/>
      <c r="N1762" s="24"/>
    </row>
    <row r="1763">
      <c r="A1763" s="22"/>
      <c r="B1763" s="22"/>
      <c r="C1763" s="24"/>
      <c r="D1763" s="24"/>
      <c r="E1763" s="24"/>
      <c r="F1763" s="24"/>
      <c r="G1763" s="35"/>
      <c r="H1763" s="43"/>
      <c r="I1763" s="28"/>
      <c r="J1763" s="24"/>
      <c r="K1763" s="24"/>
      <c r="L1763" s="43"/>
      <c r="M1763" s="28"/>
      <c r="N1763" s="24"/>
    </row>
    <row r="1764">
      <c r="A1764" s="22"/>
      <c r="B1764" s="22"/>
      <c r="C1764" s="24"/>
      <c r="D1764" s="24"/>
      <c r="E1764" s="24"/>
      <c r="F1764" s="24"/>
      <c r="G1764" s="35"/>
      <c r="H1764" s="43"/>
      <c r="I1764" s="28"/>
      <c r="J1764" s="24"/>
      <c r="K1764" s="24"/>
      <c r="L1764" s="43"/>
      <c r="M1764" s="28"/>
      <c r="N1764" s="24"/>
    </row>
    <row r="1765">
      <c r="A1765" s="22"/>
      <c r="B1765" s="22"/>
      <c r="C1765" s="24"/>
      <c r="D1765" s="24"/>
      <c r="E1765" s="24"/>
      <c r="F1765" s="24"/>
      <c r="G1765" s="35"/>
      <c r="H1765" s="43"/>
      <c r="I1765" s="28"/>
      <c r="J1765" s="24"/>
      <c r="K1765" s="24"/>
      <c r="L1765" s="43"/>
      <c r="M1765" s="28"/>
      <c r="N1765" s="24"/>
    </row>
    <row r="1766">
      <c r="A1766" s="22"/>
      <c r="B1766" s="22"/>
      <c r="C1766" s="24"/>
      <c r="D1766" s="24"/>
      <c r="E1766" s="24"/>
      <c r="F1766" s="24"/>
      <c r="G1766" s="35"/>
      <c r="H1766" s="43"/>
      <c r="I1766" s="28"/>
      <c r="J1766" s="24"/>
      <c r="K1766" s="24"/>
      <c r="L1766" s="43"/>
      <c r="M1766" s="28"/>
      <c r="N1766" s="24"/>
    </row>
    <row r="1767">
      <c r="A1767" s="22"/>
      <c r="B1767" s="22"/>
      <c r="C1767" s="24"/>
      <c r="D1767" s="24"/>
      <c r="E1767" s="24"/>
      <c r="F1767" s="24"/>
      <c r="G1767" s="35"/>
      <c r="H1767" s="43"/>
      <c r="I1767" s="28"/>
      <c r="J1767" s="24"/>
      <c r="K1767" s="24"/>
      <c r="L1767" s="43"/>
      <c r="M1767" s="28"/>
      <c r="N1767" s="24"/>
    </row>
    <row r="1768">
      <c r="A1768" s="22"/>
      <c r="B1768" s="22"/>
      <c r="C1768" s="24"/>
      <c r="D1768" s="24"/>
      <c r="E1768" s="24"/>
      <c r="F1768" s="24"/>
      <c r="G1768" s="35"/>
      <c r="H1768" s="43"/>
      <c r="I1768" s="28"/>
      <c r="J1768" s="24"/>
      <c r="K1768" s="24"/>
      <c r="L1768" s="43"/>
      <c r="M1768" s="28"/>
      <c r="N1768" s="24"/>
    </row>
    <row r="1769">
      <c r="A1769" s="22"/>
      <c r="B1769" s="22"/>
      <c r="C1769" s="24"/>
      <c r="D1769" s="24"/>
      <c r="E1769" s="24"/>
      <c r="F1769" s="24"/>
      <c r="G1769" s="35"/>
      <c r="H1769" s="43"/>
      <c r="I1769" s="28"/>
      <c r="J1769" s="24"/>
      <c r="K1769" s="24"/>
      <c r="L1769" s="43"/>
      <c r="M1769" s="28"/>
      <c r="N1769" s="24"/>
    </row>
    <row r="1770">
      <c r="A1770" s="22"/>
      <c r="B1770" s="22"/>
      <c r="C1770" s="24"/>
      <c r="D1770" s="24"/>
      <c r="E1770" s="24"/>
      <c r="F1770" s="24"/>
      <c r="G1770" s="35"/>
      <c r="H1770" s="43"/>
      <c r="I1770" s="28"/>
      <c r="J1770" s="24"/>
      <c r="K1770" s="24"/>
      <c r="L1770" s="43"/>
      <c r="M1770" s="28"/>
      <c r="N1770" s="24"/>
    </row>
    <row r="1771">
      <c r="A1771" s="22"/>
      <c r="B1771" s="22"/>
      <c r="C1771" s="24"/>
      <c r="D1771" s="24"/>
      <c r="E1771" s="24"/>
      <c r="F1771" s="24"/>
      <c r="G1771" s="35"/>
      <c r="H1771" s="43"/>
      <c r="I1771" s="28"/>
      <c r="J1771" s="24"/>
      <c r="K1771" s="24"/>
      <c r="L1771" s="43"/>
      <c r="M1771" s="28"/>
      <c r="N1771" s="24"/>
    </row>
    <row r="1772">
      <c r="A1772" s="22"/>
      <c r="B1772" s="22"/>
      <c r="C1772" s="24"/>
      <c r="D1772" s="24"/>
      <c r="E1772" s="24"/>
      <c r="F1772" s="24"/>
      <c r="G1772" s="35"/>
      <c r="H1772" s="43"/>
      <c r="I1772" s="28"/>
      <c r="J1772" s="24"/>
      <c r="K1772" s="24"/>
      <c r="L1772" s="43"/>
      <c r="M1772" s="28"/>
      <c r="N1772" s="24"/>
    </row>
    <row r="1773">
      <c r="A1773" s="22"/>
      <c r="B1773" s="22"/>
      <c r="C1773" s="24"/>
      <c r="D1773" s="24"/>
      <c r="E1773" s="24"/>
      <c r="F1773" s="24"/>
      <c r="G1773" s="35"/>
      <c r="H1773" s="43"/>
      <c r="I1773" s="28"/>
      <c r="J1773" s="24"/>
      <c r="K1773" s="24"/>
      <c r="L1773" s="43"/>
      <c r="M1773" s="28"/>
      <c r="N1773" s="24"/>
    </row>
    <row r="1774">
      <c r="A1774" s="22"/>
      <c r="B1774" s="22"/>
      <c r="C1774" s="24"/>
      <c r="D1774" s="24"/>
      <c r="E1774" s="24"/>
      <c r="F1774" s="24"/>
      <c r="G1774" s="35"/>
      <c r="H1774" s="43"/>
      <c r="I1774" s="28"/>
      <c r="J1774" s="24"/>
      <c r="K1774" s="24"/>
      <c r="L1774" s="43"/>
      <c r="M1774" s="28"/>
      <c r="N1774" s="24"/>
    </row>
    <row r="1775">
      <c r="A1775" s="22"/>
      <c r="B1775" s="22"/>
      <c r="C1775" s="24"/>
      <c r="D1775" s="24"/>
      <c r="E1775" s="24"/>
      <c r="F1775" s="24"/>
      <c r="G1775" s="35"/>
      <c r="H1775" s="43"/>
      <c r="I1775" s="28"/>
      <c r="J1775" s="24"/>
      <c r="K1775" s="24"/>
      <c r="L1775" s="43"/>
      <c r="M1775" s="28"/>
      <c r="N1775" s="24"/>
    </row>
    <row r="1776">
      <c r="A1776" s="22"/>
      <c r="B1776" s="22"/>
      <c r="C1776" s="24"/>
      <c r="D1776" s="24"/>
      <c r="E1776" s="24"/>
      <c r="F1776" s="24"/>
      <c r="G1776" s="35"/>
      <c r="H1776" s="43"/>
      <c r="I1776" s="28"/>
      <c r="J1776" s="24"/>
      <c r="K1776" s="24"/>
      <c r="L1776" s="43"/>
      <c r="M1776" s="28"/>
      <c r="N1776" s="24"/>
    </row>
    <row r="1777">
      <c r="A1777" s="22"/>
      <c r="B1777" s="22"/>
      <c r="C1777" s="24"/>
      <c r="D1777" s="24"/>
      <c r="E1777" s="24"/>
      <c r="F1777" s="24"/>
      <c r="G1777" s="35"/>
      <c r="H1777" s="43"/>
      <c r="I1777" s="28"/>
      <c r="J1777" s="24"/>
      <c r="K1777" s="24"/>
      <c r="L1777" s="43"/>
      <c r="M1777" s="28"/>
      <c r="N1777" s="24"/>
    </row>
    <row r="1778">
      <c r="A1778" s="22"/>
      <c r="B1778" s="22"/>
      <c r="C1778" s="24"/>
      <c r="D1778" s="24"/>
      <c r="E1778" s="24"/>
      <c r="F1778" s="24"/>
      <c r="G1778" s="35"/>
      <c r="H1778" s="43"/>
      <c r="I1778" s="28"/>
      <c r="J1778" s="24"/>
      <c r="K1778" s="24"/>
      <c r="L1778" s="43"/>
      <c r="M1778" s="28"/>
      <c r="N1778" s="24"/>
    </row>
    <row r="1779">
      <c r="A1779" s="22"/>
      <c r="B1779" s="22"/>
      <c r="C1779" s="24"/>
      <c r="D1779" s="24"/>
      <c r="E1779" s="24"/>
      <c r="F1779" s="24"/>
      <c r="G1779" s="35"/>
      <c r="H1779" s="43"/>
      <c r="I1779" s="28"/>
      <c r="J1779" s="24"/>
      <c r="K1779" s="24"/>
      <c r="L1779" s="43"/>
      <c r="M1779" s="28"/>
      <c r="N1779" s="24"/>
    </row>
    <row r="1780">
      <c r="A1780" s="22"/>
      <c r="B1780" s="22"/>
      <c r="C1780" s="24"/>
      <c r="D1780" s="24"/>
      <c r="E1780" s="24"/>
      <c r="F1780" s="24"/>
      <c r="G1780" s="35"/>
      <c r="H1780" s="43"/>
      <c r="I1780" s="28"/>
      <c r="J1780" s="24"/>
      <c r="K1780" s="24"/>
      <c r="L1780" s="43"/>
      <c r="M1780" s="28"/>
      <c r="N1780" s="24"/>
    </row>
    <row r="1781">
      <c r="A1781" s="22"/>
      <c r="B1781" s="22"/>
      <c r="C1781" s="24"/>
      <c r="D1781" s="24"/>
      <c r="E1781" s="24"/>
      <c r="F1781" s="24"/>
      <c r="G1781" s="35"/>
      <c r="H1781" s="43"/>
      <c r="I1781" s="28"/>
      <c r="J1781" s="24"/>
      <c r="K1781" s="24"/>
      <c r="L1781" s="43"/>
      <c r="M1781" s="28"/>
      <c r="N1781" s="24"/>
    </row>
    <row r="1782">
      <c r="A1782" s="22"/>
      <c r="B1782" s="22"/>
      <c r="C1782" s="24"/>
      <c r="D1782" s="24"/>
      <c r="E1782" s="24"/>
      <c r="F1782" s="24"/>
      <c r="G1782" s="35"/>
      <c r="H1782" s="43"/>
      <c r="I1782" s="28"/>
      <c r="J1782" s="24"/>
      <c r="K1782" s="24"/>
      <c r="L1782" s="43"/>
      <c r="M1782" s="28"/>
      <c r="N1782" s="24"/>
    </row>
    <row r="1783">
      <c r="A1783" s="22"/>
      <c r="B1783" s="22"/>
      <c r="C1783" s="24"/>
      <c r="D1783" s="24"/>
      <c r="E1783" s="24"/>
      <c r="F1783" s="24"/>
      <c r="G1783" s="35"/>
      <c r="H1783" s="43"/>
      <c r="I1783" s="28"/>
      <c r="J1783" s="24"/>
      <c r="K1783" s="24"/>
      <c r="L1783" s="43"/>
      <c r="M1783" s="28"/>
      <c r="N1783" s="24"/>
    </row>
    <row r="1784">
      <c r="A1784" s="22"/>
      <c r="B1784" s="22"/>
      <c r="C1784" s="24"/>
      <c r="D1784" s="24"/>
      <c r="E1784" s="24"/>
      <c r="F1784" s="24"/>
      <c r="G1784" s="35"/>
      <c r="H1784" s="43"/>
      <c r="I1784" s="28"/>
      <c r="J1784" s="24"/>
      <c r="K1784" s="24"/>
      <c r="L1784" s="43"/>
      <c r="M1784" s="28"/>
      <c r="N1784" s="24"/>
    </row>
    <row r="1785">
      <c r="A1785" s="22"/>
      <c r="B1785" s="22"/>
      <c r="C1785" s="24"/>
      <c r="D1785" s="24"/>
      <c r="E1785" s="24"/>
      <c r="F1785" s="24"/>
      <c r="G1785" s="35"/>
      <c r="H1785" s="43"/>
      <c r="I1785" s="28"/>
      <c r="J1785" s="24"/>
      <c r="K1785" s="24"/>
      <c r="L1785" s="43"/>
      <c r="M1785" s="28"/>
      <c r="N1785" s="24"/>
    </row>
    <row r="1786">
      <c r="A1786" s="22"/>
      <c r="B1786" s="22"/>
      <c r="C1786" s="24"/>
      <c r="D1786" s="24"/>
      <c r="E1786" s="24"/>
      <c r="F1786" s="24"/>
      <c r="G1786" s="35"/>
      <c r="H1786" s="43"/>
      <c r="I1786" s="28"/>
      <c r="J1786" s="24"/>
      <c r="K1786" s="24"/>
      <c r="L1786" s="43"/>
      <c r="M1786" s="28"/>
      <c r="N1786" s="24"/>
    </row>
    <row r="1787">
      <c r="A1787" s="22"/>
      <c r="B1787" s="22"/>
      <c r="C1787" s="24"/>
      <c r="D1787" s="24"/>
      <c r="E1787" s="24"/>
      <c r="F1787" s="24"/>
      <c r="G1787" s="35"/>
      <c r="H1787" s="43"/>
      <c r="I1787" s="28"/>
      <c r="J1787" s="24"/>
      <c r="K1787" s="24"/>
      <c r="L1787" s="43"/>
      <c r="M1787" s="28"/>
      <c r="N1787" s="24"/>
    </row>
    <row r="1788">
      <c r="A1788" s="22"/>
      <c r="B1788" s="22"/>
      <c r="C1788" s="24"/>
      <c r="D1788" s="24"/>
      <c r="E1788" s="24"/>
      <c r="F1788" s="24"/>
      <c r="G1788" s="35"/>
      <c r="H1788" s="43"/>
      <c r="I1788" s="28"/>
      <c r="J1788" s="24"/>
      <c r="K1788" s="24"/>
      <c r="L1788" s="43"/>
      <c r="M1788" s="28"/>
      <c r="N1788" s="24"/>
    </row>
    <row r="1789">
      <c r="A1789" s="22"/>
      <c r="B1789" s="22"/>
      <c r="C1789" s="24"/>
      <c r="D1789" s="24"/>
      <c r="E1789" s="24"/>
      <c r="F1789" s="24"/>
      <c r="G1789" s="35"/>
      <c r="H1789" s="43"/>
      <c r="I1789" s="28"/>
      <c r="J1789" s="24"/>
      <c r="K1789" s="24"/>
      <c r="L1789" s="43"/>
      <c r="M1789" s="28"/>
      <c r="N1789" s="24"/>
    </row>
    <row r="1790">
      <c r="A1790" s="22"/>
      <c r="B1790" s="22"/>
      <c r="C1790" s="24"/>
      <c r="D1790" s="24"/>
      <c r="E1790" s="24"/>
      <c r="F1790" s="24"/>
      <c r="G1790" s="35"/>
      <c r="H1790" s="43"/>
      <c r="I1790" s="28"/>
      <c r="J1790" s="24"/>
      <c r="K1790" s="24"/>
      <c r="L1790" s="43"/>
      <c r="M1790" s="28"/>
      <c r="N1790" s="24"/>
    </row>
    <row r="1791">
      <c r="A1791" s="22"/>
      <c r="B1791" s="22"/>
      <c r="C1791" s="24"/>
      <c r="D1791" s="24"/>
      <c r="E1791" s="24"/>
      <c r="F1791" s="24"/>
      <c r="G1791" s="35"/>
      <c r="H1791" s="43"/>
      <c r="I1791" s="28"/>
      <c r="J1791" s="24"/>
      <c r="K1791" s="24"/>
      <c r="L1791" s="43"/>
      <c r="M1791" s="28"/>
      <c r="N1791" s="24"/>
    </row>
    <row r="1792">
      <c r="A1792" s="22"/>
      <c r="B1792" s="22"/>
      <c r="C1792" s="24"/>
      <c r="D1792" s="24"/>
      <c r="E1792" s="24"/>
      <c r="F1792" s="24"/>
      <c r="G1792" s="35"/>
      <c r="H1792" s="43"/>
      <c r="I1792" s="28"/>
      <c r="J1792" s="24"/>
      <c r="K1792" s="24"/>
      <c r="L1792" s="43"/>
      <c r="M1792" s="28"/>
      <c r="N1792" s="24"/>
    </row>
    <row r="1793">
      <c r="A1793" s="22"/>
      <c r="B1793" s="22"/>
      <c r="C1793" s="24"/>
      <c r="D1793" s="24"/>
      <c r="E1793" s="24"/>
      <c r="F1793" s="24"/>
      <c r="G1793" s="35"/>
      <c r="H1793" s="43"/>
      <c r="I1793" s="28"/>
      <c r="J1793" s="24"/>
      <c r="K1793" s="24"/>
      <c r="L1793" s="43"/>
      <c r="M1793" s="28"/>
      <c r="N1793" s="24"/>
    </row>
    <row r="1794">
      <c r="A1794" s="22"/>
      <c r="B1794" s="22"/>
      <c r="C1794" s="24"/>
      <c r="D1794" s="24"/>
      <c r="E1794" s="24"/>
      <c r="F1794" s="24"/>
      <c r="G1794" s="35"/>
      <c r="H1794" s="43"/>
      <c r="I1794" s="28"/>
      <c r="J1794" s="24"/>
      <c r="K1794" s="24"/>
      <c r="L1794" s="43"/>
      <c r="M1794" s="28"/>
      <c r="N1794" s="24"/>
    </row>
    <row r="1795">
      <c r="A1795" s="22"/>
      <c r="B1795" s="22"/>
      <c r="C1795" s="24"/>
      <c r="D1795" s="24"/>
      <c r="E1795" s="24"/>
      <c r="F1795" s="24"/>
      <c r="G1795" s="35"/>
      <c r="H1795" s="43"/>
      <c r="I1795" s="28"/>
      <c r="J1795" s="24"/>
      <c r="K1795" s="24"/>
      <c r="L1795" s="43"/>
      <c r="M1795" s="28"/>
      <c r="N1795" s="24"/>
    </row>
    <row r="1796">
      <c r="A1796" s="22"/>
      <c r="B1796" s="22"/>
      <c r="C1796" s="24"/>
      <c r="D1796" s="24"/>
      <c r="E1796" s="24"/>
      <c r="F1796" s="24"/>
      <c r="G1796" s="35"/>
      <c r="H1796" s="43"/>
      <c r="I1796" s="28"/>
      <c r="J1796" s="24"/>
      <c r="K1796" s="24"/>
      <c r="L1796" s="43"/>
      <c r="M1796" s="28"/>
      <c r="N1796" s="24"/>
    </row>
    <row r="1797">
      <c r="A1797" s="22"/>
      <c r="B1797" s="22"/>
      <c r="C1797" s="24"/>
      <c r="D1797" s="24"/>
      <c r="E1797" s="24"/>
      <c r="F1797" s="24"/>
      <c r="G1797" s="35"/>
      <c r="H1797" s="43"/>
      <c r="I1797" s="28"/>
      <c r="J1797" s="24"/>
      <c r="K1797" s="24"/>
      <c r="L1797" s="43"/>
      <c r="M1797" s="28"/>
      <c r="N1797" s="24"/>
    </row>
    <row r="1798">
      <c r="A1798" s="22"/>
      <c r="B1798" s="22"/>
      <c r="C1798" s="24"/>
      <c r="D1798" s="24"/>
      <c r="E1798" s="24"/>
      <c r="F1798" s="24"/>
      <c r="G1798" s="35"/>
      <c r="H1798" s="43"/>
      <c r="I1798" s="28"/>
      <c r="J1798" s="24"/>
      <c r="K1798" s="24"/>
      <c r="L1798" s="43"/>
      <c r="M1798" s="28"/>
      <c r="N1798" s="24"/>
    </row>
    <row r="1799">
      <c r="A1799" s="22"/>
      <c r="B1799" s="22"/>
      <c r="C1799" s="24"/>
      <c r="D1799" s="24"/>
      <c r="E1799" s="24"/>
      <c r="F1799" s="24"/>
      <c r="G1799" s="35"/>
      <c r="H1799" s="43"/>
      <c r="I1799" s="28"/>
      <c r="J1799" s="24"/>
      <c r="K1799" s="24"/>
      <c r="L1799" s="43"/>
      <c r="M1799" s="28"/>
      <c r="N1799" s="24"/>
    </row>
    <row r="1800">
      <c r="A1800" s="22"/>
      <c r="B1800" s="22"/>
      <c r="C1800" s="24"/>
      <c r="D1800" s="24"/>
      <c r="E1800" s="24"/>
      <c r="F1800" s="24"/>
      <c r="G1800" s="35"/>
      <c r="H1800" s="43"/>
      <c r="I1800" s="28"/>
      <c r="J1800" s="24"/>
      <c r="K1800" s="24"/>
      <c r="L1800" s="43"/>
      <c r="M1800" s="28"/>
      <c r="N1800" s="24"/>
    </row>
    <row r="1801">
      <c r="A1801" s="22"/>
      <c r="B1801" s="22"/>
      <c r="C1801" s="24"/>
      <c r="D1801" s="24"/>
      <c r="E1801" s="24"/>
      <c r="F1801" s="24"/>
      <c r="G1801" s="35"/>
      <c r="H1801" s="43"/>
      <c r="I1801" s="28"/>
      <c r="J1801" s="24"/>
      <c r="K1801" s="24"/>
      <c r="L1801" s="43"/>
      <c r="M1801" s="28"/>
      <c r="N1801" s="24"/>
    </row>
    <row r="1802">
      <c r="A1802" s="22"/>
      <c r="B1802" s="22"/>
      <c r="C1802" s="24"/>
      <c r="D1802" s="24"/>
      <c r="E1802" s="24"/>
      <c r="F1802" s="24"/>
      <c r="G1802" s="35"/>
      <c r="H1802" s="43"/>
      <c r="I1802" s="28"/>
      <c r="J1802" s="24"/>
      <c r="K1802" s="24"/>
      <c r="L1802" s="43"/>
      <c r="M1802" s="28"/>
      <c r="N1802" s="24"/>
    </row>
    <row r="1803">
      <c r="A1803" s="22"/>
      <c r="B1803" s="22"/>
      <c r="C1803" s="24"/>
      <c r="D1803" s="24"/>
      <c r="E1803" s="24"/>
      <c r="F1803" s="24"/>
      <c r="G1803" s="35"/>
      <c r="H1803" s="43"/>
      <c r="I1803" s="28"/>
      <c r="J1803" s="24"/>
      <c r="K1803" s="24"/>
      <c r="L1803" s="43"/>
      <c r="M1803" s="28"/>
      <c r="N1803" s="24"/>
    </row>
    <row r="1804">
      <c r="A1804" s="22"/>
      <c r="B1804" s="22"/>
      <c r="C1804" s="24"/>
      <c r="D1804" s="24"/>
      <c r="E1804" s="24"/>
      <c r="F1804" s="24"/>
      <c r="G1804" s="35"/>
      <c r="H1804" s="43"/>
      <c r="I1804" s="28"/>
      <c r="J1804" s="24"/>
      <c r="K1804" s="24"/>
      <c r="L1804" s="43"/>
      <c r="M1804" s="28"/>
      <c r="N1804" s="24"/>
    </row>
    <row r="1805">
      <c r="A1805" s="22"/>
      <c r="B1805" s="22"/>
      <c r="C1805" s="24"/>
      <c r="D1805" s="24"/>
      <c r="E1805" s="24"/>
      <c r="F1805" s="24"/>
      <c r="G1805" s="35"/>
      <c r="H1805" s="43"/>
      <c r="I1805" s="28"/>
      <c r="J1805" s="24"/>
      <c r="K1805" s="24"/>
      <c r="L1805" s="43"/>
      <c r="M1805" s="28"/>
      <c r="N1805" s="24"/>
    </row>
    <row r="1806">
      <c r="A1806" s="22"/>
      <c r="B1806" s="22"/>
      <c r="C1806" s="24"/>
      <c r="D1806" s="24"/>
      <c r="E1806" s="24"/>
      <c r="F1806" s="24"/>
      <c r="G1806" s="35"/>
      <c r="H1806" s="43"/>
      <c r="I1806" s="28"/>
      <c r="J1806" s="24"/>
      <c r="K1806" s="24"/>
      <c r="L1806" s="43"/>
      <c r="M1806" s="28"/>
      <c r="N1806" s="24"/>
    </row>
    <row r="1807">
      <c r="A1807" s="22"/>
      <c r="B1807" s="22"/>
      <c r="C1807" s="24"/>
      <c r="D1807" s="24"/>
      <c r="E1807" s="24"/>
      <c r="F1807" s="24"/>
      <c r="G1807" s="35"/>
      <c r="H1807" s="43"/>
      <c r="I1807" s="28"/>
      <c r="J1807" s="24"/>
      <c r="K1807" s="24"/>
      <c r="L1807" s="43"/>
      <c r="M1807" s="28"/>
      <c r="N1807" s="24"/>
    </row>
    <row r="1808">
      <c r="A1808" s="22"/>
      <c r="B1808" s="22"/>
      <c r="C1808" s="24"/>
      <c r="D1808" s="24"/>
      <c r="E1808" s="24"/>
      <c r="F1808" s="24"/>
      <c r="G1808" s="35"/>
      <c r="H1808" s="43"/>
      <c r="I1808" s="28"/>
      <c r="J1808" s="24"/>
      <c r="K1808" s="24"/>
      <c r="L1808" s="43"/>
      <c r="M1808" s="28"/>
      <c r="N1808" s="24"/>
    </row>
    <row r="1809">
      <c r="A1809" s="22"/>
      <c r="B1809" s="22"/>
      <c r="C1809" s="24"/>
      <c r="D1809" s="24"/>
      <c r="E1809" s="24"/>
      <c r="F1809" s="24"/>
      <c r="G1809" s="35"/>
      <c r="H1809" s="43"/>
      <c r="I1809" s="28"/>
      <c r="J1809" s="24"/>
      <c r="K1809" s="24"/>
      <c r="L1809" s="43"/>
      <c r="M1809" s="28"/>
      <c r="N1809" s="24"/>
    </row>
    <row r="1810">
      <c r="A1810" s="22"/>
      <c r="B1810" s="22"/>
      <c r="C1810" s="24"/>
      <c r="D1810" s="24"/>
      <c r="E1810" s="24"/>
      <c r="F1810" s="24"/>
      <c r="G1810" s="35"/>
      <c r="H1810" s="43"/>
      <c r="I1810" s="28"/>
      <c r="J1810" s="24"/>
      <c r="K1810" s="24"/>
      <c r="L1810" s="43"/>
      <c r="M1810" s="28"/>
      <c r="N1810" s="24"/>
    </row>
    <row r="1811">
      <c r="A1811" s="22"/>
      <c r="B1811" s="22"/>
      <c r="C1811" s="24"/>
      <c r="D1811" s="24"/>
      <c r="E1811" s="24"/>
      <c r="F1811" s="24"/>
      <c r="G1811" s="35"/>
      <c r="H1811" s="43"/>
      <c r="I1811" s="28"/>
      <c r="J1811" s="24"/>
      <c r="K1811" s="24"/>
      <c r="L1811" s="43"/>
      <c r="M1811" s="28"/>
      <c r="N1811" s="24"/>
    </row>
    <row r="1812">
      <c r="A1812" s="22"/>
      <c r="B1812" s="22"/>
      <c r="C1812" s="24"/>
      <c r="D1812" s="24"/>
      <c r="E1812" s="24"/>
      <c r="F1812" s="24"/>
      <c r="G1812" s="35"/>
      <c r="H1812" s="43"/>
      <c r="I1812" s="28"/>
      <c r="J1812" s="24"/>
      <c r="K1812" s="24"/>
      <c r="L1812" s="43"/>
      <c r="M1812" s="28"/>
      <c r="N1812" s="24"/>
    </row>
    <row r="1813">
      <c r="A1813" s="22"/>
      <c r="B1813" s="22"/>
      <c r="C1813" s="24"/>
      <c r="D1813" s="24"/>
      <c r="E1813" s="24"/>
      <c r="F1813" s="24"/>
      <c r="G1813" s="35"/>
      <c r="H1813" s="43"/>
      <c r="I1813" s="28"/>
      <c r="J1813" s="24"/>
      <c r="K1813" s="24"/>
      <c r="L1813" s="43"/>
      <c r="M1813" s="28"/>
      <c r="N1813" s="24"/>
    </row>
    <row r="1814">
      <c r="A1814" s="22"/>
      <c r="B1814" s="22"/>
      <c r="C1814" s="24"/>
      <c r="D1814" s="24"/>
      <c r="E1814" s="24"/>
      <c r="F1814" s="24"/>
      <c r="G1814" s="35"/>
      <c r="H1814" s="43"/>
      <c r="I1814" s="28"/>
      <c r="J1814" s="24"/>
      <c r="K1814" s="24"/>
      <c r="L1814" s="43"/>
      <c r="M1814" s="28"/>
      <c r="N1814" s="24"/>
    </row>
    <row r="1815">
      <c r="A1815" s="22"/>
      <c r="B1815" s="22"/>
      <c r="C1815" s="24"/>
      <c r="D1815" s="24"/>
      <c r="E1815" s="24"/>
      <c r="F1815" s="24"/>
      <c r="G1815" s="35"/>
      <c r="H1815" s="43"/>
      <c r="I1815" s="28"/>
      <c r="J1815" s="24"/>
      <c r="K1815" s="24"/>
      <c r="L1815" s="43"/>
      <c r="M1815" s="28"/>
      <c r="N1815" s="24"/>
    </row>
    <row r="1816">
      <c r="A1816" s="22"/>
      <c r="B1816" s="22"/>
      <c r="C1816" s="24"/>
      <c r="D1816" s="24"/>
      <c r="E1816" s="24"/>
      <c r="F1816" s="24"/>
      <c r="G1816" s="35"/>
      <c r="H1816" s="43"/>
      <c r="I1816" s="28"/>
      <c r="J1816" s="24"/>
      <c r="K1816" s="24"/>
      <c r="L1816" s="43"/>
      <c r="M1816" s="28"/>
      <c r="N1816" s="24"/>
    </row>
    <row r="1817">
      <c r="A1817" s="22"/>
      <c r="B1817" s="22"/>
      <c r="C1817" s="24"/>
      <c r="D1817" s="24"/>
      <c r="E1817" s="24"/>
      <c r="F1817" s="24"/>
      <c r="G1817" s="35"/>
      <c r="H1817" s="43"/>
      <c r="I1817" s="28"/>
      <c r="J1817" s="24"/>
      <c r="K1817" s="24"/>
      <c r="L1817" s="43"/>
      <c r="M1817" s="28"/>
      <c r="N1817" s="24"/>
    </row>
    <row r="1818">
      <c r="A1818" s="22"/>
      <c r="B1818" s="22"/>
      <c r="C1818" s="24"/>
      <c r="D1818" s="24"/>
      <c r="E1818" s="24"/>
      <c r="F1818" s="24"/>
      <c r="G1818" s="35"/>
      <c r="H1818" s="43"/>
      <c r="I1818" s="28"/>
      <c r="J1818" s="24"/>
      <c r="K1818" s="24"/>
      <c r="L1818" s="43"/>
      <c r="M1818" s="28"/>
      <c r="N1818" s="24"/>
    </row>
    <row r="1819">
      <c r="A1819" s="22"/>
      <c r="B1819" s="22"/>
      <c r="C1819" s="24"/>
      <c r="D1819" s="24"/>
      <c r="E1819" s="24"/>
      <c r="F1819" s="24"/>
      <c r="G1819" s="35"/>
      <c r="H1819" s="43"/>
      <c r="I1819" s="28"/>
      <c r="J1819" s="24"/>
      <c r="K1819" s="24"/>
      <c r="L1819" s="43"/>
      <c r="M1819" s="28"/>
      <c r="N1819" s="24"/>
    </row>
    <row r="1820">
      <c r="A1820" s="22"/>
      <c r="B1820" s="22"/>
      <c r="C1820" s="24"/>
      <c r="D1820" s="24"/>
      <c r="E1820" s="24"/>
      <c r="F1820" s="24"/>
      <c r="G1820" s="35"/>
      <c r="H1820" s="43"/>
      <c r="I1820" s="28"/>
      <c r="J1820" s="24"/>
      <c r="K1820" s="24"/>
      <c r="L1820" s="43"/>
      <c r="M1820" s="28"/>
      <c r="N1820" s="24"/>
    </row>
    <row r="1821">
      <c r="A1821" s="22"/>
      <c r="B1821" s="22"/>
      <c r="C1821" s="24"/>
      <c r="D1821" s="24"/>
      <c r="E1821" s="24"/>
      <c r="F1821" s="24"/>
      <c r="G1821" s="35"/>
      <c r="H1821" s="43"/>
      <c r="I1821" s="28"/>
      <c r="J1821" s="24"/>
      <c r="K1821" s="24"/>
      <c r="L1821" s="43"/>
      <c r="M1821" s="28"/>
      <c r="N1821" s="24"/>
    </row>
    <row r="1822">
      <c r="A1822" s="22"/>
      <c r="B1822" s="22"/>
      <c r="C1822" s="24"/>
      <c r="D1822" s="24"/>
      <c r="E1822" s="24"/>
      <c r="F1822" s="24"/>
      <c r="G1822" s="35"/>
      <c r="H1822" s="43"/>
      <c r="I1822" s="28"/>
      <c r="J1822" s="24"/>
      <c r="K1822" s="24"/>
      <c r="L1822" s="43"/>
      <c r="M1822" s="28"/>
      <c r="N1822" s="24"/>
    </row>
    <row r="1823">
      <c r="A1823" s="22"/>
      <c r="B1823" s="22"/>
      <c r="C1823" s="24"/>
      <c r="D1823" s="24"/>
      <c r="E1823" s="24"/>
      <c r="F1823" s="24"/>
      <c r="G1823" s="35"/>
      <c r="H1823" s="43"/>
      <c r="I1823" s="28"/>
      <c r="J1823" s="24"/>
      <c r="K1823" s="24"/>
      <c r="L1823" s="43"/>
      <c r="M1823" s="28"/>
      <c r="N1823" s="24"/>
    </row>
    <row r="1824">
      <c r="A1824" s="22"/>
      <c r="B1824" s="22"/>
      <c r="C1824" s="24"/>
      <c r="D1824" s="24"/>
      <c r="E1824" s="24"/>
      <c r="F1824" s="24"/>
      <c r="G1824" s="35"/>
      <c r="H1824" s="43"/>
      <c r="I1824" s="28"/>
      <c r="J1824" s="24"/>
      <c r="K1824" s="24"/>
      <c r="L1824" s="43"/>
      <c r="M1824" s="28"/>
      <c r="N1824" s="24"/>
    </row>
    <row r="1825">
      <c r="A1825" s="22"/>
      <c r="B1825" s="22"/>
      <c r="C1825" s="24"/>
      <c r="D1825" s="24"/>
      <c r="E1825" s="24"/>
      <c r="F1825" s="24"/>
      <c r="G1825" s="35"/>
      <c r="H1825" s="43"/>
      <c r="I1825" s="28"/>
      <c r="J1825" s="24"/>
      <c r="K1825" s="24"/>
      <c r="L1825" s="43"/>
      <c r="M1825" s="28"/>
      <c r="N1825" s="24"/>
    </row>
    <row r="1826">
      <c r="A1826" s="22"/>
      <c r="B1826" s="22"/>
      <c r="C1826" s="24"/>
      <c r="D1826" s="24"/>
      <c r="E1826" s="24"/>
      <c r="F1826" s="24"/>
      <c r="G1826" s="35"/>
      <c r="H1826" s="43"/>
      <c r="I1826" s="28"/>
      <c r="J1826" s="24"/>
      <c r="K1826" s="24"/>
      <c r="L1826" s="43"/>
      <c r="M1826" s="28"/>
      <c r="N1826" s="24"/>
    </row>
    <row r="1827">
      <c r="A1827" s="22"/>
      <c r="B1827" s="22"/>
      <c r="C1827" s="24"/>
      <c r="D1827" s="24"/>
      <c r="E1827" s="24"/>
      <c r="F1827" s="24"/>
      <c r="G1827" s="35"/>
      <c r="H1827" s="43"/>
      <c r="I1827" s="28"/>
      <c r="J1827" s="24"/>
      <c r="K1827" s="24"/>
      <c r="L1827" s="43"/>
      <c r="M1827" s="28"/>
      <c r="N1827" s="24"/>
    </row>
    <row r="1828">
      <c r="A1828" s="22"/>
      <c r="B1828" s="22"/>
      <c r="C1828" s="24"/>
      <c r="D1828" s="24"/>
      <c r="E1828" s="24"/>
      <c r="F1828" s="24"/>
      <c r="G1828" s="35"/>
      <c r="H1828" s="43"/>
      <c r="I1828" s="28"/>
      <c r="J1828" s="24"/>
      <c r="K1828" s="24"/>
      <c r="L1828" s="43"/>
      <c r="M1828" s="28"/>
      <c r="N1828" s="24"/>
    </row>
    <row r="1829">
      <c r="A1829" s="22"/>
      <c r="B1829" s="22"/>
      <c r="C1829" s="24"/>
      <c r="D1829" s="24"/>
      <c r="E1829" s="24"/>
      <c r="F1829" s="24"/>
      <c r="G1829" s="35"/>
      <c r="H1829" s="43"/>
      <c r="I1829" s="28"/>
      <c r="J1829" s="24"/>
      <c r="K1829" s="24"/>
      <c r="L1829" s="43"/>
      <c r="M1829" s="28"/>
      <c r="N1829" s="24"/>
    </row>
    <row r="1830">
      <c r="A1830" s="22"/>
      <c r="B1830" s="22"/>
      <c r="C1830" s="24"/>
      <c r="D1830" s="24"/>
      <c r="E1830" s="24"/>
      <c r="F1830" s="24"/>
      <c r="G1830" s="35"/>
      <c r="H1830" s="43"/>
      <c r="I1830" s="28"/>
      <c r="J1830" s="24"/>
      <c r="K1830" s="24"/>
      <c r="L1830" s="43"/>
      <c r="M1830" s="28"/>
      <c r="N1830" s="24"/>
    </row>
    <row r="1831">
      <c r="A1831" s="22"/>
      <c r="B1831" s="22"/>
      <c r="C1831" s="24"/>
      <c r="D1831" s="24"/>
      <c r="E1831" s="24"/>
      <c r="F1831" s="24"/>
      <c r="G1831" s="35"/>
      <c r="H1831" s="43"/>
      <c r="I1831" s="28"/>
      <c r="J1831" s="24"/>
      <c r="K1831" s="24"/>
      <c r="L1831" s="43"/>
      <c r="M1831" s="28"/>
      <c r="N1831" s="24"/>
    </row>
    <row r="1832">
      <c r="A1832" s="22"/>
      <c r="B1832" s="22"/>
      <c r="C1832" s="24"/>
      <c r="D1832" s="24"/>
      <c r="E1832" s="24"/>
      <c r="F1832" s="24"/>
      <c r="G1832" s="35"/>
      <c r="H1832" s="43"/>
      <c r="I1832" s="28"/>
      <c r="J1832" s="24"/>
      <c r="K1832" s="24"/>
      <c r="L1832" s="43"/>
      <c r="M1832" s="28"/>
      <c r="N1832" s="24"/>
    </row>
    <row r="1833">
      <c r="A1833" s="22"/>
      <c r="B1833" s="22"/>
      <c r="C1833" s="24"/>
      <c r="D1833" s="24"/>
      <c r="E1833" s="24"/>
      <c r="F1833" s="24"/>
      <c r="G1833" s="35"/>
      <c r="H1833" s="43"/>
      <c r="I1833" s="28"/>
      <c r="J1833" s="24"/>
      <c r="K1833" s="24"/>
      <c r="L1833" s="43"/>
      <c r="M1833" s="28"/>
      <c r="N1833" s="24"/>
    </row>
    <row r="1834">
      <c r="A1834" s="22"/>
      <c r="B1834" s="22"/>
      <c r="C1834" s="24"/>
      <c r="D1834" s="24"/>
      <c r="E1834" s="24"/>
      <c r="F1834" s="24"/>
      <c r="G1834" s="35"/>
      <c r="H1834" s="43"/>
      <c r="I1834" s="28"/>
      <c r="J1834" s="24"/>
      <c r="K1834" s="24"/>
      <c r="L1834" s="43"/>
      <c r="M1834" s="28"/>
      <c r="N1834" s="24"/>
    </row>
    <row r="1835">
      <c r="A1835" s="22"/>
      <c r="B1835" s="22"/>
      <c r="C1835" s="24"/>
      <c r="D1835" s="24"/>
      <c r="E1835" s="24"/>
      <c r="F1835" s="24"/>
      <c r="G1835" s="35"/>
      <c r="H1835" s="43"/>
      <c r="I1835" s="28"/>
      <c r="J1835" s="24"/>
      <c r="K1835" s="24"/>
      <c r="L1835" s="43"/>
      <c r="M1835" s="28"/>
      <c r="N1835" s="24"/>
    </row>
    <row r="1836">
      <c r="A1836" s="22"/>
      <c r="B1836" s="22"/>
      <c r="C1836" s="24"/>
      <c r="D1836" s="24"/>
      <c r="E1836" s="24"/>
      <c r="F1836" s="24"/>
      <c r="G1836" s="35"/>
      <c r="H1836" s="43"/>
      <c r="I1836" s="28"/>
      <c r="J1836" s="24"/>
      <c r="K1836" s="24"/>
      <c r="L1836" s="43"/>
      <c r="M1836" s="28"/>
      <c r="N1836" s="24"/>
    </row>
    <row r="1837">
      <c r="A1837" s="22"/>
      <c r="B1837" s="22"/>
      <c r="C1837" s="24"/>
      <c r="D1837" s="24"/>
      <c r="E1837" s="24"/>
      <c r="F1837" s="24"/>
      <c r="G1837" s="35"/>
      <c r="H1837" s="43"/>
      <c r="I1837" s="28"/>
      <c r="J1837" s="24"/>
      <c r="K1837" s="24"/>
      <c r="L1837" s="43"/>
      <c r="M1837" s="28"/>
      <c r="N1837" s="24"/>
    </row>
    <row r="1838">
      <c r="A1838" s="22"/>
      <c r="B1838" s="22"/>
      <c r="C1838" s="24"/>
      <c r="D1838" s="24"/>
      <c r="E1838" s="24"/>
      <c r="F1838" s="24"/>
      <c r="G1838" s="35"/>
      <c r="H1838" s="43"/>
      <c r="I1838" s="28"/>
      <c r="J1838" s="24"/>
      <c r="K1838" s="24"/>
      <c r="L1838" s="43"/>
      <c r="M1838" s="28"/>
      <c r="N1838" s="24"/>
    </row>
    <row r="1839">
      <c r="A1839" s="22"/>
      <c r="B1839" s="22"/>
      <c r="C1839" s="24"/>
      <c r="D1839" s="24"/>
      <c r="E1839" s="24"/>
      <c r="F1839" s="24"/>
      <c r="G1839" s="35"/>
      <c r="H1839" s="43"/>
      <c r="I1839" s="28"/>
      <c r="J1839" s="24"/>
      <c r="K1839" s="24"/>
      <c r="L1839" s="43"/>
      <c r="M1839" s="28"/>
      <c r="N1839" s="24"/>
    </row>
    <row r="1840">
      <c r="A1840" s="22"/>
      <c r="B1840" s="22"/>
      <c r="C1840" s="24"/>
      <c r="D1840" s="24"/>
      <c r="E1840" s="24"/>
      <c r="F1840" s="24"/>
      <c r="G1840" s="35"/>
      <c r="H1840" s="43"/>
      <c r="I1840" s="28"/>
      <c r="J1840" s="24"/>
      <c r="K1840" s="24"/>
      <c r="L1840" s="43"/>
      <c r="M1840" s="28"/>
      <c r="N1840" s="24"/>
    </row>
    <row r="1841">
      <c r="A1841" s="22"/>
      <c r="B1841" s="22"/>
      <c r="C1841" s="24"/>
      <c r="D1841" s="24"/>
      <c r="E1841" s="24"/>
      <c r="F1841" s="24"/>
      <c r="G1841" s="35"/>
      <c r="H1841" s="43"/>
      <c r="I1841" s="28"/>
      <c r="J1841" s="24"/>
      <c r="K1841" s="24"/>
      <c r="L1841" s="43"/>
      <c r="M1841" s="28"/>
      <c r="N1841" s="24"/>
    </row>
    <row r="1842">
      <c r="A1842" s="22"/>
      <c r="B1842" s="22"/>
      <c r="C1842" s="24"/>
      <c r="D1842" s="24"/>
      <c r="E1842" s="24"/>
      <c r="F1842" s="24"/>
      <c r="G1842" s="35"/>
      <c r="H1842" s="43"/>
      <c r="I1842" s="28"/>
      <c r="J1842" s="24"/>
      <c r="K1842" s="24"/>
      <c r="L1842" s="43"/>
      <c r="M1842" s="28"/>
      <c r="N1842" s="24"/>
    </row>
    <row r="1843">
      <c r="A1843" s="22"/>
      <c r="B1843" s="22"/>
      <c r="C1843" s="24"/>
      <c r="D1843" s="24"/>
      <c r="E1843" s="24"/>
      <c r="F1843" s="24"/>
      <c r="G1843" s="35"/>
      <c r="H1843" s="43"/>
      <c r="I1843" s="28"/>
      <c r="J1843" s="24"/>
      <c r="K1843" s="24"/>
      <c r="L1843" s="43"/>
      <c r="M1843" s="28"/>
      <c r="N1843" s="24"/>
    </row>
    <row r="1844">
      <c r="A1844" s="22"/>
      <c r="B1844" s="22"/>
      <c r="C1844" s="24"/>
      <c r="D1844" s="24"/>
      <c r="E1844" s="24"/>
      <c r="F1844" s="24"/>
      <c r="G1844" s="35"/>
      <c r="H1844" s="43"/>
      <c r="I1844" s="28"/>
      <c r="J1844" s="24"/>
      <c r="K1844" s="24"/>
      <c r="L1844" s="43"/>
      <c r="M1844" s="28"/>
      <c r="N1844" s="24"/>
    </row>
    <row r="1845">
      <c r="A1845" s="22"/>
      <c r="B1845" s="22"/>
      <c r="C1845" s="24"/>
      <c r="D1845" s="24"/>
      <c r="E1845" s="24"/>
      <c r="F1845" s="24"/>
      <c r="G1845" s="35"/>
      <c r="H1845" s="43"/>
      <c r="I1845" s="28"/>
      <c r="J1845" s="24"/>
      <c r="K1845" s="24"/>
      <c r="L1845" s="43"/>
      <c r="M1845" s="28"/>
      <c r="N1845" s="24"/>
    </row>
    <row r="1846">
      <c r="A1846" s="22"/>
      <c r="B1846" s="22"/>
      <c r="C1846" s="24"/>
      <c r="D1846" s="24"/>
      <c r="E1846" s="24"/>
      <c r="F1846" s="24"/>
      <c r="G1846" s="35"/>
      <c r="H1846" s="43"/>
      <c r="I1846" s="28"/>
      <c r="J1846" s="24"/>
      <c r="K1846" s="24"/>
      <c r="L1846" s="43"/>
      <c r="M1846" s="28"/>
      <c r="N1846" s="24"/>
    </row>
    <row r="1847">
      <c r="A1847" s="22"/>
      <c r="B1847" s="22"/>
      <c r="C1847" s="24"/>
      <c r="D1847" s="24"/>
      <c r="E1847" s="24"/>
      <c r="F1847" s="24"/>
      <c r="G1847" s="35"/>
      <c r="H1847" s="43"/>
      <c r="I1847" s="28"/>
      <c r="J1847" s="24"/>
      <c r="K1847" s="24"/>
      <c r="L1847" s="43"/>
      <c r="M1847" s="28"/>
      <c r="N1847" s="24"/>
    </row>
    <row r="1848">
      <c r="A1848" s="22"/>
      <c r="B1848" s="22"/>
      <c r="C1848" s="24"/>
      <c r="D1848" s="24"/>
      <c r="E1848" s="24"/>
      <c r="F1848" s="24"/>
      <c r="G1848" s="35"/>
      <c r="H1848" s="43"/>
      <c r="I1848" s="28"/>
      <c r="J1848" s="24"/>
      <c r="K1848" s="24"/>
      <c r="L1848" s="43"/>
      <c r="M1848" s="28"/>
      <c r="N1848" s="24"/>
    </row>
    <row r="1849">
      <c r="A1849" s="22"/>
      <c r="B1849" s="22"/>
      <c r="C1849" s="24"/>
      <c r="D1849" s="24"/>
      <c r="E1849" s="24"/>
      <c r="F1849" s="24"/>
      <c r="G1849" s="35"/>
      <c r="H1849" s="43"/>
      <c r="I1849" s="28"/>
      <c r="J1849" s="24"/>
      <c r="K1849" s="24"/>
      <c r="L1849" s="43"/>
      <c r="M1849" s="28"/>
      <c r="N1849" s="24"/>
    </row>
    <row r="1850">
      <c r="A1850" s="22"/>
      <c r="B1850" s="22"/>
      <c r="C1850" s="24"/>
      <c r="D1850" s="24"/>
      <c r="E1850" s="24"/>
      <c r="F1850" s="24"/>
      <c r="G1850" s="35"/>
      <c r="H1850" s="43"/>
      <c r="I1850" s="28"/>
      <c r="J1850" s="24"/>
      <c r="K1850" s="24"/>
      <c r="L1850" s="43"/>
      <c r="M1850" s="28"/>
      <c r="N1850" s="24"/>
    </row>
    <row r="1851">
      <c r="A1851" s="22"/>
      <c r="B1851" s="22"/>
      <c r="C1851" s="24"/>
      <c r="D1851" s="24"/>
      <c r="E1851" s="24"/>
      <c r="F1851" s="24"/>
      <c r="G1851" s="35"/>
      <c r="H1851" s="43"/>
      <c r="I1851" s="28"/>
      <c r="J1851" s="24"/>
      <c r="K1851" s="24"/>
      <c r="L1851" s="43"/>
      <c r="M1851" s="28"/>
      <c r="N1851" s="24"/>
    </row>
    <row r="1852">
      <c r="A1852" s="22"/>
      <c r="B1852" s="22"/>
      <c r="C1852" s="24"/>
      <c r="D1852" s="24"/>
      <c r="E1852" s="24"/>
      <c r="F1852" s="24"/>
      <c r="G1852" s="35"/>
      <c r="H1852" s="43"/>
      <c r="I1852" s="28"/>
      <c r="J1852" s="24"/>
      <c r="K1852" s="24"/>
      <c r="L1852" s="43"/>
      <c r="M1852" s="28"/>
      <c r="N1852" s="24"/>
    </row>
    <row r="1853">
      <c r="A1853" s="22"/>
      <c r="B1853" s="22"/>
      <c r="C1853" s="24"/>
      <c r="D1853" s="24"/>
      <c r="E1853" s="24"/>
      <c r="F1853" s="24"/>
      <c r="G1853" s="35"/>
      <c r="H1853" s="43"/>
      <c r="I1853" s="28"/>
      <c r="J1853" s="24"/>
      <c r="K1853" s="24"/>
      <c r="L1853" s="43"/>
      <c r="M1853" s="28"/>
      <c r="N1853" s="24"/>
    </row>
    <row r="1854">
      <c r="A1854" s="22"/>
      <c r="B1854" s="22"/>
      <c r="C1854" s="24"/>
      <c r="D1854" s="24"/>
      <c r="E1854" s="24"/>
      <c r="F1854" s="24"/>
      <c r="G1854" s="35"/>
      <c r="H1854" s="43"/>
      <c r="I1854" s="28"/>
      <c r="J1854" s="24"/>
      <c r="K1854" s="24"/>
      <c r="L1854" s="43"/>
      <c r="M1854" s="28"/>
      <c r="N1854" s="24"/>
    </row>
    <row r="1855">
      <c r="A1855" s="22"/>
      <c r="B1855" s="22"/>
      <c r="C1855" s="24"/>
      <c r="D1855" s="24"/>
      <c r="E1855" s="24"/>
      <c r="F1855" s="24"/>
      <c r="G1855" s="35"/>
      <c r="H1855" s="43"/>
      <c r="I1855" s="28"/>
      <c r="J1855" s="24"/>
      <c r="K1855" s="24"/>
      <c r="L1855" s="43"/>
      <c r="M1855" s="28"/>
      <c r="N1855" s="24"/>
    </row>
    <row r="1856">
      <c r="A1856" s="22"/>
      <c r="B1856" s="22"/>
      <c r="C1856" s="24"/>
      <c r="D1856" s="24"/>
      <c r="E1856" s="24"/>
      <c r="F1856" s="24"/>
      <c r="G1856" s="35"/>
      <c r="H1856" s="43"/>
      <c r="I1856" s="28"/>
      <c r="J1856" s="24"/>
      <c r="K1856" s="24"/>
      <c r="L1856" s="43"/>
      <c r="M1856" s="28"/>
      <c r="N1856" s="24"/>
    </row>
    <row r="1857">
      <c r="A1857" s="22"/>
      <c r="B1857" s="22"/>
      <c r="C1857" s="24"/>
      <c r="D1857" s="24"/>
      <c r="E1857" s="24"/>
      <c r="F1857" s="24"/>
      <c r="G1857" s="35"/>
      <c r="H1857" s="43"/>
      <c r="I1857" s="28"/>
      <c r="J1857" s="24"/>
      <c r="K1857" s="24"/>
      <c r="L1857" s="43"/>
      <c r="M1857" s="28"/>
      <c r="N1857" s="24"/>
    </row>
    <row r="1858">
      <c r="A1858" s="22"/>
      <c r="B1858" s="22"/>
      <c r="C1858" s="24"/>
      <c r="D1858" s="24"/>
      <c r="E1858" s="24"/>
      <c r="F1858" s="24"/>
      <c r="G1858" s="35"/>
      <c r="H1858" s="43"/>
      <c r="I1858" s="28"/>
      <c r="J1858" s="24"/>
      <c r="K1858" s="24"/>
      <c r="L1858" s="43"/>
      <c r="M1858" s="28"/>
      <c r="N1858" s="24"/>
    </row>
    <row r="1859">
      <c r="A1859" s="22"/>
      <c r="B1859" s="22"/>
      <c r="C1859" s="24"/>
      <c r="D1859" s="24"/>
      <c r="E1859" s="24"/>
      <c r="F1859" s="24"/>
      <c r="G1859" s="35"/>
      <c r="H1859" s="43"/>
      <c r="I1859" s="28"/>
      <c r="J1859" s="24"/>
      <c r="K1859" s="24"/>
      <c r="L1859" s="43"/>
      <c r="M1859" s="28"/>
      <c r="N1859" s="24"/>
    </row>
    <row r="1860">
      <c r="A1860" s="22"/>
      <c r="B1860" s="22"/>
      <c r="C1860" s="24"/>
      <c r="D1860" s="24"/>
      <c r="E1860" s="24"/>
      <c r="F1860" s="24"/>
      <c r="G1860" s="35"/>
      <c r="H1860" s="43"/>
      <c r="I1860" s="28"/>
      <c r="J1860" s="24"/>
      <c r="K1860" s="24"/>
      <c r="L1860" s="43"/>
      <c r="M1860" s="28"/>
      <c r="N1860" s="24"/>
    </row>
    <row r="1861">
      <c r="A1861" s="22"/>
      <c r="B1861" s="22"/>
      <c r="C1861" s="24"/>
      <c r="D1861" s="24"/>
      <c r="E1861" s="24"/>
      <c r="F1861" s="24"/>
      <c r="G1861" s="35"/>
      <c r="H1861" s="43"/>
      <c r="I1861" s="28"/>
      <c r="J1861" s="24"/>
      <c r="K1861" s="24"/>
      <c r="L1861" s="43"/>
      <c r="M1861" s="28"/>
      <c r="N1861" s="24"/>
    </row>
    <row r="1862">
      <c r="A1862" s="22"/>
      <c r="B1862" s="22"/>
      <c r="C1862" s="24"/>
      <c r="D1862" s="24"/>
      <c r="E1862" s="24"/>
      <c r="F1862" s="24"/>
      <c r="G1862" s="35"/>
      <c r="H1862" s="43"/>
      <c r="I1862" s="28"/>
      <c r="J1862" s="24"/>
      <c r="K1862" s="24"/>
      <c r="L1862" s="43"/>
      <c r="M1862" s="28"/>
      <c r="N1862" s="24"/>
    </row>
    <row r="1863">
      <c r="A1863" s="22"/>
      <c r="B1863" s="22"/>
      <c r="C1863" s="24"/>
      <c r="D1863" s="24"/>
      <c r="E1863" s="24"/>
      <c r="F1863" s="24"/>
      <c r="G1863" s="35"/>
      <c r="H1863" s="43"/>
      <c r="I1863" s="28"/>
      <c r="J1863" s="24"/>
      <c r="K1863" s="24"/>
      <c r="L1863" s="43"/>
      <c r="M1863" s="28"/>
      <c r="N1863" s="24"/>
    </row>
    <row r="1864">
      <c r="A1864" s="22"/>
      <c r="B1864" s="22"/>
      <c r="C1864" s="24"/>
      <c r="D1864" s="24"/>
      <c r="E1864" s="24"/>
      <c r="F1864" s="24"/>
      <c r="G1864" s="35"/>
      <c r="H1864" s="43"/>
      <c r="I1864" s="28"/>
      <c r="J1864" s="24"/>
      <c r="K1864" s="24"/>
      <c r="L1864" s="43"/>
      <c r="M1864" s="28"/>
      <c r="N1864" s="24"/>
    </row>
    <row r="1865">
      <c r="A1865" s="22"/>
      <c r="B1865" s="22"/>
      <c r="C1865" s="24"/>
      <c r="D1865" s="24"/>
      <c r="E1865" s="24"/>
      <c r="F1865" s="24"/>
      <c r="G1865" s="35"/>
      <c r="H1865" s="43"/>
      <c r="I1865" s="28"/>
      <c r="J1865" s="24"/>
      <c r="K1865" s="24"/>
      <c r="L1865" s="43"/>
      <c r="M1865" s="28"/>
      <c r="N1865" s="24"/>
    </row>
    <row r="1866">
      <c r="A1866" s="22"/>
      <c r="B1866" s="22"/>
      <c r="C1866" s="24"/>
      <c r="D1866" s="24"/>
      <c r="E1866" s="24"/>
      <c r="F1866" s="24"/>
      <c r="G1866" s="35"/>
      <c r="H1866" s="43"/>
      <c r="I1866" s="28"/>
      <c r="J1866" s="24"/>
      <c r="K1866" s="24"/>
      <c r="L1866" s="43"/>
      <c r="M1866" s="28"/>
      <c r="N1866" s="24"/>
    </row>
    <row r="1867">
      <c r="A1867" s="22"/>
      <c r="B1867" s="22"/>
      <c r="C1867" s="24"/>
      <c r="D1867" s="24"/>
      <c r="E1867" s="24"/>
      <c r="F1867" s="24"/>
      <c r="G1867" s="35"/>
      <c r="H1867" s="43"/>
      <c r="I1867" s="28"/>
      <c r="J1867" s="24"/>
      <c r="K1867" s="24"/>
      <c r="L1867" s="43"/>
      <c r="M1867" s="28"/>
      <c r="N1867" s="24"/>
    </row>
    <row r="1868">
      <c r="A1868" s="22"/>
      <c r="B1868" s="22"/>
      <c r="C1868" s="24"/>
      <c r="D1868" s="24"/>
      <c r="E1868" s="24"/>
      <c r="F1868" s="24"/>
      <c r="G1868" s="35"/>
      <c r="H1868" s="43"/>
      <c r="I1868" s="28"/>
      <c r="J1868" s="24"/>
      <c r="K1868" s="24"/>
      <c r="L1868" s="43"/>
      <c r="M1868" s="28"/>
      <c r="N1868" s="24"/>
    </row>
    <row r="1869">
      <c r="A1869" s="22"/>
      <c r="B1869" s="22"/>
      <c r="C1869" s="24"/>
      <c r="D1869" s="24"/>
      <c r="E1869" s="24"/>
      <c r="F1869" s="24"/>
      <c r="G1869" s="35"/>
      <c r="H1869" s="43"/>
      <c r="I1869" s="28"/>
      <c r="J1869" s="24"/>
      <c r="K1869" s="24"/>
      <c r="L1869" s="43"/>
      <c r="M1869" s="28"/>
      <c r="N1869" s="24"/>
    </row>
    <row r="1870">
      <c r="A1870" s="22"/>
      <c r="B1870" s="22"/>
      <c r="C1870" s="24"/>
      <c r="D1870" s="24"/>
      <c r="E1870" s="24"/>
      <c r="F1870" s="24"/>
      <c r="G1870" s="35"/>
      <c r="H1870" s="43"/>
      <c r="I1870" s="28"/>
      <c r="J1870" s="24"/>
      <c r="K1870" s="24"/>
      <c r="L1870" s="43"/>
      <c r="M1870" s="28"/>
      <c r="N1870" s="24"/>
    </row>
    <row r="1871">
      <c r="A1871" s="22"/>
      <c r="B1871" s="22"/>
      <c r="C1871" s="24"/>
      <c r="D1871" s="24"/>
      <c r="E1871" s="24"/>
      <c r="F1871" s="24"/>
      <c r="G1871" s="35"/>
      <c r="H1871" s="43"/>
      <c r="I1871" s="28"/>
      <c r="J1871" s="24"/>
      <c r="K1871" s="24"/>
      <c r="L1871" s="43"/>
      <c r="M1871" s="28"/>
      <c r="N1871" s="24"/>
    </row>
    <row r="1872">
      <c r="A1872" s="22"/>
      <c r="B1872" s="22"/>
      <c r="C1872" s="24"/>
      <c r="D1872" s="24"/>
      <c r="E1872" s="24"/>
      <c r="F1872" s="24"/>
      <c r="G1872" s="35"/>
      <c r="H1872" s="43"/>
      <c r="I1872" s="28"/>
      <c r="J1872" s="24"/>
      <c r="K1872" s="24"/>
      <c r="L1872" s="43"/>
      <c r="M1872" s="28"/>
      <c r="N1872" s="24"/>
    </row>
    <row r="1873">
      <c r="A1873" s="22"/>
      <c r="B1873" s="22"/>
      <c r="C1873" s="24"/>
      <c r="D1873" s="24"/>
      <c r="E1873" s="24"/>
      <c r="F1873" s="24"/>
      <c r="G1873" s="35"/>
      <c r="H1873" s="43"/>
      <c r="I1873" s="28"/>
      <c r="J1873" s="24"/>
      <c r="K1873" s="24"/>
      <c r="L1873" s="43"/>
      <c r="M1873" s="28"/>
      <c r="N1873" s="24"/>
    </row>
    <row r="1874">
      <c r="A1874" s="22"/>
      <c r="B1874" s="22"/>
      <c r="C1874" s="24"/>
      <c r="D1874" s="24"/>
      <c r="E1874" s="24"/>
      <c r="F1874" s="24"/>
      <c r="G1874" s="35"/>
      <c r="H1874" s="43"/>
      <c r="I1874" s="28"/>
      <c r="J1874" s="24"/>
      <c r="K1874" s="24"/>
      <c r="L1874" s="43"/>
      <c r="M1874" s="28"/>
      <c r="N1874" s="24"/>
    </row>
    <row r="1875">
      <c r="A1875" s="22"/>
      <c r="B1875" s="22"/>
      <c r="C1875" s="24"/>
      <c r="D1875" s="24"/>
      <c r="E1875" s="24"/>
      <c r="F1875" s="24"/>
      <c r="G1875" s="35"/>
      <c r="H1875" s="43"/>
      <c r="I1875" s="28"/>
      <c r="J1875" s="24"/>
      <c r="K1875" s="24"/>
      <c r="L1875" s="43"/>
      <c r="M1875" s="28"/>
      <c r="N1875" s="24"/>
    </row>
    <row r="1876">
      <c r="A1876" s="22"/>
      <c r="B1876" s="22"/>
      <c r="C1876" s="24"/>
      <c r="D1876" s="24"/>
      <c r="E1876" s="24"/>
      <c r="F1876" s="24"/>
      <c r="G1876" s="35"/>
      <c r="H1876" s="43"/>
      <c r="I1876" s="28"/>
      <c r="J1876" s="24"/>
      <c r="K1876" s="24"/>
      <c r="L1876" s="43"/>
      <c r="M1876" s="28"/>
      <c r="N1876" s="24"/>
    </row>
    <row r="1877">
      <c r="A1877" s="22"/>
      <c r="B1877" s="22"/>
      <c r="C1877" s="24"/>
      <c r="D1877" s="24"/>
      <c r="E1877" s="24"/>
      <c r="F1877" s="24"/>
      <c r="G1877" s="35"/>
      <c r="H1877" s="43"/>
      <c r="I1877" s="28"/>
      <c r="J1877" s="24"/>
      <c r="K1877" s="24"/>
      <c r="L1877" s="43"/>
      <c r="M1877" s="28"/>
      <c r="N1877" s="24"/>
    </row>
    <row r="1878">
      <c r="A1878" s="22"/>
      <c r="B1878" s="22"/>
      <c r="C1878" s="24"/>
      <c r="D1878" s="24"/>
      <c r="E1878" s="24"/>
      <c r="F1878" s="24"/>
      <c r="G1878" s="35"/>
      <c r="H1878" s="43"/>
      <c r="I1878" s="28"/>
      <c r="J1878" s="24"/>
      <c r="K1878" s="24"/>
      <c r="L1878" s="43"/>
      <c r="M1878" s="28"/>
      <c r="N1878" s="24"/>
    </row>
    <row r="1879">
      <c r="A1879" s="22"/>
      <c r="B1879" s="22"/>
      <c r="C1879" s="24"/>
      <c r="D1879" s="24"/>
      <c r="E1879" s="24"/>
      <c r="F1879" s="24"/>
      <c r="G1879" s="35"/>
      <c r="H1879" s="43"/>
      <c r="I1879" s="28"/>
      <c r="J1879" s="24"/>
      <c r="K1879" s="24"/>
      <c r="L1879" s="43"/>
      <c r="M1879" s="28"/>
      <c r="N1879" s="24"/>
    </row>
    <row r="1880">
      <c r="A1880" s="22"/>
      <c r="B1880" s="22"/>
      <c r="C1880" s="24"/>
      <c r="D1880" s="24"/>
      <c r="E1880" s="24"/>
      <c r="F1880" s="24"/>
      <c r="G1880" s="35"/>
      <c r="H1880" s="43"/>
      <c r="I1880" s="28"/>
      <c r="J1880" s="24"/>
      <c r="K1880" s="24"/>
      <c r="L1880" s="43"/>
      <c r="M1880" s="28"/>
      <c r="N1880" s="24"/>
    </row>
    <row r="1881">
      <c r="A1881" s="22"/>
      <c r="B1881" s="22"/>
      <c r="C1881" s="24"/>
      <c r="D1881" s="24"/>
      <c r="E1881" s="24"/>
      <c r="F1881" s="24"/>
      <c r="G1881" s="35"/>
      <c r="H1881" s="43"/>
      <c r="I1881" s="28"/>
      <c r="J1881" s="24"/>
      <c r="K1881" s="24"/>
      <c r="L1881" s="43"/>
      <c r="M1881" s="28"/>
      <c r="N1881" s="24"/>
    </row>
    <row r="1882">
      <c r="A1882" s="22"/>
      <c r="B1882" s="22"/>
      <c r="C1882" s="24"/>
      <c r="D1882" s="24"/>
      <c r="E1882" s="24"/>
      <c r="F1882" s="24"/>
      <c r="G1882" s="35"/>
      <c r="H1882" s="43"/>
      <c r="I1882" s="28"/>
      <c r="J1882" s="24"/>
      <c r="K1882" s="24"/>
      <c r="L1882" s="43"/>
      <c r="M1882" s="28"/>
      <c r="N1882" s="24"/>
    </row>
    <row r="1883">
      <c r="A1883" s="22"/>
      <c r="B1883" s="22"/>
      <c r="C1883" s="24"/>
      <c r="D1883" s="24"/>
      <c r="E1883" s="24"/>
      <c r="F1883" s="24"/>
      <c r="G1883" s="35"/>
      <c r="H1883" s="43"/>
      <c r="I1883" s="28"/>
      <c r="J1883" s="24"/>
      <c r="K1883" s="24"/>
      <c r="L1883" s="43"/>
      <c r="M1883" s="28"/>
      <c r="N1883" s="24"/>
    </row>
    <row r="1884">
      <c r="A1884" s="22"/>
      <c r="B1884" s="22"/>
      <c r="C1884" s="24"/>
      <c r="D1884" s="24"/>
      <c r="E1884" s="24"/>
      <c r="F1884" s="24"/>
      <c r="G1884" s="35"/>
      <c r="H1884" s="43"/>
      <c r="I1884" s="28"/>
      <c r="J1884" s="24"/>
      <c r="K1884" s="24"/>
      <c r="L1884" s="43"/>
      <c r="M1884" s="28"/>
      <c r="N1884" s="24"/>
    </row>
    <row r="1885">
      <c r="A1885" s="22"/>
      <c r="B1885" s="22"/>
      <c r="C1885" s="24"/>
      <c r="D1885" s="24"/>
      <c r="E1885" s="24"/>
      <c r="F1885" s="24"/>
      <c r="G1885" s="35"/>
      <c r="H1885" s="43"/>
      <c r="I1885" s="28"/>
      <c r="J1885" s="24"/>
      <c r="K1885" s="24"/>
      <c r="L1885" s="43"/>
      <c r="M1885" s="28"/>
      <c r="N1885" s="24"/>
    </row>
    <row r="1886">
      <c r="A1886" s="22"/>
      <c r="B1886" s="22"/>
      <c r="C1886" s="24"/>
      <c r="D1886" s="24"/>
      <c r="E1886" s="24"/>
      <c r="F1886" s="24"/>
      <c r="G1886" s="35"/>
      <c r="H1886" s="43"/>
      <c r="I1886" s="28"/>
      <c r="J1886" s="24"/>
      <c r="K1886" s="24"/>
      <c r="L1886" s="43"/>
      <c r="M1886" s="28"/>
      <c r="N1886" s="24"/>
    </row>
    <row r="1887">
      <c r="A1887" s="22"/>
      <c r="B1887" s="22"/>
      <c r="C1887" s="24"/>
      <c r="D1887" s="24"/>
      <c r="E1887" s="24"/>
      <c r="F1887" s="24"/>
      <c r="G1887" s="35"/>
      <c r="H1887" s="43"/>
      <c r="I1887" s="28"/>
      <c r="J1887" s="24"/>
      <c r="K1887" s="24"/>
      <c r="L1887" s="43"/>
      <c r="M1887" s="28"/>
      <c r="N1887" s="24"/>
    </row>
    <row r="1888">
      <c r="A1888" s="22"/>
      <c r="B1888" s="22"/>
      <c r="C1888" s="24"/>
      <c r="D1888" s="24"/>
      <c r="E1888" s="24"/>
      <c r="F1888" s="24"/>
      <c r="G1888" s="35"/>
      <c r="H1888" s="43"/>
      <c r="I1888" s="28"/>
      <c r="J1888" s="24"/>
      <c r="K1888" s="24"/>
      <c r="L1888" s="43"/>
      <c r="M1888" s="28"/>
      <c r="N1888" s="24"/>
    </row>
    <row r="1889">
      <c r="A1889" s="22"/>
      <c r="B1889" s="22"/>
      <c r="C1889" s="24"/>
      <c r="D1889" s="24"/>
      <c r="E1889" s="24"/>
      <c r="F1889" s="24"/>
      <c r="G1889" s="35"/>
      <c r="H1889" s="43"/>
      <c r="I1889" s="28"/>
      <c r="J1889" s="24"/>
      <c r="K1889" s="24"/>
      <c r="L1889" s="43"/>
      <c r="M1889" s="28"/>
      <c r="N1889" s="24"/>
    </row>
    <row r="1890">
      <c r="A1890" s="22"/>
      <c r="B1890" s="22"/>
      <c r="C1890" s="24"/>
      <c r="D1890" s="24"/>
      <c r="E1890" s="24"/>
      <c r="F1890" s="24"/>
      <c r="G1890" s="35"/>
      <c r="H1890" s="43"/>
      <c r="I1890" s="28"/>
      <c r="J1890" s="24"/>
      <c r="K1890" s="24"/>
      <c r="L1890" s="43"/>
      <c r="M1890" s="28"/>
      <c r="N1890" s="24"/>
    </row>
    <row r="1891">
      <c r="A1891" s="22"/>
      <c r="B1891" s="22"/>
      <c r="C1891" s="24"/>
      <c r="D1891" s="24"/>
      <c r="E1891" s="24"/>
      <c r="F1891" s="24"/>
      <c r="G1891" s="35"/>
      <c r="H1891" s="43"/>
      <c r="I1891" s="28"/>
      <c r="J1891" s="24"/>
      <c r="K1891" s="24"/>
      <c r="L1891" s="43"/>
      <c r="M1891" s="28"/>
      <c r="N1891" s="24"/>
    </row>
    <row r="1892">
      <c r="A1892" s="22"/>
      <c r="B1892" s="22"/>
      <c r="C1892" s="24"/>
      <c r="D1892" s="24"/>
      <c r="E1892" s="24"/>
      <c r="F1892" s="24"/>
      <c r="G1892" s="35"/>
      <c r="H1892" s="43"/>
      <c r="I1892" s="28"/>
      <c r="J1892" s="24"/>
      <c r="K1892" s="24"/>
      <c r="L1892" s="43"/>
      <c r="M1892" s="28"/>
      <c r="N1892" s="24"/>
    </row>
    <row r="1893">
      <c r="A1893" s="22"/>
      <c r="B1893" s="22"/>
      <c r="C1893" s="24"/>
      <c r="D1893" s="24"/>
      <c r="E1893" s="24"/>
      <c r="F1893" s="24"/>
      <c r="G1893" s="35"/>
      <c r="H1893" s="43"/>
      <c r="I1893" s="28"/>
      <c r="J1893" s="24"/>
      <c r="K1893" s="24"/>
      <c r="L1893" s="43"/>
      <c r="M1893" s="28"/>
      <c r="N1893" s="24"/>
    </row>
    <row r="1894">
      <c r="A1894" s="22"/>
      <c r="B1894" s="22"/>
      <c r="C1894" s="24"/>
      <c r="D1894" s="24"/>
      <c r="E1894" s="24"/>
      <c r="F1894" s="24"/>
      <c r="G1894" s="35"/>
      <c r="H1894" s="43"/>
      <c r="I1894" s="28"/>
      <c r="J1894" s="24"/>
      <c r="K1894" s="24"/>
      <c r="L1894" s="43"/>
      <c r="M1894" s="28"/>
      <c r="N1894" s="24"/>
    </row>
    <row r="1895">
      <c r="A1895" s="22"/>
      <c r="B1895" s="22"/>
      <c r="C1895" s="24"/>
      <c r="D1895" s="24"/>
      <c r="E1895" s="24"/>
      <c r="F1895" s="24"/>
      <c r="G1895" s="35"/>
      <c r="H1895" s="43"/>
      <c r="I1895" s="28"/>
      <c r="J1895" s="24"/>
      <c r="K1895" s="24"/>
      <c r="L1895" s="43"/>
      <c r="M1895" s="28"/>
      <c r="N1895" s="24"/>
    </row>
    <row r="1896">
      <c r="A1896" s="22"/>
      <c r="B1896" s="22"/>
      <c r="C1896" s="24"/>
      <c r="D1896" s="24"/>
      <c r="E1896" s="24"/>
      <c r="F1896" s="24"/>
      <c r="G1896" s="35"/>
      <c r="H1896" s="43"/>
      <c r="I1896" s="28"/>
      <c r="J1896" s="24"/>
      <c r="K1896" s="24"/>
      <c r="L1896" s="43"/>
      <c r="M1896" s="28"/>
      <c r="N1896" s="24"/>
    </row>
    <row r="1897">
      <c r="A1897" s="22"/>
      <c r="B1897" s="22"/>
      <c r="C1897" s="24"/>
      <c r="D1897" s="24"/>
      <c r="E1897" s="24"/>
      <c r="F1897" s="24"/>
      <c r="G1897" s="35"/>
      <c r="H1897" s="43"/>
      <c r="I1897" s="28"/>
      <c r="J1897" s="24"/>
      <c r="K1897" s="24"/>
      <c r="L1897" s="43"/>
      <c r="M1897" s="28"/>
      <c r="N1897" s="24"/>
    </row>
    <row r="1898">
      <c r="A1898" s="22"/>
      <c r="B1898" s="22"/>
      <c r="C1898" s="24"/>
      <c r="D1898" s="24"/>
      <c r="E1898" s="24"/>
      <c r="F1898" s="24"/>
      <c r="G1898" s="35"/>
      <c r="H1898" s="43"/>
      <c r="I1898" s="28"/>
      <c r="J1898" s="24"/>
      <c r="K1898" s="24"/>
      <c r="L1898" s="43"/>
      <c r="M1898" s="28"/>
      <c r="N1898" s="24"/>
    </row>
    <row r="1899">
      <c r="A1899" s="22"/>
      <c r="B1899" s="22"/>
      <c r="C1899" s="24"/>
      <c r="D1899" s="24"/>
      <c r="E1899" s="24"/>
      <c r="F1899" s="24"/>
      <c r="G1899" s="35"/>
      <c r="H1899" s="43"/>
      <c r="I1899" s="28"/>
      <c r="J1899" s="24"/>
      <c r="K1899" s="24"/>
      <c r="L1899" s="43"/>
      <c r="M1899" s="28"/>
      <c r="N1899" s="24"/>
    </row>
    <row r="1900">
      <c r="A1900" s="22"/>
      <c r="B1900" s="22"/>
      <c r="C1900" s="24"/>
      <c r="D1900" s="24"/>
      <c r="E1900" s="24"/>
      <c r="F1900" s="24"/>
      <c r="G1900" s="35"/>
      <c r="H1900" s="43"/>
      <c r="I1900" s="28"/>
      <c r="J1900" s="24"/>
      <c r="K1900" s="24"/>
      <c r="L1900" s="43"/>
      <c r="M1900" s="28"/>
      <c r="N1900" s="24"/>
    </row>
    <row r="1901">
      <c r="A1901" s="22"/>
      <c r="B1901" s="22"/>
      <c r="C1901" s="24"/>
      <c r="D1901" s="24"/>
      <c r="E1901" s="24"/>
      <c r="F1901" s="24"/>
      <c r="G1901" s="35"/>
      <c r="H1901" s="43"/>
      <c r="I1901" s="28"/>
      <c r="J1901" s="24"/>
      <c r="K1901" s="24"/>
      <c r="L1901" s="43"/>
      <c r="M1901" s="28"/>
      <c r="N1901" s="24"/>
    </row>
    <row r="1902">
      <c r="A1902" s="22"/>
      <c r="B1902" s="22"/>
      <c r="C1902" s="24"/>
      <c r="D1902" s="24"/>
      <c r="E1902" s="24"/>
      <c r="F1902" s="24"/>
      <c r="G1902" s="35"/>
      <c r="H1902" s="43"/>
      <c r="I1902" s="28"/>
      <c r="J1902" s="24"/>
      <c r="K1902" s="24"/>
      <c r="L1902" s="43"/>
      <c r="M1902" s="28"/>
      <c r="N1902" s="24"/>
    </row>
    <row r="1903">
      <c r="A1903" s="22"/>
      <c r="B1903" s="22"/>
      <c r="C1903" s="24"/>
      <c r="D1903" s="24"/>
      <c r="E1903" s="24"/>
      <c r="F1903" s="24"/>
      <c r="G1903" s="35"/>
      <c r="H1903" s="43"/>
      <c r="I1903" s="28"/>
      <c r="J1903" s="24"/>
      <c r="K1903" s="24"/>
      <c r="L1903" s="43"/>
      <c r="M1903" s="28"/>
      <c r="N1903" s="24"/>
    </row>
    <row r="1904">
      <c r="A1904" s="22"/>
      <c r="B1904" s="22"/>
      <c r="C1904" s="24"/>
      <c r="D1904" s="24"/>
      <c r="E1904" s="24"/>
      <c r="F1904" s="24"/>
      <c r="G1904" s="35"/>
      <c r="H1904" s="43"/>
      <c r="I1904" s="28"/>
      <c r="J1904" s="24"/>
      <c r="K1904" s="24"/>
      <c r="L1904" s="43"/>
      <c r="M1904" s="28"/>
      <c r="N1904" s="24"/>
    </row>
    <row r="1905">
      <c r="A1905" s="22"/>
      <c r="B1905" s="22"/>
      <c r="C1905" s="24"/>
      <c r="D1905" s="24"/>
      <c r="E1905" s="24"/>
      <c r="F1905" s="24"/>
      <c r="G1905" s="35"/>
      <c r="H1905" s="43"/>
      <c r="I1905" s="28"/>
      <c r="J1905" s="24"/>
      <c r="K1905" s="24"/>
      <c r="L1905" s="43"/>
      <c r="M1905" s="28"/>
      <c r="N1905" s="24"/>
    </row>
    <row r="1906">
      <c r="A1906" s="22"/>
      <c r="B1906" s="22"/>
      <c r="C1906" s="24"/>
      <c r="D1906" s="24"/>
      <c r="E1906" s="24"/>
      <c r="F1906" s="24"/>
      <c r="G1906" s="35"/>
      <c r="H1906" s="43"/>
      <c r="I1906" s="28"/>
      <c r="J1906" s="24"/>
      <c r="K1906" s="24"/>
      <c r="L1906" s="43"/>
      <c r="M1906" s="28"/>
      <c r="N1906" s="24"/>
    </row>
    <row r="1907">
      <c r="A1907" s="22"/>
      <c r="B1907" s="22"/>
      <c r="C1907" s="24"/>
      <c r="D1907" s="24"/>
      <c r="E1907" s="24"/>
      <c r="F1907" s="24"/>
      <c r="G1907" s="35"/>
      <c r="H1907" s="43"/>
      <c r="I1907" s="28"/>
      <c r="J1907" s="24"/>
      <c r="K1907" s="24"/>
      <c r="L1907" s="43"/>
      <c r="M1907" s="28"/>
      <c r="N1907" s="24"/>
    </row>
    <row r="1908">
      <c r="A1908" s="22"/>
      <c r="B1908" s="22"/>
      <c r="C1908" s="24"/>
      <c r="D1908" s="24"/>
      <c r="E1908" s="24"/>
      <c r="F1908" s="24"/>
      <c r="G1908" s="35"/>
      <c r="H1908" s="43"/>
      <c r="I1908" s="28"/>
      <c r="J1908" s="24"/>
      <c r="K1908" s="24"/>
      <c r="L1908" s="43"/>
      <c r="M1908" s="28"/>
      <c r="N1908" s="24"/>
    </row>
    <row r="1909">
      <c r="A1909" s="22"/>
      <c r="B1909" s="22"/>
      <c r="C1909" s="24"/>
      <c r="D1909" s="24"/>
      <c r="E1909" s="24"/>
      <c r="F1909" s="24"/>
      <c r="G1909" s="35"/>
      <c r="H1909" s="43"/>
      <c r="I1909" s="28"/>
      <c r="J1909" s="24"/>
      <c r="K1909" s="24"/>
      <c r="L1909" s="43"/>
      <c r="M1909" s="28"/>
      <c r="N1909" s="24"/>
    </row>
    <row r="1910">
      <c r="A1910" s="22"/>
      <c r="B1910" s="22"/>
      <c r="C1910" s="24"/>
      <c r="D1910" s="24"/>
      <c r="E1910" s="24"/>
      <c r="F1910" s="24"/>
      <c r="G1910" s="35"/>
      <c r="H1910" s="43"/>
      <c r="I1910" s="28"/>
      <c r="J1910" s="24"/>
      <c r="K1910" s="24"/>
      <c r="L1910" s="43"/>
      <c r="M1910" s="28"/>
      <c r="N1910" s="24"/>
    </row>
    <row r="1911">
      <c r="A1911" s="22"/>
      <c r="B1911" s="22"/>
      <c r="C1911" s="24"/>
      <c r="D1911" s="24"/>
      <c r="E1911" s="24"/>
      <c r="F1911" s="24"/>
      <c r="G1911" s="35"/>
      <c r="H1911" s="43"/>
      <c r="I1911" s="28"/>
      <c r="J1911" s="24"/>
      <c r="K1911" s="24"/>
      <c r="L1911" s="43"/>
      <c r="M1911" s="28"/>
      <c r="N1911" s="24"/>
    </row>
    <row r="1912">
      <c r="A1912" s="22"/>
      <c r="B1912" s="22"/>
      <c r="C1912" s="24"/>
      <c r="D1912" s="24"/>
      <c r="E1912" s="24"/>
      <c r="F1912" s="24"/>
      <c r="G1912" s="35"/>
      <c r="H1912" s="43"/>
      <c r="I1912" s="28"/>
      <c r="J1912" s="24"/>
      <c r="K1912" s="24"/>
      <c r="L1912" s="43"/>
      <c r="M1912" s="28"/>
      <c r="N1912" s="24"/>
    </row>
    <row r="1913">
      <c r="A1913" s="22"/>
      <c r="B1913" s="22"/>
      <c r="C1913" s="24"/>
      <c r="D1913" s="24"/>
      <c r="E1913" s="24"/>
      <c r="F1913" s="24"/>
      <c r="G1913" s="35"/>
      <c r="H1913" s="43"/>
      <c r="I1913" s="28"/>
      <c r="J1913" s="24"/>
      <c r="K1913" s="24"/>
      <c r="L1913" s="43"/>
      <c r="M1913" s="28"/>
      <c r="N1913" s="24"/>
    </row>
    <row r="1914">
      <c r="A1914" s="22"/>
      <c r="B1914" s="22"/>
      <c r="C1914" s="24"/>
      <c r="D1914" s="24"/>
      <c r="E1914" s="24"/>
      <c r="F1914" s="24"/>
      <c r="G1914" s="35"/>
      <c r="H1914" s="43"/>
      <c r="I1914" s="28"/>
      <c r="J1914" s="24"/>
      <c r="K1914" s="24"/>
      <c r="L1914" s="43"/>
      <c r="M1914" s="28"/>
      <c r="N1914" s="24"/>
    </row>
    <row r="1915">
      <c r="A1915" s="22"/>
      <c r="B1915" s="22"/>
      <c r="C1915" s="24"/>
      <c r="D1915" s="24"/>
      <c r="E1915" s="24"/>
      <c r="F1915" s="24"/>
      <c r="G1915" s="35"/>
      <c r="H1915" s="43"/>
      <c r="I1915" s="28"/>
      <c r="J1915" s="24"/>
      <c r="K1915" s="24"/>
      <c r="L1915" s="43"/>
      <c r="M1915" s="28"/>
      <c r="N1915" s="24"/>
    </row>
    <row r="1916">
      <c r="A1916" s="22"/>
      <c r="B1916" s="22"/>
      <c r="C1916" s="24"/>
      <c r="D1916" s="24"/>
      <c r="E1916" s="24"/>
      <c r="F1916" s="24"/>
      <c r="G1916" s="35"/>
      <c r="H1916" s="43"/>
      <c r="I1916" s="28"/>
      <c r="J1916" s="24"/>
      <c r="K1916" s="24"/>
      <c r="L1916" s="43"/>
      <c r="M1916" s="28"/>
      <c r="N1916" s="24"/>
    </row>
    <row r="1917">
      <c r="A1917" s="22"/>
      <c r="B1917" s="22"/>
      <c r="C1917" s="24"/>
      <c r="D1917" s="24"/>
      <c r="E1917" s="24"/>
      <c r="F1917" s="24"/>
      <c r="G1917" s="35"/>
      <c r="H1917" s="43"/>
      <c r="I1917" s="28"/>
      <c r="J1917" s="24"/>
      <c r="K1917" s="24"/>
      <c r="L1917" s="43"/>
      <c r="M1917" s="28"/>
      <c r="N1917" s="24"/>
    </row>
    <row r="1918">
      <c r="A1918" s="22"/>
      <c r="B1918" s="22"/>
      <c r="C1918" s="24"/>
      <c r="D1918" s="24"/>
      <c r="E1918" s="24"/>
      <c r="F1918" s="24"/>
      <c r="G1918" s="35"/>
      <c r="H1918" s="43"/>
      <c r="I1918" s="28"/>
      <c r="J1918" s="24"/>
      <c r="K1918" s="24"/>
      <c r="L1918" s="43"/>
      <c r="M1918" s="28"/>
      <c r="N1918" s="24"/>
    </row>
    <row r="1919">
      <c r="A1919" s="22"/>
      <c r="B1919" s="22"/>
      <c r="C1919" s="24"/>
      <c r="D1919" s="24"/>
      <c r="E1919" s="24"/>
      <c r="F1919" s="24"/>
      <c r="G1919" s="35"/>
      <c r="H1919" s="43"/>
      <c r="I1919" s="28"/>
      <c r="J1919" s="24"/>
      <c r="K1919" s="24"/>
      <c r="L1919" s="43"/>
      <c r="M1919" s="28"/>
      <c r="N1919" s="24"/>
    </row>
    <row r="1920">
      <c r="A1920" s="22"/>
      <c r="B1920" s="22"/>
      <c r="C1920" s="24"/>
      <c r="D1920" s="24"/>
      <c r="E1920" s="24"/>
      <c r="F1920" s="24"/>
      <c r="G1920" s="35"/>
      <c r="H1920" s="43"/>
      <c r="I1920" s="28"/>
      <c r="J1920" s="24"/>
      <c r="K1920" s="24"/>
      <c r="L1920" s="43"/>
      <c r="M1920" s="28"/>
      <c r="N1920" s="24"/>
    </row>
    <row r="1921">
      <c r="A1921" s="22"/>
      <c r="B1921" s="22"/>
      <c r="C1921" s="24"/>
      <c r="D1921" s="24"/>
      <c r="E1921" s="24"/>
      <c r="F1921" s="24"/>
      <c r="G1921" s="35"/>
      <c r="H1921" s="43"/>
      <c r="I1921" s="28"/>
      <c r="J1921" s="24"/>
      <c r="K1921" s="24"/>
      <c r="L1921" s="43"/>
      <c r="M1921" s="28"/>
      <c r="N1921" s="24"/>
    </row>
    <row r="1922">
      <c r="A1922" s="22"/>
      <c r="B1922" s="22"/>
      <c r="C1922" s="24"/>
      <c r="D1922" s="24"/>
      <c r="E1922" s="24"/>
      <c r="F1922" s="24"/>
      <c r="G1922" s="35"/>
      <c r="H1922" s="43"/>
      <c r="I1922" s="28"/>
      <c r="J1922" s="24"/>
      <c r="K1922" s="24"/>
      <c r="L1922" s="43"/>
      <c r="M1922" s="28"/>
      <c r="N1922" s="24"/>
    </row>
    <row r="1923">
      <c r="A1923" s="22"/>
      <c r="B1923" s="22"/>
      <c r="C1923" s="24"/>
      <c r="D1923" s="24"/>
      <c r="E1923" s="24"/>
      <c r="F1923" s="24"/>
      <c r="G1923" s="35"/>
      <c r="H1923" s="43"/>
      <c r="I1923" s="28"/>
      <c r="J1923" s="24"/>
      <c r="K1923" s="24"/>
      <c r="L1923" s="43"/>
      <c r="M1923" s="28"/>
      <c r="N1923" s="24"/>
    </row>
    <row r="1924">
      <c r="A1924" s="22"/>
      <c r="B1924" s="22"/>
      <c r="C1924" s="24"/>
      <c r="D1924" s="24"/>
      <c r="E1924" s="24"/>
      <c r="F1924" s="24"/>
      <c r="G1924" s="35"/>
      <c r="H1924" s="43"/>
      <c r="I1924" s="28"/>
      <c r="J1924" s="24"/>
      <c r="K1924" s="24"/>
      <c r="L1924" s="43"/>
      <c r="M1924" s="28"/>
      <c r="N1924" s="24"/>
    </row>
    <row r="1925">
      <c r="A1925" s="22"/>
      <c r="B1925" s="22"/>
      <c r="C1925" s="24"/>
      <c r="D1925" s="24"/>
      <c r="E1925" s="24"/>
      <c r="F1925" s="24"/>
      <c r="G1925" s="35"/>
      <c r="H1925" s="43"/>
      <c r="I1925" s="28"/>
      <c r="J1925" s="24"/>
      <c r="K1925" s="24"/>
      <c r="L1925" s="43"/>
      <c r="M1925" s="28"/>
      <c r="N1925" s="24"/>
    </row>
    <row r="1926">
      <c r="A1926" s="22"/>
      <c r="B1926" s="22"/>
      <c r="C1926" s="24"/>
      <c r="D1926" s="24"/>
      <c r="E1926" s="24"/>
      <c r="F1926" s="24"/>
      <c r="G1926" s="35"/>
      <c r="H1926" s="43"/>
      <c r="I1926" s="28"/>
      <c r="J1926" s="24"/>
      <c r="K1926" s="24"/>
      <c r="L1926" s="43"/>
      <c r="M1926" s="28"/>
      <c r="N1926" s="24"/>
    </row>
    <row r="1927">
      <c r="A1927" s="22"/>
      <c r="B1927" s="22"/>
      <c r="C1927" s="24"/>
      <c r="D1927" s="24"/>
      <c r="E1927" s="24"/>
      <c r="F1927" s="24"/>
      <c r="G1927" s="35"/>
      <c r="H1927" s="43"/>
      <c r="I1927" s="28"/>
      <c r="J1927" s="24"/>
      <c r="K1927" s="24"/>
      <c r="L1927" s="43"/>
      <c r="M1927" s="28"/>
      <c r="N1927" s="24"/>
    </row>
    <row r="1928">
      <c r="A1928" s="22"/>
      <c r="B1928" s="22"/>
      <c r="C1928" s="24"/>
      <c r="D1928" s="24"/>
      <c r="E1928" s="24"/>
      <c r="F1928" s="24"/>
      <c r="G1928" s="35"/>
      <c r="H1928" s="43"/>
      <c r="I1928" s="28"/>
      <c r="J1928" s="24"/>
      <c r="K1928" s="24"/>
      <c r="L1928" s="43"/>
      <c r="M1928" s="28"/>
      <c r="N1928" s="24"/>
    </row>
    <row r="1929">
      <c r="A1929" s="22"/>
      <c r="B1929" s="22"/>
      <c r="C1929" s="24"/>
      <c r="D1929" s="24"/>
      <c r="E1929" s="24"/>
      <c r="F1929" s="24"/>
      <c r="G1929" s="35"/>
      <c r="H1929" s="43"/>
      <c r="I1929" s="28"/>
      <c r="J1929" s="24"/>
      <c r="K1929" s="24"/>
      <c r="L1929" s="43"/>
      <c r="M1929" s="28"/>
      <c r="N1929" s="24"/>
    </row>
    <row r="1930">
      <c r="A1930" s="22"/>
      <c r="B1930" s="22"/>
      <c r="C1930" s="24"/>
      <c r="D1930" s="24"/>
      <c r="E1930" s="24"/>
      <c r="F1930" s="24"/>
      <c r="G1930" s="35"/>
      <c r="H1930" s="43"/>
      <c r="I1930" s="28"/>
      <c r="J1930" s="24"/>
      <c r="K1930" s="24"/>
      <c r="L1930" s="43"/>
      <c r="M1930" s="28"/>
      <c r="N1930" s="24"/>
    </row>
    <row r="1931">
      <c r="A1931" s="22"/>
      <c r="B1931" s="22"/>
      <c r="C1931" s="24"/>
      <c r="D1931" s="24"/>
      <c r="E1931" s="24"/>
      <c r="F1931" s="24"/>
      <c r="G1931" s="35"/>
      <c r="H1931" s="43"/>
      <c r="I1931" s="28"/>
      <c r="J1931" s="24"/>
      <c r="K1931" s="24"/>
      <c r="L1931" s="43"/>
      <c r="M1931" s="28"/>
      <c r="N1931" s="24"/>
    </row>
    <row r="1932">
      <c r="A1932" s="22"/>
      <c r="B1932" s="22"/>
      <c r="C1932" s="24"/>
      <c r="D1932" s="24"/>
      <c r="E1932" s="24"/>
      <c r="F1932" s="24"/>
      <c r="G1932" s="35"/>
      <c r="H1932" s="43"/>
      <c r="I1932" s="28"/>
      <c r="J1932" s="24"/>
      <c r="K1932" s="24"/>
      <c r="L1932" s="43"/>
      <c r="M1932" s="28"/>
      <c r="N1932" s="24"/>
    </row>
    <row r="1933">
      <c r="A1933" s="22"/>
      <c r="B1933" s="22"/>
      <c r="C1933" s="24"/>
      <c r="D1933" s="24"/>
      <c r="E1933" s="24"/>
      <c r="F1933" s="24"/>
      <c r="G1933" s="35"/>
      <c r="H1933" s="43"/>
      <c r="I1933" s="28"/>
      <c r="J1933" s="24"/>
      <c r="K1933" s="24"/>
      <c r="L1933" s="43"/>
      <c r="M1933" s="28"/>
      <c r="N1933" s="24"/>
    </row>
    <row r="1934">
      <c r="A1934" s="22"/>
      <c r="B1934" s="22"/>
      <c r="C1934" s="24"/>
      <c r="D1934" s="24"/>
      <c r="E1934" s="24"/>
      <c r="F1934" s="24"/>
      <c r="G1934" s="35"/>
      <c r="H1934" s="43"/>
      <c r="I1934" s="28"/>
      <c r="J1934" s="24"/>
      <c r="K1934" s="24"/>
      <c r="L1934" s="43"/>
      <c r="M1934" s="28"/>
      <c r="N1934" s="24"/>
    </row>
    <row r="1935">
      <c r="A1935" s="22"/>
      <c r="B1935" s="22"/>
      <c r="C1935" s="24"/>
      <c r="D1935" s="24"/>
      <c r="E1935" s="24"/>
      <c r="F1935" s="24"/>
      <c r="G1935" s="35"/>
      <c r="H1935" s="43"/>
      <c r="I1935" s="28"/>
      <c r="J1935" s="24"/>
      <c r="K1935" s="24"/>
      <c r="L1935" s="43"/>
      <c r="M1935" s="28"/>
      <c r="N1935" s="24"/>
    </row>
    <row r="1936">
      <c r="A1936" s="22"/>
      <c r="B1936" s="22"/>
      <c r="C1936" s="24"/>
      <c r="D1936" s="24"/>
      <c r="E1936" s="24"/>
      <c r="F1936" s="24"/>
      <c r="G1936" s="35"/>
      <c r="H1936" s="43"/>
      <c r="I1936" s="28"/>
      <c r="J1936" s="24"/>
      <c r="K1936" s="24"/>
      <c r="L1936" s="43"/>
      <c r="M1936" s="28"/>
      <c r="N1936" s="24"/>
    </row>
    <row r="1937">
      <c r="A1937" s="22"/>
      <c r="B1937" s="22"/>
      <c r="C1937" s="24"/>
      <c r="D1937" s="24"/>
      <c r="E1937" s="24"/>
      <c r="F1937" s="24"/>
      <c r="G1937" s="35"/>
      <c r="H1937" s="43"/>
      <c r="I1937" s="28"/>
      <c r="J1937" s="24"/>
      <c r="K1937" s="24"/>
      <c r="L1937" s="43"/>
      <c r="M1937" s="28"/>
      <c r="N1937" s="24"/>
    </row>
    <row r="1938">
      <c r="A1938" s="22"/>
      <c r="B1938" s="22"/>
      <c r="C1938" s="24"/>
      <c r="D1938" s="24"/>
      <c r="E1938" s="24"/>
      <c r="F1938" s="24"/>
      <c r="G1938" s="35"/>
      <c r="H1938" s="43"/>
      <c r="I1938" s="28"/>
      <c r="J1938" s="24"/>
      <c r="K1938" s="24"/>
      <c r="L1938" s="43"/>
      <c r="M1938" s="28"/>
      <c r="N1938" s="24"/>
    </row>
    <row r="1939">
      <c r="A1939" s="22"/>
      <c r="B1939" s="22"/>
      <c r="C1939" s="24"/>
      <c r="D1939" s="24"/>
      <c r="E1939" s="24"/>
      <c r="F1939" s="24"/>
      <c r="G1939" s="35"/>
      <c r="H1939" s="43"/>
      <c r="I1939" s="28"/>
      <c r="J1939" s="24"/>
      <c r="K1939" s="24"/>
      <c r="L1939" s="43"/>
      <c r="M1939" s="28"/>
      <c r="N1939" s="24"/>
    </row>
    <row r="1940">
      <c r="A1940" s="22"/>
      <c r="B1940" s="22"/>
      <c r="C1940" s="24"/>
      <c r="D1940" s="24"/>
      <c r="E1940" s="24"/>
      <c r="F1940" s="24"/>
      <c r="G1940" s="35"/>
      <c r="H1940" s="43"/>
      <c r="I1940" s="28"/>
      <c r="J1940" s="24"/>
      <c r="K1940" s="24"/>
      <c r="L1940" s="43"/>
      <c r="M1940" s="28"/>
      <c r="N1940" s="24"/>
    </row>
    <row r="1941">
      <c r="A1941" s="22"/>
      <c r="B1941" s="22"/>
      <c r="C1941" s="24"/>
      <c r="D1941" s="24"/>
      <c r="E1941" s="24"/>
      <c r="F1941" s="24"/>
      <c r="G1941" s="35"/>
      <c r="H1941" s="43"/>
      <c r="I1941" s="28"/>
      <c r="J1941" s="24"/>
      <c r="K1941" s="24"/>
      <c r="L1941" s="43"/>
      <c r="M1941" s="28"/>
      <c r="N1941" s="24"/>
    </row>
    <row r="1942">
      <c r="A1942" s="22"/>
      <c r="B1942" s="22"/>
      <c r="C1942" s="24"/>
      <c r="D1942" s="24"/>
      <c r="E1942" s="24"/>
      <c r="F1942" s="24"/>
      <c r="G1942" s="35"/>
      <c r="H1942" s="43"/>
      <c r="I1942" s="28"/>
      <c r="J1942" s="24"/>
      <c r="K1942" s="24"/>
      <c r="L1942" s="43"/>
      <c r="M1942" s="28"/>
      <c r="N1942" s="24"/>
    </row>
    <row r="1943">
      <c r="A1943" s="22"/>
      <c r="B1943" s="22"/>
      <c r="C1943" s="24"/>
      <c r="D1943" s="24"/>
      <c r="E1943" s="24"/>
      <c r="F1943" s="24"/>
      <c r="G1943" s="35"/>
      <c r="H1943" s="43"/>
      <c r="I1943" s="28"/>
      <c r="J1943" s="24"/>
      <c r="K1943" s="24"/>
      <c r="L1943" s="43"/>
      <c r="M1943" s="28"/>
      <c r="N1943" s="24"/>
    </row>
    <row r="1944">
      <c r="A1944" s="22"/>
      <c r="B1944" s="22"/>
      <c r="C1944" s="24"/>
      <c r="D1944" s="24"/>
      <c r="E1944" s="24"/>
      <c r="F1944" s="24"/>
      <c r="G1944" s="35"/>
      <c r="H1944" s="43"/>
      <c r="I1944" s="28"/>
      <c r="J1944" s="24"/>
      <c r="K1944" s="24"/>
      <c r="L1944" s="43"/>
      <c r="M1944" s="28"/>
      <c r="N1944" s="24"/>
    </row>
    <row r="1945">
      <c r="A1945" s="22"/>
      <c r="B1945" s="22"/>
      <c r="C1945" s="24"/>
      <c r="D1945" s="24"/>
      <c r="E1945" s="24"/>
      <c r="F1945" s="24"/>
      <c r="G1945" s="35"/>
      <c r="H1945" s="43"/>
      <c r="I1945" s="28"/>
      <c r="J1945" s="24"/>
      <c r="K1945" s="24"/>
      <c r="L1945" s="43"/>
      <c r="M1945" s="28"/>
      <c r="N1945" s="24"/>
    </row>
    <row r="1946">
      <c r="A1946" s="22"/>
      <c r="B1946" s="22"/>
      <c r="C1946" s="24"/>
      <c r="D1946" s="24"/>
      <c r="E1946" s="24"/>
      <c r="F1946" s="24"/>
      <c r="G1946" s="35"/>
      <c r="H1946" s="43"/>
      <c r="I1946" s="28"/>
      <c r="J1946" s="24"/>
      <c r="K1946" s="24"/>
      <c r="L1946" s="43"/>
      <c r="M1946" s="28"/>
      <c r="N1946" s="24"/>
    </row>
    <row r="1947">
      <c r="A1947" s="22"/>
      <c r="B1947" s="22"/>
      <c r="C1947" s="24"/>
      <c r="D1947" s="24"/>
      <c r="E1947" s="24"/>
      <c r="F1947" s="24"/>
      <c r="G1947" s="35"/>
      <c r="H1947" s="43"/>
      <c r="I1947" s="28"/>
      <c r="J1947" s="24"/>
      <c r="K1947" s="24"/>
      <c r="L1947" s="43"/>
      <c r="M1947" s="28"/>
      <c r="N1947" s="24"/>
    </row>
    <row r="1948">
      <c r="A1948" s="22"/>
      <c r="B1948" s="22"/>
      <c r="C1948" s="24"/>
      <c r="D1948" s="24"/>
      <c r="E1948" s="24"/>
      <c r="F1948" s="24"/>
      <c r="G1948" s="35"/>
      <c r="H1948" s="43"/>
      <c r="I1948" s="28"/>
      <c r="J1948" s="24"/>
      <c r="K1948" s="24"/>
      <c r="L1948" s="43"/>
      <c r="M1948" s="28"/>
      <c r="N1948" s="24"/>
    </row>
    <row r="1949">
      <c r="A1949" s="22"/>
      <c r="B1949" s="22"/>
      <c r="C1949" s="24"/>
      <c r="D1949" s="24"/>
      <c r="E1949" s="24"/>
      <c r="F1949" s="24"/>
      <c r="G1949" s="35"/>
      <c r="H1949" s="43"/>
      <c r="I1949" s="28"/>
      <c r="J1949" s="24"/>
      <c r="K1949" s="24"/>
      <c r="L1949" s="43"/>
      <c r="M1949" s="28"/>
      <c r="N1949" s="24"/>
    </row>
    <row r="1950">
      <c r="A1950" s="22"/>
      <c r="B1950" s="22"/>
      <c r="C1950" s="24"/>
      <c r="D1950" s="24"/>
      <c r="E1950" s="24"/>
      <c r="F1950" s="24"/>
      <c r="G1950" s="35"/>
      <c r="H1950" s="43"/>
      <c r="I1950" s="28"/>
      <c r="J1950" s="24"/>
      <c r="K1950" s="24"/>
      <c r="L1950" s="43"/>
      <c r="M1950" s="28"/>
      <c r="N1950" s="24"/>
    </row>
    <row r="1951">
      <c r="A1951" s="22"/>
      <c r="B1951" s="22"/>
      <c r="C1951" s="24"/>
      <c r="D1951" s="24"/>
      <c r="E1951" s="24"/>
      <c r="F1951" s="24"/>
      <c r="G1951" s="35"/>
      <c r="H1951" s="43"/>
      <c r="I1951" s="28"/>
      <c r="J1951" s="24"/>
      <c r="K1951" s="24"/>
      <c r="L1951" s="43"/>
      <c r="M1951" s="28"/>
      <c r="N1951" s="24"/>
    </row>
    <row r="1952">
      <c r="A1952" s="22"/>
      <c r="B1952" s="22"/>
      <c r="C1952" s="24"/>
      <c r="D1952" s="24"/>
      <c r="E1952" s="24"/>
      <c r="F1952" s="24"/>
      <c r="G1952" s="35"/>
      <c r="H1952" s="43"/>
      <c r="I1952" s="28"/>
      <c r="J1952" s="24"/>
      <c r="K1952" s="24"/>
      <c r="L1952" s="43"/>
      <c r="M1952" s="28"/>
      <c r="N1952" s="24"/>
    </row>
    <row r="1953">
      <c r="A1953" s="22"/>
      <c r="B1953" s="22"/>
      <c r="C1953" s="24"/>
      <c r="D1953" s="24"/>
      <c r="E1953" s="24"/>
      <c r="F1953" s="24"/>
      <c r="G1953" s="35"/>
      <c r="H1953" s="43"/>
      <c r="I1953" s="28"/>
      <c r="J1953" s="24"/>
      <c r="K1953" s="24"/>
      <c r="L1953" s="43"/>
      <c r="M1953" s="28"/>
      <c r="N1953" s="24"/>
    </row>
    <row r="1954">
      <c r="A1954" s="22"/>
      <c r="B1954" s="22"/>
      <c r="C1954" s="24"/>
      <c r="D1954" s="24"/>
      <c r="E1954" s="24"/>
      <c r="F1954" s="24"/>
      <c r="G1954" s="35"/>
      <c r="H1954" s="43"/>
      <c r="I1954" s="28"/>
      <c r="J1954" s="24"/>
      <c r="K1954" s="24"/>
      <c r="L1954" s="43"/>
      <c r="M1954" s="28"/>
      <c r="N1954" s="24"/>
    </row>
    <row r="1955">
      <c r="A1955" s="22"/>
      <c r="B1955" s="22"/>
      <c r="C1955" s="24"/>
      <c r="D1955" s="24"/>
      <c r="E1955" s="24"/>
      <c r="F1955" s="24"/>
      <c r="G1955" s="35"/>
      <c r="H1955" s="43"/>
      <c r="I1955" s="28"/>
      <c r="J1955" s="24"/>
      <c r="K1955" s="24"/>
      <c r="L1955" s="43"/>
      <c r="M1955" s="28"/>
      <c r="N1955" s="24"/>
    </row>
    <row r="1956">
      <c r="A1956" s="22"/>
      <c r="B1956" s="22"/>
      <c r="C1956" s="24"/>
      <c r="D1956" s="24"/>
      <c r="E1956" s="24"/>
      <c r="F1956" s="24"/>
      <c r="G1956" s="35"/>
      <c r="H1956" s="43"/>
      <c r="I1956" s="28"/>
      <c r="J1956" s="24"/>
      <c r="K1956" s="24"/>
      <c r="L1956" s="43"/>
      <c r="M1956" s="28"/>
      <c r="N1956" s="24"/>
    </row>
    <row r="1957">
      <c r="A1957" s="22"/>
      <c r="B1957" s="22"/>
      <c r="C1957" s="24"/>
      <c r="D1957" s="24"/>
      <c r="E1957" s="24"/>
      <c r="F1957" s="24"/>
      <c r="G1957" s="35"/>
      <c r="H1957" s="43"/>
      <c r="I1957" s="28"/>
      <c r="J1957" s="24"/>
      <c r="K1957" s="24"/>
      <c r="L1957" s="43"/>
      <c r="M1957" s="28"/>
      <c r="N1957" s="24"/>
    </row>
    <row r="1958">
      <c r="A1958" s="22"/>
      <c r="B1958" s="22"/>
      <c r="C1958" s="24"/>
      <c r="D1958" s="24"/>
      <c r="E1958" s="24"/>
      <c r="F1958" s="24"/>
      <c r="G1958" s="35"/>
      <c r="H1958" s="43"/>
      <c r="I1958" s="28"/>
      <c r="J1958" s="24"/>
      <c r="K1958" s="24"/>
      <c r="L1958" s="43"/>
      <c r="M1958" s="28"/>
      <c r="N1958" s="24"/>
    </row>
    <row r="1959">
      <c r="A1959" s="22"/>
      <c r="B1959" s="22"/>
      <c r="C1959" s="24"/>
      <c r="D1959" s="24"/>
      <c r="E1959" s="24"/>
      <c r="F1959" s="24"/>
      <c r="G1959" s="35"/>
      <c r="H1959" s="43"/>
      <c r="I1959" s="28"/>
      <c r="J1959" s="24"/>
      <c r="K1959" s="24"/>
      <c r="L1959" s="43"/>
      <c r="M1959" s="28"/>
      <c r="N1959" s="24"/>
    </row>
    <row r="1960">
      <c r="A1960" s="22"/>
      <c r="B1960" s="22"/>
      <c r="C1960" s="24"/>
      <c r="D1960" s="24"/>
      <c r="E1960" s="24"/>
      <c r="F1960" s="24"/>
      <c r="G1960" s="35"/>
      <c r="H1960" s="43"/>
      <c r="I1960" s="28"/>
      <c r="J1960" s="24"/>
      <c r="K1960" s="24"/>
      <c r="L1960" s="43"/>
      <c r="M1960" s="28"/>
      <c r="N1960" s="24"/>
    </row>
    <row r="1961">
      <c r="A1961" s="22"/>
      <c r="B1961" s="22"/>
      <c r="C1961" s="24"/>
      <c r="D1961" s="24"/>
      <c r="E1961" s="24"/>
      <c r="F1961" s="24"/>
      <c r="G1961" s="35"/>
      <c r="H1961" s="43"/>
      <c r="I1961" s="28"/>
      <c r="J1961" s="24"/>
      <c r="K1961" s="24"/>
      <c r="L1961" s="43"/>
      <c r="M1961" s="28"/>
      <c r="N1961" s="24"/>
    </row>
    <row r="1962">
      <c r="A1962" s="22"/>
      <c r="B1962" s="22"/>
      <c r="C1962" s="24"/>
      <c r="D1962" s="24"/>
      <c r="E1962" s="24"/>
      <c r="F1962" s="24"/>
      <c r="G1962" s="35"/>
      <c r="H1962" s="43"/>
      <c r="I1962" s="28"/>
      <c r="J1962" s="24"/>
      <c r="K1962" s="24"/>
      <c r="L1962" s="43"/>
      <c r="M1962" s="28"/>
      <c r="N1962" s="24"/>
    </row>
    <row r="1963">
      <c r="A1963" s="22"/>
      <c r="B1963" s="22"/>
      <c r="C1963" s="24"/>
      <c r="D1963" s="24"/>
      <c r="E1963" s="24"/>
      <c r="F1963" s="24"/>
      <c r="G1963" s="35"/>
      <c r="H1963" s="43"/>
      <c r="I1963" s="28"/>
      <c r="J1963" s="24"/>
      <c r="K1963" s="24"/>
      <c r="L1963" s="43"/>
      <c r="M1963" s="28"/>
      <c r="N1963" s="24"/>
    </row>
    <row r="1964">
      <c r="A1964" s="22"/>
      <c r="B1964" s="22"/>
      <c r="C1964" s="24"/>
      <c r="D1964" s="24"/>
      <c r="E1964" s="24"/>
      <c r="F1964" s="24"/>
      <c r="G1964" s="35"/>
      <c r="H1964" s="43"/>
      <c r="I1964" s="28"/>
      <c r="J1964" s="24"/>
      <c r="K1964" s="24"/>
      <c r="L1964" s="43"/>
      <c r="M1964" s="28"/>
      <c r="N1964" s="24"/>
    </row>
    <row r="1965">
      <c r="A1965" s="22"/>
      <c r="B1965" s="22"/>
      <c r="C1965" s="24"/>
      <c r="D1965" s="24"/>
      <c r="E1965" s="24"/>
      <c r="F1965" s="24"/>
      <c r="G1965" s="35"/>
      <c r="H1965" s="43"/>
      <c r="I1965" s="28"/>
      <c r="J1965" s="24"/>
      <c r="K1965" s="24"/>
      <c r="L1965" s="43"/>
      <c r="M1965" s="28"/>
      <c r="N1965" s="24"/>
    </row>
    <row r="1966">
      <c r="A1966" s="22"/>
      <c r="B1966" s="22"/>
      <c r="C1966" s="24"/>
      <c r="D1966" s="24"/>
      <c r="E1966" s="24"/>
      <c r="F1966" s="24"/>
      <c r="G1966" s="35"/>
      <c r="H1966" s="43"/>
      <c r="I1966" s="28"/>
      <c r="J1966" s="24"/>
      <c r="K1966" s="24"/>
      <c r="L1966" s="43"/>
      <c r="M1966" s="28"/>
      <c r="N1966" s="24"/>
    </row>
    <row r="1967">
      <c r="A1967" s="22"/>
      <c r="B1967" s="22"/>
      <c r="C1967" s="24"/>
      <c r="D1967" s="24"/>
      <c r="E1967" s="24"/>
      <c r="F1967" s="24"/>
      <c r="G1967" s="35"/>
      <c r="H1967" s="43"/>
      <c r="I1967" s="28"/>
      <c r="J1967" s="24"/>
      <c r="K1967" s="24"/>
      <c r="L1967" s="43"/>
      <c r="M1967" s="28"/>
      <c r="N1967" s="24"/>
    </row>
    <row r="1968">
      <c r="A1968" s="22"/>
      <c r="B1968" s="22"/>
      <c r="C1968" s="24"/>
      <c r="D1968" s="24"/>
      <c r="E1968" s="24"/>
      <c r="F1968" s="24"/>
      <c r="G1968" s="35"/>
      <c r="H1968" s="43"/>
      <c r="I1968" s="28"/>
      <c r="J1968" s="24"/>
      <c r="K1968" s="24"/>
      <c r="L1968" s="43"/>
      <c r="M1968" s="28"/>
      <c r="N1968" s="24"/>
    </row>
    <row r="1969">
      <c r="A1969" s="22"/>
      <c r="B1969" s="22"/>
      <c r="C1969" s="24"/>
      <c r="D1969" s="24"/>
      <c r="E1969" s="24"/>
      <c r="F1969" s="24"/>
      <c r="G1969" s="35"/>
      <c r="H1969" s="43"/>
      <c r="I1969" s="28"/>
      <c r="J1969" s="24"/>
      <c r="K1969" s="24"/>
      <c r="L1969" s="43"/>
      <c r="M1969" s="28"/>
      <c r="N1969" s="24"/>
    </row>
    <row r="1970">
      <c r="A1970" s="22"/>
      <c r="B1970" s="22"/>
      <c r="C1970" s="24"/>
      <c r="D1970" s="24"/>
      <c r="E1970" s="24"/>
      <c r="F1970" s="24"/>
      <c r="G1970" s="35"/>
      <c r="H1970" s="43"/>
      <c r="I1970" s="28"/>
      <c r="J1970" s="24"/>
      <c r="K1970" s="24"/>
      <c r="L1970" s="43"/>
      <c r="M1970" s="28"/>
      <c r="N1970" s="24"/>
    </row>
    <row r="1971">
      <c r="A1971" s="22"/>
      <c r="B1971" s="22"/>
      <c r="C1971" s="24"/>
      <c r="D1971" s="24"/>
      <c r="E1971" s="24"/>
      <c r="F1971" s="24"/>
      <c r="G1971" s="35"/>
      <c r="H1971" s="43"/>
      <c r="I1971" s="28"/>
      <c r="J1971" s="24"/>
      <c r="K1971" s="24"/>
      <c r="L1971" s="43"/>
      <c r="M1971" s="28"/>
      <c r="N1971" s="24"/>
    </row>
    <row r="1972">
      <c r="A1972" s="22"/>
      <c r="B1972" s="22"/>
      <c r="C1972" s="24"/>
      <c r="D1972" s="24"/>
      <c r="E1972" s="24"/>
      <c r="F1972" s="24"/>
      <c r="G1972" s="35"/>
      <c r="H1972" s="43"/>
      <c r="I1972" s="28"/>
      <c r="J1972" s="24"/>
      <c r="K1972" s="24"/>
      <c r="L1972" s="43"/>
      <c r="M1972" s="28"/>
      <c r="N1972" s="24"/>
    </row>
    <row r="1973">
      <c r="A1973" s="22"/>
      <c r="B1973" s="22"/>
      <c r="C1973" s="24"/>
      <c r="D1973" s="24"/>
      <c r="E1973" s="24"/>
      <c r="F1973" s="24"/>
      <c r="G1973" s="35"/>
      <c r="H1973" s="43"/>
      <c r="I1973" s="28"/>
      <c r="J1973" s="24"/>
      <c r="K1973" s="24"/>
      <c r="L1973" s="43"/>
      <c r="M1973" s="28"/>
      <c r="N1973" s="24"/>
    </row>
    <row r="1974">
      <c r="A1974" s="22"/>
      <c r="B1974" s="22"/>
      <c r="C1974" s="24"/>
      <c r="D1974" s="24"/>
      <c r="E1974" s="24"/>
      <c r="F1974" s="24"/>
      <c r="G1974" s="35"/>
      <c r="H1974" s="43"/>
      <c r="I1974" s="28"/>
      <c r="J1974" s="24"/>
      <c r="K1974" s="24"/>
      <c r="L1974" s="43"/>
      <c r="M1974" s="28"/>
      <c r="N1974" s="24"/>
    </row>
    <row r="1975">
      <c r="A1975" s="22"/>
      <c r="B1975" s="22"/>
      <c r="C1975" s="24"/>
      <c r="D1975" s="24"/>
      <c r="E1975" s="24"/>
      <c r="F1975" s="24"/>
      <c r="G1975" s="35"/>
      <c r="H1975" s="43"/>
      <c r="I1975" s="28"/>
      <c r="J1975" s="24"/>
      <c r="K1975" s="24"/>
      <c r="L1975" s="43"/>
      <c r="M1975" s="28"/>
      <c r="N1975" s="24"/>
    </row>
    <row r="1976">
      <c r="A1976" s="22"/>
      <c r="B1976" s="22"/>
      <c r="C1976" s="24"/>
      <c r="D1976" s="24"/>
      <c r="E1976" s="24"/>
      <c r="F1976" s="24"/>
      <c r="G1976" s="35"/>
      <c r="H1976" s="43"/>
      <c r="I1976" s="28"/>
      <c r="J1976" s="24"/>
      <c r="K1976" s="24"/>
      <c r="L1976" s="43"/>
      <c r="M1976" s="28"/>
      <c r="N1976" s="24"/>
    </row>
    <row r="1977">
      <c r="A1977" s="22"/>
      <c r="B1977" s="22"/>
      <c r="C1977" s="24"/>
      <c r="D1977" s="24"/>
      <c r="E1977" s="24"/>
      <c r="F1977" s="24"/>
      <c r="G1977" s="35"/>
      <c r="H1977" s="43"/>
      <c r="I1977" s="28"/>
      <c r="J1977" s="24"/>
      <c r="K1977" s="24"/>
      <c r="L1977" s="43"/>
      <c r="M1977" s="28"/>
      <c r="N1977" s="24"/>
    </row>
    <row r="1978">
      <c r="A1978" s="22"/>
      <c r="B1978" s="22"/>
      <c r="C1978" s="24"/>
      <c r="D1978" s="24"/>
      <c r="E1978" s="24"/>
      <c r="F1978" s="24"/>
      <c r="G1978" s="35"/>
      <c r="H1978" s="43"/>
      <c r="I1978" s="28"/>
      <c r="J1978" s="24"/>
      <c r="K1978" s="24"/>
      <c r="L1978" s="43"/>
      <c r="M1978" s="28"/>
      <c r="N1978" s="24"/>
    </row>
    <row r="1979">
      <c r="A1979" s="22"/>
      <c r="B1979" s="22"/>
      <c r="C1979" s="24"/>
      <c r="D1979" s="24"/>
      <c r="E1979" s="24"/>
      <c r="F1979" s="24"/>
      <c r="G1979" s="35"/>
      <c r="H1979" s="43"/>
      <c r="I1979" s="28"/>
      <c r="J1979" s="24"/>
      <c r="K1979" s="24"/>
      <c r="L1979" s="43"/>
      <c r="M1979" s="28"/>
      <c r="N1979" s="24"/>
    </row>
    <row r="1980">
      <c r="A1980" s="22"/>
      <c r="B1980" s="22"/>
      <c r="C1980" s="24"/>
      <c r="D1980" s="24"/>
      <c r="E1980" s="24"/>
      <c r="F1980" s="24"/>
      <c r="G1980" s="35"/>
      <c r="H1980" s="43"/>
      <c r="I1980" s="28"/>
      <c r="J1980" s="24"/>
      <c r="K1980" s="24"/>
      <c r="L1980" s="43"/>
      <c r="M1980" s="28"/>
      <c r="N1980" s="24"/>
    </row>
    <row r="1981">
      <c r="A1981" s="22"/>
      <c r="B1981" s="22"/>
      <c r="C1981" s="24"/>
      <c r="D1981" s="24"/>
      <c r="E1981" s="24"/>
      <c r="F1981" s="24"/>
      <c r="G1981" s="35"/>
      <c r="H1981" s="43"/>
      <c r="I1981" s="28"/>
      <c r="J1981" s="24"/>
      <c r="K1981" s="24"/>
      <c r="L1981" s="43"/>
      <c r="M1981" s="28"/>
      <c r="N1981" s="24"/>
    </row>
    <row r="1982">
      <c r="A1982" s="22"/>
      <c r="B1982" s="22"/>
      <c r="C1982" s="24"/>
      <c r="D1982" s="24"/>
      <c r="E1982" s="24"/>
      <c r="F1982" s="24"/>
      <c r="G1982" s="35"/>
      <c r="H1982" s="43"/>
      <c r="I1982" s="28"/>
      <c r="J1982" s="24"/>
      <c r="K1982" s="24"/>
      <c r="L1982" s="43"/>
      <c r="M1982" s="28"/>
      <c r="N1982" s="24"/>
    </row>
    <row r="1983">
      <c r="A1983" s="22"/>
      <c r="B1983" s="22"/>
      <c r="C1983" s="24"/>
      <c r="D1983" s="24"/>
      <c r="E1983" s="24"/>
      <c r="F1983" s="24"/>
      <c r="G1983" s="35"/>
      <c r="H1983" s="43"/>
      <c r="I1983" s="28"/>
      <c r="J1983" s="24"/>
      <c r="K1983" s="24"/>
      <c r="L1983" s="43"/>
      <c r="M1983" s="28"/>
      <c r="N1983" s="24"/>
    </row>
    <row r="1984">
      <c r="A1984" s="22"/>
      <c r="B1984" s="22"/>
      <c r="C1984" s="24"/>
      <c r="D1984" s="24"/>
      <c r="E1984" s="24"/>
      <c r="F1984" s="24"/>
      <c r="G1984" s="35"/>
      <c r="H1984" s="43"/>
      <c r="I1984" s="28"/>
      <c r="J1984" s="24"/>
      <c r="K1984" s="24"/>
      <c r="L1984" s="43"/>
      <c r="M1984" s="28"/>
      <c r="N1984" s="24"/>
    </row>
    <row r="1985">
      <c r="A1985" s="22"/>
      <c r="B1985" s="22"/>
      <c r="C1985" s="24"/>
      <c r="D1985" s="24"/>
      <c r="E1985" s="24"/>
      <c r="F1985" s="24"/>
      <c r="G1985" s="35"/>
      <c r="H1985" s="43"/>
      <c r="I1985" s="28"/>
      <c r="J1985" s="24"/>
      <c r="K1985" s="24"/>
      <c r="L1985" s="43"/>
      <c r="M1985" s="28"/>
      <c r="N1985" s="24"/>
    </row>
    <row r="1986">
      <c r="A1986" s="22"/>
      <c r="B1986" s="22"/>
      <c r="C1986" s="24"/>
      <c r="D1986" s="24"/>
      <c r="E1986" s="24"/>
      <c r="F1986" s="24"/>
      <c r="G1986" s="35"/>
      <c r="H1986" s="43"/>
      <c r="I1986" s="28"/>
      <c r="J1986" s="24"/>
      <c r="K1986" s="24"/>
      <c r="L1986" s="43"/>
      <c r="M1986" s="28"/>
      <c r="N1986" s="24"/>
    </row>
    <row r="1987">
      <c r="A1987" s="22"/>
      <c r="B1987" s="22"/>
      <c r="C1987" s="24"/>
      <c r="D1987" s="24"/>
      <c r="E1987" s="24"/>
      <c r="F1987" s="24"/>
      <c r="G1987" s="35"/>
      <c r="H1987" s="43"/>
      <c r="I1987" s="28"/>
      <c r="J1987" s="24"/>
      <c r="K1987" s="24"/>
      <c r="L1987" s="43"/>
      <c r="M1987" s="28"/>
      <c r="N1987" s="24"/>
    </row>
    <row r="1988">
      <c r="A1988" s="22"/>
      <c r="B1988" s="22"/>
      <c r="C1988" s="24"/>
      <c r="D1988" s="24"/>
      <c r="E1988" s="24"/>
      <c r="F1988" s="24"/>
      <c r="G1988" s="35"/>
      <c r="H1988" s="43"/>
      <c r="I1988" s="28"/>
      <c r="J1988" s="24"/>
      <c r="K1988" s="24"/>
      <c r="L1988" s="43"/>
      <c r="M1988" s="28"/>
      <c r="N1988" s="24"/>
    </row>
    <row r="1989">
      <c r="A1989" s="22"/>
      <c r="B1989" s="22"/>
      <c r="C1989" s="24"/>
      <c r="D1989" s="24"/>
      <c r="E1989" s="24"/>
      <c r="F1989" s="24"/>
      <c r="G1989" s="35"/>
      <c r="H1989" s="43"/>
      <c r="I1989" s="28"/>
      <c r="J1989" s="24"/>
      <c r="K1989" s="24"/>
      <c r="L1989" s="43"/>
      <c r="M1989" s="28"/>
      <c r="N1989" s="24"/>
    </row>
    <row r="1990">
      <c r="A1990" s="22"/>
      <c r="B1990" s="22"/>
      <c r="C1990" s="24"/>
      <c r="D1990" s="24"/>
      <c r="E1990" s="24"/>
      <c r="F1990" s="24"/>
      <c r="G1990" s="35"/>
      <c r="H1990" s="43"/>
      <c r="I1990" s="28"/>
      <c r="J1990" s="24"/>
      <c r="K1990" s="24"/>
      <c r="L1990" s="43"/>
      <c r="M1990" s="28"/>
      <c r="N1990" s="24"/>
    </row>
    <row r="1991">
      <c r="A1991" s="22"/>
      <c r="B1991" s="22"/>
      <c r="C1991" s="24"/>
      <c r="D1991" s="24"/>
      <c r="E1991" s="24"/>
      <c r="F1991" s="24"/>
      <c r="G1991" s="35"/>
      <c r="H1991" s="43"/>
      <c r="I1991" s="28"/>
      <c r="J1991" s="24"/>
      <c r="K1991" s="24"/>
      <c r="L1991" s="43"/>
      <c r="M1991" s="28"/>
      <c r="N1991" s="24"/>
    </row>
    <row r="1992">
      <c r="A1992" s="22"/>
      <c r="B1992" s="22"/>
      <c r="C1992" s="24"/>
      <c r="D1992" s="24"/>
      <c r="E1992" s="24"/>
      <c r="F1992" s="24"/>
      <c r="G1992" s="35"/>
      <c r="H1992" s="43"/>
      <c r="I1992" s="28"/>
      <c r="J1992" s="24"/>
      <c r="K1992" s="24"/>
      <c r="L1992" s="43"/>
      <c r="M1992" s="28"/>
      <c r="N1992" s="24"/>
    </row>
    <row r="1993">
      <c r="A1993" s="22"/>
      <c r="B1993" s="22"/>
      <c r="C1993" s="24"/>
      <c r="D1993" s="24"/>
      <c r="E1993" s="24"/>
      <c r="F1993" s="24"/>
      <c r="G1993" s="35"/>
      <c r="H1993" s="43"/>
      <c r="I1993" s="28"/>
      <c r="J1993" s="24"/>
      <c r="K1993" s="24"/>
      <c r="L1993" s="43"/>
      <c r="M1993" s="28"/>
      <c r="N1993" s="24"/>
    </row>
    <row r="1994">
      <c r="A1994" s="22"/>
      <c r="B1994" s="22"/>
      <c r="C1994" s="24"/>
      <c r="D1994" s="24"/>
      <c r="E1994" s="24"/>
      <c r="F1994" s="24"/>
      <c r="G1994" s="35"/>
      <c r="H1994" s="43"/>
      <c r="I1994" s="28"/>
      <c r="J1994" s="24"/>
      <c r="K1994" s="24"/>
      <c r="L1994" s="43"/>
      <c r="M1994" s="28"/>
      <c r="N1994" s="24"/>
    </row>
    <row r="1995">
      <c r="A1995" s="22"/>
      <c r="B1995" s="22"/>
      <c r="C1995" s="24"/>
      <c r="D1995" s="24"/>
      <c r="E1995" s="24"/>
      <c r="F1995" s="24"/>
      <c r="G1995" s="35"/>
      <c r="H1995" s="43"/>
      <c r="I1995" s="28"/>
      <c r="J1995" s="24"/>
      <c r="K1995" s="24"/>
      <c r="L1995" s="43"/>
      <c r="M1995" s="28"/>
      <c r="N1995" s="24"/>
    </row>
    <row r="1996">
      <c r="A1996" s="22"/>
      <c r="B1996" s="22"/>
      <c r="C1996" s="24"/>
      <c r="D1996" s="24"/>
      <c r="E1996" s="24"/>
      <c r="F1996" s="24"/>
      <c r="G1996" s="35"/>
      <c r="H1996" s="43"/>
      <c r="I1996" s="28"/>
      <c r="J1996" s="24"/>
      <c r="K1996" s="24"/>
      <c r="L1996" s="43"/>
      <c r="M1996" s="28"/>
      <c r="N1996" s="24"/>
    </row>
    <row r="1997">
      <c r="A1997" s="22"/>
      <c r="B1997" s="22"/>
      <c r="C1997" s="24"/>
      <c r="D1997" s="24"/>
      <c r="E1997" s="24"/>
      <c r="F1997" s="24"/>
      <c r="G1997" s="35"/>
      <c r="H1997" s="43"/>
      <c r="I1997" s="28"/>
      <c r="J1997" s="24"/>
      <c r="K1997" s="24"/>
      <c r="L1997" s="43"/>
      <c r="M1997" s="28"/>
      <c r="N1997" s="24"/>
    </row>
    <row r="1998">
      <c r="A1998" s="22"/>
      <c r="B1998" s="22"/>
      <c r="C1998" s="24"/>
      <c r="D1998" s="24"/>
      <c r="E1998" s="24"/>
      <c r="F1998" s="24"/>
      <c r="G1998" s="35"/>
      <c r="H1998" s="43"/>
      <c r="I1998" s="28"/>
      <c r="J1998" s="24"/>
      <c r="K1998" s="24"/>
      <c r="L1998" s="43"/>
      <c r="M1998" s="28"/>
      <c r="N1998" s="24"/>
    </row>
    <row r="1999">
      <c r="A1999" s="22"/>
      <c r="B1999" s="22"/>
      <c r="C1999" s="24"/>
      <c r="D1999" s="24"/>
      <c r="E1999" s="24"/>
      <c r="F1999" s="24"/>
      <c r="G1999" s="35"/>
      <c r="H1999" s="43"/>
      <c r="I1999" s="28"/>
      <c r="J1999" s="24"/>
      <c r="K1999" s="24"/>
      <c r="L1999" s="43"/>
      <c r="M1999" s="28"/>
      <c r="N1999" s="24"/>
    </row>
    <row r="2000">
      <c r="A2000" s="22"/>
      <c r="B2000" s="22"/>
      <c r="C2000" s="24"/>
      <c r="D2000" s="24"/>
      <c r="E2000" s="24"/>
      <c r="F2000" s="24"/>
      <c r="G2000" s="35"/>
      <c r="H2000" s="43"/>
      <c r="I2000" s="28"/>
      <c r="J2000" s="24"/>
      <c r="K2000" s="24"/>
      <c r="L2000" s="43"/>
      <c r="M2000" s="28"/>
      <c r="N2000" s="24"/>
    </row>
    <row r="2001">
      <c r="A2001" s="22"/>
      <c r="B2001" s="22"/>
      <c r="C2001" s="24"/>
      <c r="D2001" s="24"/>
      <c r="E2001" s="24"/>
      <c r="F2001" s="24"/>
      <c r="G2001" s="35"/>
      <c r="H2001" s="43"/>
      <c r="I2001" s="28"/>
      <c r="J2001" s="24"/>
      <c r="K2001" s="24"/>
      <c r="L2001" s="43"/>
      <c r="M2001" s="28"/>
      <c r="N2001" s="24"/>
    </row>
    <row r="2002">
      <c r="A2002" s="22"/>
      <c r="B2002" s="22"/>
      <c r="C2002" s="24"/>
      <c r="D2002" s="24"/>
      <c r="E2002" s="24"/>
      <c r="F2002" s="24"/>
      <c r="G2002" s="35"/>
      <c r="H2002" s="43"/>
      <c r="I2002" s="28"/>
      <c r="J2002" s="24"/>
      <c r="K2002" s="24"/>
      <c r="L2002" s="43"/>
      <c r="M2002" s="28"/>
      <c r="N2002" s="24"/>
    </row>
    <row r="2003">
      <c r="A2003" s="22"/>
      <c r="B2003" s="22"/>
      <c r="C2003" s="24"/>
      <c r="D2003" s="24"/>
      <c r="E2003" s="24"/>
      <c r="F2003" s="24"/>
      <c r="G2003" s="35"/>
      <c r="H2003" s="43"/>
      <c r="I2003" s="28"/>
      <c r="J2003" s="24"/>
      <c r="K2003" s="24"/>
      <c r="L2003" s="43"/>
      <c r="M2003" s="28"/>
      <c r="N2003" s="24"/>
    </row>
    <row r="2004">
      <c r="A2004" s="22"/>
      <c r="B2004" s="22"/>
      <c r="C2004" s="24"/>
      <c r="D2004" s="24"/>
      <c r="E2004" s="24"/>
      <c r="F2004" s="24"/>
      <c r="G2004" s="35"/>
      <c r="H2004" s="43"/>
      <c r="I2004" s="28"/>
      <c r="J2004" s="24"/>
      <c r="K2004" s="24"/>
      <c r="L2004" s="43"/>
      <c r="M2004" s="28"/>
      <c r="N2004" s="24"/>
    </row>
    <row r="2005">
      <c r="A2005" s="22"/>
      <c r="B2005" s="22"/>
      <c r="C2005" s="24"/>
      <c r="D2005" s="24"/>
      <c r="E2005" s="24"/>
      <c r="F2005" s="24"/>
      <c r="G2005" s="35"/>
      <c r="H2005" s="43"/>
      <c r="I2005" s="28"/>
      <c r="J2005" s="24"/>
      <c r="K2005" s="24"/>
      <c r="L2005" s="43"/>
      <c r="M2005" s="28"/>
      <c r="N2005" s="24"/>
    </row>
    <row r="2006">
      <c r="A2006" s="22"/>
      <c r="B2006" s="22"/>
      <c r="C2006" s="24"/>
      <c r="D2006" s="24"/>
      <c r="E2006" s="24"/>
      <c r="F2006" s="24"/>
      <c r="G2006" s="35"/>
      <c r="H2006" s="43"/>
      <c r="I2006" s="28"/>
      <c r="J2006" s="24"/>
      <c r="K2006" s="24"/>
      <c r="L2006" s="43"/>
      <c r="M2006" s="28"/>
      <c r="N2006" s="24"/>
    </row>
    <row r="2007">
      <c r="A2007" s="22"/>
      <c r="B2007" s="22"/>
      <c r="C2007" s="24"/>
      <c r="D2007" s="24"/>
      <c r="E2007" s="24"/>
      <c r="F2007" s="24"/>
      <c r="G2007" s="35"/>
      <c r="H2007" s="43"/>
      <c r="I2007" s="28"/>
      <c r="J2007" s="24"/>
      <c r="K2007" s="24"/>
      <c r="L2007" s="43"/>
      <c r="M2007" s="28"/>
      <c r="N2007" s="24"/>
    </row>
    <row r="2008">
      <c r="A2008" s="22"/>
      <c r="B2008" s="22"/>
      <c r="C2008" s="24"/>
      <c r="D2008" s="24"/>
      <c r="E2008" s="24"/>
      <c r="F2008" s="24"/>
      <c r="G2008" s="35"/>
      <c r="H2008" s="43"/>
      <c r="I2008" s="28"/>
      <c r="J2008" s="24"/>
      <c r="K2008" s="24"/>
      <c r="L2008" s="43"/>
      <c r="M2008" s="28"/>
      <c r="N2008" s="24"/>
    </row>
    <row r="2009">
      <c r="A2009" s="22"/>
      <c r="B2009" s="22"/>
      <c r="C2009" s="24"/>
      <c r="D2009" s="24"/>
      <c r="E2009" s="24"/>
      <c r="F2009" s="24"/>
      <c r="G2009" s="35"/>
      <c r="H2009" s="43"/>
      <c r="I2009" s="28"/>
      <c r="J2009" s="24"/>
      <c r="K2009" s="24"/>
      <c r="L2009" s="43"/>
      <c r="M2009" s="28"/>
      <c r="N2009" s="24"/>
    </row>
    <row r="2010">
      <c r="A2010" s="22"/>
      <c r="B2010" s="22"/>
      <c r="C2010" s="24"/>
      <c r="D2010" s="24"/>
      <c r="E2010" s="24"/>
      <c r="F2010" s="24"/>
      <c r="G2010" s="35"/>
      <c r="H2010" s="43"/>
      <c r="I2010" s="28"/>
      <c r="J2010" s="24"/>
      <c r="K2010" s="24"/>
      <c r="L2010" s="43"/>
      <c r="M2010" s="28"/>
      <c r="N2010" s="24"/>
    </row>
    <row r="2011">
      <c r="A2011" s="22"/>
      <c r="B2011" s="22"/>
      <c r="C2011" s="24"/>
      <c r="D2011" s="24"/>
      <c r="E2011" s="24"/>
      <c r="F2011" s="24"/>
      <c r="G2011" s="35"/>
      <c r="H2011" s="43"/>
      <c r="I2011" s="28"/>
      <c r="J2011" s="24"/>
      <c r="K2011" s="24"/>
      <c r="L2011" s="43"/>
      <c r="M2011" s="28"/>
      <c r="N2011" s="24"/>
    </row>
    <row r="2012">
      <c r="A2012" s="22"/>
      <c r="B2012" s="22"/>
      <c r="C2012" s="24"/>
      <c r="D2012" s="24"/>
      <c r="E2012" s="24"/>
      <c r="F2012" s="24"/>
      <c r="G2012" s="35"/>
      <c r="H2012" s="43"/>
      <c r="I2012" s="28"/>
      <c r="J2012" s="24"/>
      <c r="K2012" s="24"/>
      <c r="L2012" s="43"/>
      <c r="M2012" s="28"/>
      <c r="N2012" s="24"/>
    </row>
    <row r="2013">
      <c r="A2013" s="22"/>
      <c r="B2013" s="22"/>
      <c r="C2013" s="24"/>
      <c r="D2013" s="24"/>
      <c r="E2013" s="24"/>
      <c r="F2013" s="24"/>
      <c r="G2013" s="35"/>
      <c r="H2013" s="43"/>
      <c r="I2013" s="28"/>
      <c r="J2013" s="24"/>
      <c r="K2013" s="24"/>
      <c r="L2013" s="43"/>
      <c r="M2013" s="28"/>
      <c r="N2013" s="24"/>
    </row>
    <row r="2014">
      <c r="A2014" s="22"/>
      <c r="B2014" s="22"/>
      <c r="C2014" s="24"/>
      <c r="D2014" s="24"/>
      <c r="E2014" s="24"/>
      <c r="F2014" s="24"/>
      <c r="G2014" s="35"/>
      <c r="H2014" s="43"/>
      <c r="I2014" s="28"/>
      <c r="J2014" s="24"/>
      <c r="K2014" s="24"/>
      <c r="L2014" s="43"/>
      <c r="M2014" s="28"/>
      <c r="N2014" s="24"/>
    </row>
    <row r="2015">
      <c r="A2015" s="22"/>
      <c r="B2015" s="22"/>
      <c r="C2015" s="24"/>
      <c r="D2015" s="24"/>
      <c r="E2015" s="24"/>
      <c r="F2015" s="24"/>
      <c r="G2015" s="35"/>
      <c r="H2015" s="43"/>
      <c r="I2015" s="28"/>
      <c r="J2015" s="24"/>
      <c r="K2015" s="24"/>
      <c r="L2015" s="43"/>
      <c r="M2015" s="28"/>
      <c r="N2015" s="24"/>
    </row>
    <row r="2016">
      <c r="A2016" s="22"/>
      <c r="B2016" s="22"/>
      <c r="C2016" s="24"/>
      <c r="D2016" s="24"/>
      <c r="E2016" s="24"/>
      <c r="F2016" s="24"/>
      <c r="G2016" s="35"/>
      <c r="H2016" s="43"/>
      <c r="I2016" s="28"/>
      <c r="J2016" s="24"/>
      <c r="K2016" s="24"/>
      <c r="L2016" s="43"/>
      <c r="M2016" s="28"/>
      <c r="N2016" s="24"/>
    </row>
    <row r="2017">
      <c r="A2017" s="22"/>
      <c r="B2017" s="22"/>
      <c r="C2017" s="24"/>
      <c r="D2017" s="24"/>
      <c r="E2017" s="24"/>
      <c r="F2017" s="24"/>
      <c r="G2017" s="35"/>
      <c r="H2017" s="43"/>
      <c r="I2017" s="28"/>
      <c r="J2017" s="24"/>
      <c r="K2017" s="24"/>
      <c r="L2017" s="43"/>
      <c r="M2017" s="28"/>
      <c r="N2017" s="24"/>
    </row>
    <row r="2018">
      <c r="A2018" s="22"/>
      <c r="B2018" s="22"/>
      <c r="C2018" s="24"/>
      <c r="D2018" s="24"/>
      <c r="E2018" s="24"/>
      <c r="F2018" s="24"/>
      <c r="G2018" s="35"/>
      <c r="H2018" s="43"/>
      <c r="I2018" s="28"/>
      <c r="J2018" s="24"/>
      <c r="K2018" s="24"/>
      <c r="L2018" s="43"/>
      <c r="M2018" s="28"/>
      <c r="N2018" s="24"/>
    </row>
    <row r="2019">
      <c r="A2019" s="22"/>
      <c r="B2019" s="22"/>
      <c r="C2019" s="24"/>
      <c r="D2019" s="24"/>
      <c r="E2019" s="24"/>
      <c r="F2019" s="24"/>
      <c r="G2019" s="35"/>
      <c r="H2019" s="43"/>
      <c r="I2019" s="28"/>
      <c r="J2019" s="24"/>
      <c r="K2019" s="24"/>
      <c r="L2019" s="43"/>
      <c r="M2019" s="28"/>
      <c r="N2019" s="24"/>
    </row>
    <row r="2020">
      <c r="A2020" s="22"/>
      <c r="B2020" s="22"/>
      <c r="C2020" s="24"/>
      <c r="D2020" s="24"/>
      <c r="E2020" s="24"/>
      <c r="F2020" s="24"/>
      <c r="G2020" s="35"/>
      <c r="H2020" s="43"/>
      <c r="I2020" s="28"/>
      <c r="J2020" s="24"/>
      <c r="K2020" s="24"/>
      <c r="L2020" s="43"/>
      <c r="M2020" s="28"/>
      <c r="N2020" s="24"/>
    </row>
    <row r="2021">
      <c r="A2021" s="22"/>
      <c r="B2021" s="22"/>
      <c r="C2021" s="24"/>
      <c r="D2021" s="24"/>
      <c r="E2021" s="24"/>
      <c r="F2021" s="24"/>
      <c r="G2021" s="35"/>
      <c r="H2021" s="43"/>
      <c r="I2021" s="28"/>
      <c r="J2021" s="24"/>
      <c r="K2021" s="24"/>
      <c r="L2021" s="43"/>
      <c r="M2021" s="28"/>
      <c r="N2021" s="24"/>
    </row>
    <row r="2022">
      <c r="A2022" s="22"/>
      <c r="B2022" s="22"/>
      <c r="C2022" s="24"/>
      <c r="D2022" s="24"/>
      <c r="E2022" s="24"/>
      <c r="F2022" s="24"/>
      <c r="G2022" s="35"/>
      <c r="H2022" s="43"/>
      <c r="I2022" s="28"/>
      <c r="J2022" s="24"/>
      <c r="K2022" s="24"/>
      <c r="L2022" s="43"/>
      <c r="M2022" s="28"/>
      <c r="N2022" s="24"/>
    </row>
    <row r="2023">
      <c r="A2023" s="22"/>
      <c r="B2023" s="22"/>
      <c r="C2023" s="24"/>
      <c r="D2023" s="24"/>
      <c r="E2023" s="24"/>
      <c r="F2023" s="24"/>
      <c r="G2023" s="35"/>
      <c r="H2023" s="43"/>
      <c r="I2023" s="28"/>
      <c r="J2023" s="24"/>
      <c r="K2023" s="24"/>
      <c r="L2023" s="43"/>
      <c r="M2023" s="28"/>
      <c r="N2023" s="24"/>
    </row>
    <row r="2024">
      <c r="A2024" s="22"/>
      <c r="B2024" s="22"/>
      <c r="C2024" s="24"/>
      <c r="D2024" s="24"/>
      <c r="E2024" s="24"/>
      <c r="F2024" s="24"/>
      <c r="G2024" s="35"/>
      <c r="H2024" s="43"/>
      <c r="I2024" s="28"/>
      <c r="J2024" s="24"/>
      <c r="K2024" s="24"/>
      <c r="L2024" s="43"/>
      <c r="M2024" s="28"/>
      <c r="N2024" s="24"/>
    </row>
    <row r="2025">
      <c r="A2025" s="22"/>
      <c r="B2025" s="22"/>
      <c r="C2025" s="24"/>
      <c r="D2025" s="24"/>
      <c r="E2025" s="24"/>
      <c r="F2025" s="24"/>
      <c r="G2025" s="35"/>
      <c r="H2025" s="43"/>
      <c r="I2025" s="28"/>
      <c r="J2025" s="24"/>
      <c r="K2025" s="24"/>
      <c r="L2025" s="43"/>
      <c r="M2025" s="28"/>
      <c r="N2025" s="24"/>
    </row>
    <row r="2026">
      <c r="A2026" s="22"/>
      <c r="B2026" s="22"/>
      <c r="C2026" s="24"/>
      <c r="D2026" s="24"/>
      <c r="E2026" s="24"/>
      <c r="F2026" s="24"/>
      <c r="G2026" s="35"/>
      <c r="H2026" s="43"/>
      <c r="I2026" s="28"/>
      <c r="J2026" s="24"/>
      <c r="K2026" s="24"/>
      <c r="L2026" s="43"/>
      <c r="M2026" s="28"/>
      <c r="N2026" s="24"/>
    </row>
    <row r="2027">
      <c r="A2027" s="22"/>
      <c r="B2027" s="22"/>
      <c r="C2027" s="24"/>
      <c r="D2027" s="24"/>
      <c r="E2027" s="24"/>
      <c r="F2027" s="24"/>
      <c r="G2027" s="35"/>
      <c r="H2027" s="43"/>
      <c r="I2027" s="28"/>
      <c r="J2027" s="24"/>
      <c r="K2027" s="24"/>
      <c r="L2027" s="43"/>
      <c r="M2027" s="28"/>
      <c r="N2027" s="24"/>
    </row>
    <row r="2028">
      <c r="A2028" s="22"/>
      <c r="B2028" s="22"/>
      <c r="C2028" s="24"/>
      <c r="D2028" s="24"/>
      <c r="E2028" s="24"/>
      <c r="F2028" s="24"/>
      <c r="G2028" s="35"/>
      <c r="H2028" s="43"/>
      <c r="I2028" s="28"/>
      <c r="J2028" s="24"/>
      <c r="K2028" s="24"/>
      <c r="L2028" s="43"/>
      <c r="M2028" s="28"/>
      <c r="N2028" s="24"/>
    </row>
    <row r="2029">
      <c r="A2029" s="22"/>
      <c r="B2029" s="22"/>
      <c r="C2029" s="24"/>
      <c r="D2029" s="24"/>
      <c r="E2029" s="24"/>
      <c r="F2029" s="24"/>
      <c r="G2029" s="35"/>
      <c r="H2029" s="43"/>
      <c r="I2029" s="28"/>
      <c r="J2029" s="24"/>
      <c r="K2029" s="24"/>
      <c r="L2029" s="43"/>
      <c r="M2029" s="28"/>
      <c r="N2029" s="24"/>
    </row>
    <row r="2030">
      <c r="A2030" s="22"/>
      <c r="B2030" s="22"/>
      <c r="C2030" s="24"/>
      <c r="D2030" s="24"/>
      <c r="E2030" s="24"/>
      <c r="F2030" s="24"/>
      <c r="G2030" s="35"/>
      <c r="H2030" s="43"/>
      <c r="I2030" s="28"/>
      <c r="J2030" s="24"/>
      <c r="K2030" s="24"/>
      <c r="L2030" s="43"/>
      <c r="M2030" s="28"/>
      <c r="N2030" s="24"/>
    </row>
    <row r="2031">
      <c r="A2031" s="22"/>
      <c r="B2031" s="22"/>
      <c r="C2031" s="24"/>
      <c r="D2031" s="24"/>
      <c r="E2031" s="24"/>
      <c r="F2031" s="24"/>
      <c r="G2031" s="35"/>
      <c r="H2031" s="43"/>
      <c r="I2031" s="28"/>
      <c r="J2031" s="24"/>
      <c r="K2031" s="24"/>
      <c r="L2031" s="43"/>
      <c r="M2031" s="28"/>
      <c r="N2031" s="24"/>
    </row>
    <row r="2032">
      <c r="A2032" s="22"/>
      <c r="B2032" s="22"/>
      <c r="C2032" s="24"/>
      <c r="D2032" s="24"/>
      <c r="E2032" s="24"/>
      <c r="F2032" s="24"/>
      <c r="G2032" s="35"/>
      <c r="H2032" s="43"/>
      <c r="I2032" s="28"/>
      <c r="J2032" s="24"/>
      <c r="K2032" s="24"/>
      <c r="L2032" s="43"/>
      <c r="M2032" s="28"/>
      <c r="N2032" s="24"/>
    </row>
    <row r="2033">
      <c r="A2033" s="22"/>
      <c r="B2033" s="22"/>
      <c r="C2033" s="24"/>
      <c r="D2033" s="24"/>
      <c r="E2033" s="24"/>
      <c r="F2033" s="24"/>
      <c r="G2033" s="35"/>
      <c r="H2033" s="43"/>
      <c r="I2033" s="28"/>
      <c r="J2033" s="24"/>
      <c r="K2033" s="24"/>
      <c r="L2033" s="43"/>
      <c r="M2033" s="28"/>
      <c r="N2033" s="24"/>
    </row>
    <row r="2034">
      <c r="A2034" s="22"/>
      <c r="B2034" s="22"/>
      <c r="C2034" s="24"/>
      <c r="D2034" s="24"/>
      <c r="E2034" s="24"/>
      <c r="F2034" s="24"/>
      <c r="G2034" s="35"/>
      <c r="H2034" s="43"/>
      <c r="I2034" s="28"/>
      <c r="J2034" s="24"/>
      <c r="K2034" s="24"/>
      <c r="L2034" s="43"/>
      <c r="M2034" s="28"/>
      <c r="N2034" s="24"/>
    </row>
    <row r="2035">
      <c r="A2035" s="22"/>
      <c r="B2035" s="22"/>
      <c r="C2035" s="24"/>
      <c r="D2035" s="24"/>
      <c r="E2035" s="24"/>
      <c r="F2035" s="24"/>
      <c r="G2035" s="35"/>
      <c r="H2035" s="43"/>
      <c r="I2035" s="28"/>
      <c r="J2035" s="24"/>
      <c r="K2035" s="24"/>
      <c r="L2035" s="43"/>
      <c r="M2035" s="28"/>
      <c r="N2035" s="24"/>
    </row>
    <row r="2036">
      <c r="A2036" s="22"/>
      <c r="B2036" s="22"/>
      <c r="C2036" s="24"/>
      <c r="D2036" s="24"/>
      <c r="E2036" s="24"/>
      <c r="F2036" s="24"/>
      <c r="G2036" s="35"/>
      <c r="H2036" s="43"/>
      <c r="I2036" s="28"/>
      <c r="J2036" s="24"/>
      <c r="K2036" s="24"/>
      <c r="L2036" s="43"/>
      <c r="M2036" s="28"/>
      <c r="N2036" s="24"/>
    </row>
    <row r="2037">
      <c r="A2037" s="22"/>
      <c r="B2037" s="22"/>
      <c r="C2037" s="24"/>
      <c r="D2037" s="24"/>
      <c r="E2037" s="24"/>
      <c r="F2037" s="24"/>
      <c r="G2037" s="35"/>
      <c r="H2037" s="43"/>
      <c r="I2037" s="28"/>
      <c r="J2037" s="24"/>
      <c r="K2037" s="24"/>
      <c r="L2037" s="43"/>
      <c r="M2037" s="28"/>
      <c r="N2037" s="24"/>
    </row>
    <row r="2038">
      <c r="A2038" s="22"/>
      <c r="B2038" s="22"/>
      <c r="C2038" s="24"/>
      <c r="D2038" s="24"/>
      <c r="E2038" s="24"/>
      <c r="F2038" s="24"/>
      <c r="G2038" s="35"/>
      <c r="H2038" s="43"/>
      <c r="I2038" s="28"/>
      <c r="J2038" s="24"/>
      <c r="K2038" s="24"/>
      <c r="L2038" s="43"/>
      <c r="M2038" s="28"/>
      <c r="N2038" s="24"/>
    </row>
    <row r="2039">
      <c r="A2039" s="22"/>
      <c r="B2039" s="22"/>
      <c r="C2039" s="24"/>
      <c r="D2039" s="24"/>
      <c r="E2039" s="24"/>
      <c r="F2039" s="24"/>
      <c r="G2039" s="35"/>
      <c r="H2039" s="43"/>
      <c r="I2039" s="28"/>
      <c r="J2039" s="24"/>
      <c r="K2039" s="24"/>
      <c r="L2039" s="43"/>
      <c r="M2039" s="28"/>
      <c r="N2039" s="24"/>
    </row>
    <row r="2040">
      <c r="A2040" s="22"/>
      <c r="B2040" s="22"/>
      <c r="C2040" s="24"/>
      <c r="D2040" s="24"/>
      <c r="E2040" s="24"/>
      <c r="F2040" s="24"/>
      <c r="G2040" s="35"/>
      <c r="H2040" s="43"/>
      <c r="I2040" s="28"/>
      <c r="J2040" s="24"/>
      <c r="K2040" s="24"/>
      <c r="L2040" s="43"/>
      <c r="M2040" s="28"/>
      <c r="N2040" s="24"/>
    </row>
    <row r="2041">
      <c r="A2041" s="22"/>
      <c r="B2041" s="22"/>
      <c r="C2041" s="24"/>
      <c r="D2041" s="24"/>
      <c r="E2041" s="24"/>
      <c r="F2041" s="24"/>
      <c r="G2041" s="35"/>
      <c r="H2041" s="43"/>
      <c r="I2041" s="28"/>
      <c r="J2041" s="24"/>
      <c r="K2041" s="24"/>
      <c r="L2041" s="43"/>
      <c r="M2041" s="28"/>
      <c r="N2041" s="24"/>
    </row>
    <row r="2042">
      <c r="A2042" s="22"/>
      <c r="B2042" s="22"/>
      <c r="C2042" s="24"/>
      <c r="D2042" s="24"/>
      <c r="E2042" s="24"/>
      <c r="F2042" s="24"/>
      <c r="G2042" s="35"/>
      <c r="H2042" s="43"/>
      <c r="I2042" s="28"/>
      <c r="J2042" s="24"/>
      <c r="K2042" s="24"/>
      <c r="L2042" s="43"/>
      <c r="M2042" s="28"/>
      <c r="N2042" s="24"/>
    </row>
    <row r="2043">
      <c r="A2043" s="22"/>
      <c r="B2043" s="22"/>
      <c r="C2043" s="24"/>
      <c r="D2043" s="24"/>
      <c r="E2043" s="24"/>
      <c r="F2043" s="24"/>
      <c r="G2043" s="35"/>
      <c r="H2043" s="43"/>
      <c r="I2043" s="28"/>
      <c r="J2043" s="24"/>
      <c r="K2043" s="24"/>
      <c r="L2043" s="43"/>
      <c r="M2043" s="28"/>
      <c r="N2043" s="24"/>
    </row>
    <row r="2044">
      <c r="A2044" s="22"/>
      <c r="B2044" s="22"/>
      <c r="C2044" s="24"/>
      <c r="D2044" s="24"/>
      <c r="E2044" s="24"/>
      <c r="F2044" s="24"/>
      <c r="G2044" s="35"/>
      <c r="H2044" s="43"/>
      <c r="I2044" s="28"/>
      <c r="J2044" s="24"/>
      <c r="K2044" s="24"/>
      <c r="L2044" s="43"/>
      <c r="M2044" s="28"/>
      <c r="N2044" s="24"/>
    </row>
    <row r="2045">
      <c r="A2045" s="22"/>
      <c r="B2045" s="22"/>
      <c r="C2045" s="24"/>
      <c r="D2045" s="24"/>
      <c r="E2045" s="24"/>
      <c r="F2045" s="24"/>
      <c r="G2045" s="35"/>
      <c r="H2045" s="43"/>
      <c r="I2045" s="28"/>
      <c r="J2045" s="24"/>
      <c r="K2045" s="24"/>
      <c r="L2045" s="43"/>
      <c r="M2045" s="28"/>
      <c r="N2045" s="24"/>
    </row>
    <row r="2046">
      <c r="A2046" s="22"/>
      <c r="B2046" s="22"/>
      <c r="C2046" s="24"/>
      <c r="D2046" s="24"/>
      <c r="E2046" s="24"/>
      <c r="F2046" s="24"/>
      <c r="G2046" s="35"/>
      <c r="H2046" s="43"/>
      <c r="I2046" s="28"/>
      <c r="J2046" s="24"/>
      <c r="K2046" s="24"/>
      <c r="L2046" s="43"/>
      <c r="M2046" s="28"/>
      <c r="N2046" s="24"/>
    </row>
    <row r="2047">
      <c r="A2047" s="22"/>
      <c r="B2047" s="22"/>
      <c r="C2047" s="24"/>
      <c r="D2047" s="24"/>
      <c r="E2047" s="24"/>
      <c r="F2047" s="24"/>
      <c r="G2047" s="35"/>
      <c r="H2047" s="43"/>
      <c r="I2047" s="28"/>
      <c r="J2047" s="24"/>
      <c r="K2047" s="24"/>
      <c r="L2047" s="43"/>
      <c r="M2047" s="28"/>
      <c r="N2047" s="24"/>
    </row>
    <row r="2048">
      <c r="A2048" s="22"/>
      <c r="B2048" s="22"/>
      <c r="C2048" s="24"/>
      <c r="D2048" s="24"/>
      <c r="E2048" s="24"/>
      <c r="F2048" s="24"/>
      <c r="G2048" s="35"/>
      <c r="H2048" s="43"/>
      <c r="I2048" s="28"/>
      <c r="J2048" s="24"/>
      <c r="K2048" s="24"/>
      <c r="L2048" s="43"/>
      <c r="M2048" s="28"/>
      <c r="N2048" s="24"/>
    </row>
    <row r="2049">
      <c r="A2049" s="22"/>
      <c r="B2049" s="22"/>
      <c r="C2049" s="24"/>
      <c r="D2049" s="24"/>
      <c r="E2049" s="24"/>
      <c r="F2049" s="24"/>
      <c r="G2049" s="35"/>
      <c r="H2049" s="43"/>
      <c r="I2049" s="28"/>
      <c r="J2049" s="24"/>
      <c r="K2049" s="24"/>
      <c r="L2049" s="43"/>
      <c r="M2049" s="28"/>
      <c r="N2049" s="24"/>
    </row>
    <row r="2050">
      <c r="A2050" s="22"/>
      <c r="B2050" s="22"/>
      <c r="C2050" s="24"/>
      <c r="D2050" s="24"/>
      <c r="E2050" s="24"/>
      <c r="F2050" s="24"/>
      <c r="G2050" s="35"/>
      <c r="H2050" s="43"/>
      <c r="I2050" s="28"/>
      <c r="J2050" s="24"/>
      <c r="K2050" s="24"/>
      <c r="L2050" s="43"/>
      <c r="M2050" s="28"/>
      <c r="N2050" s="24"/>
    </row>
    <row r="2051">
      <c r="A2051" s="22"/>
      <c r="B2051" s="22"/>
      <c r="C2051" s="24"/>
      <c r="D2051" s="24"/>
      <c r="E2051" s="24"/>
      <c r="F2051" s="24"/>
      <c r="G2051" s="35"/>
      <c r="H2051" s="43"/>
      <c r="I2051" s="28"/>
      <c r="J2051" s="24"/>
      <c r="K2051" s="24"/>
      <c r="L2051" s="43"/>
      <c r="M2051" s="28"/>
      <c r="N2051" s="24"/>
    </row>
    <row r="2052">
      <c r="A2052" s="22"/>
      <c r="B2052" s="22"/>
      <c r="C2052" s="24"/>
      <c r="D2052" s="24"/>
      <c r="E2052" s="24"/>
      <c r="F2052" s="24"/>
      <c r="G2052" s="35"/>
      <c r="H2052" s="43"/>
      <c r="I2052" s="28"/>
      <c r="J2052" s="24"/>
      <c r="K2052" s="24"/>
      <c r="L2052" s="43"/>
      <c r="M2052" s="28"/>
      <c r="N2052" s="24"/>
    </row>
    <row r="2053">
      <c r="A2053" s="22"/>
      <c r="B2053" s="22"/>
      <c r="C2053" s="24"/>
      <c r="D2053" s="24"/>
      <c r="E2053" s="24"/>
      <c r="F2053" s="24"/>
      <c r="G2053" s="35"/>
      <c r="H2053" s="43"/>
      <c r="I2053" s="28"/>
      <c r="J2053" s="24"/>
      <c r="K2053" s="24"/>
      <c r="L2053" s="43"/>
      <c r="M2053" s="28"/>
      <c r="N2053" s="24"/>
    </row>
    <row r="2054">
      <c r="A2054" s="22"/>
      <c r="B2054" s="22"/>
      <c r="C2054" s="24"/>
      <c r="D2054" s="24"/>
      <c r="E2054" s="24"/>
      <c r="F2054" s="24"/>
      <c r="G2054" s="35"/>
      <c r="H2054" s="43"/>
      <c r="I2054" s="28"/>
      <c r="J2054" s="24"/>
      <c r="K2054" s="24"/>
      <c r="L2054" s="43"/>
      <c r="M2054" s="28"/>
      <c r="N2054" s="24"/>
    </row>
    <row r="2055">
      <c r="A2055" s="22"/>
      <c r="B2055" s="22"/>
      <c r="C2055" s="24"/>
      <c r="D2055" s="24"/>
      <c r="E2055" s="24"/>
      <c r="F2055" s="24"/>
      <c r="G2055" s="35"/>
      <c r="H2055" s="43"/>
      <c r="I2055" s="28"/>
      <c r="J2055" s="24"/>
      <c r="K2055" s="24"/>
      <c r="L2055" s="43"/>
      <c r="M2055" s="28"/>
      <c r="N2055" s="24"/>
    </row>
    <row r="2056">
      <c r="A2056" s="22"/>
      <c r="B2056" s="22"/>
      <c r="C2056" s="24"/>
      <c r="D2056" s="24"/>
      <c r="E2056" s="24"/>
      <c r="F2056" s="24"/>
      <c r="G2056" s="35"/>
      <c r="H2056" s="43"/>
      <c r="I2056" s="28"/>
      <c r="J2056" s="24"/>
      <c r="K2056" s="24"/>
      <c r="L2056" s="43"/>
      <c r="M2056" s="28"/>
      <c r="N2056" s="24"/>
    </row>
    <row r="2057">
      <c r="A2057" s="22"/>
      <c r="B2057" s="22"/>
      <c r="C2057" s="24"/>
      <c r="D2057" s="24"/>
      <c r="E2057" s="24"/>
      <c r="F2057" s="24"/>
      <c r="G2057" s="35"/>
      <c r="H2057" s="43"/>
      <c r="I2057" s="28"/>
      <c r="J2057" s="24"/>
      <c r="K2057" s="24"/>
      <c r="L2057" s="43"/>
      <c r="M2057" s="28"/>
      <c r="N2057" s="24"/>
    </row>
    <row r="2058">
      <c r="A2058" s="22"/>
      <c r="B2058" s="22"/>
      <c r="C2058" s="24"/>
      <c r="D2058" s="24"/>
      <c r="E2058" s="24"/>
      <c r="F2058" s="24"/>
      <c r="G2058" s="35"/>
      <c r="H2058" s="43"/>
      <c r="I2058" s="28"/>
      <c r="J2058" s="24"/>
      <c r="K2058" s="24"/>
      <c r="L2058" s="43"/>
      <c r="M2058" s="28"/>
      <c r="N2058" s="24"/>
    </row>
    <row r="2059">
      <c r="A2059" s="22"/>
      <c r="B2059" s="22"/>
      <c r="C2059" s="24"/>
      <c r="D2059" s="24"/>
      <c r="E2059" s="24"/>
      <c r="F2059" s="24"/>
      <c r="G2059" s="35"/>
      <c r="H2059" s="43"/>
      <c r="I2059" s="28"/>
      <c r="J2059" s="24"/>
      <c r="K2059" s="24"/>
      <c r="L2059" s="43"/>
      <c r="M2059" s="28"/>
      <c r="N2059" s="24"/>
    </row>
    <row r="2060">
      <c r="A2060" s="22"/>
      <c r="B2060" s="22"/>
      <c r="C2060" s="24"/>
      <c r="D2060" s="24"/>
      <c r="E2060" s="24"/>
      <c r="F2060" s="24"/>
      <c r="G2060" s="35"/>
      <c r="H2060" s="43"/>
      <c r="I2060" s="28"/>
      <c r="J2060" s="24"/>
      <c r="K2060" s="24"/>
      <c r="L2060" s="43"/>
      <c r="M2060" s="28"/>
      <c r="N2060" s="24"/>
    </row>
    <row r="2061">
      <c r="A2061" s="22"/>
      <c r="B2061" s="22"/>
      <c r="C2061" s="24"/>
      <c r="D2061" s="24"/>
      <c r="E2061" s="24"/>
      <c r="F2061" s="24"/>
      <c r="G2061" s="35"/>
      <c r="H2061" s="43"/>
      <c r="I2061" s="28"/>
      <c r="J2061" s="24"/>
      <c r="K2061" s="24"/>
      <c r="L2061" s="43"/>
      <c r="M2061" s="28"/>
      <c r="N2061" s="24"/>
    </row>
    <row r="2062">
      <c r="A2062" s="22"/>
      <c r="B2062" s="22"/>
      <c r="C2062" s="24"/>
      <c r="D2062" s="24"/>
      <c r="E2062" s="24"/>
      <c r="F2062" s="24"/>
      <c r="G2062" s="35"/>
      <c r="H2062" s="43"/>
      <c r="I2062" s="28"/>
      <c r="J2062" s="24"/>
      <c r="K2062" s="24"/>
      <c r="L2062" s="43"/>
      <c r="M2062" s="28"/>
      <c r="N2062" s="24"/>
    </row>
    <row r="2063">
      <c r="A2063" s="22"/>
      <c r="B2063" s="22"/>
      <c r="C2063" s="24"/>
      <c r="D2063" s="24"/>
      <c r="E2063" s="24"/>
      <c r="F2063" s="24"/>
      <c r="G2063" s="35"/>
      <c r="H2063" s="43"/>
      <c r="I2063" s="28"/>
      <c r="J2063" s="24"/>
      <c r="K2063" s="24"/>
      <c r="L2063" s="43"/>
      <c r="M2063" s="28"/>
      <c r="N2063" s="24"/>
    </row>
    <row r="2064">
      <c r="A2064" s="22"/>
      <c r="B2064" s="22"/>
      <c r="C2064" s="24"/>
      <c r="D2064" s="24"/>
      <c r="E2064" s="24"/>
      <c r="F2064" s="24"/>
      <c r="G2064" s="35"/>
      <c r="H2064" s="43"/>
      <c r="I2064" s="28"/>
      <c r="J2064" s="24"/>
      <c r="K2064" s="24"/>
      <c r="L2064" s="43"/>
      <c r="M2064" s="28"/>
      <c r="N2064" s="24"/>
    </row>
    <row r="2065">
      <c r="A2065" s="22"/>
      <c r="B2065" s="22"/>
      <c r="C2065" s="24"/>
      <c r="D2065" s="24"/>
      <c r="E2065" s="24"/>
      <c r="F2065" s="24"/>
      <c r="G2065" s="35"/>
      <c r="H2065" s="43"/>
      <c r="I2065" s="28"/>
      <c r="J2065" s="24"/>
      <c r="K2065" s="24"/>
      <c r="L2065" s="43"/>
      <c r="M2065" s="28"/>
      <c r="N2065" s="24"/>
    </row>
    <row r="2066">
      <c r="A2066" s="22"/>
      <c r="B2066" s="22"/>
      <c r="C2066" s="24"/>
      <c r="D2066" s="24"/>
      <c r="E2066" s="24"/>
      <c r="F2066" s="24"/>
      <c r="G2066" s="35"/>
      <c r="H2066" s="43"/>
      <c r="I2066" s="28"/>
      <c r="J2066" s="24"/>
      <c r="K2066" s="24"/>
      <c r="L2066" s="43"/>
      <c r="M2066" s="28"/>
      <c r="N2066" s="24"/>
    </row>
    <row r="2067">
      <c r="A2067" s="22"/>
      <c r="B2067" s="22"/>
      <c r="C2067" s="24"/>
      <c r="D2067" s="24"/>
      <c r="E2067" s="24"/>
      <c r="F2067" s="24"/>
      <c r="G2067" s="35"/>
      <c r="H2067" s="43"/>
      <c r="I2067" s="28"/>
      <c r="J2067" s="24"/>
      <c r="K2067" s="24"/>
      <c r="L2067" s="43"/>
      <c r="M2067" s="28"/>
      <c r="N2067" s="24"/>
    </row>
    <row r="2068">
      <c r="A2068" s="22"/>
      <c r="B2068" s="22"/>
      <c r="C2068" s="24"/>
      <c r="D2068" s="24"/>
      <c r="E2068" s="24"/>
      <c r="F2068" s="24"/>
      <c r="G2068" s="35"/>
      <c r="H2068" s="43"/>
      <c r="I2068" s="28"/>
      <c r="J2068" s="24"/>
      <c r="K2068" s="24"/>
      <c r="L2068" s="43"/>
      <c r="M2068" s="28"/>
      <c r="N2068" s="24"/>
    </row>
    <row r="2069">
      <c r="A2069" s="22"/>
      <c r="B2069" s="22"/>
      <c r="C2069" s="24"/>
      <c r="D2069" s="24"/>
      <c r="E2069" s="24"/>
      <c r="F2069" s="24"/>
      <c r="G2069" s="35"/>
      <c r="H2069" s="43"/>
      <c r="I2069" s="28"/>
      <c r="J2069" s="24"/>
      <c r="K2069" s="24"/>
      <c r="L2069" s="43"/>
      <c r="M2069" s="28"/>
      <c r="N2069" s="24"/>
    </row>
    <row r="2070">
      <c r="A2070" s="22"/>
      <c r="B2070" s="22"/>
      <c r="C2070" s="24"/>
      <c r="D2070" s="24"/>
      <c r="E2070" s="24"/>
      <c r="F2070" s="24"/>
      <c r="G2070" s="35"/>
      <c r="H2070" s="43"/>
      <c r="I2070" s="28"/>
      <c r="J2070" s="24"/>
      <c r="K2070" s="24"/>
      <c r="L2070" s="43"/>
      <c r="M2070" s="28"/>
      <c r="N2070" s="24"/>
    </row>
    <row r="2071">
      <c r="A2071" s="22"/>
      <c r="B2071" s="22"/>
      <c r="C2071" s="24"/>
      <c r="D2071" s="24"/>
      <c r="E2071" s="24"/>
      <c r="F2071" s="24"/>
      <c r="G2071" s="35"/>
      <c r="H2071" s="43"/>
      <c r="I2071" s="28"/>
      <c r="J2071" s="24"/>
      <c r="K2071" s="24"/>
      <c r="L2071" s="43"/>
      <c r="M2071" s="28"/>
      <c r="N2071" s="24"/>
    </row>
    <row r="2072">
      <c r="A2072" s="22"/>
      <c r="B2072" s="22"/>
      <c r="C2072" s="24"/>
      <c r="D2072" s="24"/>
      <c r="E2072" s="24"/>
      <c r="F2072" s="24"/>
      <c r="G2072" s="35"/>
      <c r="H2072" s="43"/>
      <c r="I2072" s="28"/>
      <c r="J2072" s="24"/>
      <c r="K2072" s="24"/>
      <c r="L2072" s="43"/>
      <c r="M2072" s="28"/>
      <c r="N2072" s="24"/>
    </row>
    <row r="2073">
      <c r="A2073" s="22"/>
      <c r="B2073" s="22"/>
      <c r="C2073" s="24"/>
      <c r="D2073" s="24"/>
      <c r="E2073" s="24"/>
      <c r="F2073" s="24"/>
      <c r="G2073" s="35"/>
      <c r="H2073" s="43"/>
      <c r="I2073" s="28"/>
      <c r="J2073" s="24"/>
      <c r="K2073" s="24"/>
      <c r="L2073" s="43"/>
      <c r="M2073" s="28"/>
      <c r="N2073" s="24"/>
    </row>
    <row r="2074">
      <c r="A2074" s="22"/>
      <c r="B2074" s="22"/>
      <c r="C2074" s="24"/>
      <c r="D2074" s="24"/>
      <c r="E2074" s="24"/>
      <c r="F2074" s="24"/>
      <c r="G2074" s="35"/>
      <c r="H2074" s="43"/>
      <c r="I2074" s="28"/>
      <c r="J2074" s="24"/>
      <c r="K2074" s="24"/>
      <c r="L2074" s="43"/>
      <c r="M2074" s="28"/>
      <c r="N2074" s="24"/>
    </row>
    <row r="2075">
      <c r="A2075" s="22"/>
      <c r="B2075" s="22"/>
      <c r="C2075" s="24"/>
      <c r="D2075" s="24"/>
      <c r="E2075" s="24"/>
      <c r="F2075" s="24"/>
      <c r="G2075" s="35"/>
      <c r="H2075" s="43"/>
      <c r="I2075" s="28"/>
      <c r="J2075" s="24"/>
      <c r="K2075" s="24"/>
      <c r="L2075" s="43"/>
      <c r="M2075" s="28"/>
      <c r="N2075" s="24"/>
    </row>
    <row r="2076">
      <c r="A2076" s="22"/>
      <c r="B2076" s="22"/>
      <c r="C2076" s="24"/>
      <c r="D2076" s="24"/>
      <c r="E2076" s="24"/>
      <c r="F2076" s="24"/>
      <c r="G2076" s="35"/>
      <c r="H2076" s="43"/>
      <c r="I2076" s="28"/>
      <c r="J2076" s="24"/>
      <c r="K2076" s="24"/>
      <c r="L2076" s="43"/>
      <c r="M2076" s="28"/>
      <c r="N2076" s="24"/>
    </row>
    <row r="2077">
      <c r="A2077" s="22"/>
      <c r="B2077" s="22"/>
      <c r="C2077" s="24"/>
      <c r="D2077" s="24"/>
      <c r="E2077" s="24"/>
      <c r="F2077" s="24"/>
      <c r="G2077" s="35"/>
      <c r="H2077" s="43"/>
      <c r="I2077" s="28"/>
      <c r="J2077" s="24"/>
      <c r="K2077" s="24"/>
      <c r="L2077" s="43"/>
      <c r="M2077" s="28"/>
      <c r="N2077" s="24"/>
    </row>
    <row r="2078">
      <c r="A2078" s="22"/>
      <c r="B2078" s="22"/>
      <c r="C2078" s="24"/>
      <c r="D2078" s="24"/>
      <c r="E2078" s="24"/>
      <c r="F2078" s="24"/>
      <c r="G2078" s="35"/>
      <c r="H2078" s="43"/>
      <c r="I2078" s="28"/>
      <c r="J2078" s="24"/>
      <c r="K2078" s="24"/>
      <c r="L2078" s="43"/>
      <c r="M2078" s="28"/>
      <c r="N2078" s="24"/>
    </row>
    <row r="2079">
      <c r="A2079" s="22"/>
      <c r="B2079" s="22"/>
      <c r="C2079" s="24"/>
      <c r="D2079" s="24"/>
      <c r="E2079" s="24"/>
      <c r="F2079" s="24"/>
      <c r="G2079" s="35"/>
      <c r="H2079" s="43"/>
      <c r="I2079" s="28"/>
      <c r="J2079" s="24"/>
      <c r="K2079" s="24"/>
      <c r="L2079" s="43"/>
      <c r="M2079" s="28"/>
      <c r="N2079" s="24"/>
    </row>
    <row r="2080">
      <c r="A2080" s="22"/>
      <c r="B2080" s="22"/>
      <c r="C2080" s="24"/>
      <c r="D2080" s="24"/>
      <c r="E2080" s="24"/>
      <c r="F2080" s="24"/>
      <c r="G2080" s="35"/>
      <c r="H2080" s="43"/>
      <c r="I2080" s="28"/>
      <c r="J2080" s="24"/>
      <c r="K2080" s="24"/>
      <c r="L2080" s="43"/>
      <c r="M2080" s="28"/>
      <c r="N2080" s="24"/>
    </row>
    <row r="2081">
      <c r="A2081" s="22"/>
      <c r="B2081" s="22"/>
      <c r="C2081" s="24"/>
      <c r="D2081" s="24"/>
      <c r="E2081" s="24"/>
      <c r="F2081" s="24"/>
      <c r="G2081" s="35"/>
      <c r="H2081" s="43"/>
      <c r="I2081" s="28"/>
      <c r="J2081" s="24"/>
      <c r="K2081" s="24"/>
      <c r="L2081" s="43"/>
      <c r="M2081" s="28"/>
      <c r="N2081" s="24"/>
    </row>
    <row r="2082">
      <c r="A2082" s="22"/>
      <c r="B2082" s="22"/>
      <c r="C2082" s="24"/>
      <c r="D2082" s="24"/>
      <c r="E2082" s="24"/>
      <c r="F2082" s="24"/>
      <c r="G2082" s="35"/>
      <c r="H2082" s="43"/>
      <c r="I2082" s="28"/>
      <c r="J2082" s="24"/>
      <c r="K2082" s="24"/>
      <c r="L2082" s="43"/>
      <c r="M2082" s="28"/>
      <c r="N2082" s="24"/>
    </row>
    <row r="2083">
      <c r="A2083" s="22"/>
      <c r="B2083" s="22"/>
      <c r="C2083" s="24"/>
      <c r="D2083" s="24"/>
      <c r="E2083" s="24"/>
      <c r="F2083" s="24"/>
      <c r="G2083" s="35"/>
      <c r="H2083" s="43"/>
      <c r="I2083" s="28"/>
      <c r="J2083" s="24"/>
      <c r="K2083" s="24"/>
      <c r="L2083" s="43"/>
      <c r="M2083" s="28"/>
      <c r="N2083" s="24"/>
    </row>
    <row r="2084">
      <c r="A2084" s="22"/>
      <c r="B2084" s="22"/>
      <c r="C2084" s="24"/>
      <c r="D2084" s="24"/>
      <c r="E2084" s="24"/>
      <c r="F2084" s="24"/>
      <c r="G2084" s="35"/>
      <c r="H2084" s="43"/>
      <c r="I2084" s="28"/>
      <c r="J2084" s="24"/>
      <c r="K2084" s="24"/>
      <c r="L2084" s="43"/>
      <c r="M2084" s="28"/>
      <c r="N2084" s="24"/>
    </row>
    <row r="2085">
      <c r="A2085" s="22"/>
      <c r="B2085" s="22"/>
      <c r="C2085" s="24"/>
      <c r="D2085" s="24"/>
      <c r="E2085" s="24"/>
      <c r="F2085" s="24"/>
      <c r="G2085" s="35"/>
      <c r="H2085" s="43"/>
      <c r="I2085" s="28"/>
      <c r="J2085" s="24"/>
      <c r="K2085" s="24"/>
      <c r="L2085" s="43"/>
      <c r="M2085" s="28"/>
      <c r="N2085" s="24"/>
    </row>
    <row r="2086">
      <c r="A2086" s="22"/>
      <c r="B2086" s="22"/>
      <c r="C2086" s="24"/>
      <c r="D2086" s="24"/>
      <c r="E2086" s="24"/>
      <c r="F2086" s="24"/>
      <c r="G2086" s="35"/>
      <c r="H2086" s="43"/>
      <c r="I2086" s="28"/>
      <c r="J2086" s="24"/>
      <c r="K2086" s="24"/>
      <c r="L2086" s="43"/>
      <c r="M2086" s="28"/>
      <c r="N2086" s="24"/>
    </row>
    <row r="2087">
      <c r="A2087" s="22"/>
      <c r="B2087" s="22"/>
      <c r="C2087" s="24"/>
      <c r="D2087" s="24"/>
      <c r="E2087" s="24"/>
      <c r="F2087" s="24"/>
      <c r="G2087" s="35"/>
      <c r="H2087" s="43"/>
      <c r="I2087" s="28"/>
      <c r="J2087" s="24"/>
      <c r="K2087" s="24"/>
      <c r="L2087" s="43"/>
      <c r="M2087" s="28"/>
      <c r="N2087" s="24"/>
    </row>
    <row r="2088">
      <c r="A2088" s="22"/>
      <c r="B2088" s="22"/>
      <c r="C2088" s="24"/>
      <c r="D2088" s="24"/>
      <c r="E2088" s="24"/>
      <c r="F2088" s="24"/>
      <c r="G2088" s="35"/>
      <c r="H2088" s="43"/>
      <c r="I2088" s="28"/>
      <c r="J2088" s="24"/>
      <c r="K2088" s="24"/>
      <c r="L2088" s="43"/>
      <c r="M2088" s="28"/>
      <c r="N2088" s="24"/>
    </row>
    <row r="2089">
      <c r="A2089" s="22"/>
      <c r="B2089" s="22"/>
      <c r="C2089" s="24"/>
      <c r="D2089" s="24"/>
      <c r="E2089" s="24"/>
      <c r="F2089" s="24"/>
      <c r="G2089" s="35"/>
      <c r="H2089" s="43"/>
      <c r="I2089" s="28"/>
      <c r="J2089" s="24"/>
      <c r="K2089" s="24"/>
      <c r="L2089" s="43"/>
      <c r="M2089" s="28"/>
      <c r="N2089" s="24"/>
    </row>
    <row r="2090">
      <c r="A2090" s="22"/>
      <c r="B2090" s="22"/>
      <c r="C2090" s="24"/>
      <c r="D2090" s="24"/>
      <c r="E2090" s="24"/>
      <c r="F2090" s="24"/>
      <c r="G2090" s="35"/>
      <c r="H2090" s="43"/>
      <c r="I2090" s="28"/>
      <c r="J2090" s="24"/>
      <c r="K2090" s="24"/>
      <c r="L2090" s="43"/>
      <c r="M2090" s="28"/>
      <c r="N2090" s="24"/>
    </row>
    <row r="2091">
      <c r="A2091" s="22"/>
      <c r="B2091" s="22"/>
      <c r="C2091" s="24"/>
      <c r="D2091" s="24"/>
      <c r="E2091" s="24"/>
      <c r="F2091" s="24"/>
      <c r="G2091" s="35"/>
      <c r="H2091" s="43"/>
      <c r="I2091" s="28"/>
      <c r="J2091" s="24"/>
      <c r="K2091" s="24"/>
      <c r="L2091" s="43"/>
      <c r="M2091" s="28"/>
      <c r="N2091" s="24"/>
    </row>
    <row r="2092">
      <c r="A2092" s="22"/>
      <c r="B2092" s="22"/>
      <c r="C2092" s="24"/>
      <c r="D2092" s="24"/>
      <c r="E2092" s="24"/>
      <c r="F2092" s="24"/>
      <c r="G2092" s="35"/>
      <c r="H2092" s="43"/>
      <c r="I2092" s="28"/>
      <c r="J2092" s="24"/>
      <c r="K2092" s="24"/>
      <c r="L2092" s="43"/>
      <c r="M2092" s="28"/>
      <c r="N2092" s="24"/>
    </row>
    <row r="2093">
      <c r="A2093" s="22"/>
      <c r="B2093" s="22"/>
      <c r="C2093" s="24"/>
      <c r="D2093" s="24"/>
      <c r="E2093" s="24"/>
      <c r="F2093" s="24"/>
      <c r="G2093" s="35"/>
      <c r="H2093" s="43"/>
      <c r="I2093" s="28"/>
      <c r="J2093" s="24"/>
      <c r="K2093" s="24"/>
      <c r="L2093" s="43"/>
      <c r="M2093" s="28"/>
      <c r="N2093" s="24"/>
    </row>
    <row r="2094">
      <c r="A2094" s="22"/>
      <c r="B2094" s="22"/>
      <c r="C2094" s="24"/>
      <c r="D2094" s="24"/>
      <c r="E2094" s="24"/>
      <c r="F2094" s="24"/>
      <c r="G2094" s="35"/>
      <c r="H2094" s="43"/>
      <c r="I2094" s="28"/>
      <c r="J2094" s="24"/>
      <c r="K2094" s="24"/>
      <c r="L2094" s="43"/>
      <c r="M2094" s="28"/>
      <c r="N2094" s="24"/>
    </row>
    <row r="2095">
      <c r="A2095" s="22"/>
      <c r="B2095" s="22"/>
      <c r="C2095" s="24"/>
      <c r="D2095" s="24"/>
      <c r="E2095" s="24"/>
      <c r="F2095" s="24"/>
      <c r="G2095" s="35"/>
      <c r="H2095" s="43"/>
      <c r="I2095" s="28"/>
      <c r="J2095" s="24"/>
      <c r="K2095" s="24"/>
      <c r="L2095" s="43"/>
      <c r="M2095" s="28"/>
      <c r="N2095" s="24"/>
    </row>
    <row r="2096">
      <c r="A2096" s="22"/>
      <c r="B2096" s="22"/>
      <c r="C2096" s="24"/>
      <c r="D2096" s="24"/>
      <c r="E2096" s="24"/>
      <c r="F2096" s="24"/>
      <c r="G2096" s="35"/>
      <c r="H2096" s="43"/>
      <c r="I2096" s="28"/>
      <c r="J2096" s="24"/>
      <c r="K2096" s="24"/>
      <c r="L2096" s="43"/>
      <c r="M2096" s="28"/>
      <c r="N2096" s="24"/>
    </row>
    <row r="2097">
      <c r="A2097" s="22"/>
      <c r="B2097" s="22"/>
      <c r="C2097" s="24"/>
      <c r="D2097" s="24"/>
      <c r="E2097" s="24"/>
      <c r="F2097" s="24"/>
      <c r="G2097" s="35"/>
      <c r="H2097" s="43"/>
      <c r="I2097" s="28"/>
      <c r="J2097" s="24"/>
      <c r="K2097" s="24"/>
      <c r="L2097" s="43"/>
      <c r="M2097" s="28"/>
      <c r="N2097" s="24"/>
    </row>
    <row r="2098">
      <c r="A2098" s="22"/>
      <c r="B2098" s="22"/>
      <c r="C2098" s="24"/>
      <c r="D2098" s="24"/>
      <c r="E2098" s="24"/>
      <c r="F2098" s="24"/>
      <c r="G2098" s="35"/>
      <c r="H2098" s="43"/>
      <c r="I2098" s="28"/>
      <c r="J2098" s="24"/>
      <c r="K2098" s="24"/>
      <c r="L2098" s="43"/>
      <c r="M2098" s="28"/>
      <c r="N2098" s="24"/>
    </row>
    <row r="2099">
      <c r="A2099" s="22"/>
      <c r="B2099" s="22"/>
      <c r="C2099" s="24"/>
      <c r="D2099" s="24"/>
      <c r="E2099" s="24"/>
      <c r="F2099" s="24"/>
      <c r="G2099" s="35"/>
      <c r="H2099" s="43"/>
      <c r="I2099" s="28"/>
      <c r="J2099" s="24"/>
      <c r="K2099" s="24"/>
      <c r="L2099" s="43"/>
      <c r="M2099" s="28"/>
      <c r="N2099" s="24"/>
    </row>
    <row r="2100">
      <c r="A2100" s="22"/>
      <c r="B2100" s="22"/>
      <c r="C2100" s="24"/>
      <c r="D2100" s="24"/>
      <c r="E2100" s="24"/>
      <c r="F2100" s="24"/>
      <c r="G2100" s="35"/>
      <c r="H2100" s="43"/>
      <c r="I2100" s="28"/>
      <c r="J2100" s="24"/>
      <c r="K2100" s="24"/>
      <c r="L2100" s="43"/>
      <c r="M2100" s="28"/>
      <c r="N2100" s="24"/>
    </row>
    <row r="2101">
      <c r="A2101" s="22"/>
      <c r="B2101" s="22"/>
      <c r="C2101" s="24"/>
      <c r="D2101" s="24"/>
      <c r="E2101" s="24"/>
      <c r="F2101" s="24"/>
      <c r="G2101" s="35"/>
      <c r="H2101" s="43"/>
      <c r="I2101" s="28"/>
      <c r="J2101" s="24"/>
      <c r="K2101" s="24"/>
      <c r="L2101" s="43"/>
      <c r="M2101" s="28"/>
      <c r="N2101" s="24"/>
    </row>
    <row r="2102">
      <c r="A2102" s="22"/>
      <c r="B2102" s="22"/>
      <c r="C2102" s="24"/>
      <c r="D2102" s="24"/>
      <c r="E2102" s="24"/>
      <c r="F2102" s="24"/>
      <c r="G2102" s="35"/>
      <c r="H2102" s="43"/>
      <c r="I2102" s="28"/>
      <c r="J2102" s="24"/>
      <c r="K2102" s="24"/>
      <c r="L2102" s="43"/>
      <c r="M2102" s="28"/>
      <c r="N2102" s="24"/>
    </row>
    <row r="2103">
      <c r="A2103" s="22"/>
      <c r="B2103" s="22"/>
      <c r="C2103" s="24"/>
      <c r="D2103" s="24"/>
      <c r="E2103" s="24"/>
      <c r="F2103" s="24"/>
      <c r="G2103" s="35"/>
      <c r="H2103" s="43"/>
      <c r="I2103" s="28"/>
      <c r="J2103" s="24"/>
      <c r="K2103" s="24"/>
      <c r="L2103" s="43"/>
      <c r="M2103" s="28"/>
      <c r="N2103" s="24"/>
    </row>
    <row r="2104">
      <c r="A2104" s="22"/>
      <c r="B2104" s="22"/>
      <c r="C2104" s="24"/>
      <c r="D2104" s="24"/>
      <c r="E2104" s="24"/>
      <c r="F2104" s="24"/>
      <c r="G2104" s="35"/>
      <c r="H2104" s="43"/>
      <c r="I2104" s="28"/>
      <c r="J2104" s="24"/>
      <c r="K2104" s="24"/>
      <c r="L2104" s="43"/>
      <c r="M2104" s="28"/>
      <c r="N2104" s="24"/>
    </row>
    <row r="2105">
      <c r="A2105" s="22"/>
      <c r="B2105" s="22"/>
      <c r="C2105" s="24"/>
      <c r="D2105" s="24"/>
      <c r="E2105" s="24"/>
      <c r="F2105" s="24"/>
      <c r="G2105" s="35"/>
      <c r="H2105" s="43"/>
      <c r="I2105" s="28"/>
      <c r="J2105" s="24"/>
      <c r="K2105" s="24"/>
      <c r="L2105" s="43"/>
      <c r="M2105" s="28"/>
      <c r="N2105" s="24"/>
    </row>
    <row r="2106">
      <c r="A2106" s="22"/>
      <c r="B2106" s="22"/>
      <c r="C2106" s="24"/>
      <c r="D2106" s="24"/>
      <c r="E2106" s="24"/>
      <c r="F2106" s="24"/>
      <c r="G2106" s="35"/>
      <c r="H2106" s="43"/>
      <c r="I2106" s="28"/>
      <c r="J2106" s="24"/>
      <c r="K2106" s="24"/>
      <c r="L2106" s="43"/>
      <c r="M2106" s="28"/>
      <c r="N2106" s="24"/>
    </row>
    <row r="2107">
      <c r="A2107" s="22"/>
      <c r="B2107" s="22"/>
      <c r="C2107" s="24"/>
      <c r="D2107" s="24"/>
      <c r="E2107" s="24"/>
      <c r="F2107" s="24"/>
      <c r="G2107" s="35"/>
      <c r="H2107" s="43"/>
      <c r="I2107" s="28"/>
      <c r="J2107" s="24"/>
      <c r="K2107" s="24"/>
      <c r="L2107" s="43"/>
      <c r="M2107" s="28"/>
      <c r="N2107" s="24"/>
    </row>
    <row r="2108">
      <c r="A2108" s="22"/>
      <c r="B2108" s="22"/>
      <c r="C2108" s="24"/>
      <c r="D2108" s="24"/>
      <c r="E2108" s="24"/>
      <c r="F2108" s="24"/>
      <c r="G2108" s="35"/>
      <c r="H2108" s="43"/>
      <c r="I2108" s="28"/>
      <c r="J2108" s="24"/>
      <c r="K2108" s="24"/>
      <c r="L2108" s="43"/>
      <c r="M2108" s="28"/>
      <c r="N2108" s="24"/>
    </row>
    <row r="2109">
      <c r="A2109" s="22"/>
      <c r="B2109" s="22"/>
      <c r="C2109" s="24"/>
      <c r="D2109" s="24"/>
      <c r="E2109" s="24"/>
      <c r="F2109" s="24"/>
      <c r="G2109" s="35"/>
      <c r="H2109" s="43"/>
      <c r="I2109" s="28"/>
      <c r="J2109" s="24"/>
      <c r="K2109" s="24"/>
      <c r="L2109" s="43"/>
      <c r="M2109" s="28"/>
      <c r="N2109" s="24"/>
    </row>
    <row r="2110">
      <c r="A2110" s="22"/>
      <c r="B2110" s="22"/>
      <c r="C2110" s="24"/>
      <c r="D2110" s="24"/>
      <c r="E2110" s="24"/>
      <c r="F2110" s="24"/>
      <c r="G2110" s="35"/>
      <c r="H2110" s="43"/>
      <c r="I2110" s="28"/>
      <c r="J2110" s="24"/>
      <c r="K2110" s="24"/>
      <c r="L2110" s="43"/>
      <c r="M2110" s="28"/>
      <c r="N2110" s="24"/>
    </row>
    <row r="2111">
      <c r="A2111" s="22"/>
      <c r="B2111" s="22"/>
      <c r="C2111" s="24"/>
      <c r="D2111" s="24"/>
      <c r="E2111" s="24"/>
      <c r="F2111" s="24"/>
      <c r="G2111" s="35"/>
      <c r="H2111" s="43"/>
      <c r="I2111" s="28"/>
      <c r="J2111" s="24"/>
      <c r="K2111" s="24"/>
      <c r="L2111" s="43"/>
      <c r="M2111" s="28"/>
      <c r="N2111" s="24"/>
    </row>
    <row r="2112">
      <c r="A2112" s="22"/>
      <c r="B2112" s="22"/>
      <c r="C2112" s="24"/>
      <c r="D2112" s="24"/>
      <c r="E2112" s="24"/>
      <c r="F2112" s="24"/>
      <c r="G2112" s="35"/>
      <c r="H2112" s="43"/>
      <c r="I2112" s="28"/>
      <c r="J2112" s="24"/>
      <c r="K2112" s="24"/>
      <c r="L2112" s="43"/>
      <c r="M2112" s="28"/>
      <c r="N2112" s="24"/>
    </row>
    <row r="2113">
      <c r="A2113" s="22"/>
      <c r="B2113" s="22"/>
      <c r="C2113" s="24"/>
      <c r="D2113" s="24"/>
      <c r="E2113" s="24"/>
      <c r="F2113" s="24"/>
      <c r="G2113" s="35"/>
      <c r="H2113" s="43"/>
      <c r="I2113" s="28"/>
      <c r="J2113" s="24"/>
      <c r="K2113" s="24"/>
      <c r="L2113" s="43"/>
      <c r="M2113" s="28"/>
      <c r="N2113" s="24"/>
    </row>
    <row r="2114">
      <c r="A2114" s="22"/>
      <c r="B2114" s="39"/>
      <c r="C2114" s="24"/>
      <c r="D2114" s="24"/>
      <c r="E2114" s="24"/>
      <c r="F2114" s="24"/>
      <c r="G2114" s="35"/>
      <c r="H2114" s="43"/>
      <c r="I2114" s="28"/>
      <c r="J2114" s="24"/>
      <c r="K2114" s="24"/>
      <c r="L2114" s="43"/>
      <c r="M2114" s="28"/>
      <c r="N2114" s="24"/>
    </row>
  </sheetData>
  <autoFilter ref="$A$4:$N$2114"/>
  <mergeCells count="8">
    <mergeCell ref="A1:N1"/>
    <mergeCell ref="A2:N2"/>
    <mergeCell ref="E3:F3"/>
    <mergeCell ref="C583:D583"/>
    <mergeCell ref="C589:D589"/>
    <mergeCell ref="C590:D590"/>
    <mergeCell ref="C595:D595"/>
    <mergeCell ref="C607:D607"/>
  </mergeCells>
  <dataValidations>
    <dataValidation type="list" allowBlank="1" showErrorMessage="1" sqref="N5:N1359 N1378">
      <formula1>"Activa,Apagada,DEAL,Open Box ,VX XIAOMI ,DEAL Sin Stock,Kit"</formula1>
    </dataValidation>
  </dataValidations>
  <hyperlinks>
    <hyperlink r:id="rId1" ref="B5"/>
    <hyperlink r:id="rId2" ref="B6"/>
    <hyperlink r:id="rId3" ref="B9"/>
    <hyperlink r:id="rId4" ref="B10"/>
    <hyperlink r:id="rId5" ref="B11"/>
    <hyperlink r:id="rId6" ref="B13"/>
    <hyperlink r:id="rId7" ref="C13"/>
    <hyperlink r:id="rId8" ref="B14"/>
    <hyperlink r:id="rId9" ref="B16"/>
    <hyperlink r:id="rId10" ref="C17"/>
    <hyperlink r:id="rId11" ref="B20"/>
    <hyperlink r:id="rId12" ref="C20"/>
    <hyperlink r:id="rId13" ref="B21"/>
    <hyperlink r:id="rId14" ref="B30"/>
    <hyperlink r:id="rId15" ref="C30"/>
    <hyperlink r:id="rId16" ref="C31"/>
    <hyperlink r:id="rId17" ref="B32"/>
    <hyperlink r:id="rId18" ref="C32"/>
    <hyperlink r:id="rId19" ref="B33"/>
    <hyperlink r:id="rId20" ref="C33"/>
    <hyperlink r:id="rId21" ref="B35"/>
    <hyperlink r:id="rId22" ref="C35"/>
    <hyperlink r:id="rId23" ref="B36"/>
    <hyperlink r:id="rId24" ref="C36"/>
    <hyperlink r:id="rId25" ref="B37"/>
    <hyperlink r:id="rId26" ref="C37"/>
    <hyperlink r:id="rId27" location="searchVariation=MLM15313313&amp;position=1&amp;search_layout=grid&amp;type=product&amp;tracking_id=6826641c-24e5-447f-ba7d-a81b0cd72ad7" ref="C38"/>
    <hyperlink r:id="rId28" ref="B40"/>
    <hyperlink r:id="rId29" ref="C40"/>
    <hyperlink r:id="rId30" ref="B42"/>
    <hyperlink r:id="rId31" ref="B43"/>
    <hyperlink r:id="rId32" ref="C43"/>
    <hyperlink r:id="rId33" ref="B54"/>
    <hyperlink r:id="rId34" ref="C54"/>
    <hyperlink r:id="rId35" ref="B55"/>
    <hyperlink r:id="rId36" ref="C55"/>
    <hyperlink r:id="rId37" ref="B61"/>
    <hyperlink r:id="rId38" location="searchVariation=MLM16205850&amp;position=3&amp;search_layout=stack&amp;type=product&amp;tracking_id=52b84a74-46d0-4e86-a0ca-1e6c05d259c5" ref="C61"/>
    <hyperlink r:id="rId39" ref="B63"/>
    <hyperlink r:id="rId40" ref="C63"/>
    <hyperlink r:id="rId41" ref="B69"/>
    <hyperlink r:id="rId42" location="searchVariation=MLM16164063&amp;position=6&amp;search_layout=stack&amp;type=product&amp;tracking_id=ed78913b-266c-45f8-adad-d099b9dd7a6a" ref="C69"/>
    <hyperlink r:id="rId43" ref="B73"/>
    <hyperlink r:id="rId44" ref="B74"/>
    <hyperlink r:id="rId45" ref="B76"/>
    <hyperlink r:id="rId46" ref="B78"/>
    <hyperlink r:id="rId47" location="searchVariation=MLM18055304&amp;position=1&amp;search_layout=grid&amp;type=product&amp;tracking_id=88f8c612-4ce5-4451-ab43-bfd3afb60cbb" ref="C78"/>
    <hyperlink r:id="rId48" ref="B79"/>
    <hyperlink r:id="rId49" ref="C79"/>
    <hyperlink r:id="rId50" ref="B80"/>
    <hyperlink r:id="rId51" location="searchVariation=MLM18477992&amp;position=6&amp;search_layout=stack&amp;type=product&amp;tracking_id=91606253-038f-4a28-bfb3-6f6b71fb423e" ref="C80"/>
    <hyperlink r:id="rId52" ref="B81"/>
    <hyperlink r:id="rId53" location="searchVariation=MLM18477993&amp;position=2&amp;search_layout=grid&amp;type=product&amp;tracking_id=58a002f5-4c05-407b-86d3-6b59eb35b1d1" ref="C81"/>
    <hyperlink r:id="rId54" ref="B82"/>
    <hyperlink r:id="rId55" ref="C82"/>
    <hyperlink r:id="rId56" ref="B83"/>
    <hyperlink r:id="rId57" ref="C83"/>
    <hyperlink r:id="rId58" ref="B84"/>
    <hyperlink r:id="rId59" location="searchVariation=MLM18601046&amp;position=2&amp;search_layout=stack&amp;type=product&amp;tracking_id=0a7d3e16-3328-45ef-a0a5-2ead09c8ff24" ref="C84"/>
    <hyperlink r:id="rId60" ref="B85"/>
    <hyperlink r:id="rId61" location="searchVariation=MLM16136010&amp;position=1&amp;search_layout=stack&amp;type=product&amp;tracking_id=1f5f7a19-5a94-425a-af94-b2664a029e5a" ref="C85"/>
    <hyperlink r:id="rId62" ref="B86"/>
    <hyperlink r:id="rId63" ref="C86"/>
    <hyperlink r:id="rId64" ref="B87"/>
    <hyperlink r:id="rId65" ref="C87"/>
    <hyperlink r:id="rId66" ref="C91"/>
    <hyperlink r:id="rId67" ref="C92"/>
    <hyperlink r:id="rId68" ref="B93"/>
    <hyperlink r:id="rId69" ref="C93"/>
    <hyperlink r:id="rId70" ref="B94"/>
    <hyperlink r:id="rId71" ref="B96"/>
    <hyperlink r:id="rId72" ref="B97"/>
    <hyperlink r:id="rId73" ref="B98"/>
    <hyperlink r:id="rId74" location="searchVariation=MLM17796174&amp;position=2&amp;search_layout=stack&amp;type=product&amp;tracking_id=3d36319f-178d-4e0c-9009-18f5785cc555" ref="C98"/>
    <hyperlink r:id="rId75" location="searchVariation=MLM15984003&amp;position=3&amp;search_layout=stack&amp;type=product&amp;tracking_id=3d8ce907-1879-43ac-b6dd-b11e7d357e18" ref="C99"/>
    <hyperlink r:id="rId76" location="searchVariation=MLM15356706&amp;position=1&amp;search_layout=grid&amp;type=product&amp;tracking_id=b390c6c2-27ea-4644-91d7-1660957955bb" ref="C100"/>
    <hyperlink r:id="rId77" location="searchVariation=MLM15356706&amp;position=1&amp;search_layout=grid&amp;type=product&amp;tracking_id=b390c6c2-27ea-4644-91d7-1660957955bb" ref="C101"/>
    <hyperlink r:id="rId78" location="searchVariation=MLM15833096&amp;position=1&amp;search_layout=stack&amp;type=product&amp;tracking_id=a17289eb-b94e-45fe-93b0-6580749890ad" ref="C102"/>
    <hyperlink r:id="rId79" location="searchVariation=MLM17341619&amp;position=3&amp;search_layout=stack&amp;type=product&amp;tracking_id=e0292874-954b-4233-9144-b54da9e38939" ref="C104"/>
    <hyperlink r:id="rId80" location="searchVariation=MLM6253544&amp;position=9&amp;search_layout=stack&amp;type=product&amp;tracking_id=ad6cbf96-e2be-4fbb-834a-91d7290f6021" ref="C107"/>
    <hyperlink r:id="rId81" location="searchVariation=MLM16219190&amp;position=1&amp;search_layout=stack&amp;type=product&amp;tracking_id=29c343c0-b631-4801-a39f-696c81eadf59" ref="C110"/>
    <hyperlink r:id="rId82" ref="C112"/>
    <hyperlink r:id="rId83" ref="C113"/>
    <hyperlink r:id="rId84" ref="B114"/>
    <hyperlink r:id="rId85" ref="C114"/>
    <hyperlink r:id="rId86" ref="C115"/>
    <hyperlink r:id="rId87" location="searchVariation=MLM19088986&amp;position=5&amp;search_layout=grid&amp;type=product&amp;tracking_id=bdfc7ca9-3958-4e18-8d14-7ec651aa73f1" ref="C120"/>
    <hyperlink r:id="rId88" location="searchVariation=MLM18446994&amp;position=1&amp;search_layout=grid&amp;type=product&amp;tracking_id=a2a1ce93-c3b0-479a-b532-51cc123ddc9a" ref="C121"/>
    <hyperlink r:id="rId89" location="searchVariation=MLM18446994&amp;position=1&amp;search_layout=grid&amp;type=product&amp;tracking_id=a2a1ce93-c3b0-479a-b532-51cc123ddc9a" ref="C122"/>
    <hyperlink r:id="rId90" ref="C124"/>
    <hyperlink r:id="rId91" location="searchVariation=MLM18597187&amp;position=2&amp;search_layout=stack&amp;type=product&amp;tracking_id=59cd9030-fee3-4575-bc8b-7194df5024d8" ref="C125"/>
    <hyperlink r:id="rId92" location="searchVariation=MLM15395182&amp;position=1&amp;search_layout=stack&amp;type=product&amp;tracking_id=4882d9c6-973b-456a-a6be-9529a4c1606b" ref="C126"/>
    <hyperlink r:id="rId93" ref="B127"/>
    <hyperlink r:id="rId94" location="searchVariation=MLM18375791&amp;position=1&amp;search_layout=grid&amp;type=product&amp;tracking_id=12b932aa-ff1a-4824-b84e-e847702da432" ref="C129"/>
    <hyperlink r:id="rId95" location="searchVariation=MLM18328230&amp;position=2&amp;search_layout=stack&amp;type=product&amp;tracking_id=2cca638e-b6b8-4d3a-838e-1b485ec22542" ref="C137"/>
    <hyperlink r:id="rId96" location="searchVariation=MLM15541913&amp;position=3&amp;search_layout=stack&amp;type=product&amp;tracking_id=47aabed2-6970-4697-865a-03253bee81a0" ref="C141"/>
    <hyperlink r:id="rId97" ref="C144"/>
    <hyperlink r:id="rId98" location="searchVariation=MLM15276047&amp;position=1&amp;search_layout=grid&amp;type=product&amp;tracking_id=927e7bd5-39ea-4c15-8092-0b259060bbc2" ref="C147"/>
    <hyperlink r:id="rId99" location="searchVariation=MLM6347967&amp;position=2&amp;search_layout=stack&amp;type=product&amp;tracking_id=867dcd1d-8701-402a-a2a7-099a5521cc51" ref="C150"/>
    <hyperlink r:id="rId100" location="searchVariation=MLM19031224&amp;position=2&amp;search_layout=stack&amp;type=product&amp;tracking_id=e8e2a7ca-9cbd-4878-bc76-e1cce1313ab6" ref="C158"/>
    <hyperlink r:id="rId101" location="searchVariation=MLM15274416&amp;position=2&amp;search_layout=grid&amp;type=product&amp;tracking_id=f9bea22a-da63-49fa-82aa-2d0917cfcf8c" ref="C169"/>
    <hyperlink r:id="rId102" ref="B349"/>
    <hyperlink r:id="rId103" ref="B404"/>
    <hyperlink r:id="rId104" ref="C449"/>
    <hyperlink r:id="rId105" ref="C1398"/>
    <hyperlink r:id="rId106" ref="C1551"/>
  </hyperlinks>
  <drawing r:id="rId10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52.14"/>
    <col customWidth="1" min="2" max="2" width="19.29"/>
    <col customWidth="1" min="3" max="3" width="11.57"/>
    <col customWidth="1" min="4" max="4" width="14.71"/>
    <col customWidth="1" min="5" max="5" width="23.0"/>
    <col customWidth="1" min="6" max="6" width="13.86"/>
    <col customWidth="1" hidden="1" min="7" max="7" width="26.43"/>
    <col customWidth="1" min="8" max="8" width="10.0"/>
    <col customWidth="1" min="14" max="16" width="25.29"/>
  </cols>
  <sheetData>
    <row r="1" ht="82.5" customHeight="1">
      <c r="A1" s="73"/>
    </row>
    <row r="2">
      <c r="A2" s="74" t="s">
        <v>2716</v>
      </c>
    </row>
    <row r="3">
      <c r="A3" s="75" t="s">
        <v>2717</v>
      </c>
      <c r="B3" s="75" t="s">
        <v>2718</v>
      </c>
      <c r="C3" s="76" t="s">
        <v>2719</v>
      </c>
      <c r="D3" s="77" t="s">
        <v>2720</v>
      </c>
      <c r="E3" s="76" t="s">
        <v>2721</v>
      </c>
      <c r="F3" s="78" t="s">
        <v>2722</v>
      </c>
      <c r="G3" s="78"/>
      <c r="H3" s="77" t="s">
        <v>2723</v>
      </c>
      <c r="I3" s="79" t="s">
        <v>2724</v>
      </c>
      <c r="J3" s="78" t="s">
        <v>2725</v>
      </c>
      <c r="K3" s="78" t="s">
        <v>2726</v>
      </c>
      <c r="L3" s="78" t="s">
        <v>15</v>
      </c>
      <c r="M3" s="77" t="s">
        <v>2727</v>
      </c>
      <c r="N3" s="79" t="s">
        <v>17</v>
      </c>
      <c r="O3" s="76" t="s">
        <v>18</v>
      </c>
      <c r="P3" s="76"/>
    </row>
    <row r="4">
      <c r="A4" s="80" t="s">
        <v>2728</v>
      </c>
      <c r="B4" s="81" t="s">
        <v>2729</v>
      </c>
      <c r="C4" s="81"/>
      <c r="D4" s="82">
        <v>1199.0</v>
      </c>
      <c r="E4" s="83"/>
      <c r="F4" s="84">
        <f t="shared" ref="F4:F1094" si="1">D4*0.069</f>
        <v>82.731</v>
      </c>
      <c r="G4" s="84"/>
      <c r="H4" s="85">
        <v>849.99</v>
      </c>
      <c r="I4" s="86">
        <v>0.1</v>
      </c>
      <c r="J4" s="85">
        <f t="shared" ref="J4:J590" si="2">I4*D4</f>
        <v>119.9</v>
      </c>
      <c r="K4" s="85">
        <f t="shared" ref="K4:K590" si="3">J4/1.16</f>
        <v>103.362069</v>
      </c>
      <c r="L4" s="82">
        <v>66.04</v>
      </c>
      <c r="M4" s="85">
        <f t="shared" ref="M4:M942" si="4">D4-H4-J4-L4-F4-G4</f>
        <v>80.339</v>
      </c>
      <c r="N4" s="86">
        <f t="shared" ref="N4:N54" si="5">M4/H4</f>
        <v>0.09451758256</v>
      </c>
      <c r="O4" s="86"/>
      <c r="P4" s="82"/>
    </row>
    <row r="5">
      <c r="A5" s="81" t="s">
        <v>2730</v>
      </c>
      <c r="B5" s="81" t="s">
        <v>2731</v>
      </c>
      <c r="C5" s="81"/>
      <c r="D5" s="85">
        <v>532.0</v>
      </c>
      <c r="E5" s="86"/>
      <c r="F5" s="84">
        <f t="shared" si="1"/>
        <v>36.708</v>
      </c>
      <c r="G5" s="84"/>
      <c r="H5" s="85">
        <v>400.0</v>
      </c>
      <c r="I5" s="86">
        <v>0.15</v>
      </c>
      <c r="J5" s="85">
        <f t="shared" si="2"/>
        <v>79.8</v>
      </c>
      <c r="K5" s="85">
        <f t="shared" si="3"/>
        <v>68.79310345</v>
      </c>
      <c r="L5" s="85"/>
      <c r="M5" s="85">
        <f t="shared" si="4"/>
        <v>15.492</v>
      </c>
      <c r="N5" s="86">
        <f t="shared" si="5"/>
        <v>0.03873</v>
      </c>
      <c r="O5" s="86"/>
      <c r="P5" s="82"/>
    </row>
    <row r="6">
      <c r="A6" s="81" t="s">
        <v>2732</v>
      </c>
      <c r="B6" s="81" t="s">
        <v>2733</v>
      </c>
      <c r="C6" s="81"/>
      <c r="D6" s="87"/>
      <c r="E6" s="86"/>
      <c r="F6" s="84">
        <f t="shared" si="1"/>
        <v>0</v>
      </c>
      <c r="G6" s="84"/>
      <c r="H6" s="85">
        <v>8350.23</v>
      </c>
      <c r="I6" s="86">
        <v>0.1</v>
      </c>
      <c r="J6" s="85">
        <f t="shared" si="2"/>
        <v>0</v>
      </c>
      <c r="K6" s="85">
        <f t="shared" si="3"/>
        <v>0</v>
      </c>
      <c r="L6" s="85"/>
      <c r="M6" s="85">
        <f t="shared" si="4"/>
        <v>-8350.23</v>
      </c>
      <c r="N6" s="86">
        <f t="shared" si="5"/>
        <v>-1</v>
      </c>
      <c r="O6" s="86"/>
      <c r="P6" s="82"/>
    </row>
    <row r="7">
      <c r="A7" s="81" t="s">
        <v>2734</v>
      </c>
      <c r="B7" s="81" t="s">
        <v>2735</v>
      </c>
      <c r="C7" s="81"/>
      <c r="D7" s="85">
        <v>859.0</v>
      </c>
      <c r="E7" s="86"/>
      <c r="F7" s="84">
        <f t="shared" si="1"/>
        <v>59.271</v>
      </c>
      <c r="G7" s="84"/>
      <c r="H7" s="85">
        <v>629.71</v>
      </c>
      <c r="I7" s="86">
        <v>0.1</v>
      </c>
      <c r="J7" s="85">
        <f t="shared" si="2"/>
        <v>85.9</v>
      </c>
      <c r="K7" s="85">
        <f t="shared" si="3"/>
        <v>74.05172414</v>
      </c>
      <c r="L7" s="85"/>
      <c r="M7" s="85">
        <f t="shared" si="4"/>
        <v>84.119</v>
      </c>
      <c r="N7" s="86">
        <f t="shared" si="5"/>
        <v>0.1335837131</v>
      </c>
      <c r="O7" s="86"/>
      <c r="P7" s="82"/>
    </row>
    <row r="8">
      <c r="A8" s="81" t="s">
        <v>2736</v>
      </c>
      <c r="B8" s="81" t="s">
        <v>2737</v>
      </c>
      <c r="C8" s="81"/>
      <c r="D8" s="85">
        <v>699.0</v>
      </c>
      <c r="E8" s="86"/>
      <c r="F8" s="84">
        <f t="shared" si="1"/>
        <v>48.231</v>
      </c>
      <c r="G8" s="84"/>
      <c r="H8" s="85">
        <v>472.46</v>
      </c>
      <c r="I8" s="86">
        <v>0.1</v>
      </c>
      <c r="J8" s="85">
        <f t="shared" si="2"/>
        <v>69.9</v>
      </c>
      <c r="K8" s="85">
        <f t="shared" si="3"/>
        <v>60.25862069</v>
      </c>
      <c r="L8" s="85"/>
      <c r="M8" s="85">
        <f t="shared" si="4"/>
        <v>108.409</v>
      </c>
      <c r="N8" s="86">
        <f t="shared" si="5"/>
        <v>0.2294564619</v>
      </c>
      <c r="O8" s="86"/>
      <c r="P8" s="82"/>
    </row>
    <row r="9">
      <c r="A9" s="88" t="s">
        <v>2738</v>
      </c>
      <c r="B9" s="88" t="s">
        <v>2739</v>
      </c>
      <c r="C9" s="81"/>
      <c r="D9" s="82">
        <v>4399.0</v>
      </c>
      <c r="E9" s="86"/>
      <c r="F9" s="84">
        <f t="shared" si="1"/>
        <v>303.531</v>
      </c>
      <c r="G9" s="84"/>
      <c r="H9" s="82">
        <v>3488.27</v>
      </c>
      <c r="I9" s="86">
        <v>0.1</v>
      </c>
      <c r="J9" s="85">
        <f t="shared" si="2"/>
        <v>439.9</v>
      </c>
      <c r="K9" s="85">
        <f t="shared" si="3"/>
        <v>379.2241379</v>
      </c>
      <c r="L9" s="82">
        <v>109.85</v>
      </c>
      <c r="M9" s="85">
        <f t="shared" si="4"/>
        <v>57.449</v>
      </c>
      <c r="N9" s="86">
        <f t="shared" si="5"/>
        <v>0.01646919533</v>
      </c>
      <c r="O9" s="86"/>
      <c r="P9" s="82"/>
    </row>
    <row r="10">
      <c r="A10" s="89" t="s">
        <v>2740</v>
      </c>
      <c r="B10" s="89" t="s">
        <v>2741</v>
      </c>
      <c r="C10" s="90"/>
      <c r="D10" s="82">
        <v>770.0</v>
      </c>
      <c r="E10" s="83"/>
      <c r="F10" s="84">
        <f t="shared" si="1"/>
        <v>53.13</v>
      </c>
      <c r="G10" s="84"/>
      <c r="H10" s="82">
        <v>623.52</v>
      </c>
      <c r="I10" s="91">
        <v>0.1</v>
      </c>
      <c r="J10" s="85">
        <f t="shared" si="2"/>
        <v>77</v>
      </c>
      <c r="K10" s="85">
        <f t="shared" si="3"/>
        <v>66.37931034</v>
      </c>
      <c r="L10" s="82">
        <v>66.04</v>
      </c>
      <c r="M10" s="85">
        <f t="shared" si="4"/>
        <v>-49.69</v>
      </c>
      <c r="N10" s="86">
        <f t="shared" si="5"/>
        <v>-0.07969271234</v>
      </c>
      <c r="O10" s="86"/>
      <c r="P10" s="82"/>
    </row>
    <row r="11">
      <c r="A11" s="81" t="s">
        <v>2742</v>
      </c>
      <c r="B11" s="81" t="s">
        <v>2743</v>
      </c>
      <c r="C11" s="81"/>
      <c r="D11" s="82">
        <v>7999.0</v>
      </c>
      <c r="E11" s="86"/>
      <c r="F11" s="84">
        <f t="shared" si="1"/>
        <v>551.931</v>
      </c>
      <c r="G11" s="84"/>
      <c r="H11" s="82">
        <v>5200.0</v>
      </c>
      <c r="I11" s="86">
        <v>0.15</v>
      </c>
      <c r="J11" s="85">
        <f t="shared" si="2"/>
        <v>1199.85</v>
      </c>
      <c r="K11" s="85">
        <f t="shared" si="3"/>
        <v>1034.353448</v>
      </c>
      <c r="L11" s="82">
        <v>400.0</v>
      </c>
      <c r="M11" s="85">
        <f t="shared" si="4"/>
        <v>647.219</v>
      </c>
      <c r="N11" s="86">
        <f t="shared" si="5"/>
        <v>0.1244651923</v>
      </c>
      <c r="O11" s="86"/>
      <c r="P11" s="82"/>
    </row>
    <row r="12">
      <c r="A12" s="81" t="s">
        <v>150</v>
      </c>
      <c r="B12" s="81" t="s">
        <v>2744</v>
      </c>
      <c r="C12" s="81"/>
      <c r="D12" s="85">
        <v>99.0</v>
      </c>
      <c r="E12" s="86"/>
      <c r="F12" s="84">
        <f t="shared" si="1"/>
        <v>6.831</v>
      </c>
      <c r="G12" s="84"/>
      <c r="H12" s="85">
        <v>9.0</v>
      </c>
      <c r="I12" s="86">
        <v>0.15</v>
      </c>
      <c r="J12" s="85">
        <f t="shared" si="2"/>
        <v>14.85</v>
      </c>
      <c r="K12" s="85">
        <f t="shared" si="3"/>
        <v>12.80172414</v>
      </c>
      <c r="L12" s="85"/>
      <c r="M12" s="85">
        <f t="shared" si="4"/>
        <v>68.319</v>
      </c>
      <c r="N12" s="86">
        <f t="shared" si="5"/>
        <v>7.591</v>
      </c>
      <c r="O12" s="86"/>
      <c r="P12" s="82"/>
    </row>
    <row r="13">
      <c r="A13" s="81" t="s">
        <v>2745</v>
      </c>
      <c r="B13" s="81" t="s">
        <v>2746</v>
      </c>
      <c r="C13" s="81"/>
      <c r="D13" s="85">
        <v>6399.0</v>
      </c>
      <c r="E13" s="86"/>
      <c r="F13" s="84">
        <f t="shared" si="1"/>
        <v>441.531</v>
      </c>
      <c r="G13" s="84"/>
      <c r="H13" s="85">
        <v>4500.0</v>
      </c>
      <c r="I13" s="86">
        <v>0.15</v>
      </c>
      <c r="J13" s="85">
        <f t="shared" si="2"/>
        <v>959.85</v>
      </c>
      <c r="K13" s="85">
        <f t="shared" si="3"/>
        <v>827.4568966</v>
      </c>
      <c r="L13" s="85"/>
      <c r="M13" s="85">
        <f t="shared" si="4"/>
        <v>497.619</v>
      </c>
      <c r="N13" s="86">
        <f t="shared" si="5"/>
        <v>0.110582</v>
      </c>
      <c r="O13" s="86"/>
      <c r="P13" s="82"/>
    </row>
    <row r="14">
      <c r="A14" s="81" t="s">
        <v>2747</v>
      </c>
      <c r="B14" s="81" t="s">
        <v>2748</v>
      </c>
      <c r="C14" s="81"/>
      <c r="D14" s="85">
        <v>545.0</v>
      </c>
      <c r="E14" s="86"/>
      <c r="F14" s="84">
        <f t="shared" si="1"/>
        <v>37.605</v>
      </c>
      <c r="G14" s="84"/>
      <c r="H14" s="85">
        <v>347.85</v>
      </c>
      <c r="I14" s="86">
        <v>0.15</v>
      </c>
      <c r="J14" s="85">
        <f t="shared" si="2"/>
        <v>81.75</v>
      </c>
      <c r="K14" s="85">
        <f t="shared" si="3"/>
        <v>70.47413793</v>
      </c>
      <c r="L14" s="85"/>
      <c r="M14" s="85">
        <f t="shared" si="4"/>
        <v>77.795</v>
      </c>
      <c r="N14" s="86">
        <f t="shared" si="5"/>
        <v>0.2236452494</v>
      </c>
      <c r="O14" s="86"/>
      <c r="P14" s="82"/>
    </row>
    <row r="15">
      <c r="A15" s="81" t="s">
        <v>2749</v>
      </c>
      <c r="B15" s="81" t="s">
        <v>2750</v>
      </c>
      <c r="C15" s="81"/>
      <c r="D15" s="85">
        <v>759.0</v>
      </c>
      <c r="E15" s="86"/>
      <c r="F15" s="84">
        <f t="shared" si="1"/>
        <v>52.371</v>
      </c>
      <c r="G15" s="84"/>
      <c r="H15" s="85">
        <v>530.77</v>
      </c>
      <c r="I15" s="86">
        <v>0.1</v>
      </c>
      <c r="J15" s="85">
        <f t="shared" si="2"/>
        <v>75.9</v>
      </c>
      <c r="K15" s="85">
        <f t="shared" si="3"/>
        <v>65.43103448</v>
      </c>
      <c r="L15" s="85"/>
      <c r="M15" s="85">
        <f t="shared" si="4"/>
        <v>99.959</v>
      </c>
      <c r="N15" s="86">
        <f t="shared" si="5"/>
        <v>0.1883282778</v>
      </c>
      <c r="O15" s="86"/>
      <c r="P15" s="82"/>
    </row>
    <row r="16">
      <c r="A16" s="81" t="s">
        <v>2751</v>
      </c>
      <c r="B16" s="81" t="s">
        <v>2752</v>
      </c>
      <c r="C16" s="81"/>
      <c r="D16" s="85">
        <v>419.0</v>
      </c>
      <c r="E16" s="86"/>
      <c r="F16" s="84">
        <f t="shared" si="1"/>
        <v>28.911</v>
      </c>
      <c r="G16" s="84"/>
      <c r="H16" s="85">
        <v>270.12</v>
      </c>
      <c r="I16" s="86">
        <v>0.1</v>
      </c>
      <c r="J16" s="85">
        <f t="shared" si="2"/>
        <v>41.9</v>
      </c>
      <c r="K16" s="85">
        <f t="shared" si="3"/>
        <v>36.12068966</v>
      </c>
      <c r="L16" s="85"/>
      <c r="M16" s="85">
        <f t="shared" si="4"/>
        <v>78.069</v>
      </c>
      <c r="N16" s="86">
        <f t="shared" si="5"/>
        <v>0.2890159929</v>
      </c>
      <c r="O16" s="86"/>
      <c r="P16" s="82"/>
    </row>
    <row r="17">
      <c r="A17" s="81" t="s">
        <v>2753</v>
      </c>
      <c r="B17" s="81" t="s">
        <v>2754</v>
      </c>
      <c r="C17" s="88" t="s">
        <v>2755</v>
      </c>
      <c r="D17" s="82">
        <v>339.0</v>
      </c>
      <c r="E17" s="83"/>
      <c r="F17" s="84">
        <f t="shared" si="1"/>
        <v>23.391</v>
      </c>
      <c r="G17" s="84"/>
      <c r="H17" s="82">
        <v>200.0</v>
      </c>
      <c r="I17" s="91">
        <v>0.1</v>
      </c>
      <c r="J17" s="85">
        <f t="shared" si="2"/>
        <v>33.9</v>
      </c>
      <c r="K17" s="85">
        <f t="shared" si="3"/>
        <v>29.22413793</v>
      </c>
      <c r="L17" s="82">
        <v>67.45</v>
      </c>
      <c r="M17" s="85">
        <f t="shared" si="4"/>
        <v>14.259</v>
      </c>
      <c r="N17" s="86">
        <f t="shared" si="5"/>
        <v>0.071295</v>
      </c>
      <c r="O17" s="86"/>
      <c r="P17" s="82"/>
    </row>
    <row r="18">
      <c r="A18" s="81" t="s">
        <v>2756</v>
      </c>
      <c r="B18" s="81" t="s">
        <v>2757</v>
      </c>
      <c r="C18" s="81"/>
      <c r="D18" s="85">
        <v>1599.0</v>
      </c>
      <c r="E18" s="86"/>
      <c r="F18" s="84">
        <f t="shared" si="1"/>
        <v>110.331</v>
      </c>
      <c r="G18" s="84"/>
      <c r="H18" s="85">
        <v>1021.82</v>
      </c>
      <c r="I18" s="86">
        <v>0.1</v>
      </c>
      <c r="J18" s="85">
        <f t="shared" si="2"/>
        <v>159.9</v>
      </c>
      <c r="K18" s="85">
        <f t="shared" si="3"/>
        <v>137.8448276</v>
      </c>
      <c r="L18" s="85"/>
      <c r="M18" s="85">
        <f t="shared" si="4"/>
        <v>306.949</v>
      </c>
      <c r="N18" s="86">
        <f t="shared" si="5"/>
        <v>0.3003943943</v>
      </c>
      <c r="O18" s="86"/>
      <c r="P18" s="82"/>
    </row>
    <row r="19">
      <c r="A19" s="81" t="s">
        <v>2758</v>
      </c>
      <c r="B19" s="81" t="s">
        <v>2759</v>
      </c>
      <c r="C19" s="81"/>
      <c r="D19" s="85">
        <v>232.0</v>
      </c>
      <c r="E19" s="86"/>
      <c r="F19" s="84">
        <f t="shared" si="1"/>
        <v>16.008</v>
      </c>
      <c r="G19" s="84"/>
      <c r="H19" s="85">
        <v>179.45</v>
      </c>
      <c r="I19" s="86">
        <v>0.1</v>
      </c>
      <c r="J19" s="85">
        <f t="shared" si="2"/>
        <v>23.2</v>
      </c>
      <c r="K19" s="85">
        <f t="shared" si="3"/>
        <v>20</v>
      </c>
      <c r="L19" s="87"/>
      <c r="M19" s="85">
        <f t="shared" si="4"/>
        <v>13.342</v>
      </c>
      <c r="N19" s="86">
        <f t="shared" si="5"/>
        <v>0.07434940095</v>
      </c>
      <c r="O19" s="86"/>
      <c r="P19" s="82"/>
    </row>
    <row r="20">
      <c r="A20" s="81" t="s">
        <v>2760</v>
      </c>
      <c r="B20" s="89" t="s">
        <v>2761</v>
      </c>
      <c r="C20" s="89"/>
      <c r="D20" s="87"/>
      <c r="E20" s="86"/>
      <c r="F20" s="84">
        <f t="shared" si="1"/>
        <v>0</v>
      </c>
      <c r="G20" s="84"/>
      <c r="H20" s="87"/>
      <c r="I20" s="86">
        <v>0.1</v>
      </c>
      <c r="J20" s="85">
        <f t="shared" si="2"/>
        <v>0</v>
      </c>
      <c r="K20" s="85">
        <f t="shared" si="3"/>
        <v>0</v>
      </c>
      <c r="L20" s="85"/>
      <c r="M20" s="85">
        <f t="shared" si="4"/>
        <v>0</v>
      </c>
      <c r="N20" s="92" t="str">
        <f t="shared" si="5"/>
        <v>#DIV/0!</v>
      </c>
      <c r="O20" s="92"/>
      <c r="P20" s="82"/>
    </row>
    <row r="21">
      <c r="A21" s="81" t="s">
        <v>2762</v>
      </c>
      <c r="B21" s="81" t="s">
        <v>2763</v>
      </c>
      <c r="C21" s="81"/>
      <c r="D21" s="85">
        <v>799.0</v>
      </c>
      <c r="E21" s="86"/>
      <c r="F21" s="84">
        <f t="shared" si="1"/>
        <v>55.131</v>
      </c>
      <c r="G21" s="84"/>
      <c r="H21" s="85">
        <v>519.0</v>
      </c>
      <c r="I21" s="86">
        <v>0.15</v>
      </c>
      <c r="J21" s="85">
        <f t="shared" si="2"/>
        <v>119.85</v>
      </c>
      <c r="K21" s="85">
        <f t="shared" si="3"/>
        <v>103.3189655</v>
      </c>
      <c r="L21" s="85"/>
      <c r="M21" s="85">
        <f t="shared" si="4"/>
        <v>105.019</v>
      </c>
      <c r="N21" s="86">
        <f t="shared" si="5"/>
        <v>0.2023487476</v>
      </c>
      <c r="O21" s="86"/>
      <c r="P21" s="82"/>
    </row>
    <row r="22">
      <c r="A22" s="81" t="s">
        <v>190</v>
      </c>
      <c r="B22" s="81" t="s">
        <v>2764</v>
      </c>
      <c r="C22" s="81"/>
      <c r="D22" s="85">
        <v>479.0</v>
      </c>
      <c r="E22" s="86"/>
      <c r="F22" s="84">
        <f t="shared" si="1"/>
        <v>33.051</v>
      </c>
      <c r="G22" s="84"/>
      <c r="H22" s="85">
        <v>163.64</v>
      </c>
      <c r="I22" s="86">
        <v>0.15</v>
      </c>
      <c r="J22" s="85">
        <f t="shared" si="2"/>
        <v>71.85</v>
      </c>
      <c r="K22" s="85">
        <f t="shared" si="3"/>
        <v>61.93965517</v>
      </c>
      <c r="L22" s="85"/>
      <c r="M22" s="85">
        <f t="shared" si="4"/>
        <v>210.459</v>
      </c>
      <c r="N22" s="86">
        <f t="shared" si="5"/>
        <v>1.286109753</v>
      </c>
      <c r="O22" s="86"/>
      <c r="P22" s="82"/>
    </row>
    <row r="23">
      <c r="A23" s="81" t="s">
        <v>2765</v>
      </c>
      <c r="B23" s="89" t="s">
        <v>2766</v>
      </c>
      <c r="C23" s="89"/>
      <c r="D23" s="85">
        <v>8499.0</v>
      </c>
      <c r="E23" s="86"/>
      <c r="F23" s="84">
        <f t="shared" si="1"/>
        <v>586.431</v>
      </c>
      <c r="G23" s="84"/>
      <c r="H23" s="85">
        <v>6161.78</v>
      </c>
      <c r="I23" s="86">
        <v>0.15</v>
      </c>
      <c r="J23" s="85">
        <f t="shared" si="2"/>
        <v>1274.85</v>
      </c>
      <c r="K23" s="85">
        <f t="shared" si="3"/>
        <v>1099.008621</v>
      </c>
      <c r="L23" s="85"/>
      <c r="M23" s="85">
        <f t="shared" si="4"/>
        <v>475.939</v>
      </c>
      <c r="N23" s="86">
        <f t="shared" si="5"/>
        <v>0.07724050518</v>
      </c>
      <c r="O23" s="86"/>
      <c r="P23" s="82"/>
    </row>
    <row r="24">
      <c r="A24" s="89" t="s">
        <v>2767</v>
      </c>
      <c r="B24" s="89" t="s">
        <v>2768</v>
      </c>
      <c r="C24" s="89"/>
      <c r="D24" s="85">
        <v>1977.0</v>
      </c>
      <c r="E24" s="86"/>
      <c r="F24" s="84">
        <f t="shared" si="1"/>
        <v>136.413</v>
      </c>
      <c r="G24" s="84"/>
      <c r="H24" s="85">
        <v>1183.46</v>
      </c>
      <c r="I24" s="86">
        <v>0.16</v>
      </c>
      <c r="J24" s="85">
        <f t="shared" si="2"/>
        <v>316.32</v>
      </c>
      <c r="K24" s="85">
        <f t="shared" si="3"/>
        <v>272.6896552</v>
      </c>
      <c r="L24" s="85"/>
      <c r="M24" s="85">
        <f t="shared" si="4"/>
        <v>340.807</v>
      </c>
      <c r="N24" s="86">
        <f t="shared" si="5"/>
        <v>0.28797509</v>
      </c>
      <c r="O24" s="86"/>
      <c r="P24" s="82"/>
    </row>
    <row r="25">
      <c r="A25" s="89" t="s">
        <v>2769</v>
      </c>
      <c r="B25" s="89" t="s">
        <v>2770</v>
      </c>
      <c r="C25" s="89"/>
      <c r="D25" s="85">
        <v>439.0</v>
      </c>
      <c r="E25" s="86"/>
      <c r="F25" s="84">
        <f t="shared" si="1"/>
        <v>30.291</v>
      </c>
      <c r="G25" s="84"/>
      <c r="H25" s="85">
        <v>274.78</v>
      </c>
      <c r="I25" s="86">
        <v>0.15</v>
      </c>
      <c r="J25" s="85">
        <f t="shared" si="2"/>
        <v>65.85</v>
      </c>
      <c r="K25" s="85">
        <f t="shared" si="3"/>
        <v>56.76724138</v>
      </c>
      <c r="L25" s="85"/>
      <c r="M25" s="85">
        <f t="shared" si="4"/>
        <v>68.079</v>
      </c>
      <c r="N25" s="86">
        <f t="shared" si="5"/>
        <v>0.2477582066</v>
      </c>
      <c r="O25" s="86"/>
      <c r="P25" s="82"/>
    </row>
    <row r="26">
      <c r="A26" s="89" t="s">
        <v>2771</v>
      </c>
      <c r="B26" s="89" t="s">
        <v>2772</v>
      </c>
      <c r="C26" s="89"/>
      <c r="D26" s="85">
        <v>329.0</v>
      </c>
      <c r="E26" s="86"/>
      <c r="F26" s="84">
        <f t="shared" si="1"/>
        <v>22.701</v>
      </c>
      <c r="G26" s="84"/>
      <c r="H26" s="85">
        <v>229.36</v>
      </c>
      <c r="I26" s="86">
        <v>0.1</v>
      </c>
      <c r="J26" s="85">
        <f t="shared" si="2"/>
        <v>32.9</v>
      </c>
      <c r="K26" s="85">
        <f t="shared" si="3"/>
        <v>28.36206897</v>
      </c>
      <c r="L26" s="85"/>
      <c r="M26" s="85">
        <f t="shared" si="4"/>
        <v>44.039</v>
      </c>
      <c r="N26" s="86">
        <f t="shared" si="5"/>
        <v>0.1920081967</v>
      </c>
      <c r="O26" s="86"/>
      <c r="P26" s="82"/>
    </row>
    <row r="27">
      <c r="A27" s="89" t="s">
        <v>2771</v>
      </c>
      <c r="B27" s="89" t="s">
        <v>2773</v>
      </c>
      <c r="C27" s="89"/>
      <c r="D27" s="82">
        <v>299.0</v>
      </c>
      <c r="E27" s="86"/>
      <c r="F27" s="84">
        <f t="shared" si="1"/>
        <v>20.631</v>
      </c>
      <c r="G27" s="84"/>
      <c r="H27" s="82">
        <v>180.0</v>
      </c>
      <c r="I27" s="86">
        <v>0.1</v>
      </c>
      <c r="J27" s="85">
        <f t="shared" si="2"/>
        <v>29.9</v>
      </c>
      <c r="K27" s="85">
        <f t="shared" si="3"/>
        <v>25.77586207</v>
      </c>
      <c r="L27" s="82">
        <v>69.0</v>
      </c>
      <c r="M27" s="85">
        <f t="shared" si="4"/>
        <v>-0.531</v>
      </c>
      <c r="N27" s="86">
        <f t="shared" si="5"/>
        <v>-0.00295</v>
      </c>
      <c r="O27" s="86"/>
      <c r="P27" s="82"/>
    </row>
    <row r="28">
      <c r="A28" s="89" t="s">
        <v>2774</v>
      </c>
      <c r="B28" s="89" t="s">
        <v>2775</v>
      </c>
      <c r="C28" s="89"/>
      <c r="D28" s="85">
        <v>359.0</v>
      </c>
      <c r="E28" s="86"/>
      <c r="F28" s="84">
        <f t="shared" si="1"/>
        <v>24.771</v>
      </c>
      <c r="G28" s="84"/>
      <c r="H28" s="85">
        <v>207.48</v>
      </c>
      <c r="I28" s="86">
        <v>0.15</v>
      </c>
      <c r="J28" s="85">
        <f t="shared" si="2"/>
        <v>53.85</v>
      </c>
      <c r="K28" s="85">
        <f t="shared" si="3"/>
        <v>46.42241379</v>
      </c>
      <c r="L28" s="85"/>
      <c r="M28" s="85">
        <f t="shared" si="4"/>
        <v>72.899</v>
      </c>
      <c r="N28" s="86">
        <f t="shared" si="5"/>
        <v>0.3513543474</v>
      </c>
      <c r="O28" s="86"/>
      <c r="P28" s="82"/>
    </row>
    <row r="29">
      <c r="A29" s="89" t="s">
        <v>2776</v>
      </c>
      <c r="B29" s="89" t="s">
        <v>2777</v>
      </c>
      <c r="C29" s="89"/>
      <c r="D29" s="85">
        <v>10599.0</v>
      </c>
      <c r="E29" s="86"/>
      <c r="F29" s="84">
        <f t="shared" si="1"/>
        <v>731.331</v>
      </c>
      <c r="G29" s="84"/>
      <c r="H29" s="85">
        <v>8689.0468</v>
      </c>
      <c r="I29" s="86">
        <v>0.1</v>
      </c>
      <c r="J29" s="85">
        <f t="shared" si="2"/>
        <v>1059.9</v>
      </c>
      <c r="K29" s="85">
        <f t="shared" si="3"/>
        <v>913.7068966</v>
      </c>
      <c r="L29" s="85"/>
      <c r="M29" s="85">
        <f t="shared" si="4"/>
        <v>118.7222</v>
      </c>
      <c r="N29" s="86">
        <f t="shared" si="5"/>
        <v>0.01366343199</v>
      </c>
      <c r="O29" s="86"/>
      <c r="P29" s="82"/>
    </row>
    <row r="30">
      <c r="A30" s="89" t="s">
        <v>2778</v>
      </c>
      <c r="B30" s="89" t="s">
        <v>2779</v>
      </c>
      <c r="C30" s="89"/>
      <c r="D30" s="85">
        <v>9590.0</v>
      </c>
      <c r="E30" s="86"/>
      <c r="F30" s="84">
        <f t="shared" si="1"/>
        <v>661.71</v>
      </c>
      <c r="G30" s="84"/>
      <c r="H30" s="85">
        <v>7847.847699999999</v>
      </c>
      <c r="I30" s="86">
        <v>0.1</v>
      </c>
      <c r="J30" s="85">
        <f t="shared" si="2"/>
        <v>959</v>
      </c>
      <c r="K30" s="85">
        <f t="shared" si="3"/>
        <v>826.7241379</v>
      </c>
      <c r="L30" s="85"/>
      <c r="M30" s="85">
        <f t="shared" si="4"/>
        <v>121.4423</v>
      </c>
      <c r="N30" s="86">
        <f t="shared" si="5"/>
        <v>0.01547459949</v>
      </c>
      <c r="O30" s="86"/>
      <c r="P30" s="82"/>
    </row>
    <row r="31">
      <c r="A31" s="89" t="s">
        <v>2780</v>
      </c>
      <c r="B31" s="89" t="s">
        <v>2781</v>
      </c>
      <c r="C31" s="89"/>
      <c r="D31" s="85">
        <v>2599.0</v>
      </c>
      <c r="E31" s="86"/>
      <c r="F31" s="84">
        <f t="shared" si="1"/>
        <v>179.331</v>
      </c>
      <c r="G31" s="84"/>
      <c r="H31" s="85">
        <v>1488.0</v>
      </c>
      <c r="I31" s="86">
        <v>0.15</v>
      </c>
      <c r="J31" s="85">
        <f t="shared" si="2"/>
        <v>389.85</v>
      </c>
      <c r="K31" s="85">
        <f t="shared" si="3"/>
        <v>336.0775862</v>
      </c>
      <c r="L31" s="85"/>
      <c r="M31" s="85">
        <f t="shared" si="4"/>
        <v>541.819</v>
      </c>
      <c r="N31" s="86">
        <f t="shared" si="5"/>
        <v>0.364125672</v>
      </c>
      <c r="O31" s="86"/>
      <c r="P31" s="82"/>
    </row>
    <row r="32">
      <c r="A32" s="89" t="s">
        <v>2782</v>
      </c>
      <c r="B32" s="89" t="s">
        <v>2783</v>
      </c>
      <c r="C32" s="89"/>
      <c r="D32" s="82">
        <v>599.0</v>
      </c>
      <c r="E32" s="86"/>
      <c r="F32" s="84">
        <f t="shared" si="1"/>
        <v>41.331</v>
      </c>
      <c r="G32" s="84"/>
      <c r="H32" s="82">
        <v>391.0</v>
      </c>
      <c r="I32" s="91">
        <v>0.15</v>
      </c>
      <c r="J32" s="85">
        <f t="shared" si="2"/>
        <v>89.85</v>
      </c>
      <c r="K32" s="85">
        <f t="shared" si="3"/>
        <v>77.45689655</v>
      </c>
      <c r="L32" s="82">
        <v>66.04</v>
      </c>
      <c r="M32" s="85">
        <f t="shared" si="4"/>
        <v>10.779</v>
      </c>
      <c r="N32" s="86">
        <f t="shared" si="5"/>
        <v>0.02756777494</v>
      </c>
      <c r="O32" s="86"/>
      <c r="P32" s="82"/>
    </row>
    <row r="33">
      <c r="A33" s="89" t="s">
        <v>2782</v>
      </c>
      <c r="B33" s="89" t="s">
        <v>2784</v>
      </c>
      <c r="C33" s="89"/>
      <c r="D33" s="82">
        <v>999.0</v>
      </c>
      <c r="E33" s="86"/>
      <c r="F33" s="84">
        <f t="shared" si="1"/>
        <v>68.931</v>
      </c>
      <c r="G33" s="84"/>
      <c r="H33" s="82">
        <v>340.0</v>
      </c>
      <c r="I33" s="91">
        <v>0.15</v>
      </c>
      <c r="J33" s="85">
        <f t="shared" si="2"/>
        <v>149.85</v>
      </c>
      <c r="K33" s="85">
        <f t="shared" si="3"/>
        <v>129.1810345</v>
      </c>
      <c r="L33" s="85"/>
      <c r="M33" s="85">
        <f t="shared" si="4"/>
        <v>440.219</v>
      </c>
      <c r="N33" s="86">
        <f t="shared" si="5"/>
        <v>1.294761765</v>
      </c>
      <c r="O33" s="86"/>
      <c r="P33" s="82"/>
    </row>
    <row r="34">
      <c r="A34" s="90" t="s">
        <v>2785</v>
      </c>
      <c r="B34" s="90" t="s">
        <v>2786</v>
      </c>
      <c r="C34" s="90"/>
      <c r="D34" s="82">
        <v>1199.0</v>
      </c>
      <c r="E34" s="83"/>
      <c r="F34" s="84">
        <f t="shared" si="1"/>
        <v>82.731</v>
      </c>
      <c r="G34" s="84"/>
      <c r="H34" s="82">
        <v>789.0</v>
      </c>
      <c r="I34" s="86">
        <v>0.15</v>
      </c>
      <c r="J34" s="85">
        <f t="shared" si="2"/>
        <v>179.85</v>
      </c>
      <c r="K34" s="85">
        <f t="shared" si="3"/>
        <v>155.0431034</v>
      </c>
      <c r="L34" s="82">
        <v>67.0</v>
      </c>
      <c r="M34" s="85">
        <f t="shared" si="4"/>
        <v>80.419</v>
      </c>
      <c r="N34" s="86">
        <f t="shared" si="5"/>
        <v>0.1019252218</v>
      </c>
      <c r="O34" s="86"/>
      <c r="P34" s="82"/>
    </row>
    <row r="35">
      <c r="A35" s="89" t="s">
        <v>2787</v>
      </c>
      <c r="B35" s="89" t="s">
        <v>2788</v>
      </c>
      <c r="C35" s="89"/>
      <c r="D35" s="85">
        <v>5999.0</v>
      </c>
      <c r="E35" s="86"/>
      <c r="F35" s="84">
        <f t="shared" si="1"/>
        <v>413.931</v>
      </c>
      <c r="G35" s="84"/>
      <c r="H35" s="85">
        <v>4324.97</v>
      </c>
      <c r="I35" s="86">
        <v>0.15</v>
      </c>
      <c r="J35" s="85">
        <f t="shared" si="2"/>
        <v>899.85</v>
      </c>
      <c r="K35" s="85">
        <f t="shared" si="3"/>
        <v>775.7327586</v>
      </c>
      <c r="L35" s="85"/>
      <c r="M35" s="85">
        <f t="shared" si="4"/>
        <v>360.249</v>
      </c>
      <c r="N35" s="86">
        <f t="shared" si="5"/>
        <v>0.08329514424</v>
      </c>
      <c r="O35" s="86"/>
      <c r="P35" s="82"/>
    </row>
    <row r="36">
      <c r="A36" s="89" t="s">
        <v>2789</v>
      </c>
      <c r="B36" s="89" t="s">
        <v>2790</v>
      </c>
      <c r="C36" s="89"/>
      <c r="D36" s="85">
        <v>149.0</v>
      </c>
      <c r="E36" s="86"/>
      <c r="F36" s="84">
        <f t="shared" si="1"/>
        <v>10.281</v>
      </c>
      <c r="G36" s="84"/>
      <c r="H36" s="85">
        <v>65.54</v>
      </c>
      <c r="I36" s="86">
        <v>0.15</v>
      </c>
      <c r="J36" s="85">
        <f t="shared" si="2"/>
        <v>22.35</v>
      </c>
      <c r="K36" s="85">
        <f t="shared" si="3"/>
        <v>19.26724138</v>
      </c>
      <c r="L36" s="85"/>
      <c r="M36" s="85">
        <f t="shared" si="4"/>
        <v>50.829</v>
      </c>
      <c r="N36" s="86">
        <f t="shared" si="5"/>
        <v>0.775541654</v>
      </c>
      <c r="O36" s="86"/>
      <c r="P36" s="82"/>
    </row>
    <row r="37">
      <c r="A37" s="89" t="s">
        <v>2791</v>
      </c>
      <c r="B37" s="89" t="s">
        <v>2792</v>
      </c>
      <c r="C37" s="89"/>
      <c r="D37" s="85">
        <v>172.0</v>
      </c>
      <c r="E37" s="86"/>
      <c r="F37" s="84">
        <f t="shared" si="1"/>
        <v>11.868</v>
      </c>
      <c r="G37" s="84"/>
      <c r="H37" s="85">
        <v>82.59</v>
      </c>
      <c r="I37" s="86">
        <v>0.15</v>
      </c>
      <c r="J37" s="85">
        <f t="shared" si="2"/>
        <v>25.8</v>
      </c>
      <c r="K37" s="85">
        <f t="shared" si="3"/>
        <v>22.24137931</v>
      </c>
      <c r="L37" s="85"/>
      <c r="M37" s="85">
        <f t="shared" si="4"/>
        <v>51.742</v>
      </c>
      <c r="N37" s="86">
        <f t="shared" si="5"/>
        <v>0.6264923114</v>
      </c>
      <c r="O37" s="86"/>
      <c r="P37" s="82"/>
    </row>
    <row r="38">
      <c r="A38" s="89" t="s">
        <v>2793</v>
      </c>
      <c r="B38" s="89" t="s">
        <v>2794</v>
      </c>
      <c r="C38" s="89"/>
      <c r="D38" s="85">
        <v>259.0</v>
      </c>
      <c r="E38" s="86"/>
      <c r="F38" s="84">
        <f t="shared" si="1"/>
        <v>17.871</v>
      </c>
      <c r="G38" s="84"/>
      <c r="H38" s="85">
        <v>149.64</v>
      </c>
      <c r="I38" s="86">
        <v>0.15</v>
      </c>
      <c r="J38" s="85">
        <f t="shared" si="2"/>
        <v>38.85</v>
      </c>
      <c r="K38" s="85">
        <f t="shared" si="3"/>
        <v>33.49137931</v>
      </c>
      <c r="L38" s="85"/>
      <c r="M38" s="85">
        <f t="shared" si="4"/>
        <v>52.639</v>
      </c>
      <c r="N38" s="86">
        <f t="shared" si="5"/>
        <v>0.3517709169</v>
      </c>
      <c r="O38" s="86"/>
      <c r="P38" s="82"/>
    </row>
    <row r="39">
      <c r="A39" s="89" t="s">
        <v>2795</v>
      </c>
      <c r="B39" s="89" t="s">
        <v>2796</v>
      </c>
      <c r="C39" s="89"/>
      <c r="D39" s="85">
        <v>4999.0</v>
      </c>
      <c r="E39" s="86"/>
      <c r="F39" s="84">
        <f t="shared" si="1"/>
        <v>344.931</v>
      </c>
      <c r="G39" s="84"/>
      <c r="H39" s="85">
        <v>3675.8</v>
      </c>
      <c r="I39" s="86">
        <v>0.15</v>
      </c>
      <c r="J39" s="85">
        <f t="shared" si="2"/>
        <v>749.85</v>
      </c>
      <c r="K39" s="85">
        <f t="shared" si="3"/>
        <v>646.4224138</v>
      </c>
      <c r="L39" s="85"/>
      <c r="M39" s="85">
        <f t="shared" si="4"/>
        <v>228.419</v>
      </c>
      <c r="N39" s="86">
        <f t="shared" si="5"/>
        <v>0.06214130257</v>
      </c>
      <c r="O39" s="86"/>
      <c r="P39" s="82"/>
    </row>
    <row r="40">
      <c r="A40" s="89" t="s">
        <v>2797</v>
      </c>
      <c r="B40" s="89" t="s">
        <v>2798</v>
      </c>
      <c r="C40" s="89"/>
      <c r="D40" s="85">
        <v>5699.0</v>
      </c>
      <c r="E40" s="86"/>
      <c r="F40" s="84">
        <f t="shared" si="1"/>
        <v>393.231</v>
      </c>
      <c r="G40" s="84"/>
      <c r="H40" s="85">
        <v>4048.08</v>
      </c>
      <c r="I40" s="86">
        <v>0.1</v>
      </c>
      <c r="J40" s="85">
        <f t="shared" si="2"/>
        <v>569.9</v>
      </c>
      <c r="K40" s="85">
        <f t="shared" si="3"/>
        <v>491.2931034</v>
      </c>
      <c r="L40" s="85"/>
      <c r="M40" s="85">
        <f t="shared" si="4"/>
        <v>687.789</v>
      </c>
      <c r="N40" s="86">
        <f t="shared" si="5"/>
        <v>0.169904992</v>
      </c>
      <c r="O40" s="86"/>
      <c r="P40" s="82"/>
    </row>
    <row r="41">
      <c r="A41" s="89" t="s">
        <v>2799</v>
      </c>
      <c r="B41" s="89" t="s">
        <v>2800</v>
      </c>
      <c r="C41" s="89"/>
      <c r="D41" s="85">
        <v>4499.0</v>
      </c>
      <c r="E41" s="86"/>
      <c r="F41" s="84">
        <f t="shared" si="1"/>
        <v>310.431</v>
      </c>
      <c r="G41" s="84"/>
      <c r="H41" s="85">
        <v>3596.22</v>
      </c>
      <c r="I41" s="86">
        <v>0.1</v>
      </c>
      <c r="J41" s="85">
        <f t="shared" si="2"/>
        <v>449.9</v>
      </c>
      <c r="K41" s="85">
        <f t="shared" si="3"/>
        <v>387.8448276</v>
      </c>
      <c r="L41" s="85"/>
      <c r="M41" s="85">
        <f t="shared" si="4"/>
        <v>142.449</v>
      </c>
      <c r="N41" s="86">
        <f t="shared" si="5"/>
        <v>0.03961075796</v>
      </c>
      <c r="O41" s="86"/>
      <c r="P41" s="82"/>
    </row>
    <row r="42">
      <c r="A42" s="89" t="s">
        <v>2801</v>
      </c>
      <c r="B42" s="89" t="s">
        <v>2802</v>
      </c>
      <c r="C42" s="89"/>
      <c r="D42" s="85">
        <v>1299.0</v>
      </c>
      <c r="E42" s="86"/>
      <c r="F42" s="84">
        <f t="shared" si="1"/>
        <v>89.631</v>
      </c>
      <c r="G42" s="84"/>
      <c r="H42" s="85">
        <v>943.02</v>
      </c>
      <c r="I42" s="86">
        <v>0.15</v>
      </c>
      <c r="J42" s="85">
        <f t="shared" si="2"/>
        <v>194.85</v>
      </c>
      <c r="K42" s="85">
        <f t="shared" si="3"/>
        <v>167.9741379</v>
      </c>
      <c r="L42" s="85"/>
      <c r="M42" s="85">
        <f t="shared" si="4"/>
        <v>71.499</v>
      </c>
      <c r="N42" s="86">
        <f t="shared" si="5"/>
        <v>0.07581917669</v>
      </c>
      <c r="O42" s="86"/>
      <c r="P42" s="82"/>
    </row>
    <row r="43">
      <c r="A43" s="89" t="s">
        <v>2803</v>
      </c>
      <c r="B43" s="89" t="s">
        <v>2804</v>
      </c>
      <c r="C43" s="89"/>
      <c r="D43" s="85">
        <v>519.0</v>
      </c>
      <c r="E43" s="86"/>
      <c r="F43" s="84">
        <f t="shared" si="1"/>
        <v>35.811</v>
      </c>
      <c r="G43" s="84"/>
      <c r="H43" s="85">
        <v>294.35</v>
      </c>
      <c r="I43" s="86">
        <v>0.15</v>
      </c>
      <c r="J43" s="85">
        <f t="shared" si="2"/>
        <v>77.85</v>
      </c>
      <c r="K43" s="85">
        <f t="shared" si="3"/>
        <v>67.11206897</v>
      </c>
      <c r="L43" s="85"/>
      <c r="M43" s="85">
        <f t="shared" si="4"/>
        <v>110.989</v>
      </c>
      <c r="N43" s="86">
        <f t="shared" si="5"/>
        <v>0.3770647189</v>
      </c>
      <c r="O43" s="86"/>
      <c r="P43" s="82"/>
    </row>
    <row r="44">
      <c r="A44" s="89" t="s">
        <v>2805</v>
      </c>
      <c r="B44" s="89" t="s">
        <v>2806</v>
      </c>
      <c r="C44" s="89"/>
      <c r="D44" s="85">
        <v>799.0</v>
      </c>
      <c r="E44" s="86"/>
      <c r="F44" s="84">
        <f t="shared" si="1"/>
        <v>55.131</v>
      </c>
      <c r="G44" s="84"/>
      <c r="H44" s="85">
        <v>546.49</v>
      </c>
      <c r="I44" s="86">
        <v>0.15</v>
      </c>
      <c r="J44" s="85">
        <f t="shared" si="2"/>
        <v>119.85</v>
      </c>
      <c r="K44" s="85">
        <f t="shared" si="3"/>
        <v>103.3189655</v>
      </c>
      <c r="L44" s="85"/>
      <c r="M44" s="85">
        <f t="shared" si="4"/>
        <v>77.529</v>
      </c>
      <c r="N44" s="86">
        <f t="shared" si="5"/>
        <v>0.1418671888</v>
      </c>
      <c r="O44" s="86"/>
      <c r="P44" s="82"/>
    </row>
    <row r="45">
      <c r="A45" s="89" t="s">
        <v>2807</v>
      </c>
      <c r="B45" s="89" t="s">
        <v>2808</v>
      </c>
      <c r="C45" s="89"/>
      <c r="D45" s="85">
        <v>999.0</v>
      </c>
      <c r="E45" s="86"/>
      <c r="F45" s="84">
        <f t="shared" si="1"/>
        <v>68.931</v>
      </c>
      <c r="G45" s="84"/>
      <c r="H45" s="85">
        <v>773.8</v>
      </c>
      <c r="I45" s="86">
        <v>0.15</v>
      </c>
      <c r="J45" s="85">
        <f t="shared" si="2"/>
        <v>149.85</v>
      </c>
      <c r="K45" s="85">
        <f t="shared" si="3"/>
        <v>129.1810345</v>
      </c>
      <c r="L45" s="85"/>
      <c r="M45" s="85">
        <f t="shared" si="4"/>
        <v>6.419</v>
      </c>
      <c r="N45" s="86">
        <f t="shared" si="5"/>
        <v>0.008295425174</v>
      </c>
      <c r="O45" s="86"/>
      <c r="P45" s="82"/>
    </row>
    <row r="46">
      <c r="A46" s="89" t="s">
        <v>2809</v>
      </c>
      <c r="B46" s="89" t="s">
        <v>2810</v>
      </c>
      <c r="C46" s="89"/>
      <c r="D46" s="85">
        <v>499.0</v>
      </c>
      <c r="E46" s="86"/>
      <c r="F46" s="84">
        <f t="shared" si="1"/>
        <v>34.431</v>
      </c>
      <c r="G46" s="84"/>
      <c r="H46" s="85">
        <v>320.13</v>
      </c>
      <c r="I46" s="86">
        <v>0.15</v>
      </c>
      <c r="J46" s="85">
        <f t="shared" si="2"/>
        <v>74.85</v>
      </c>
      <c r="K46" s="85">
        <f t="shared" si="3"/>
        <v>64.52586207</v>
      </c>
      <c r="L46" s="85"/>
      <c r="M46" s="85">
        <f t="shared" si="4"/>
        <v>69.589</v>
      </c>
      <c r="N46" s="86">
        <f t="shared" si="5"/>
        <v>0.2173773155</v>
      </c>
      <c r="O46" s="86"/>
      <c r="P46" s="82"/>
    </row>
    <row r="47">
      <c r="A47" s="89" t="s">
        <v>2811</v>
      </c>
      <c r="B47" s="89" t="s">
        <v>2812</v>
      </c>
      <c r="C47" s="89"/>
      <c r="D47" s="85">
        <v>107.0</v>
      </c>
      <c r="E47" s="86"/>
      <c r="F47" s="84">
        <f t="shared" si="1"/>
        <v>7.383</v>
      </c>
      <c r="G47" s="84"/>
      <c r="H47" s="85" t="str">
        <f>10.17*2</f>
        <v>#ERROR!</v>
      </c>
      <c r="I47" s="86">
        <v>0.15</v>
      </c>
      <c r="J47" s="85">
        <f t="shared" si="2"/>
        <v>16.05</v>
      </c>
      <c r="K47" s="85">
        <f t="shared" si="3"/>
        <v>13.8362069</v>
      </c>
      <c r="L47" s="85"/>
      <c r="M47" s="85" t="str">
        <f t="shared" si="4"/>
        <v>#ERROR!</v>
      </c>
      <c r="N47" s="86" t="str">
        <f t="shared" si="5"/>
        <v>#ERROR!</v>
      </c>
      <c r="O47" s="86"/>
      <c r="P47" s="82"/>
    </row>
    <row r="48">
      <c r="A48" s="89" t="s">
        <v>2813</v>
      </c>
      <c r="B48" s="89" t="s">
        <v>2814</v>
      </c>
      <c r="C48" s="89"/>
      <c r="D48" s="82">
        <v>629.0</v>
      </c>
      <c r="E48" s="86"/>
      <c r="F48" s="84">
        <f t="shared" si="1"/>
        <v>43.401</v>
      </c>
      <c r="G48" s="84"/>
      <c r="H48" s="82">
        <v>425.0</v>
      </c>
      <c r="I48" s="86">
        <v>0.1</v>
      </c>
      <c r="J48" s="85">
        <f t="shared" si="2"/>
        <v>62.9</v>
      </c>
      <c r="K48" s="85">
        <f t="shared" si="3"/>
        <v>54.22413793</v>
      </c>
      <c r="L48" s="82">
        <v>72.0</v>
      </c>
      <c r="M48" s="85">
        <f t="shared" si="4"/>
        <v>25.699</v>
      </c>
      <c r="N48" s="86">
        <f t="shared" si="5"/>
        <v>0.06046823529</v>
      </c>
      <c r="O48" s="86"/>
      <c r="P48" s="82" t="s">
        <v>1660</v>
      </c>
    </row>
    <row r="49">
      <c r="A49" s="89" t="s">
        <v>2815</v>
      </c>
      <c r="B49" s="90" t="s">
        <v>2816</v>
      </c>
      <c r="C49" s="89"/>
      <c r="D49" s="82">
        <v>939.0</v>
      </c>
      <c r="E49" s="83"/>
      <c r="F49" s="84">
        <f t="shared" si="1"/>
        <v>64.791</v>
      </c>
      <c r="G49" s="84"/>
      <c r="H49" s="82">
        <v>608.73</v>
      </c>
      <c r="I49" s="91">
        <v>0.1</v>
      </c>
      <c r="J49" s="85">
        <f t="shared" si="2"/>
        <v>93.9</v>
      </c>
      <c r="K49" s="85">
        <f t="shared" si="3"/>
        <v>80.94827586</v>
      </c>
      <c r="L49" s="82">
        <v>75.38</v>
      </c>
      <c r="M49" s="85">
        <f t="shared" si="4"/>
        <v>96.199</v>
      </c>
      <c r="N49" s="86">
        <f t="shared" si="5"/>
        <v>0.1580322967</v>
      </c>
      <c r="O49" s="86"/>
      <c r="P49" s="82"/>
    </row>
    <row r="50">
      <c r="A50" s="89" t="s">
        <v>2817</v>
      </c>
      <c r="B50" s="89" t="s">
        <v>2818</v>
      </c>
      <c r="C50" s="89"/>
      <c r="D50" s="85">
        <v>4299.0</v>
      </c>
      <c r="E50" s="86"/>
      <c r="F50" s="84">
        <f t="shared" si="1"/>
        <v>296.631</v>
      </c>
      <c r="G50" s="84"/>
      <c r="H50" s="85">
        <v>3177.28</v>
      </c>
      <c r="I50" s="86">
        <v>0.1</v>
      </c>
      <c r="J50" s="85">
        <f t="shared" si="2"/>
        <v>429.9</v>
      </c>
      <c r="K50" s="85">
        <f t="shared" si="3"/>
        <v>370.6034483</v>
      </c>
      <c r="L50" s="85"/>
      <c r="M50" s="85">
        <f t="shared" si="4"/>
        <v>395.189</v>
      </c>
      <c r="N50" s="86">
        <f t="shared" si="5"/>
        <v>0.1243796581</v>
      </c>
      <c r="O50" s="86"/>
      <c r="P50" s="82"/>
    </row>
    <row r="51">
      <c r="A51" s="89" t="s">
        <v>2819</v>
      </c>
      <c r="B51" s="89" t="s">
        <v>2820</v>
      </c>
      <c r="C51" s="89"/>
      <c r="D51" s="85">
        <v>849.0</v>
      </c>
      <c r="E51" s="86"/>
      <c r="F51" s="84">
        <f t="shared" si="1"/>
        <v>58.581</v>
      </c>
      <c r="G51" s="84"/>
      <c r="H51" s="85">
        <v>614.8</v>
      </c>
      <c r="I51" s="86">
        <v>0.15</v>
      </c>
      <c r="J51" s="85">
        <f t="shared" si="2"/>
        <v>127.35</v>
      </c>
      <c r="K51" s="85">
        <f t="shared" si="3"/>
        <v>109.7844828</v>
      </c>
      <c r="L51" s="85"/>
      <c r="M51" s="85">
        <f t="shared" si="4"/>
        <v>48.269</v>
      </c>
      <c r="N51" s="86">
        <f t="shared" si="5"/>
        <v>0.07851171113</v>
      </c>
      <c r="O51" s="86"/>
      <c r="P51" s="82"/>
    </row>
    <row r="52">
      <c r="A52" s="89" t="s">
        <v>2821</v>
      </c>
      <c r="B52" s="89" t="s">
        <v>2822</v>
      </c>
      <c r="C52" s="89"/>
      <c r="D52" s="85">
        <v>899.0</v>
      </c>
      <c r="E52" s="86"/>
      <c r="F52" s="84">
        <f t="shared" si="1"/>
        <v>62.031</v>
      </c>
      <c r="G52" s="84"/>
      <c r="H52" s="82">
        <v>560.0</v>
      </c>
      <c r="I52" s="86">
        <v>0.15</v>
      </c>
      <c r="J52" s="85">
        <f t="shared" si="2"/>
        <v>134.85</v>
      </c>
      <c r="K52" s="85">
        <f t="shared" si="3"/>
        <v>116.25</v>
      </c>
      <c r="L52" s="82">
        <v>70.0</v>
      </c>
      <c r="M52" s="85">
        <f t="shared" si="4"/>
        <v>72.119</v>
      </c>
      <c r="N52" s="86">
        <f t="shared" si="5"/>
        <v>0.1287839286</v>
      </c>
      <c r="O52" s="86"/>
      <c r="P52" s="82"/>
    </row>
    <row r="53">
      <c r="A53" s="89" t="s">
        <v>2823</v>
      </c>
      <c r="B53" s="89" t="s">
        <v>2824</v>
      </c>
      <c r="C53" s="89"/>
      <c r="D53" s="85">
        <v>10599.0</v>
      </c>
      <c r="E53" s="86"/>
      <c r="F53" s="84">
        <f t="shared" si="1"/>
        <v>731.331</v>
      </c>
      <c r="G53" s="84"/>
      <c r="H53" s="85">
        <v>6325.0</v>
      </c>
      <c r="I53" s="86">
        <v>0.15</v>
      </c>
      <c r="J53" s="85">
        <f t="shared" si="2"/>
        <v>1589.85</v>
      </c>
      <c r="K53" s="85">
        <f t="shared" si="3"/>
        <v>1370.560345</v>
      </c>
      <c r="L53" s="85"/>
      <c r="M53" s="85">
        <f t="shared" si="4"/>
        <v>1952.819</v>
      </c>
      <c r="N53" s="86">
        <f t="shared" si="5"/>
        <v>0.308746087</v>
      </c>
      <c r="O53" s="86"/>
      <c r="P53" s="82"/>
    </row>
    <row r="54">
      <c r="A54" s="89" t="s">
        <v>224</v>
      </c>
      <c r="B54" s="89" t="s">
        <v>2825</v>
      </c>
      <c r="C54" s="89"/>
      <c r="D54" s="85">
        <v>1199.0</v>
      </c>
      <c r="E54" s="86"/>
      <c r="F54" s="84">
        <f t="shared" si="1"/>
        <v>82.731</v>
      </c>
      <c r="G54" s="84"/>
      <c r="H54" s="85">
        <v>845.2339999999999</v>
      </c>
      <c r="I54" s="86">
        <v>0.1</v>
      </c>
      <c r="J54" s="85">
        <f t="shared" si="2"/>
        <v>119.9</v>
      </c>
      <c r="K54" s="85">
        <f t="shared" si="3"/>
        <v>103.362069</v>
      </c>
      <c r="L54" s="85"/>
      <c r="M54" s="85">
        <f t="shared" si="4"/>
        <v>151.135</v>
      </c>
      <c r="N54" s="86">
        <f t="shared" si="5"/>
        <v>0.178808472</v>
      </c>
      <c r="O54" s="86"/>
      <c r="P54" s="82"/>
    </row>
    <row r="55">
      <c r="A55" s="89" t="s">
        <v>226</v>
      </c>
      <c r="B55" s="89"/>
      <c r="C55" s="89"/>
      <c r="D55" s="87"/>
      <c r="E55" s="86"/>
      <c r="F55" s="84">
        <f t="shared" si="1"/>
        <v>0</v>
      </c>
      <c r="G55" s="84"/>
      <c r="H55" s="85">
        <v>997.5999999999999</v>
      </c>
      <c r="I55" s="93"/>
      <c r="J55" s="85">
        <f t="shared" si="2"/>
        <v>0</v>
      </c>
      <c r="K55" s="85">
        <f t="shared" si="3"/>
        <v>0</v>
      </c>
      <c r="L55" s="87"/>
      <c r="M55" s="85">
        <f t="shared" si="4"/>
        <v>-997.6</v>
      </c>
      <c r="N55" s="93"/>
      <c r="O55" s="93"/>
      <c r="P55" s="82"/>
    </row>
    <row r="56">
      <c r="A56" s="89" t="s">
        <v>228</v>
      </c>
      <c r="B56" s="89" t="s">
        <v>2826</v>
      </c>
      <c r="C56" s="89"/>
      <c r="D56" s="85">
        <v>1799.0</v>
      </c>
      <c r="E56" s="86"/>
      <c r="F56" s="84">
        <f t="shared" si="1"/>
        <v>124.131</v>
      </c>
      <c r="G56" s="84"/>
      <c r="H56" s="85">
        <v>1305.3711999999998</v>
      </c>
      <c r="I56" s="86">
        <v>0.15</v>
      </c>
      <c r="J56" s="85">
        <f t="shared" si="2"/>
        <v>269.85</v>
      </c>
      <c r="K56" s="85">
        <f t="shared" si="3"/>
        <v>232.6293103</v>
      </c>
      <c r="L56" s="85"/>
      <c r="M56" s="85">
        <f t="shared" si="4"/>
        <v>99.6478</v>
      </c>
      <c r="N56" s="86">
        <f t="shared" ref="N56:N109" si="6">M56/H56</f>
        <v>0.07633675387</v>
      </c>
      <c r="O56" s="86"/>
      <c r="P56" s="82"/>
    </row>
    <row r="57">
      <c r="A57" s="89" t="s">
        <v>230</v>
      </c>
      <c r="B57" s="89" t="s">
        <v>2827</v>
      </c>
      <c r="C57" s="89"/>
      <c r="D57" s="85">
        <v>799.0</v>
      </c>
      <c r="E57" s="86"/>
      <c r="F57" s="84">
        <f t="shared" si="1"/>
        <v>55.131</v>
      </c>
      <c r="G57" s="84"/>
      <c r="H57" s="85">
        <v>500.0</v>
      </c>
      <c r="I57" s="86">
        <v>0.1</v>
      </c>
      <c r="J57" s="85">
        <f t="shared" si="2"/>
        <v>79.9</v>
      </c>
      <c r="K57" s="85">
        <f t="shared" si="3"/>
        <v>68.87931034</v>
      </c>
      <c r="L57" s="85"/>
      <c r="M57" s="85">
        <f t="shared" si="4"/>
        <v>163.969</v>
      </c>
      <c r="N57" s="86">
        <f t="shared" si="6"/>
        <v>0.327938</v>
      </c>
      <c r="O57" s="86"/>
      <c r="P57" s="82"/>
    </row>
    <row r="58">
      <c r="A58" s="89" t="s">
        <v>2828</v>
      </c>
      <c r="B58" s="89" t="s">
        <v>2829</v>
      </c>
      <c r="C58" s="89"/>
      <c r="D58" s="85">
        <v>494.0</v>
      </c>
      <c r="E58" s="86"/>
      <c r="F58" s="84">
        <f t="shared" si="1"/>
        <v>34.086</v>
      </c>
      <c r="G58" s="84"/>
      <c r="H58" s="85">
        <v>350.0</v>
      </c>
      <c r="I58" s="86">
        <v>0.1</v>
      </c>
      <c r="J58" s="85">
        <f t="shared" si="2"/>
        <v>49.4</v>
      </c>
      <c r="K58" s="85">
        <f t="shared" si="3"/>
        <v>42.5862069</v>
      </c>
      <c r="L58" s="85"/>
      <c r="M58" s="85">
        <f t="shared" si="4"/>
        <v>60.514</v>
      </c>
      <c r="N58" s="86">
        <f t="shared" si="6"/>
        <v>0.1728971429</v>
      </c>
      <c r="O58" s="86"/>
      <c r="P58" s="82"/>
    </row>
    <row r="59">
      <c r="A59" s="89" t="s">
        <v>2830</v>
      </c>
      <c r="B59" s="89" t="s">
        <v>2831</v>
      </c>
      <c r="C59" s="89"/>
      <c r="D59" s="85">
        <v>449.0</v>
      </c>
      <c r="E59" s="86"/>
      <c r="F59" s="84">
        <f t="shared" si="1"/>
        <v>30.981</v>
      </c>
      <c r="G59" s="84"/>
      <c r="H59" s="85">
        <v>234.09</v>
      </c>
      <c r="I59" s="86">
        <v>0.1</v>
      </c>
      <c r="J59" s="85">
        <f t="shared" si="2"/>
        <v>44.9</v>
      </c>
      <c r="K59" s="85">
        <f t="shared" si="3"/>
        <v>38.70689655</v>
      </c>
      <c r="L59" s="85"/>
      <c r="M59" s="85">
        <f t="shared" si="4"/>
        <v>139.029</v>
      </c>
      <c r="N59" s="86">
        <f t="shared" si="6"/>
        <v>0.5939125977</v>
      </c>
      <c r="O59" s="86"/>
      <c r="P59" s="82"/>
    </row>
    <row r="60">
      <c r="A60" s="89" t="s">
        <v>293</v>
      </c>
      <c r="B60" s="89" t="s">
        <v>2832</v>
      </c>
      <c r="C60" s="89"/>
      <c r="D60" s="85">
        <v>799.0</v>
      </c>
      <c r="E60" s="86"/>
      <c r="F60" s="84">
        <f t="shared" si="1"/>
        <v>55.131</v>
      </c>
      <c r="G60" s="84"/>
      <c r="H60" s="85">
        <v>423.0</v>
      </c>
      <c r="I60" s="86">
        <v>0.15</v>
      </c>
      <c r="J60" s="85">
        <f t="shared" si="2"/>
        <v>119.85</v>
      </c>
      <c r="K60" s="85">
        <f t="shared" si="3"/>
        <v>103.3189655</v>
      </c>
      <c r="L60" s="85"/>
      <c r="M60" s="85">
        <f t="shared" si="4"/>
        <v>201.019</v>
      </c>
      <c r="N60" s="86">
        <f t="shared" si="6"/>
        <v>0.4752222222</v>
      </c>
      <c r="O60" s="86"/>
      <c r="P60" s="82"/>
    </row>
    <row r="61">
      <c r="A61" s="89" t="s">
        <v>2833</v>
      </c>
      <c r="B61" s="89" t="s">
        <v>2834</v>
      </c>
      <c r="C61" s="89"/>
      <c r="D61" s="85">
        <v>1799.0</v>
      </c>
      <c r="E61" s="86"/>
      <c r="F61" s="84">
        <f t="shared" si="1"/>
        <v>124.131</v>
      </c>
      <c r="G61" s="84"/>
      <c r="H61" s="85">
        <v>1350.0</v>
      </c>
      <c r="I61" s="86">
        <v>0.1</v>
      </c>
      <c r="J61" s="85">
        <f t="shared" si="2"/>
        <v>179.9</v>
      </c>
      <c r="K61" s="85">
        <f t="shared" si="3"/>
        <v>155.0862069</v>
      </c>
      <c r="L61" s="85"/>
      <c r="M61" s="85">
        <f t="shared" si="4"/>
        <v>144.969</v>
      </c>
      <c r="N61" s="86">
        <f t="shared" si="6"/>
        <v>0.1073844444</v>
      </c>
      <c r="O61" s="86"/>
      <c r="P61" s="82"/>
    </row>
    <row r="62">
      <c r="A62" s="89" t="s">
        <v>2835</v>
      </c>
      <c r="B62" s="89" t="s">
        <v>2836</v>
      </c>
      <c r="C62" s="89"/>
      <c r="D62" s="85">
        <v>1199.0</v>
      </c>
      <c r="E62" s="86"/>
      <c r="F62" s="84">
        <f t="shared" si="1"/>
        <v>82.731</v>
      </c>
      <c r="G62" s="84"/>
      <c r="H62" s="85">
        <f>1319-619</f>
        <v>700</v>
      </c>
      <c r="I62" s="86">
        <v>0.15</v>
      </c>
      <c r="J62" s="85">
        <f t="shared" si="2"/>
        <v>179.85</v>
      </c>
      <c r="K62" s="85">
        <f t="shared" si="3"/>
        <v>155.0431034</v>
      </c>
      <c r="L62" s="85"/>
      <c r="M62" s="85">
        <f t="shared" si="4"/>
        <v>236.419</v>
      </c>
      <c r="N62" s="86">
        <f t="shared" si="6"/>
        <v>0.3377414286</v>
      </c>
      <c r="O62" s="86"/>
      <c r="P62" s="82"/>
    </row>
    <row r="63">
      <c r="A63" s="89" t="s">
        <v>2837</v>
      </c>
      <c r="B63" s="89" t="s">
        <v>2838</v>
      </c>
      <c r="C63" s="89"/>
      <c r="D63" s="85">
        <v>799.0</v>
      </c>
      <c r="E63" s="86"/>
      <c r="F63" s="84">
        <f t="shared" si="1"/>
        <v>55.131</v>
      </c>
      <c r="G63" s="84"/>
      <c r="H63" s="85">
        <v>549.0</v>
      </c>
      <c r="I63" s="86">
        <v>0.1</v>
      </c>
      <c r="J63" s="85">
        <f t="shared" si="2"/>
        <v>79.9</v>
      </c>
      <c r="K63" s="85">
        <f t="shared" si="3"/>
        <v>68.87931034</v>
      </c>
      <c r="L63" s="85"/>
      <c r="M63" s="85">
        <f t="shared" si="4"/>
        <v>114.969</v>
      </c>
      <c r="N63" s="86">
        <f t="shared" si="6"/>
        <v>0.2094153005</v>
      </c>
      <c r="O63" s="86"/>
      <c r="P63" s="82"/>
    </row>
    <row r="64">
      <c r="A64" s="89" t="s">
        <v>2839</v>
      </c>
      <c r="B64" s="89" t="s">
        <v>2840</v>
      </c>
      <c r="C64" s="89"/>
      <c r="D64" s="85">
        <v>449.0</v>
      </c>
      <c r="E64" s="86"/>
      <c r="F64" s="84">
        <f t="shared" si="1"/>
        <v>30.981</v>
      </c>
      <c r="G64" s="84"/>
      <c r="H64" s="85">
        <v>278.45</v>
      </c>
      <c r="I64" s="86">
        <v>0.15</v>
      </c>
      <c r="J64" s="85">
        <f t="shared" si="2"/>
        <v>67.35</v>
      </c>
      <c r="K64" s="85">
        <f t="shared" si="3"/>
        <v>58.06034483</v>
      </c>
      <c r="L64" s="85"/>
      <c r="M64" s="85">
        <f t="shared" si="4"/>
        <v>72.219</v>
      </c>
      <c r="N64" s="86">
        <f t="shared" si="6"/>
        <v>0.259360747</v>
      </c>
      <c r="O64" s="86"/>
      <c r="P64" s="82"/>
    </row>
    <row r="65">
      <c r="A65" s="89" t="s">
        <v>2841</v>
      </c>
      <c r="B65" s="89" t="s">
        <v>2842</v>
      </c>
      <c r="C65" s="89"/>
      <c r="D65" s="85">
        <v>459.0</v>
      </c>
      <c r="E65" s="86"/>
      <c r="F65" s="84">
        <f t="shared" si="1"/>
        <v>31.671</v>
      </c>
      <c r="G65" s="84"/>
      <c r="H65" s="85">
        <v>266.05</v>
      </c>
      <c r="I65" s="86">
        <v>0.15</v>
      </c>
      <c r="J65" s="85">
        <f t="shared" si="2"/>
        <v>68.85</v>
      </c>
      <c r="K65" s="85">
        <f t="shared" si="3"/>
        <v>59.35344828</v>
      </c>
      <c r="L65" s="85"/>
      <c r="M65" s="85">
        <f t="shared" si="4"/>
        <v>92.429</v>
      </c>
      <c r="N65" s="86">
        <f t="shared" si="6"/>
        <v>0.3474121406</v>
      </c>
      <c r="O65" s="86"/>
      <c r="P65" s="82"/>
    </row>
    <row r="66">
      <c r="A66" s="89" t="s">
        <v>2843</v>
      </c>
      <c r="B66" s="89" t="s">
        <v>2844</v>
      </c>
      <c r="C66" s="89"/>
      <c r="D66" s="85">
        <v>1699.0</v>
      </c>
      <c r="E66" s="86"/>
      <c r="F66" s="84">
        <f t="shared" si="1"/>
        <v>117.231</v>
      </c>
      <c r="G66" s="84"/>
      <c r="H66" s="85">
        <v>1183.46</v>
      </c>
      <c r="I66" s="86">
        <v>0.15</v>
      </c>
      <c r="J66" s="85">
        <f t="shared" si="2"/>
        <v>254.85</v>
      </c>
      <c r="K66" s="85">
        <f t="shared" si="3"/>
        <v>219.6982759</v>
      </c>
      <c r="L66" s="85"/>
      <c r="M66" s="85">
        <f t="shared" si="4"/>
        <v>143.459</v>
      </c>
      <c r="N66" s="86">
        <f t="shared" si="6"/>
        <v>0.1212199821</v>
      </c>
      <c r="O66" s="86"/>
      <c r="P66" s="82"/>
    </row>
    <row r="67">
      <c r="A67" s="89" t="s">
        <v>2845</v>
      </c>
      <c r="B67" s="89" t="s">
        <v>2846</v>
      </c>
      <c r="C67" s="89"/>
      <c r="D67" s="85">
        <v>3999.0</v>
      </c>
      <c r="E67" s="86"/>
      <c r="F67" s="84">
        <f t="shared" si="1"/>
        <v>275.931</v>
      </c>
      <c r="G67" s="84"/>
      <c r="H67" s="85">
        <v>3207.61</v>
      </c>
      <c r="I67" s="86">
        <v>0.1</v>
      </c>
      <c r="J67" s="85">
        <f t="shared" si="2"/>
        <v>399.9</v>
      </c>
      <c r="K67" s="85">
        <f t="shared" si="3"/>
        <v>344.7413793</v>
      </c>
      <c r="L67" s="85"/>
      <c r="M67" s="85">
        <f t="shared" si="4"/>
        <v>115.559</v>
      </c>
      <c r="N67" s="86">
        <f t="shared" si="6"/>
        <v>0.03602651195</v>
      </c>
      <c r="O67" s="86"/>
      <c r="P67" s="82"/>
    </row>
    <row r="68">
      <c r="A68" s="89" t="s">
        <v>2847</v>
      </c>
      <c r="B68" s="89" t="s">
        <v>2848</v>
      </c>
      <c r="C68" s="89"/>
      <c r="D68" s="82">
        <v>3499.0</v>
      </c>
      <c r="E68" s="86"/>
      <c r="F68" s="84">
        <f t="shared" si="1"/>
        <v>241.431</v>
      </c>
      <c r="G68" s="84"/>
      <c r="H68" s="85">
        <v>1970.0</v>
      </c>
      <c r="I68" s="91">
        <v>0.14</v>
      </c>
      <c r="J68" s="85">
        <f t="shared" si="2"/>
        <v>489.86</v>
      </c>
      <c r="K68" s="85">
        <f t="shared" si="3"/>
        <v>422.2931034</v>
      </c>
      <c r="L68" s="85"/>
      <c r="M68" s="85">
        <f t="shared" si="4"/>
        <v>797.709</v>
      </c>
      <c r="N68" s="86">
        <f t="shared" si="6"/>
        <v>0.4049284264</v>
      </c>
      <c r="O68" s="86"/>
      <c r="P68" s="82"/>
    </row>
    <row r="69">
      <c r="A69" s="89" t="s">
        <v>2849</v>
      </c>
      <c r="B69" s="89" t="s">
        <v>2850</v>
      </c>
      <c r="C69" s="89"/>
      <c r="D69" s="85">
        <v>7599.0</v>
      </c>
      <c r="E69" s="86"/>
      <c r="F69" s="84">
        <f t="shared" si="1"/>
        <v>524.331</v>
      </c>
      <c r="G69" s="84"/>
      <c r="H69" s="85">
        <v>4840.06</v>
      </c>
      <c r="I69" s="86">
        <v>0.15</v>
      </c>
      <c r="J69" s="85">
        <f t="shared" si="2"/>
        <v>1139.85</v>
      </c>
      <c r="K69" s="85">
        <f t="shared" si="3"/>
        <v>982.6293103</v>
      </c>
      <c r="L69" s="85"/>
      <c r="M69" s="85">
        <f t="shared" si="4"/>
        <v>1094.759</v>
      </c>
      <c r="N69" s="86">
        <f t="shared" si="6"/>
        <v>0.2261870721</v>
      </c>
      <c r="O69" s="86"/>
      <c r="P69" s="82"/>
    </row>
    <row r="70">
      <c r="A70" s="89" t="s">
        <v>2851</v>
      </c>
      <c r="B70" s="89" t="s">
        <v>2852</v>
      </c>
      <c r="C70" s="89"/>
      <c r="D70" s="85">
        <v>799.0</v>
      </c>
      <c r="E70" s="86"/>
      <c r="F70" s="84">
        <f t="shared" si="1"/>
        <v>55.131</v>
      </c>
      <c r="G70" s="84"/>
      <c r="H70" s="85">
        <v>558.75</v>
      </c>
      <c r="I70" s="86">
        <v>0.1</v>
      </c>
      <c r="J70" s="85">
        <f t="shared" si="2"/>
        <v>79.9</v>
      </c>
      <c r="K70" s="85">
        <f t="shared" si="3"/>
        <v>68.87931034</v>
      </c>
      <c r="L70" s="85"/>
      <c r="M70" s="85">
        <f t="shared" si="4"/>
        <v>105.219</v>
      </c>
      <c r="N70" s="86">
        <f t="shared" si="6"/>
        <v>0.1883114094</v>
      </c>
      <c r="O70" s="86"/>
      <c r="P70" s="82"/>
    </row>
    <row r="71">
      <c r="A71" s="89" t="s">
        <v>2853</v>
      </c>
      <c r="B71" s="89" t="s">
        <v>2854</v>
      </c>
      <c r="C71" s="89"/>
      <c r="D71" s="85">
        <v>799.0</v>
      </c>
      <c r="E71" s="86"/>
      <c r="F71" s="84">
        <f t="shared" si="1"/>
        <v>55.131</v>
      </c>
      <c r="G71" s="84"/>
      <c r="H71" s="85">
        <v>580.0</v>
      </c>
      <c r="I71" s="86">
        <v>0.1</v>
      </c>
      <c r="J71" s="85">
        <f t="shared" si="2"/>
        <v>79.9</v>
      </c>
      <c r="K71" s="85">
        <f t="shared" si="3"/>
        <v>68.87931034</v>
      </c>
      <c r="L71" s="85"/>
      <c r="M71" s="85">
        <f t="shared" si="4"/>
        <v>83.969</v>
      </c>
      <c r="N71" s="86">
        <f t="shared" si="6"/>
        <v>0.1447741379</v>
      </c>
      <c r="O71" s="86"/>
      <c r="P71" s="82"/>
    </row>
    <row r="72">
      <c r="A72" s="89" t="s">
        <v>2855</v>
      </c>
      <c r="B72" s="89" t="s">
        <v>2856</v>
      </c>
      <c r="C72" s="89"/>
      <c r="D72" s="85">
        <v>249.0</v>
      </c>
      <c r="E72" s="86"/>
      <c r="F72" s="84">
        <f t="shared" si="1"/>
        <v>17.181</v>
      </c>
      <c r="G72" s="84"/>
      <c r="H72" s="85">
        <v>134.36</v>
      </c>
      <c r="I72" s="86">
        <v>0.1</v>
      </c>
      <c r="J72" s="85">
        <f t="shared" si="2"/>
        <v>24.9</v>
      </c>
      <c r="K72" s="85">
        <f t="shared" si="3"/>
        <v>21.46551724</v>
      </c>
      <c r="L72" s="85"/>
      <c r="M72" s="85">
        <f t="shared" si="4"/>
        <v>72.559</v>
      </c>
      <c r="N72" s="86">
        <f t="shared" si="6"/>
        <v>0.5400342364</v>
      </c>
      <c r="O72" s="86"/>
      <c r="P72" s="82"/>
    </row>
    <row r="73">
      <c r="A73" s="89" t="s">
        <v>2857</v>
      </c>
      <c r="B73" s="89" t="s">
        <v>2858</v>
      </c>
      <c r="C73" s="89"/>
      <c r="D73" s="85">
        <v>2299.0</v>
      </c>
      <c r="E73" s="86"/>
      <c r="F73" s="84">
        <f t="shared" si="1"/>
        <v>158.631</v>
      </c>
      <c r="G73" s="84"/>
      <c r="H73" s="85">
        <v>1731.07</v>
      </c>
      <c r="I73" s="86">
        <v>0.14</v>
      </c>
      <c r="J73" s="85">
        <f t="shared" si="2"/>
        <v>321.86</v>
      </c>
      <c r="K73" s="85">
        <f t="shared" si="3"/>
        <v>277.4655172</v>
      </c>
      <c r="L73" s="85"/>
      <c r="M73" s="85">
        <f t="shared" si="4"/>
        <v>87.439</v>
      </c>
      <c r="N73" s="86">
        <f t="shared" si="6"/>
        <v>0.05051153333</v>
      </c>
      <c r="O73" s="86"/>
      <c r="P73" s="82"/>
    </row>
    <row r="74">
      <c r="A74" s="89" t="s">
        <v>2859</v>
      </c>
      <c r="B74" s="89" t="s">
        <v>2860</v>
      </c>
      <c r="C74" s="89"/>
      <c r="D74" s="85">
        <v>1240.0</v>
      </c>
      <c r="E74" s="86"/>
      <c r="F74" s="84">
        <f t="shared" si="1"/>
        <v>85.56</v>
      </c>
      <c r="G74" s="84"/>
      <c r="H74" s="85">
        <v>882.46</v>
      </c>
      <c r="I74" s="86">
        <v>0.15</v>
      </c>
      <c r="J74" s="85">
        <f t="shared" si="2"/>
        <v>186</v>
      </c>
      <c r="K74" s="85">
        <f t="shared" si="3"/>
        <v>160.3448276</v>
      </c>
      <c r="L74" s="85"/>
      <c r="M74" s="85">
        <f t="shared" si="4"/>
        <v>85.98</v>
      </c>
      <c r="N74" s="86">
        <f t="shared" si="6"/>
        <v>0.09743217823</v>
      </c>
      <c r="O74" s="86"/>
      <c r="P74" s="82"/>
    </row>
    <row r="75">
      <c r="A75" s="89" t="s">
        <v>2861</v>
      </c>
      <c r="B75" s="89" t="s">
        <v>2862</v>
      </c>
      <c r="C75" s="89"/>
      <c r="D75" s="85">
        <v>264.0</v>
      </c>
      <c r="E75" s="86"/>
      <c r="F75" s="84">
        <f t="shared" si="1"/>
        <v>18.216</v>
      </c>
      <c r="G75" s="84"/>
      <c r="H75" s="85">
        <v>90.08</v>
      </c>
      <c r="I75" s="86">
        <v>0.15</v>
      </c>
      <c r="J75" s="85">
        <f t="shared" si="2"/>
        <v>39.6</v>
      </c>
      <c r="K75" s="85">
        <f t="shared" si="3"/>
        <v>34.13793103</v>
      </c>
      <c r="L75" s="85"/>
      <c r="M75" s="85">
        <f t="shared" si="4"/>
        <v>116.104</v>
      </c>
      <c r="N75" s="86">
        <f t="shared" si="6"/>
        <v>1.288898757</v>
      </c>
      <c r="O75" s="86"/>
      <c r="P75" s="82"/>
    </row>
    <row r="76">
      <c r="A76" s="89" t="s">
        <v>2863</v>
      </c>
      <c r="B76" s="89" t="s">
        <v>2864</v>
      </c>
      <c r="C76" s="89"/>
      <c r="D76" s="85">
        <v>1860.0</v>
      </c>
      <c r="E76" s="86"/>
      <c r="F76" s="84">
        <f t="shared" si="1"/>
        <v>128.34</v>
      </c>
      <c r="G76" s="84"/>
      <c r="H76" s="85">
        <v>1360.49</v>
      </c>
      <c r="I76" s="86">
        <v>0.15</v>
      </c>
      <c r="J76" s="85">
        <f t="shared" si="2"/>
        <v>279</v>
      </c>
      <c r="K76" s="85">
        <f t="shared" si="3"/>
        <v>240.5172414</v>
      </c>
      <c r="L76" s="85"/>
      <c r="M76" s="85">
        <f t="shared" si="4"/>
        <v>92.17</v>
      </c>
      <c r="N76" s="86">
        <f t="shared" si="6"/>
        <v>0.06774764974</v>
      </c>
      <c r="O76" s="86"/>
      <c r="P76" s="82"/>
    </row>
    <row r="77">
      <c r="A77" s="89" t="s">
        <v>2865</v>
      </c>
      <c r="B77" s="89" t="s">
        <v>2866</v>
      </c>
      <c r="C77" s="89"/>
      <c r="D77" s="82">
        <v>799.0</v>
      </c>
      <c r="E77" s="83"/>
      <c r="F77" s="84">
        <f t="shared" si="1"/>
        <v>55.131</v>
      </c>
      <c r="G77" s="84"/>
      <c r="H77" s="82">
        <v>530.0</v>
      </c>
      <c r="I77" s="86">
        <v>0.15</v>
      </c>
      <c r="J77" s="85">
        <f t="shared" si="2"/>
        <v>119.85</v>
      </c>
      <c r="K77" s="85">
        <f t="shared" si="3"/>
        <v>103.3189655</v>
      </c>
      <c r="L77" s="82">
        <v>69.87</v>
      </c>
      <c r="M77" s="85">
        <f t="shared" si="4"/>
        <v>24.149</v>
      </c>
      <c r="N77" s="86">
        <f t="shared" si="6"/>
        <v>0.04556415094</v>
      </c>
      <c r="O77" s="86"/>
      <c r="P77" s="82"/>
    </row>
    <row r="78">
      <c r="A78" s="89" t="s">
        <v>2867</v>
      </c>
      <c r="B78" s="89" t="s">
        <v>2868</v>
      </c>
      <c r="C78" s="89"/>
      <c r="D78" s="85">
        <v>652.0</v>
      </c>
      <c r="E78" s="86"/>
      <c r="F78" s="84">
        <f t="shared" si="1"/>
        <v>44.988</v>
      </c>
      <c r="G78" s="84"/>
      <c r="H78" s="85">
        <v>330.99</v>
      </c>
      <c r="I78" s="86">
        <v>0.16</v>
      </c>
      <c r="J78" s="85">
        <f t="shared" si="2"/>
        <v>104.32</v>
      </c>
      <c r="K78" s="85">
        <f t="shared" si="3"/>
        <v>89.93103448</v>
      </c>
      <c r="L78" s="85"/>
      <c r="M78" s="85">
        <f t="shared" si="4"/>
        <v>171.702</v>
      </c>
      <c r="N78" s="86">
        <f t="shared" si="6"/>
        <v>0.5187528324</v>
      </c>
      <c r="O78" s="86"/>
      <c r="P78" s="82"/>
    </row>
    <row r="79">
      <c r="A79" s="89" t="s">
        <v>2869</v>
      </c>
      <c r="B79" s="89" t="s">
        <v>2870</v>
      </c>
      <c r="C79" s="89"/>
      <c r="D79" s="85">
        <v>1319.0</v>
      </c>
      <c r="E79" s="86"/>
      <c r="F79" s="84">
        <f t="shared" si="1"/>
        <v>91.011</v>
      </c>
      <c r="G79" s="84"/>
      <c r="H79" s="85">
        <v>1002.0</v>
      </c>
      <c r="I79" s="86">
        <v>0.1</v>
      </c>
      <c r="J79" s="85">
        <f t="shared" si="2"/>
        <v>131.9</v>
      </c>
      <c r="K79" s="85">
        <f t="shared" si="3"/>
        <v>113.7068966</v>
      </c>
      <c r="L79" s="85"/>
      <c r="M79" s="85">
        <f t="shared" si="4"/>
        <v>94.089</v>
      </c>
      <c r="N79" s="86">
        <f t="shared" si="6"/>
        <v>0.0939011976</v>
      </c>
      <c r="O79" s="86"/>
      <c r="P79" s="82"/>
    </row>
    <row r="80">
      <c r="A80" s="89" t="s">
        <v>2871</v>
      </c>
      <c r="B80" s="89" t="s">
        <v>2872</v>
      </c>
      <c r="C80" s="89"/>
      <c r="D80" s="85">
        <v>700.0</v>
      </c>
      <c r="E80" s="86"/>
      <c r="F80" s="84">
        <f t="shared" si="1"/>
        <v>48.3</v>
      </c>
      <c r="G80" s="84"/>
      <c r="H80" s="85">
        <v>379.2</v>
      </c>
      <c r="I80" s="86">
        <v>0.15</v>
      </c>
      <c r="J80" s="85">
        <f t="shared" si="2"/>
        <v>105</v>
      </c>
      <c r="K80" s="85">
        <f t="shared" si="3"/>
        <v>90.51724138</v>
      </c>
      <c r="L80" s="85"/>
      <c r="M80" s="85">
        <f t="shared" si="4"/>
        <v>167.5</v>
      </c>
      <c r="N80" s="86">
        <f t="shared" si="6"/>
        <v>0.4417194093</v>
      </c>
      <c r="O80" s="86"/>
      <c r="P80" s="82"/>
    </row>
    <row r="81">
      <c r="A81" s="89" t="s">
        <v>2873</v>
      </c>
      <c r="B81" s="89" t="s">
        <v>2874</v>
      </c>
      <c r="C81" s="89"/>
      <c r="D81" s="82">
        <v>419.0</v>
      </c>
      <c r="E81" s="86"/>
      <c r="F81" s="84">
        <f t="shared" si="1"/>
        <v>28.911</v>
      </c>
      <c r="G81" s="84"/>
      <c r="H81" s="85">
        <v>316.94</v>
      </c>
      <c r="I81" s="86">
        <v>0.1</v>
      </c>
      <c r="J81" s="85">
        <f t="shared" si="2"/>
        <v>41.9</v>
      </c>
      <c r="K81" s="85">
        <f t="shared" si="3"/>
        <v>36.12068966</v>
      </c>
      <c r="L81" s="82">
        <v>54.0</v>
      </c>
      <c r="M81" s="85">
        <f t="shared" si="4"/>
        <v>-22.751</v>
      </c>
      <c r="N81" s="86">
        <f t="shared" si="6"/>
        <v>-0.07178330283</v>
      </c>
      <c r="O81" s="86"/>
      <c r="P81" s="82"/>
    </row>
    <row r="82">
      <c r="A82" s="89" t="s">
        <v>2875</v>
      </c>
      <c r="B82" s="89" t="s">
        <v>2876</v>
      </c>
      <c r="C82" s="89"/>
      <c r="D82" s="82">
        <v>399.0</v>
      </c>
      <c r="E82" s="86"/>
      <c r="F82" s="84">
        <f t="shared" si="1"/>
        <v>27.531</v>
      </c>
      <c r="G82" s="84"/>
      <c r="H82" s="82">
        <v>250.0</v>
      </c>
      <c r="I82" s="86">
        <v>0.1</v>
      </c>
      <c r="J82" s="85">
        <f t="shared" si="2"/>
        <v>39.9</v>
      </c>
      <c r="K82" s="85">
        <f t="shared" si="3"/>
        <v>34.39655172</v>
      </c>
      <c r="L82" s="82">
        <v>67.0</v>
      </c>
      <c r="M82" s="85">
        <f t="shared" si="4"/>
        <v>14.569</v>
      </c>
      <c r="N82" s="86">
        <f t="shared" si="6"/>
        <v>0.058276</v>
      </c>
      <c r="O82" s="86"/>
      <c r="P82" s="82"/>
    </row>
    <row r="83">
      <c r="A83" s="89" t="s">
        <v>2877</v>
      </c>
      <c r="B83" s="89" t="s">
        <v>2878</v>
      </c>
      <c r="C83" s="89"/>
      <c r="D83" s="85">
        <v>329.0</v>
      </c>
      <c r="E83" s="86"/>
      <c r="F83" s="84">
        <f t="shared" si="1"/>
        <v>22.701</v>
      </c>
      <c r="G83" s="84"/>
      <c r="H83" s="85">
        <v>194.7</v>
      </c>
      <c r="I83" s="86">
        <v>0.15</v>
      </c>
      <c r="J83" s="85">
        <f t="shared" si="2"/>
        <v>49.35</v>
      </c>
      <c r="K83" s="85">
        <f t="shared" si="3"/>
        <v>42.54310345</v>
      </c>
      <c r="L83" s="85"/>
      <c r="M83" s="85">
        <f t="shared" si="4"/>
        <v>62.249</v>
      </c>
      <c r="N83" s="86">
        <f t="shared" si="6"/>
        <v>0.3197175141</v>
      </c>
      <c r="O83" s="86"/>
      <c r="P83" s="82"/>
    </row>
    <row r="84">
      <c r="A84" s="89" t="s">
        <v>2879</v>
      </c>
      <c r="B84" s="89" t="s">
        <v>2880</v>
      </c>
      <c r="C84" s="89"/>
      <c r="D84" s="85">
        <v>394.0</v>
      </c>
      <c r="E84" s="86"/>
      <c r="F84" s="84">
        <f t="shared" si="1"/>
        <v>27.186</v>
      </c>
      <c r="G84" s="84"/>
      <c r="H84" s="85">
        <v>192.88</v>
      </c>
      <c r="I84" s="86">
        <v>0.1</v>
      </c>
      <c r="J84" s="85">
        <f t="shared" si="2"/>
        <v>39.4</v>
      </c>
      <c r="K84" s="85">
        <f t="shared" si="3"/>
        <v>33.96551724</v>
      </c>
      <c r="L84" s="85"/>
      <c r="M84" s="85">
        <f t="shared" si="4"/>
        <v>134.534</v>
      </c>
      <c r="N84" s="86">
        <f t="shared" si="6"/>
        <v>0.6975010369</v>
      </c>
      <c r="O84" s="86"/>
      <c r="P84" s="82"/>
    </row>
    <row r="85">
      <c r="A85" s="89" t="s">
        <v>2881</v>
      </c>
      <c r="B85" s="89" t="s">
        <v>2882</v>
      </c>
      <c r="C85" s="89"/>
      <c r="D85" s="85">
        <v>1999.0</v>
      </c>
      <c r="E85" s="86"/>
      <c r="F85" s="84">
        <f t="shared" si="1"/>
        <v>137.931</v>
      </c>
      <c r="G85" s="84"/>
      <c r="H85" s="85">
        <v>1490.85</v>
      </c>
      <c r="I85" s="86">
        <v>0.15</v>
      </c>
      <c r="J85" s="85">
        <f t="shared" si="2"/>
        <v>299.85</v>
      </c>
      <c r="K85" s="85">
        <f t="shared" si="3"/>
        <v>258.4913793</v>
      </c>
      <c r="L85" s="85"/>
      <c r="M85" s="85">
        <f t="shared" si="4"/>
        <v>70.369</v>
      </c>
      <c r="N85" s="86">
        <f t="shared" si="6"/>
        <v>0.04720059027</v>
      </c>
      <c r="O85" s="86"/>
      <c r="P85" s="82"/>
    </row>
    <row r="86">
      <c r="A86" s="89" t="s">
        <v>2883</v>
      </c>
      <c r="B86" s="89" t="s">
        <v>2884</v>
      </c>
      <c r="C86" s="89"/>
      <c r="D86" s="85">
        <v>999.0</v>
      </c>
      <c r="E86" s="86"/>
      <c r="F86" s="84">
        <f t="shared" si="1"/>
        <v>68.931</v>
      </c>
      <c r="G86" s="84"/>
      <c r="H86" s="85">
        <v>768.84</v>
      </c>
      <c r="I86" s="86">
        <v>0.15</v>
      </c>
      <c r="J86" s="85">
        <f t="shared" si="2"/>
        <v>149.85</v>
      </c>
      <c r="K86" s="85">
        <f t="shared" si="3"/>
        <v>129.1810345</v>
      </c>
      <c r="L86" s="85"/>
      <c r="M86" s="85">
        <f t="shared" si="4"/>
        <v>11.379</v>
      </c>
      <c r="N86" s="86">
        <f t="shared" si="6"/>
        <v>0.01480021851</v>
      </c>
      <c r="O86" s="86"/>
      <c r="P86" s="82"/>
    </row>
    <row r="87">
      <c r="A87" s="89" t="s">
        <v>2885</v>
      </c>
      <c r="B87" s="89" t="s">
        <v>2886</v>
      </c>
      <c r="C87" s="89"/>
      <c r="D87" s="85">
        <v>4399.0</v>
      </c>
      <c r="E87" s="86"/>
      <c r="F87" s="84">
        <f t="shared" si="1"/>
        <v>303.531</v>
      </c>
      <c r="G87" s="84"/>
      <c r="H87" s="85">
        <v>3548.93</v>
      </c>
      <c r="I87" s="86">
        <v>0.1</v>
      </c>
      <c r="J87" s="85">
        <f t="shared" si="2"/>
        <v>439.9</v>
      </c>
      <c r="K87" s="85">
        <f t="shared" si="3"/>
        <v>379.2241379</v>
      </c>
      <c r="L87" s="85"/>
      <c r="M87" s="85">
        <f t="shared" si="4"/>
        <v>106.639</v>
      </c>
      <c r="N87" s="86">
        <f t="shared" si="6"/>
        <v>0.03004821171</v>
      </c>
      <c r="O87" s="86"/>
      <c r="P87" s="82"/>
    </row>
    <row r="88">
      <c r="A88" s="89" t="s">
        <v>2887</v>
      </c>
      <c r="B88" s="89" t="s">
        <v>2888</v>
      </c>
      <c r="C88" s="89"/>
      <c r="D88" s="85">
        <v>1999.0</v>
      </c>
      <c r="E88" s="86"/>
      <c r="F88" s="84">
        <f t="shared" si="1"/>
        <v>137.931</v>
      </c>
      <c r="G88" s="84"/>
      <c r="H88" s="85">
        <v>1374.0</v>
      </c>
      <c r="I88" s="86">
        <v>0.1</v>
      </c>
      <c r="J88" s="85">
        <f t="shared" si="2"/>
        <v>199.9</v>
      </c>
      <c r="K88" s="85">
        <f t="shared" si="3"/>
        <v>172.3275862</v>
      </c>
      <c r="L88" s="85"/>
      <c r="M88" s="85">
        <f t="shared" si="4"/>
        <v>287.169</v>
      </c>
      <c r="N88" s="86">
        <f t="shared" si="6"/>
        <v>0.2090021834</v>
      </c>
      <c r="O88" s="86"/>
      <c r="P88" s="82"/>
    </row>
    <row r="89">
      <c r="A89" s="89" t="s">
        <v>2889</v>
      </c>
      <c r="B89" s="89" t="s">
        <v>2890</v>
      </c>
      <c r="C89" s="89"/>
      <c r="D89" s="85">
        <v>1799.0</v>
      </c>
      <c r="E89" s="86"/>
      <c r="F89" s="84">
        <f t="shared" si="1"/>
        <v>124.131</v>
      </c>
      <c r="G89" s="84"/>
      <c r="H89" s="85">
        <v>1374.0</v>
      </c>
      <c r="I89" s="86">
        <v>0.1</v>
      </c>
      <c r="J89" s="85">
        <f t="shared" si="2"/>
        <v>179.9</v>
      </c>
      <c r="K89" s="85">
        <f t="shared" si="3"/>
        <v>155.0862069</v>
      </c>
      <c r="L89" s="85"/>
      <c r="M89" s="85">
        <f t="shared" si="4"/>
        <v>120.969</v>
      </c>
      <c r="N89" s="86">
        <f t="shared" si="6"/>
        <v>0.08804148472</v>
      </c>
      <c r="O89" s="86"/>
      <c r="P89" s="82"/>
    </row>
    <row r="90">
      <c r="A90" s="89" t="s">
        <v>2891</v>
      </c>
      <c r="B90" s="89" t="s">
        <v>2892</v>
      </c>
      <c r="C90" s="89"/>
      <c r="D90" s="85">
        <v>799.0</v>
      </c>
      <c r="E90" s="86"/>
      <c r="F90" s="84">
        <f t="shared" si="1"/>
        <v>55.131</v>
      </c>
      <c r="G90" s="84"/>
      <c r="H90" s="85">
        <v>575.0</v>
      </c>
      <c r="I90" s="86">
        <v>0.1</v>
      </c>
      <c r="J90" s="85">
        <f t="shared" si="2"/>
        <v>79.9</v>
      </c>
      <c r="K90" s="85">
        <f t="shared" si="3"/>
        <v>68.87931034</v>
      </c>
      <c r="L90" s="85"/>
      <c r="M90" s="85">
        <f t="shared" si="4"/>
        <v>88.969</v>
      </c>
      <c r="N90" s="86">
        <f t="shared" si="6"/>
        <v>0.1547286957</v>
      </c>
      <c r="O90" s="86"/>
      <c r="P90" s="82"/>
    </row>
    <row r="91">
      <c r="A91" s="89" t="s">
        <v>2893</v>
      </c>
      <c r="B91" s="89" t="s">
        <v>2894</v>
      </c>
      <c r="C91" s="89"/>
      <c r="D91" s="85">
        <v>8629.0</v>
      </c>
      <c r="E91" s="86"/>
      <c r="F91" s="84">
        <f t="shared" si="1"/>
        <v>595.401</v>
      </c>
      <c r="G91" s="84"/>
      <c r="H91" s="85">
        <v>5924.8</v>
      </c>
      <c r="I91" s="86">
        <v>0.1</v>
      </c>
      <c r="J91" s="85">
        <f t="shared" si="2"/>
        <v>862.9</v>
      </c>
      <c r="K91" s="85">
        <f t="shared" si="3"/>
        <v>743.8793103</v>
      </c>
      <c r="L91" s="85"/>
      <c r="M91" s="85">
        <f t="shared" si="4"/>
        <v>1245.899</v>
      </c>
      <c r="N91" s="86">
        <f t="shared" si="6"/>
        <v>0.2102854105</v>
      </c>
      <c r="O91" s="86"/>
      <c r="P91" s="82"/>
    </row>
    <row r="92">
      <c r="A92" s="89" t="s">
        <v>2895</v>
      </c>
      <c r="B92" s="89" t="s">
        <v>2896</v>
      </c>
      <c r="C92" s="89"/>
      <c r="D92" s="85">
        <v>6500.0</v>
      </c>
      <c r="E92" s="86"/>
      <c r="F92" s="84">
        <f t="shared" si="1"/>
        <v>448.5</v>
      </c>
      <c r="G92" s="84"/>
      <c r="H92" s="85">
        <v>5262.81</v>
      </c>
      <c r="I92" s="86">
        <v>0.1</v>
      </c>
      <c r="J92" s="85">
        <f t="shared" si="2"/>
        <v>650</v>
      </c>
      <c r="K92" s="85">
        <f t="shared" si="3"/>
        <v>560.3448276</v>
      </c>
      <c r="L92" s="85"/>
      <c r="M92" s="85">
        <f t="shared" si="4"/>
        <v>138.69</v>
      </c>
      <c r="N92" s="86">
        <f t="shared" si="6"/>
        <v>0.02635284192</v>
      </c>
      <c r="O92" s="86"/>
      <c r="P92" s="82"/>
    </row>
    <row r="93">
      <c r="A93" s="89" t="s">
        <v>2897</v>
      </c>
      <c r="B93" s="89" t="s">
        <v>2898</v>
      </c>
      <c r="C93" s="89"/>
      <c r="D93" s="85">
        <v>799.0</v>
      </c>
      <c r="E93" s="86"/>
      <c r="F93" s="84">
        <f t="shared" si="1"/>
        <v>55.131</v>
      </c>
      <c r="G93" s="84"/>
      <c r="H93" s="85">
        <f>436.75*1.1</f>
        <v>480.425</v>
      </c>
      <c r="I93" s="86">
        <v>0.1</v>
      </c>
      <c r="J93" s="85">
        <f t="shared" si="2"/>
        <v>79.9</v>
      </c>
      <c r="K93" s="85">
        <f t="shared" si="3"/>
        <v>68.87931034</v>
      </c>
      <c r="L93" s="85"/>
      <c r="M93" s="85">
        <f t="shared" si="4"/>
        <v>183.544</v>
      </c>
      <c r="N93" s="86">
        <f t="shared" si="6"/>
        <v>0.3820450643</v>
      </c>
      <c r="O93" s="86"/>
      <c r="P93" s="82"/>
    </row>
    <row r="94">
      <c r="A94" s="81" t="s">
        <v>2899</v>
      </c>
      <c r="B94" s="89" t="s">
        <v>2900</v>
      </c>
      <c r="C94" s="89"/>
      <c r="D94" s="85">
        <v>1119.0</v>
      </c>
      <c r="E94" s="86"/>
      <c r="F94" s="84">
        <f t="shared" si="1"/>
        <v>77.211</v>
      </c>
      <c r="G94" s="84"/>
      <c r="H94" s="85">
        <v>840.16</v>
      </c>
      <c r="I94" s="86">
        <v>0.15</v>
      </c>
      <c r="J94" s="85">
        <f t="shared" si="2"/>
        <v>167.85</v>
      </c>
      <c r="K94" s="85">
        <f t="shared" si="3"/>
        <v>144.6982759</v>
      </c>
      <c r="L94" s="85"/>
      <c r="M94" s="85">
        <f t="shared" si="4"/>
        <v>33.779</v>
      </c>
      <c r="N94" s="86">
        <f t="shared" si="6"/>
        <v>0.04020543706</v>
      </c>
      <c r="O94" s="86"/>
      <c r="P94" s="82"/>
    </row>
    <row r="95">
      <c r="A95" s="81" t="s">
        <v>2901</v>
      </c>
      <c r="B95" s="89" t="s">
        <v>2902</v>
      </c>
      <c r="C95" s="89"/>
      <c r="D95" s="85">
        <v>1559.0</v>
      </c>
      <c r="E95" s="86"/>
      <c r="F95" s="84">
        <f t="shared" si="1"/>
        <v>107.571</v>
      </c>
      <c r="G95" s="84"/>
      <c r="H95" s="85">
        <v>1142.13</v>
      </c>
      <c r="I95" s="86">
        <v>0.16</v>
      </c>
      <c r="J95" s="85">
        <f t="shared" si="2"/>
        <v>249.44</v>
      </c>
      <c r="K95" s="85">
        <f t="shared" si="3"/>
        <v>215.0344828</v>
      </c>
      <c r="L95" s="85"/>
      <c r="M95" s="85">
        <f t="shared" si="4"/>
        <v>59.859</v>
      </c>
      <c r="N95" s="86">
        <f t="shared" si="6"/>
        <v>0.05240997084</v>
      </c>
      <c r="O95" s="86"/>
      <c r="P95" s="82"/>
    </row>
    <row r="96">
      <c r="A96" s="89" t="s">
        <v>2903</v>
      </c>
      <c r="B96" s="89" t="s">
        <v>2904</v>
      </c>
      <c r="C96" s="89"/>
      <c r="D96" s="85">
        <v>1080.0</v>
      </c>
      <c r="E96" s="86"/>
      <c r="F96" s="84">
        <f t="shared" si="1"/>
        <v>74.52</v>
      </c>
      <c r="G96" s="84"/>
      <c r="H96" s="85">
        <v>764.63</v>
      </c>
      <c r="I96" s="86">
        <v>0.15</v>
      </c>
      <c r="J96" s="85">
        <f t="shared" si="2"/>
        <v>162</v>
      </c>
      <c r="K96" s="85">
        <f t="shared" si="3"/>
        <v>139.6551724</v>
      </c>
      <c r="L96" s="85"/>
      <c r="M96" s="85">
        <f t="shared" si="4"/>
        <v>78.85</v>
      </c>
      <c r="N96" s="86">
        <f t="shared" si="6"/>
        <v>0.1031217713</v>
      </c>
      <c r="O96" s="86"/>
      <c r="P96" s="82"/>
    </row>
    <row r="97">
      <c r="A97" s="89" t="s">
        <v>2905</v>
      </c>
      <c r="B97" s="89" t="s">
        <v>2906</v>
      </c>
      <c r="C97" s="89"/>
      <c r="D97" s="85">
        <v>987.0</v>
      </c>
      <c r="E97" s="86"/>
      <c r="F97" s="84">
        <f t="shared" si="1"/>
        <v>68.103</v>
      </c>
      <c r="G97" s="84"/>
      <c r="H97" s="85">
        <v>641.37</v>
      </c>
      <c r="I97" s="86">
        <v>0.15</v>
      </c>
      <c r="J97" s="85">
        <f t="shared" si="2"/>
        <v>148.05</v>
      </c>
      <c r="K97" s="85">
        <f t="shared" si="3"/>
        <v>127.6293103</v>
      </c>
      <c r="L97" s="85"/>
      <c r="M97" s="85">
        <f t="shared" si="4"/>
        <v>129.477</v>
      </c>
      <c r="N97" s="86">
        <f t="shared" si="6"/>
        <v>0.2018756724</v>
      </c>
      <c r="O97" s="86"/>
      <c r="P97" s="82"/>
    </row>
    <row r="98">
      <c r="A98" s="89" t="s">
        <v>2907</v>
      </c>
      <c r="B98" s="89" t="s">
        <v>2908</v>
      </c>
      <c r="C98" s="89"/>
      <c r="D98" s="85">
        <v>835.0</v>
      </c>
      <c r="E98" s="86"/>
      <c r="F98" s="84">
        <f t="shared" si="1"/>
        <v>57.615</v>
      </c>
      <c r="G98" s="84"/>
      <c r="H98" s="85">
        <v>524.09</v>
      </c>
      <c r="I98" s="86">
        <v>0.15</v>
      </c>
      <c r="J98" s="85">
        <f t="shared" si="2"/>
        <v>125.25</v>
      </c>
      <c r="K98" s="85">
        <f t="shared" si="3"/>
        <v>107.9741379</v>
      </c>
      <c r="L98" s="85"/>
      <c r="M98" s="85">
        <f t="shared" si="4"/>
        <v>128.045</v>
      </c>
      <c r="N98" s="86">
        <f t="shared" si="6"/>
        <v>0.2443187239</v>
      </c>
      <c r="O98" s="86"/>
      <c r="P98" s="82"/>
    </row>
    <row r="99">
      <c r="A99" s="89" t="s">
        <v>2909</v>
      </c>
      <c r="B99" s="89" t="s">
        <v>2910</v>
      </c>
      <c r="C99" s="89"/>
      <c r="D99" s="85">
        <v>899.0</v>
      </c>
      <c r="E99" s="86"/>
      <c r="F99" s="84">
        <f t="shared" si="1"/>
        <v>62.031</v>
      </c>
      <c r="G99" s="84"/>
      <c r="H99" s="85">
        <v>590.0</v>
      </c>
      <c r="I99" s="86">
        <v>0.15</v>
      </c>
      <c r="J99" s="85">
        <f t="shared" si="2"/>
        <v>134.85</v>
      </c>
      <c r="K99" s="85">
        <f t="shared" si="3"/>
        <v>116.25</v>
      </c>
      <c r="L99" s="85"/>
      <c r="M99" s="85">
        <f t="shared" si="4"/>
        <v>112.119</v>
      </c>
      <c r="N99" s="86">
        <f t="shared" si="6"/>
        <v>0.1900322034</v>
      </c>
      <c r="O99" s="86"/>
      <c r="P99" s="82"/>
    </row>
    <row r="100">
      <c r="A100" s="89" t="s">
        <v>2911</v>
      </c>
      <c r="B100" s="89" t="s">
        <v>2912</v>
      </c>
      <c r="C100" s="89"/>
      <c r="D100" s="85">
        <v>899.0</v>
      </c>
      <c r="E100" s="86"/>
      <c r="F100" s="84">
        <f t="shared" si="1"/>
        <v>62.031</v>
      </c>
      <c r="G100" s="84"/>
      <c r="H100" s="85">
        <v>623.09</v>
      </c>
      <c r="I100" s="86">
        <v>0.15</v>
      </c>
      <c r="J100" s="85">
        <f t="shared" si="2"/>
        <v>134.85</v>
      </c>
      <c r="K100" s="85">
        <f t="shared" si="3"/>
        <v>116.25</v>
      </c>
      <c r="L100" s="85"/>
      <c r="M100" s="85">
        <f t="shared" si="4"/>
        <v>79.029</v>
      </c>
      <c r="N100" s="86">
        <f t="shared" si="6"/>
        <v>0.1268340047</v>
      </c>
      <c r="O100" s="86"/>
      <c r="P100" s="82"/>
    </row>
    <row r="101">
      <c r="A101" s="89"/>
      <c r="B101" s="89" t="s">
        <v>2913</v>
      </c>
      <c r="C101" s="89"/>
      <c r="D101" s="82">
        <v>609.0</v>
      </c>
      <c r="E101" s="86"/>
      <c r="F101" s="84">
        <f t="shared" si="1"/>
        <v>42.021</v>
      </c>
      <c r="G101" s="84"/>
      <c r="H101" s="85">
        <v>623.09</v>
      </c>
      <c r="I101" s="86">
        <v>0.15</v>
      </c>
      <c r="J101" s="85">
        <f t="shared" si="2"/>
        <v>91.35</v>
      </c>
      <c r="K101" s="85">
        <f t="shared" si="3"/>
        <v>78.75</v>
      </c>
      <c r="L101" s="85"/>
      <c r="M101" s="85">
        <f t="shared" si="4"/>
        <v>-147.461</v>
      </c>
      <c r="N101" s="86">
        <f t="shared" si="6"/>
        <v>-0.2366608355</v>
      </c>
      <c r="O101" s="86"/>
      <c r="P101" s="82"/>
    </row>
    <row r="102">
      <c r="A102" s="89"/>
      <c r="B102" s="89" t="s">
        <v>2914</v>
      </c>
      <c r="C102" s="89"/>
      <c r="D102" s="85">
        <v>899.0</v>
      </c>
      <c r="E102" s="86"/>
      <c r="F102" s="84">
        <f t="shared" si="1"/>
        <v>62.031</v>
      </c>
      <c r="G102" s="84"/>
      <c r="H102" s="85">
        <v>623.09</v>
      </c>
      <c r="I102" s="86">
        <v>0.15</v>
      </c>
      <c r="J102" s="85">
        <f t="shared" si="2"/>
        <v>134.85</v>
      </c>
      <c r="K102" s="85">
        <f t="shared" si="3"/>
        <v>116.25</v>
      </c>
      <c r="L102" s="85"/>
      <c r="M102" s="85">
        <f t="shared" si="4"/>
        <v>79.029</v>
      </c>
      <c r="N102" s="86">
        <f t="shared" si="6"/>
        <v>0.1268340047</v>
      </c>
      <c r="O102" s="86"/>
      <c r="P102" s="82"/>
    </row>
    <row r="103">
      <c r="A103" s="89" t="s">
        <v>2915</v>
      </c>
      <c r="B103" s="89" t="s">
        <v>2916</v>
      </c>
      <c r="C103" s="89"/>
      <c r="D103" s="85">
        <v>13749.0</v>
      </c>
      <c r="E103" s="86"/>
      <c r="F103" s="84">
        <f t="shared" si="1"/>
        <v>948.681</v>
      </c>
      <c r="G103" s="84"/>
      <c r="H103" s="85">
        <v>11423.99</v>
      </c>
      <c r="I103" s="86">
        <v>0.15</v>
      </c>
      <c r="J103" s="85">
        <f t="shared" si="2"/>
        <v>2062.35</v>
      </c>
      <c r="K103" s="85">
        <f t="shared" si="3"/>
        <v>1777.887931</v>
      </c>
      <c r="L103" s="85"/>
      <c r="M103" s="85">
        <f t="shared" si="4"/>
        <v>-686.021</v>
      </c>
      <c r="N103" s="86">
        <f t="shared" si="6"/>
        <v>-0.06005091041</v>
      </c>
      <c r="O103" s="86"/>
      <c r="P103" s="82"/>
    </row>
    <row r="104">
      <c r="A104" s="89" t="s">
        <v>311</v>
      </c>
      <c r="B104" s="89" t="s">
        <v>2917</v>
      </c>
      <c r="C104" s="89"/>
      <c r="D104" s="82">
        <v>1399.0</v>
      </c>
      <c r="E104" s="83"/>
      <c r="F104" s="84">
        <f t="shared" si="1"/>
        <v>96.531</v>
      </c>
      <c r="G104" s="84"/>
      <c r="H104" s="85">
        <v>919.35</v>
      </c>
      <c r="I104" s="86">
        <v>0.15</v>
      </c>
      <c r="J104" s="85">
        <f t="shared" si="2"/>
        <v>209.85</v>
      </c>
      <c r="K104" s="85">
        <f t="shared" si="3"/>
        <v>180.9051724</v>
      </c>
      <c r="L104" s="82">
        <v>129.0</v>
      </c>
      <c r="M104" s="85">
        <f t="shared" si="4"/>
        <v>44.269</v>
      </c>
      <c r="N104" s="86">
        <f t="shared" si="6"/>
        <v>0.04815249905</v>
      </c>
      <c r="O104" s="86"/>
      <c r="P104" s="82"/>
    </row>
    <row r="105">
      <c r="A105" s="89" t="s">
        <v>2918</v>
      </c>
      <c r="B105" s="89" t="s">
        <v>2919</v>
      </c>
      <c r="C105" s="89"/>
      <c r="D105" s="85">
        <v>1149.0</v>
      </c>
      <c r="E105" s="86"/>
      <c r="F105" s="84">
        <f t="shared" si="1"/>
        <v>79.281</v>
      </c>
      <c r="G105" s="84"/>
      <c r="H105" s="85">
        <v>815.4</v>
      </c>
      <c r="I105" s="86">
        <v>0.15</v>
      </c>
      <c r="J105" s="85">
        <f t="shared" si="2"/>
        <v>172.35</v>
      </c>
      <c r="K105" s="85">
        <f t="shared" si="3"/>
        <v>148.5775862</v>
      </c>
      <c r="L105" s="85"/>
      <c r="M105" s="85">
        <f t="shared" si="4"/>
        <v>81.969</v>
      </c>
      <c r="N105" s="86">
        <f t="shared" si="6"/>
        <v>0.1005261221</v>
      </c>
      <c r="O105" s="86"/>
      <c r="P105" s="82"/>
    </row>
    <row r="106">
      <c r="A106" s="89" t="s">
        <v>2920</v>
      </c>
      <c r="B106" s="89" t="s">
        <v>2921</v>
      </c>
      <c r="C106" s="89"/>
      <c r="D106" s="82">
        <v>299.0</v>
      </c>
      <c r="E106" s="86"/>
      <c r="F106" s="84">
        <f t="shared" si="1"/>
        <v>20.631</v>
      </c>
      <c r="G106" s="84"/>
      <c r="H106" s="82">
        <v>150.0</v>
      </c>
      <c r="I106" s="86">
        <v>0.15</v>
      </c>
      <c r="J106" s="85">
        <f t="shared" si="2"/>
        <v>44.85</v>
      </c>
      <c r="K106" s="85">
        <f t="shared" si="3"/>
        <v>38.6637931</v>
      </c>
      <c r="L106" s="82">
        <v>69.0</v>
      </c>
      <c r="M106" s="85">
        <f t="shared" si="4"/>
        <v>14.519</v>
      </c>
      <c r="N106" s="86">
        <f t="shared" si="6"/>
        <v>0.09679333333</v>
      </c>
      <c r="O106" s="86"/>
      <c r="P106" s="82"/>
    </row>
    <row r="107">
      <c r="A107" s="89"/>
      <c r="B107" s="89" t="s">
        <v>2922</v>
      </c>
      <c r="C107" s="89"/>
      <c r="D107" s="85">
        <v>1698.0</v>
      </c>
      <c r="E107" s="86"/>
      <c r="F107" s="84">
        <f t="shared" si="1"/>
        <v>117.162</v>
      </c>
      <c r="G107" s="84"/>
      <c r="H107" s="85">
        <v>1183.46</v>
      </c>
      <c r="I107" s="86">
        <v>0.15</v>
      </c>
      <c r="J107" s="85">
        <f t="shared" si="2"/>
        <v>254.7</v>
      </c>
      <c r="K107" s="85">
        <f t="shared" si="3"/>
        <v>219.5689655</v>
      </c>
      <c r="L107" s="85"/>
      <c r="M107" s="85">
        <f t="shared" si="4"/>
        <v>142.678</v>
      </c>
      <c r="N107" s="86">
        <f t="shared" si="6"/>
        <v>0.1205600527</v>
      </c>
      <c r="O107" s="86"/>
      <c r="P107" s="82"/>
    </row>
    <row r="108">
      <c r="A108" s="89"/>
      <c r="B108" s="89" t="s">
        <v>2923</v>
      </c>
      <c r="C108" s="89"/>
      <c r="D108" s="85">
        <v>950.0</v>
      </c>
      <c r="E108" s="86"/>
      <c r="F108" s="84">
        <f t="shared" si="1"/>
        <v>65.55</v>
      </c>
      <c r="G108" s="84"/>
      <c r="H108" s="85">
        <v>719.21</v>
      </c>
      <c r="I108" s="86">
        <v>0.1</v>
      </c>
      <c r="J108" s="85">
        <f t="shared" si="2"/>
        <v>95</v>
      </c>
      <c r="K108" s="85">
        <f t="shared" si="3"/>
        <v>81.89655172</v>
      </c>
      <c r="L108" s="85"/>
      <c r="M108" s="85">
        <f t="shared" si="4"/>
        <v>70.24</v>
      </c>
      <c r="N108" s="86">
        <f t="shared" si="6"/>
        <v>0.09766271325</v>
      </c>
      <c r="O108" s="86"/>
      <c r="P108" s="82"/>
    </row>
    <row r="109">
      <c r="A109" s="89" t="s">
        <v>2924</v>
      </c>
      <c r="B109" s="89" t="s">
        <v>2925</v>
      </c>
      <c r="C109" s="89"/>
      <c r="D109" s="85">
        <v>1920.0</v>
      </c>
      <c r="E109" s="86"/>
      <c r="F109" s="84">
        <f t="shared" si="1"/>
        <v>132.48</v>
      </c>
      <c r="G109" s="84"/>
      <c r="H109" s="85">
        <v>1500.01</v>
      </c>
      <c r="I109" s="86">
        <v>0.1</v>
      </c>
      <c r="J109" s="85">
        <f t="shared" si="2"/>
        <v>192</v>
      </c>
      <c r="K109" s="85">
        <f t="shared" si="3"/>
        <v>165.5172414</v>
      </c>
      <c r="L109" s="85"/>
      <c r="M109" s="85">
        <f t="shared" si="4"/>
        <v>95.51</v>
      </c>
      <c r="N109" s="86">
        <f t="shared" si="6"/>
        <v>0.06367290885</v>
      </c>
      <c r="O109" s="86"/>
      <c r="P109" s="82"/>
    </row>
    <row r="110">
      <c r="A110" s="89"/>
      <c r="B110" s="89"/>
      <c r="C110" s="89"/>
      <c r="D110" s="87"/>
      <c r="E110" s="86"/>
      <c r="F110" s="84">
        <f t="shared" si="1"/>
        <v>0</v>
      </c>
      <c r="G110" s="84"/>
      <c r="H110" s="87"/>
      <c r="I110" s="86">
        <v>0.1</v>
      </c>
      <c r="J110" s="85">
        <f t="shared" si="2"/>
        <v>0</v>
      </c>
      <c r="K110" s="85">
        <f t="shared" si="3"/>
        <v>0</v>
      </c>
      <c r="L110" s="87"/>
      <c r="M110" s="85">
        <f t="shared" si="4"/>
        <v>0</v>
      </c>
      <c r="N110" s="93"/>
      <c r="O110" s="93"/>
      <c r="P110" s="82"/>
    </row>
    <row r="111">
      <c r="A111" s="89" t="s">
        <v>2926</v>
      </c>
      <c r="B111" s="89" t="s">
        <v>2927</v>
      </c>
      <c r="C111" s="89"/>
      <c r="D111" s="85">
        <v>1039.0</v>
      </c>
      <c r="E111" s="86"/>
      <c r="F111" s="84">
        <f t="shared" si="1"/>
        <v>71.691</v>
      </c>
      <c r="G111" s="84"/>
      <c r="H111" s="85">
        <v>766.62</v>
      </c>
      <c r="I111" s="86">
        <v>0.1</v>
      </c>
      <c r="J111" s="85">
        <f t="shared" si="2"/>
        <v>103.9</v>
      </c>
      <c r="K111" s="85">
        <f t="shared" si="3"/>
        <v>89.56896552</v>
      </c>
      <c r="L111" s="85"/>
      <c r="M111" s="85">
        <f t="shared" si="4"/>
        <v>96.789</v>
      </c>
      <c r="N111" s="86">
        <f t="shared" ref="N111:N353" si="7">M111/H111</f>
        <v>0.1262542068</v>
      </c>
      <c r="O111" s="86"/>
      <c r="P111" s="82"/>
    </row>
    <row r="112">
      <c r="A112" s="89" t="s">
        <v>2928</v>
      </c>
      <c r="B112" s="89" t="s">
        <v>2929</v>
      </c>
      <c r="C112" s="89"/>
      <c r="D112" s="85">
        <v>1999.0</v>
      </c>
      <c r="E112" s="86"/>
      <c r="F112" s="84">
        <f t="shared" si="1"/>
        <v>137.931</v>
      </c>
      <c r="G112" s="84"/>
      <c r="H112" s="85">
        <v>1499.97</v>
      </c>
      <c r="I112" s="86">
        <v>0.1</v>
      </c>
      <c r="J112" s="85">
        <f t="shared" si="2"/>
        <v>199.9</v>
      </c>
      <c r="K112" s="85">
        <f t="shared" si="3"/>
        <v>172.3275862</v>
      </c>
      <c r="L112" s="85"/>
      <c r="M112" s="85">
        <f t="shared" si="4"/>
        <v>161.199</v>
      </c>
      <c r="N112" s="86">
        <f t="shared" si="7"/>
        <v>0.1074681494</v>
      </c>
      <c r="O112" s="86"/>
      <c r="P112" s="82"/>
    </row>
    <row r="113">
      <c r="A113" s="89" t="s">
        <v>2930</v>
      </c>
      <c r="B113" s="89" t="s">
        <v>2931</v>
      </c>
      <c r="C113" s="89"/>
      <c r="D113" s="85">
        <v>1299.0</v>
      </c>
      <c r="E113" s="86"/>
      <c r="F113" s="84">
        <f t="shared" si="1"/>
        <v>89.631</v>
      </c>
      <c r="G113" s="84"/>
      <c r="H113" s="85">
        <v>886.31</v>
      </c>
      <c r="I113" s="86">
        <v>0.1</v>
      </c>
      <c r="J113" s="85">
        <f t="shared" si="2"/>
        <v>129.9</v>
      </c>
      <c r="K113" s="85">
        <f t="shared" si="3"/>
        <v>111.9827586</v>
      </c>
      <c r="L113" s="85"/>
      <c r="M113" s="85">
        <f t="shared" si="4"/>
        <v>193.159</v>
      </c>
      <c r="N113" s="86">
        <f t="shared" si="7"/>
        <v>0.2179361623</v>
      </c>
      <c r="O113" s="86"/>
      <c r="P113" s="82"/>
    </row>
    <row r="114">
      <c r="A114" s="89" t="s">
        <v>2932</v>
      </c>
      <c r="B114" s="89" t="s">
        <v>2933</v>
      </c>
      <c r="C114" s="89"/>
      <c r="D114" s="82">
        <v>449.0</v>
      </c>
      <c r="E114" s="83"/>
      <c r="F114" s="84">
        <f t="shared" si="1"/>
        <v>30.981</v>
      </c>
      <c r="G114" s="84"/>
      <c r="H114" s="82">
        <v>304.0</v>
      </c>
      <c r="I114" s="91">
        <v>0.1</v>
      </c>
      <c r="J114" s="85">
        <f t="shared" si="2"/>
        <v>44.9</v>
      </c>
      <c r="K114" s="85">
        <f t="shared" si="3"/>
        <v>38.70689655</v>
      </c>
      <c r="L114" s="82">
        <v>63.2</v>
      </c>
      <c r="M114" s="85">
        <f t="shared" si="4"/>
        <v>5.919</v>
      </c>
      <c r="N114" s="86">
        <f t="shared" si="7"/>
        <v>0.01947039474</v>
      </c>
      <c r="O114" s="86"/>
      <c r="P114" s="82"/>
    </row>
    <row r="115">
      <c r="A115" s="89" t="s">
        <v>2934</v>
      </c>
      <c r="B115" s="89" t="s">
        <v>2935</v>
      </c>
      <c r="C115" s="89"/>
      <c r="D115" s="85">
        <v>539.0</v>
      </c>
      <c r="E115" s="86"/>
      <c r="F115" s="84">
        <f t="shared" si="1"/>
        <v>37.191</v>
      </c>
      <c r="G115" s="84"/>
      <c r="H115" s="85">
        <v>344.21</v>
      </c>
      <c r="I115" s="86">
        <v>0.15</v>
      </c>
      <c r="J115" s="85">
        <f t="shared" si="2"/>
        <v>80.85</v>
      </c>
      <c r="K115" s="85">
        <f t="shared" si="3"/>
        <v>69.69827586</v>
      </c>
      <c r="L115" s="85"/>
      <c r="M115" s="85">
        <f t="shared" si="4"/>
        <v>76.749</v>
      </c>
      <c r="N115" s="86">
        <f t="shared" si="7"/>
        <v>0.2229714419</v>
      </c>
      <c r="O115" s="86"/>
      <c r="P115" s="82"/>
    </row>
    <row r="116">
      <c r="A116" s="89" t="s">
        <v>2936</v>
      </c>
      <c r="B116" s="89" t="s">
        <v>2937</v>
      </c>
      <c r="C116" s="89"/>
      <c r="D116" s="85">
        <v>1699.0</v>
      </c>
      <c r="E116" s="86"/>
      <c r="F116" s="84">
        <f t="shared" si="1"/>
        <v>117.231</v>
      </c>
      <c r="G116" s="84"/>
      <c r="H116" s="85">
        <v>1289.29</v>
      </c>
      <c r="I116" s="86">
        <v>0.16</v>
      </c>
      <c r="J116" s="85">
        <f t="shared" si="2"/>
        <v>271.84</v>
      </c>
      <c r="K116" s="85">
        <f t="shared" si="3"/>
        <v>234.3448276</v>
      </c>
      <c r="L116" s="85"/>
      <c r="M116" s="85">
        <f t="shared" si="4"/>
        <v>20.639</v>
      </c>
      <c r="N116" s="86">
        <f t="shared" si="7"/>
        <v>0.01600803543</v>
      </c>
      <c r="O116" s="86"/>
      <c r="P116" s="82"/>
    </row>
    <row r="117">
      <c r="A117" s="89" t="s">
        <v>2938</v>
      </c>
      <c r="B117" s="89" t="s">
        <v>2939</v>
      </c>
      <c r="C117" s="89"/>
      <c r="D117" s="85">
        <v>1192.0</v>
      </c>
      <c r="E117" s="86"/>
      <c r="F117" s="84">
        <f t="shared" si="1"/>
        <v>82.248</v>
      </c>
      <c r="G117" s="84"/>
      <c r="H117" s="85">
        <v>895.0</v>
      </c>
      <c r="I117" s="86">
        <v>0.1</v>
      </c>
      <c r="J117" s="85">
        <f t="shared" si="2"/>
        <v>119.2</v>
      </c>
      <c r="K117" s="85">
        <f t="shared" si="3"/>
        <v>102.7586207</v>
      </c>
      <c r="L117" s="85"/>
      <c r="M117" s="85">
        <f t="shared" si="4"/>
        <v>95.552</v>
      </c>
      <c r="N117" s="86">
        <f t="shared" si="7"/>
        <v>0.1067620112</v>
      </c>
      <c r="O117" s="86"/>
      <c r="P117" s="82"/>
    </row>
    <row r="118">
      <c r="A118" s="89" t="s">
        <v>2940</v>
      </c>
      <c r="B118" s="89" t="s">
        <v>2941</v>
      </c>
      <c r="C118" s="89"/>
      <c r="D118" s="85">
        <v>2499.0</v>
      </c>
      <c r="E118" s="83"/>
      <c r="F118" s="84">
        <f t="shared" si="1"/>
        <v>172.431</v>
      </c>
      <c r="G118" s="84"/>
      <c r="H118" s="85">
        <v>1260.0</v>
      </c>
      <c r="I118" s="86">
        <v>0.15</v>
      </c>
      <c r="J118" s="85">
        <f t="shared" si="2"/>
        <v>374.85</v>
      </c>
      <c r="K118" s="85">
        <f t="shared" si="3"/>
        <v>323.1465517</v>
      </c>
      <c r="L118" s="85"/>
      <c r="M118" s="85">
        <f t="shared" si="4"/>
        <v>691.719</v>
      </c>
      <c r="N118" s="86">
        <f t="shared" si="7"/>
        <v>0.5489833333</v>
      </c>
      <c r="O118" s="86"/>
      <c r="P118" s="82"/>
    </row>
    <row r="119">
      <c r="A119" s="89" t="s">
        <v>2942</v>
      </c>
      <c r="B119" s="89" t="s">
        <v>2943</v>
      </c>
      <c r="C119" s="89"/>
      <c r="D119" s="85">
        <v>2799.0</v>
      </c>
      <c r="E119" s="86"/>
      <c r="F119" s="84">
        <f t="shared" si="1"/>
        <v>193.131</v>
      </c>
      <c r="G119" s="84"/>
      <c r="H119" s="85">
        <v>1260.0</v>
      </c>
      <c r="I119" s="91">
        <v>0.16</v>
      </c>
      <c r="J119" s="85">
        <f t="shared" si="2"/>
        <v>447.84</v>
      </c>
      <c r="K119" s="85">
        <f t="shared" si="3"/>
        <v>386.0689655</v>
      </c>
      <c r="L119" s="85"/>
      <c r="M119" s="85">
        <f t="shared" si="4"/>
        <v>898.029</v>
      </c>
      <c r="N119" s="86">
        <f t="shared" si="7"/>
        <v>0.7127214286</v>
      </c>
      <c r="O119" s="86"/>
      <c r="P119" s="82"/>
    </row>
    <row r="120">
      <c r="A120" s="89" t="s">
        <v>2944</v>
      </c>
      <c r="B120" s="89" t="s">
        <v>2945</v>
      </c>
      <c r="C120" s="89"/>
      <c r="D120" s="85">
        <v>1249.0</v>
      </c>
      <c r="E120" s="86"/>
      <c r="F120" s="84">
        <f t="shared" si="1"/>
        <v>86.181</v>
      </c>
      <c r="G120" s="84"/>
      <c r="H120" s="85">
        <v>782.32</v>
      </c>
      <c r="I120" s="86">
        <v>0.15</v>
      </c>
      <c r="J120" s="85">
        <f t="shared" si="2"/>
        <v>187.35</v>
      </c>
      <c r="K120" s="85">
        <f t="shared" si="3"/>
        <v>161.5086207</v>
      </c>
      <c r="L120" s="85"/>
      <c r="M120" s="85">
        <f t="shared" si="4"/>
        <v>193.149</v>
      </c>
      <c r="N120" s="86">
        <f t="shared" si="7"/>
        <v>0.2468925759</v>
      </c>
      <c r="O120" s="86"/>
      <c r="P120" s="82"/>
    </row>
    <row r="121">
      <c r="A121" s="89" t="s">
        <v>2946</v>
      </c>
      <c r="B121" s="89" t="s">
        <v>2947</v>
      </c>
      <c r="C121" s="89"/>
      <c r="D121" s="85">
        <v>680.0</v>
      </c>
      <c r="E121" s="86"/>
      <c r="F121" s="84">
        <f t="shared" si="1"/>
        <v>46.92</v>
      </c>
      <c r="G121" s="84"/>
      <c r="H121" s="85">
        <v>465.03</v>
      </c>
      <c r="I121" s="86">
        <v>0.12</v>
      </c>
      <c r="J121" s="85">
        <f t="shared" si="2"/>
        <v>81.6</v>
      </c>
      <c r="K121" s="85">
        <f t="shared" si="3"/>
        <v>70.34482759</v>
      </c>
      <c r="L121" s="85"/>
      <c r="M121" s="85">
        <f t="shared" si="4"/>
        <v>86.45</v>
      </c>
      <c r="N121" s="86">
        <f t="shared" si="7"/>
        <v>0.1859019848</v>
      </c>
      <c r="O121" s="86"/>
      <c r="P121" s="82"/>
    </row>
    <row r="122">
      <c r="A122" s="89" t="s">
        <v>2948</v>
      </c>
      <c r="B122" s="89" t="s">
        <v>2949</v>
      </c>
      <c r="C122" s="89"/>
      <c r="D122" s="85">
        <v>2899.0</v>
      </c>
      <c r="E122" s="86"/>
      <c r="F122" s="84">
        <f t="shared" si="1"/>
        <v>200.031</v>
      </c>
      <c r="G122" s="84"/>
      <c r="H122" s="85" t="str">
        <f>2499.96-209.93</f>
        <v>#ERROR!</v>
      </c>
      <c r="I122" s="86">
        <v>0.1</v>
      </c>
      <c r="J122" s="85">
        <f t="shared" si="2"/>
        <v>289.9</v>
      </c>
      <c r="K122" s="85">
        <f t="shared" si="3"/>
        <v>249.9137931</v>
      </c>
      <c r="L122" s="85"/>
      <c r="M122" s="85" t="str">
        <f t="shared" si="4"/>
        <v>#ERROR!</v>
      </c>
      <c r="N122" s="86" t="str">
        <f t="shared" si="7"/>
        <v>#ERROR!</v>
      </c>
      <c r="O122" s="86"/>
      <c r="P122" s="82"/>
    </row>
    <row r="123">
      <c r="A123" s="89" t="s">
        <v>2950</v>
      </c>
      <c r="B123" s="89" t="s">
        <v>2951</v>
      </c>
      <c r="C123" s="89"/>
      <c r="D123" s="85">
        <v>1999.0</v>
      </c>
      <c r="E123" s="86"/>
      <c r="F123" s="84">
        <f t="shared" si="1"/>
        <v>137.931</v>
      </c>
      <c r="G123" s="84"/>
      <c r="H123" s="85" t="str">
        <f>1871.68- 371.68</f>
        <v>#ERROR!</v>
      </c>
      <c r="I123" s="86">
        <v>0.13</v>
      </c>
      <c r="J123" s="85">
        <f t="shared" si="2"/>
        <v>259.87</v>
      </c>
      <c r="K123" s="85">
        <f t="shared" si="3"/>
        <v>224.0258621</v>
      </c>
      <c r="L123" s="85"/>
      <c r="M123" s="85" t="str">
        <f t="shared" si="4"/>
        <v>#ERROR!</v>
      </c>
      <c r="N123" s="86" t="str">
        <f t="shared" si="7"/>
        <v>#ERROR!</v>
      </c>
      <c r="O123" s="86"/>
      <c r="P123" s="82"/>
    </row>
    <row r="124">
      <c r="A124" s="89" t="s">
        <v>2952</v>
      </c>
      <c r="B124" s="89" t="s">
        <v>2953</v>
      </c>
      <c r="C124" s="89"/>
      <c r="D124" s="85">
        <v>793.0</v>
      </c>
      <c r="E124" s="86"/>
      <c r="F124" s="84">
        <f t="shared" si="1"/>
        <v>54.717</v>
      </c>
      <c r="G124" s="84"/>
      <c r="H124" s="85">
        <v>568.21</v>
      </c>
      <c r="I124" s="86">
        <v>0.1</v>
      </c>
      <c r="J124" s="85">
        <f t="shared" si="2"/>
        <v>79.3</v>
      </c>
      <c r="K124" s="85">
        <f t="shared" si="3"/>
        <v>68.36206897</v>
      </c>
      <c r="L124" s="85"/>
      <c r="M124" s="85">
        <f t="shared" si="4"/>
        <v>90.773</v>
      </c>
      <c r="N124" s="86">
        <f t="shared" si="7"/>
        <v>0.1597525563</v>
      </c>
      <c r="O124" s="86"/>
      <c r="P124" s="82"/>
    </row>
    <row r="125">
      <c r="A125" s="89" t="s">
        <v>2954</v>
      </c>
      <c r="B125" s="89" t="s">
        <v>2955</v>
      </c>
      <c r="C125" s="89"/>
      <c r="D125" s="85">
        <v>999.0</v>
      </c>
      <c r="E125" s="86"/>
      <c r="F125" s="84">
        <f t="shared" si="1"/>
        <v>68.931</v>
      </c>
      <c r="G125" s="84"/>
      <c r="H125" s="85">
        <v>737.84</v>
      </c>
      <c r="I125" s="86">
        <v>0.1</v>
      </c>
      <c r="J125" s="85">
        <f t="shared" si="2"/>
        <v>99.9</v>
      </c>
      <c r="K125" s="85">
        <f t="shared" si="3"/>
        <v>86.12068966</v>
      </c>
      <c r="L125" s="85"/>
      <c r="M125" s="85">
        <f t="shared" si="4"/>
        <v>92.329</v>
      </c>
      <c r="N125" s="86">
        <f t="shared" si="7"/>
        <v>0.1251341754</v>
      </c>
      <c r="O125" s="86"/>
      <c r="P125" s="82"/>
    </row>
    <row r="126">
      <c r="A126" s="89" t="s">
        <v>2956</v>
      </c>
      <c r="B126" s="89" t="s">
        <v>2957</v>
      </c>
      <c r="C126" s="89"/>
      <c r="D126" s="85">
        <v>1929.0</v>
      </c>
      <c r="E126" s="86"/>
      <c r="F126" s="84">
        <f t="shared" si="1"/>
        <v>133.101</v>
      </c>
      <c r="G126" s="84"/>
      <c r="H126" s="85">
        <v>1513.5</v>
      </c>
      <c r="I126" s="86">
        <v>0.1</v>
      </c>
      <c r="J126" s="85">
        <f t="shared" si="2"/>
        <v>192.9</v>
      </c>
      <c r="K126" s="85">
        <f t="shared" si="3"/>
        <v>166.2931034</v>
      </c>
      <c r="L126" s="85"/>
      <c r="M126" s="85">
        <f t="shared" si="4"/>
        <v>89.499</v>
      </c>
      <c r="N126" s="86">
        <f t="shared" si="7"/>
        <v>0.05913379584</v>
      </c>
      <c r="O126" s="86"/>
      <c r="P126" s="82"/>
    </row>
    <row r="127">
      <c r="A127" s="89" t="s">
        <v>2958</v>
      </c>
      <c r="B127" s="89" t="s">
        <v>2925</v>
      </c>
      <c r="C127" s="89"/>
      <c r="D127" s="85">
        <v>1992.0</v>
      </c>
      <c r="E127" s="86"/>
      <c r="F127" s="84">
        <f t="shared" si="1"/>
        <v>137.448</v>
      </c>
      <c r="G127" s="84"/>
      <c r="H127" s="85">
        <v>1500.01</v>
      </c>
      <c r="I127" s="86">
        <v>0.1</v>
      </c>
      <c r="J127" s="85">
        <f t="shared" si="2"/>
        <v>199.2</v>
      </c>
      <c r="K127" s="85">
        <f t="shared" si="3"/>
        <v>171.7241379</v>
      </c>
      <c r="L127" s="85"/>
      <c r="M127" s="85">
        <f t="shared" si="4"/>
        <v>155.342</v>
      </c>
      <c r="N127" s="86">
        <f t="shared" si="7"/>
        <v>0.1035606429</v>
      </c>
      <c r="O127" s="86"/>
      <c r="P127" s="82"/>
    </row>
    <row r="128">
      <c r="A128" s="89" t="s">
        <v>2959</v>
      </c>
      <c r="B128" s="89" t="s">
        <v>2960</v>
      </c>
      <c r="C128" s="89"/>
      <c r="D128" s="85">
        <v>965.0</v>
      </c>
      <c r="E128" s="86"/>
      <c r="F128" s="84">
        <f t="shared" si="1"/>
        <v>66.585</v>
      </c>
      <c r="G128" s="84"/>
      <c r="H128" s="85">
        <v>755.61</v>
      </c>
      <c r="I128" s="86">
        <v>0.15</v>
      </c>
      <c r="J128" s="85">
        <f t="shared" si="2"/>
        <v>144.75</v>
      </c>
      <c r="K128" s="85">
        <f t="shared" si="3"/>
        <v>124.7844828</v>
      </c>
      <c r="L128" s="85"/>
      <c r="M128" s="85">
        <f t="shared" si="4"/>
        <v>-1.945</v>
      </c>
      <c r="N128" s="86">
        <f t="shared" si="7"/>
        <v>-0.002574079221</v>
      </c>
      <c r="O128" s="86"/>
      <c r="P128" s="82"/>
    </row>
    <row r="129">
      <c r="A129" s="89" t="s">
        <v>2961</v>
      </c>
      <c r="B129" s="89" t="s">
        <v>2962</v>
      </c>
      <c r="C129" s="89"/>
      <c r="D129" s="85">
        <v>497.0</v>
      </c>
      <c r="E129" s="86"/>
      <c r="F129" s="84">
        <f t="shared" si="1"/>
        <v>34.293</v>
      </c>
      <c r="G129" s="84"/>
      <c r="H129" s="85">
        <v>425.22</v>
      </c>
      <c r="I129" s="86">
        <v>0.15</v>
      </c>
      <c r="J129" s="85">
        <f t="shared" si="2"/>
        <v>74.55</v>
      </c>
      <c r="K129" s="85">
        <f t="shared" si="3"/>
        <v>64.26724138</v>
      </c>
      <c r="L129" s="85"/>
      <c r="M129" s="85">
        <f t="shared" si="4"/>
        <v>-37.063</v>
      </c>
      <c r="N129" s="86">
        <f t="shared" si="7"/>
        <v>-0.0871619397</v>
      </c>
      <c r="O129" s="86"/>
      <c r="P129" s="82"/>
    </row>
    <row r="130">
      <c r="A130" s="89" t="s">
        <v>2963</v>
      </c>
      <c r="B130" s="89" t="s">
        <v>2964</v>
      </c>
      <c r="C130" s="89"/>
      <c r="D130" s="82">
        <v>1099.0</v>
      </c>
      <c r="E130" s="86"/>
      <c r="F130" s="84">
        <f t="shared" si="1"/>
        <v>75.831</v>
      </c>
      <c r="G130" s="84"/>
      <c r="H130" s="85">
        <v>827.35</v>
      </c>
      <c r="I130" s="86">
        <v>0.15</v>
      </c>
      <c r="J130" s="85">
        <f t="shared" si="2"/>
        <v>164.85</v>
      </c>
      <c r="K130" s="85">
        <f t="shared" si="3"/>
        <v>142.112069</v>
      </c>
      <c r="L130" s="85"/>
      <c r="M130" s="85">
        <f t="shared" si="4"/>
        <v>30.969</v>
      </c>
      <c r="N130" s="86">
        <f t="shared" si="7"/>
        <v>0.03743155859</v>
      </c>
      <c r="O130" s="86"/>
      <c r="P130" s="82"/>
    </row>
    <row r="131">
      <c r="A131" s="89" t="s">
        <v>2965</v>
      </c>
      <c r="B131" s="89" t="s">
        <v>2966</v>
      </c>
      <c r="C131" s="89"/>
      <c r="D131" s="82">
        <v>898.0</v>
      </c>
      <c r="E131" s="83"/>
      <c r="F131" s="84">
        <f t="shared" si="1"/>
        <v>61.962</v>
      </c>
      <c r="G131" s="84"/>
      <c r="H131" s="82">
        <v>461.43</v>
      </c>
      <c r="I131" s="86">
        <v>0.15</v>
      </c>
      <c r="J131" s="85">
        <f t="shared" si="2"/>
        <v>134.7</v>
      </c>
      <c r="K131" s="85">
        <f t="shared" si="3"/>
        <v>116.1206897</v>
      </c>
      <c r="L131" s="82">
        <v>63.21</v>
      </c>
      <c r="M131" s="85">
        <f t="shared" si="4"/>
        <v>176.698</v>
      </c>
      <c r="N131" s="86">
        <f t="shared" si="7"/>
        <v>0.3829356565</v>
      </c>
      <c r="O131" s="86"/>
      <c r="P131" s="82"/>
    </row>
    <row r="132">
      <c r="A132" s="89" t="s">
        <v>2967</v>
      </c>
      <c r="B132" s="89" t="s">
        <v>2968</v>
      </c>
      <c r="C132" s="89"/>
      <c r="D132" s="85">
        <v>699.0</v>
      </c>
      <c r="E132" s="86"/>
      <c r="F132" s="84">
        <f t="shared" si="1"/>
        <v>48.231</v>
      </c>
      <c r="G132" s="84"/>
      <c r="H132" s="85">
        <v>499.0</v>
      </c>
      <c r="I132" s="86">
        <v>0.1</v>
      </c>
      <c r="J132" s="85">
        <f t="shared" si="2"/>
        <v>69.9</v>
      </c>
      <c r="K132" s="85">
        <f t="shared" si="3"/>
        <v>60.25862069</v>
      </c>
      <c r="L132" s="85"/>
      <c r="M132" s="85">
        <f t="shared" si="4"/>
        <v>81.869</v>
      </c>
      <c r="N132" s="86">
        <f t="shared" si="7"/>
        <v>0.1640661323</v>
      </c>
      <c r="O132" s="86"/>
      <c r="P132" s="82"/>
    </row>
    <row r="133">
      <c r="A133" s="89" t="s">
        <v>2969</v>
      </c>
      <c r="B133" s="89" t="s">
        <v>2970</v>
      </c>
      <c r="C133" s="89"/>
      <c r="D133" s="85">
        <v>2220.0</v>
      </c>
      <c r="E133" s="86"/>
      <c r="F133" s="84">
        <f t="shared" si="1"/>
        <v>153.18</v>
      </c>
      <c r="G133" s="84"/>
      <c r="H133" s="85">
        <v>1709.93</v>
      </c>
      <c r="I133" s="86">
        <v>0.1</v>
      </c>
      <c r="J133" s="85">
        <f t="shared" si="2"/>
        <v>222</v>
      </c>
      <c r="K133" s="85">
        <f t="shared" si="3"/>
        <v>191.3793103</v>
      </c>
      <c r="L133" s="85"/>
      <c r="M133" s="85">
        <f t="shared" si="4"/>
        <v>134.89</v>
      </c>
      <c r="N133" s="86">
        <f t="shared" si="7"/>
        <v>0.0788862702</v>
      </c>
      <c r="O133" s="86"/>
      <c r="P133" s="82"/>
    </row>
    <row r="134">
      <c r="A134" s="89" t="s">
        <v>2971</v>
      </c>
      <c r="B134" s="89" t="s">
        <v>2972</v>
      </c>
      <c r="C134" s="89"/>
      <c r="D134" s="85">
        <v>799.0</v>
      </c>
      <c r="E134" s="86"/>
      <c r="F134" s="84">
        <f t="shared" si="1"/>
        <v>55.131</v>
      </c>
      <c r="G134" s="84"/>
      <c r="H134" s="85">
        <v>549.96</v>
      </c>
      <c r="I134" s="86">
        <v>0.11</v>
      </c>
      <c r="J134" s="85">
        <f t="shared" si="2"/>
        <v>87.89</v>
      </c>
      <c r="K134" s="85">
        <f t="shared" si="3"/>
        <v>75.76724138</v>
      </c>
      <c r="L134" s="85"/>
      <c r="M134" s="85">
        <f t="shared" si="4"/>
        <v>106.019</v>
      </c>
      <c r="N134" s="86">
        <f t="shared" si="7"/>
        <v>0.1927758382</v>
      </c>
      <c r="O134" s="86"/>
      <c r="P134" s="82"/>
    </row>
    <row r="135">
      <c r="A135" s="89" t="s">
        <v>2973</v>
      </c>
      <c r="B135" s="89" t="s">
        <v>2974</v>
      </c>
      <c r="C135" s="89"/>
      <c r="D135" s="85">
        <v>1199.0</v>
      </c>
      <c r="E135" s="86"/>
      <c r="F135" s="84">
        <f t="shared" si="1"/>
        <v>82.731</v>
      </c>
      <c r="G135" s="84"/>
      <c r="H135" s="85">
        <v>850.05</v>
      </c>
      <c r="I135" s="86">
        <v>0.15</v>
      </c>
      <c r="J135" s="85">
        <f t="shared" si="2"/>
        <v>179.85</v>
      </c>
      <c r="K135" s="85">
        <f t="shared" si="3"/>
        <v>155.0431034</v>
      </c>
      <c r="L135" s="85"/>
      <c r="M135" s="85">
        <f t="shared" si="4"/>
        <v>86.369</v>
      </c>
      <c r="N135" s="86">
        <f t="shared" si="7"/>
        <v>0.1016046115</v>
      </c>
      <c r="O135" s="86"/>
      <c r="P135" s="82"/>
    </row>
    <row r="136">
      <c r="A136" s="89" t="s">
        <v>2975</v>
      </c>
      <c r="B136" s="89" t="s">
        <v>2976</v>
      </c>
      <c r="C136" s="89"/>
      <c r="D136" s="85">
        <v>8999.0</v>
      </c>
      <c r="E136" s="86"/>
      <c r="F136" s="84">
        <f t="shared" si="1"/>
        <v>620.931</v>
      </c>
      <c r="G136" s="84"/>
      <c r="H136" s="85">
        <v>6121.87</v>
      </c>
      <c r="I136" s="86">
        <v>0.15</v>
      </c>
      <c r="J136" s="85">
        <f t="shared" si="2"/>
        <v>1349.85</v>
      </c>
      <c r="K136" s="85">
        <f t="shared" si="3"/>
        <v>1163.663793</v>
      </c>
      <c r="L136" s="85"/>
      <c r="M136" s="85">
        <f t="shared" si="4"/>
        <v>906.349</v>
      </c>
      <c r="N136" s="86">
        <f t="shared" si="7"/>
        <v>0.148051004</v>
      </c>
      <c r="O136" s="86"/>
      <c r="P136" s="82"/>
    </row>
    <row r="137">
      <c r="A137" s="89" t="s">
        <v>2977</v>
      </c>
      <c r="B137" s="89" t="s">
        <v>2978</v>
      </c>
      <c r="C137" s="89"/>
      <c r="D137" s="85">
        <v>6499.0</v>
      </c>
      <c r="E137" s="86"/>
      <c r="F137" s="84">
        <f t="shared" si="1"/>
        <v>448.431</v>
      </c>
      <c r="G137" s="84"/>
      <c r="H137" s="85">
        <v>4582.35</v>
      </c>
      <c r="I137" s="86">
        <v>0.15</v>
      </c>
      <c r="J137" s="85">
        <f t="shared" si="2"/>
        <v>974.85</v>
      </c>
      <c r="K137" s="85">
        <f t="shared" si="3"/>
        <v>840.387931</v>
      </c>
      <c r="L137" s="85"/>
      <c r="M137" s="85">
        <f t="shared" si="4"/>
        <v>493.369</v>
      </c>
      <c r="N137" s="86">
        <f t="shared" si="7"/>
        <v>0.107667245</v>
      </c>
      <c r="O137" s="86"/>
      <c r="P137" s="82"/>
    </row>
    <row r="138">
      <c r="A138" s="89" t="s">
        <v>2979</v>
      </c>
      <c r="B138" s="89" t="s">
        <v>2980</v>
      </c>
      <c r="C138" s="89"/>
      <c r="D138" s="85">
        <v>1399.0</v>
      </c>
      <c r="E138" s="86"/>
      <c r="F138" s="84">
        <f t="shared" si="1"/>
        <v>96.531</v>
      </c>
      <c r="G138" s="84"/>
      <c r="H138" s="85">
        <v>1048.99</v>
      </c>
      <c r="I138" s="86">
        <v>0.1</v>
      </c>
      <c r="J138" s="85">
        <f t="shared" si="2"/>
        <v>139.9</v>
      </c>
      <c r="K138" s="85">
        <f t="shared" si="3"/>
        <v>120.6034483</v>
      </c>
      <c r="L138" s="85"/>
      <c r="M138" s="85">
        <f t="shared" si="4"/>
        <v>113.579</v>
      </c>
      <c r="N138" s="86">
        <f t="shared" si="7"/>
        <v>0.1082746261</v>
      </c>
      <c r="O138" s="86"/>
      <c r="P138" s="82"/>
    </row>
    <row r="139">
      <c r="A139" s="89" t="s">
        <v>2981</v>
      </c>
      <c r="B139" s="89" t="s">
        <v>2982</v>
      </c>
      <c r="C139" s="89"/>
      <c r="D139" s="85">
        <v>1199.0</v>
      </c>
      <c r="E139" s="86"/>
      <c r="F139" s="84">
        <f t="shared" si="1"/>
        <v>82.731</v>
      </c>
      <c r="G139" s="84"/>
      <c r="H139" s="85">
        <v>899.99</v>
      </c>
      <c r="I139" s="86">
        <v>0.1</v>
      </c>
      <c r="J139" s="85">
        <f t="shared" si="2"/>
        <v>119.9</v>
      </c>
      <c r="K139" s="85">
        <f t="shared" si="3"/>
        <v>103.362069</v>
      </c>
      <c r="L139" s="85"/>
      <c r="M139" s="85">
        <f t="shared" si="4"/>
        <v>96.379</v>
      </c>
      <c r="N139" s="86">
        <f t="shared" si="7"/>
        <v>0.1070889677</v>
      </c>
      <c r="O139" s="86"/>
      <c r="P139" s="82"/>
    </row>
    <row r="140">
      <c r="A140" s="89" t="s">
        <v>2983</v>
      </c>
      <c r="B140" s="89" t="s">
        <v>2984</v>
      </c>
      <c r="C140" s="89"/>
      <c r="D140" s="85">
        <v>2800.0</v>
      </c>
      <c r="E140" s="86"/>
      <c r="F140" s="84">
        <f t="shared" si="1"/>
        <v>193.2</v>
      </c>
      <c r="G140" s="84"/>
      <c r="H140" s="85">
        <v>2162.25</v>
      </c>
      <c r="I140" s="86">
        <v>0.1</v>
      </c>
      <c r="J140" s="85">
        <f t="shared" si="2"/>
        <v>280</v>
      </c>
      <c r="K140" s="85">
        <f t="shared" si="3"/>
        <v>241.3793103</v>
      </c>
      <c r="L140" s="85"/>
      <c r="M140" s="85">
        <f t="shared" si="4"/>
        <v>164.55</v>
      </c>
      <c r="N140" s="86">
        <f t="shared" si="7"/>
        <v>0.07610128339</v>
      </c>
      <c r="O140" s="86"/>
      <c r="P140" s="82"/>
    </row>
    <row r="141">
      <c r="A141" s="89" t="s">
        <v>2985</v>
      </c>
      <c r="B141" s="89" t="s">
        <v>2986</v>
      </c>
      <c r="C141" s="89"/>
      <c r="D141" s="85">
        <v>8599.0</v>
      </c>
      <c r="E141" s="86"/>
      <c r="F141" s="84">
        <f t="shared" si="1"/>
        <v>593.331</v>
      </c>
      <c r="G141" s="84"/>
      <c r="H141" s="85" t="str">
        <f>4456.13*1.21</f>
        <v>#ERROR!</v>
      </c>
      <c r="I141" s="86">
        <v>0.16</v>
      </c>
      <c r="J141" s="85">
        <f t="shared" si="2"/>
        <v>1375.84</v>
      </c>
      <c r="K141" s="85">
        <f t="shared" si="3"/>
        <v>1186.068966</v>
      </c>
      <c r="L141" s="85"/>
      <c r="M141" s="85" t="str">
        <f t="shared" si="4"/>
        <v>#ERROR!</v>
      </c>
      <c r="N141" s="86" t="str">
        <f t="shared" si="7"/>
        <v>#ERROR!</v>
      </c>
      <c r="O141" s="86"/>
      <c r="P141" s="82"/>
    </row>
    <row r="142">
      <c r="A142" s="89" t="s">
        <v>2987</v>
      </c>
      <c r="B142" s="89" t="s">
        <v>2988</v>
      </c>
      <c r="C142" s="89"/>
      <c r="D142" s="85">
        <v>9266.0</v>
      </c>
      <c r="E142" s="86"/>
      <c r="F142" s="84">
        <f t="shared" si="1"/>
        <v>639.354</v>
      </c>
      <c r="G142" s="84"/>
      <c r="H142" s="85">
        <v>6630.76</v>
      </c>
      <c r="I142" s="86">
        <v>0.16</v>
      </c>
      <c r="J142" s="85">
        <f t="shared" si="2"/>
        <v>1482.56</v>
      </c>
      <c r="K142" s="85">
        <f t="shared" si="3"/>
        <v>1278.068966</v>
      </c>
      <c r="L142" s="85"/>
      <c r="M142" s="85">
        <f t="shared" si="4"/>
        <v>513.326</v>
      </c>
      <c r="N142" s="86">
        <f t="shared" si="7"/>
        <v>0.07741586183</v>
      </c>
      <c r="O142" s="86"/>
      <c r="P142" s="82"/>
    </row>
    <row r="143">
      <c r="A143" s="89" t="s">
        <v>2989</v>
      </c>
      <c r="B143" s="89" t="s">
        <v>2990</v>
      </c>
      <c r="C143" s="90" t="s">
        <v>2991</v>
      </c>
      <c r="D143" s="82">
        <v>439.0</v>
      </c>
      <c r="E143" s="83"/>
      <c r="F143" s="84">
        <f t="shared" si="1"/>
        <v>30.291</v>
      </c>
      <c r="G143" s="84"/>
      <c r="H143" s="82">
        <v>270.0</v>
      </c>
      <c r="I143" s="86">
        <v>0.15</v>
      </c>
      <c r="J143" s="85">
        <f t="shared" si="2"/>
        <v>65.85</v>
      </c>
      <c r="K143" s="85">
        <f t="shared" si="3"/>
        <v>56.76724138</v>
      </c>
      <c r="L143" s="82">
        <v>64.62</v>
      </c>
      <c r="M143" s="85">
        <f t="shared" si="4"/>
        <v>8.239</v>
      </c>
      <c r="N143" s="86">
        <f t="shared" si="7"/>
        <v>0.03051481481</v>
      </c>
      <c r="O143" s="86"/>
      <c r="P143" s="82"/>
    </row>
    <row r="144">
      <c r="A144" s="89" t="s">
        <v>2992</v>
      </c>
      <c r="B144" s="89" t="s">
        <v>2993</v>
      </c>
      <c r="C144" s="89"/>
      <c r="D144" s="85">
        <v>969.0</v>
      </c>
      <c r="E144" s="86"/>
      <c r="F144" s="84">
        <f t="shared" si="1"/>
        <v>66.861</v>
      </c>
      <c r="G144" s="84"/>
      <c r="H144" s="85">
        <v>690.0</v>
      </c>
      <c r="I144" s="86">
        <v>0.15</v>
      </c>
      <c r="J144" s="85">
        <f t="shared" si="2"/>
        <v>145.35</v>
      </c>
      <c r="K144" s="85">
        <f t="shared" si="3"/>
        <v>125.3017241</v>
      </c>
      <c r="L144" s="85"/>
      <c r="M144" s="85">
        <f t="shared" si="4"/>
        <v>66.789</v>
      </c>
      <c r="N144" s="86">
        <f t="shared" si="7"/>
        <v>0.09679565217</v>
      </c>
      <c r="O144" s="86"/>
      <c r="P144" s="82"/>
    </row>
    <row r="145">
      <c r="A145" s="89" t="s">
        <v>2994</v>
      </c>
      <c r="B145" s="89" t="s">
        <v>2995</v>
      </c>
      <c r="C145" s="89"/>
      <c r="D145" s="85">
        <v>1099.0</v>
      </c>
      <c r="E145" s="86"/>
      <c r="F145" s="84">
        <f t="shared" si="1"/>
        <v>75.831</v>
      </c>
      <c r="G145" s="84"/>
      <c r="H145" s="85">
        <v>778.12</v>
      </c>
      <c r="I145" s="86">
        <v>0.1</v>
      </c>
      <c r="J145" s="85">
        <f t="shared" si="2"/>
        <v>109.9</v>
      </c>
      <c r="K145" s="85">
        <f t="shared" si="3"/>
        <v>94.74137931</v>
      </c>
      <c r="L145" s="85"/>
      <c r="M145" s="85">
        <f t="shared" si="4"/>
        <v>135.149</v>
      </c>
      <c r="N145" s="86">
        <f t="shared" si="7"/>
        <v>0.1736865779</v>
      </c>
      <c r="O145" s="86"/>
      <c r="P145" s="82"/>
    </row>
    <row r="146">
      <c r="A146" s="89" t="s">
        <v>2996</v>
      </c>
      <c r="B146" s="89" t="s">
        <v>2997</v>
      </c>
      <c r="C146" s="89"/>
      <c r="D146" s="85">
        <v>1429.0</v>
      </c>
      <c r="E146" s="86"/>
      <c r="F146" s="84">
        <f t="shared" si="1"/>
        <v>98.601</v>
      </c>
      <c r="G146" s="84"/>
      <c r="H146" s="85">
        <v>1044.0</v>
      </c>
      <c r="I146" s="86">
        <v>0.1</v>
      </c>
      <c r="J146" s="85">
        <f t="shared" si="2"/>
        <v>142.9</v>
      </c>
      <c r="K146" s="85">
        <f t="shared" si="3"/>
        <v>123.1896552</v>
      </c>
      <c r="L146" s="85"/>
      <c r="M146" s="85">
        <f t="shared" si="4"/>
        <v>143.499</v>
      </c>
      <c r="N146" s="86">
        <f t="shared" si="7"/>
        <v>0.1374511494</v>
      </c>
      <c r="O146" s="86"/>
      <c r="P146" s="82"/>
    </row>
    <row r="147">
      <c r="A147" s="89" t="s">
        <v>2998</v>
      </c>
      <c r="B147" s="89" t="s">
        <v>2999</v>
      </c>
      <c r="C147" s="89"/>
      <c r="D147" s="85">
        <v>1999.0</v>
      </c>
      <c r="E147" s="86"/>
      <c r="F147" s="84">
        <f t="shared" si="1"/>
        <v>137.931</v>
      </c>
      <c r="G147" s="84"/>
      <c r="H147" s="85">
        <v>1044.0</v>
      </c>
      <c r="I147" s="86">
        <v>0.1</v>
      </c>
      <c r="J147" s="85">
        <f t="shared" si="2"/>
        <v>199.9</v>
      </c>
      <c r="K147" s="85">
        <f t="shared" si="3"/>
        <v>172.3275862</v>
      </c>
      <c r="L147" s="85"/>
      <c r="M147" s="85">
        <f t="shared" si="4"/>
        <v>617.169</v>
      </c>
      <c r="N147" s="86">
        <f t="shared" si="7"/>
        <v>0.591158046</v>
      </c>
      <c r="O147" s="86"/>
      <c r="P147" s="82"/>
    </row>
    <row r="148">
      <c r="A148" s="89" t="s">
        <v>2998</v>
      </c>
      <c r="B148" s="89" t="s">
        <v>2999</v>
      </c>
      <c r="C148" s="89"/>
      <c r="D148" s="85">
        <v>1599.0</v>
      </c>
      <c r="E148" s="86"/>
      <c r="F148" s="84">
        <f t="shared" si="1"/>
        <v>110.331</v>
      </c>
      <c r="G148" s="84"/>
      <c r="H148" s="85">
        <v>1044.0</v>
      </c>
      <c r="I148" s="86">
        <v>0.1</v>
      </c>
      <c r="J148" s="85">
        <f t="shared" si="2"/>
        <v>159.9</v>
      </c>
      <c r="K148" s="85">
        <f t="shared" si="3"/>
        <v>137.8448276</v>
      </c>
      <c r="L148" s="85"/>
      <c r="M148" s="85">
        <f t="shared" si="4"/>
        <v>284.769</v>
      </c>
      <c r="N148" s="86">
        <f t="shared" si="7"/>
        <v>0.2727672414</v>
      </c>
      <c r="O148" s="86"/>
      <c r="P148" s="82"/>
    </row>
    <row r="149">
      <c r="A149" s="89" t="s">
        <v>3000</v>
      </c>
      <c r="B149" s="89" t="s">
        <v>3001</v>
      </c>
      <c r="C149" s="89"/>
      <c r="D149" s="85">
        <v>239.0</v>
      </c>
      <c r="E149" s="86"/>
      <c r="F149" s="84">
        <f t="shared" si="1"/>
        <v>16.491</v>
      </c>
      <c r="G149" s="84"/>
      <c r="H149" s="85">
        <v>111.7</v>
      </c>
      <c r="I149" s="86">
        <v>0.15</v>
      </c>
      <c r="J149" s="85">
        <f t="shared" si="2"/>
        <v>35.85</v>
      </c>
      <c r="K149" s="85">
        <f t="shared" si="3"/>
        <v>30.90517241</v>
      </c>
      <c r="L149" s="85"/>
      <c r="M149" s="85">
        <f t="shared" si="4"/>
        <v>74.959</v>
      </c>
      <c r="N149" s="86">
        <f t="shared" si="7"/>
        <v>0.6710743062</v>
      </c>
      <c r="O149" s="86"/>
      <c r="P149" s="82"/>
    </row>
    <row r="150">
      <c r="A150" s="89" t="s">
        <v>3002</v>
      </c>
      <c r="B150" s="89" t="s">
        <v>3003</v>
      </c>
      <c r="C150" s="89"/>
      <c r="D150" s="85">
        <v>1197.0</v>
      </c>
      <c r="E150" s="86"/>
      <c r="F150" s="84">
        <f t="shared" si="1"/>
        <v>82.593</v>
      </c>
      <c r="G150" s="84"/>
      <c r="H150" s="85">
        <v>1044.0</v>
      </c>
      <c r="I150" s="86">
        <v>0.11</v>
      </c>
      <c r="J150" s="85">
        <f t="shared" si="2"/>
        <v>131.67</v>
      </c>
      <c r="K150" s="85">
        <f t="shared" si="3"/>
        <v>113.5086207</v>
      </c>
      <c r="L150" s="85"/>
      <c r="M150" s="85">
        <f t="shared" si="4"/>
        <v>-61.263</v>
      </c>
      <c r="N150" s="86">
        <f t="shared" si="7"/>
        <v>-0.05868103448</v>
      </c>
      <c r="O150" s="86"/>
      <c r="P150" s="82"/>
    </row>
    <row r="151">
      <c r="A151" s="89" t="s">
        <v>3004</v>
      </c>
      <c r="B151" s="89" t="s">
        <v>3005</v>
      </c>
      <c r="C151" s="89"/>
      <c r="D151" s="85">
        <v>269.0</v>
      </c>
      <c r="E151" s="86"/>
      <c r="F151" s="84">
        <f t="shared" si="1"/>
        <v>18.561</v>
      </c>
      <c r="G151" s="84"/>
      <c r="H151" s="85">
        <v>143.37</v>
      </c>
      <c r="I151" s="86">
        <v>0.15</v>
      </c>
      <c r="J151" s="85">
        <f t="shared" si="2"/>
        <v>40.35</v>
      </c>
      <c r="K151" s="85">
        <f t="shared" si="3"/>
        <v>34.78448276</v>
      </c>
      <c r="L151" s="85"/>
      <c r="M151" s="85">
        <f t="shared" si="4"/>
        <v>66.719</v>
      </c>
      <c r="N151" s="86">
        <f t="shared" si="7"/>
        <v>0.4653623492</v>
      </c>
      <c r="O151" s="86"/>
      <c r="P151" s="82"/>
    </row>
    <row r="152">
      <c r="A152" s="89" t="s">
        <v>3006</v>
      </c>
      <c r="B152" s="89" t="s">
        <v>3007</v>
      </c>
      <c r="C152" s="89"/>
      <c r="D152" s="82">
        <v>950.0</v>
      </c>
      <c r="E152" s="83"/>
      <c r="F152" s="84">
        <f t="shared" si="1"/>
        <v>65.55</v>
      </c>
      <c r="G152" s="84"/>
      <c r="H152" s="85">
        <v>683.5</v>
      </c>
      <c r="I152" s="86">
        <v>0.15</v>
      </c>
      <c r="J152" s="85">
        <f t="shared" si="2"/>
        <v>142.5</v>
      </c>
      <c r="K152" s="85">
        <f t="shared" si="3"/>
        <v>122.8448276</v>
      </c>
      <c r="L152" s="82">
        <v>63.21</v>
      </c>
      <c r="M152" s="85">
        <f t="shared" si="4"/>
        <v>-4.76</v>
      </c>
      <c r="N152" s="86">
        <f t="shared" si="7"/>
        <v>-0.006964155084</v>
      </c>
      <c r="O152" s="86"/>
      <c r="P152" s="82"/>
    </row>
    <row r="153">
      <c r="A153" s="89" t="s">
        <v>3008</v>
      </c>
      <c r="B153" s="89" t="s">
        <v>3009</v>
      </c>
      <c r="C153" s="89"/>
      <c r="D153" s="82">
        <v>899.0</v>
      </c>
      <c r="E153" s="86"/>
      <c r="F153" s="84">
        <f t="shared" si="1"/>
        <v>62.031</v>
      </c>
      <c r="G153" s="84"/>
      <c r="H153" s="82">
        <v>660.0</v>
      </c>
      <c r="I153" s="86">
        <v>0.15</v>
      </c>
      <c r="J153" s="85">
        <f t="shared" si="2"/>
        <v>134.85</v>
      </c>
      <c r="K153" s="85">
        <f t="shared" si="3"/>
        <v>116.25</v>
      </c>
      <c r="L153" s="82">
        <v>80.0</v>
      </c>
      <c r="M153" s="85">
        <f t="shared" si="4"/>
        <v>-37.881</v>
      </c>
      <c r="N153" s="86">
        <f t="shared" si="7"/>
        <v>-0.05739545455</v>
      </c>
      <c r="O153" s="86"/>
      <c r="P153" s="82"/>
    </row>
    <row r="154">
      <c r="A154" s="89" t="s">
        <v>3010</v>
      </c>
      <c r="B154" s="89" t="s">
        <v>3011</v>
      </c>
      <c r="C154" s="89"/>
      <c r="D154" s="85">
        <v>3399.0</v>
      </c>
      <c r="E154" s="86"/>
      <c r="F154" s="84">
        <f t="shared" si="1"/>
        <v>234.531</v>
      </c>
      <c r="G154" s="84"/>
      <c r="H154" s="85">
        <v>2758.51</v>
      </c>
      <c r="I154" s="86">
        <v>0.1</v>
      </c>
      <c r="J154" s="85">
        <f t="shared" si="2"/>
        <v>339.9</v>
      </c>
      <c r="K154" s="85">
        <f t="shared" si="3"/>
        <v>293.0172414</v>
      </c>
      <c r="L154" s="85"/>
      <c r="M154" s="85">
        <f t="shared" si="4"/>
        <v>66.059</v>
      </c>
      <c r="N154" s="86">
        <f t="shared" si="7"/>
        <v>0.02394734839</v>
      </c>
      <c r="O154" s="86"/>
      <c r="P154" s="82"/>
    </row>
    <row r="155">
      <c r="A155" s="89" t="s">
        <v>3012</v>
      </c>
      <c r="B155" s="89" t="s">
        <v>3013</v>
      </c>
      <c r="C155" s="89"/>
      <c r="D155" s="85">
        <v>2299.0</v>
      </c>
      <c r="E155" s="86"/>
      <c r="F155" s="84">
        <f t="shared" si="1"/>
        <v>158.631</v>
      </c>
      <c r="G155" s="84"/>
      <c r="H155" s="85">
        <v>1792.08</v>
      </c>
      <c r="I155" s="86">
        <v>0.13</v>
      </c>
      <c r="J155" s="85">
        <f t="shared" si="2"/>
        <v>298.87</v>
      </c>
      <c r="K155" s="85">
        <f t="shared" si="3"/>
        <v>257.6465517</v>
      </c>
      <c r="L155" s="85"/>
      <c r="M155" s="85">
        <f t="shared" si="4"/>
        <v>49.419</v>
      </c>
      <c r="N155" s="86">
        <f t="shared" si="7"/>
        <v>0.02757633588</v>
      </c>
      <c r="O155" s="86"/>
      <c r="P155" s="82"/>
    </row>
    <row r="156">
      <c r="A156" s="89" t="s">
        <v>3014</v>
      </c>
      <c r="B156" s="89" t="s">
        <v>3015</v>
      </c>
      <c r="C156" s="89"/>
      <c r="D156" s="85">
        <v>810.0</v>
      </c>
      <c r="E156" s="86"/>
      <c r="F156" s="84">
        <f t="shared" si="1"/>
        <v>55.89</v>
      </c>
      <c r="G156" s="84"/>
      <c r="H156" s="85">
        <v>603.48</v>
      </c>
      <c r="I156" s="86">
        <v>0.1</v>
      </c>
      <c r="J156" s="85">
        <f t="shared" si="2"/>
        <v>81</v>
      </c>
      <c r="K156" s="85">
        <f t="shared" si="3"/>
        <v>69.82758621</v>
      </c>
      <c r="L156" s="85"/>
      <c r="M156" s="85">
        <f t="shared" si="4"/>
        <v>69.63</v>
      </c>
      <c r="N156" s="86">
        <f t="shared" si="7"/>
        <v>0.1153807914</v>
      </c>
      <c r="O156" s="86"/>
      <c r="P156" s="82"/>
    </row>
    <row r="157">
      <c r="A157" s="89" t="s">
        <v>3016</v>
      </c>
      <c r="B157" s="89" t="s">
        <v>3017</v>
      </c>
      <c r="C157" s="89"/>
      <c r="D157" s="85">
        <v>2999.0</v>
      </c>
      <c r="E157" s="86"/>
      <c r="F157" s="84">
        <f t="shared" si="1"/>
        <v>206.931</v>
      </c>
      <c r="G157" s="84"/>
      <c r="H157" s="85">
        <v>2367.48</v>
      </c>
      <c r="I157" s="86">
        <v>0.1</v>
      </c>
      <c r="J157" s="85">
        <f t="shared" si="2"/>
        <v>299.9</v>
      </c>
      <c r="K157" s="85">
        <f t="shared" si="3"/>
        <v>258.5344828</v>
      </c>
      <c r="L157" s="85"/>
      <c r="M157" s="85">
        <f t="shared" si="4"/>
        <v>124.689</v>
      </c>
      <c r="N157" s="86">
        <f t="shared" si="7"/>
        <v>0.05266739318</v>
      </c>
      <c r="O157" s="86"/>
      <c r="P157" s="82"/>
    </row>
    <row r="158">
      <c r="A158" s="89" t="s">
        <v>3018</v>
      </c>
      <c r="B158" s="89" t="s">
        <v>3019</v>
      </c>
      <c r="C158" s="89"/>
      <c r="D158" s="85">
        <v>2969.0</v>
      </c>
      <c r="E158" s="86"/>
      <c r="F158" s="84">
        <f t="shared" si="1"/>
        <v>204.861</v>
      </c>
      <c r="G158" s="84"/>
      <c r="H158" s="85">
        <v>2367.48</v>
      </c>
      <c r="I158" s="86">
        <v>0.1</v>
      </c>
      <c r="J158" s="85">
        <f t="shared" si="2"/>
        <v>296.9</v>
      </c>
      <c r="K158" s="85">
        <f t="shared" si="3"/>
        <v>255.9482759</v>
      </c>
      <c r="L158" s="85"/>
      <c r="M158" s="85">
        <f t="shared" si="4"/>
        <v>99.759</v>
      </c>
      <c r="N158" s="86">
        <f t="shared" si="7"/>
        <v>0.04213720918</v>
      </c>
      <c r="O158" s="86"/>
      <c r="P158" s="82"/>
    </row>
    <row r="159">
      <c r="A159" s="89" t="s">
        <v>3020</v>
      </c>
      <c r="B159" s="89" t="s">
        <v>3021</v>
      </c>
      <c r="C159" s="89"/>
      <c r="D159" s="85">
        <v>2599.0</v>
      </c>
      <c r="E159" s="86"/>
      <c r="F159" s="84">
        <f t="shared" si="1"/>
        <v>179.331</v>
      </c>
      <c r="G159" s="84"/>
      <c r="H159" s="85">
        <v>2367.48</v>
      </c>
      <c r="I159" s="86">
        <v>0.1</v>
      </c>
      <c r="J159" s="85">
        <f t="shared" si="2"/>
        <v>259.9</v>
      </c>
      <c r="K159" s="85">
        <f t="shared" si="3"/>
        <v>224.0517241</v>
      </c>
      <c r="L159" s="85"/>
      <c r="M159" s="85">
        <f t="shared" si="4"/>
        <v>-207.711</v>
      </c>
      <c r="N159" s="86">
        <f t="shared" si="7"/>
        <v>-0.08773506006</v>
      </c>
      <c r="O159" s="86"/>
      <c r="P159" s="82"/>
    </row>
    <row r="160">
      <c r="A160" s="89" t="s">
        <v>3022</v>
      </c>
      <c r="B160" s="89" t="s">
        <v>3023</v>
      </c>
      <c r="C160" s="89"/>
      <c r="D160" s="85">
        <v>2069.0</v>
      </c>
      <c r="E160" s="86"/>
      <c r="F160" s="84">
        <f t="shared" si="1"/>
        <v>142.761</v>
      </c>
      <c r="G160" s="84"/>
      <c r="H160" s="85">
        <v>1810.43</v>
      </c>
      <c r="I160" s="86">
        <v>0.1</v>
      </c>
      <c r="J160" s="85">
        <f t="shared" si="2"/>
        <v>206.9</v>
      </c>
      <c r="K160" s="85">
        <f t="shared" si="3"/>
        <v>178.362069</v>
      </c>
      <c r="L160" s="85"/>
      <c r="M160" s="85">
        <f t="shared" si="4"/>
        <v>-91.091</v>
      </c>
      <c r="N160" s="86">
        <f t="shared" si="7"/>
        <v>-0.05031456615</v>
      </c>
      <c r="O160" s="86"/>
      <c r="P160" s="82"/>
    </row>
    <row r="161">
      <c r="A161" s="89" t="s">
        <v>3024</v>
      </c>
      <c r="B161" s="89" t="s">
        <v>3025</v>
      </c>
      <c r="C161" s="89"/>
      <c r="D161" s="85">
        <v>959.0</v>
      </c>
      <c r="E161" s="86"/>
      <c r="F161" s="84">
        <f t="shared" si="1"/>
        <v>66.171</v>
      </c>
      <c r="G161" s="84"/>
      <c r="H161" s="85">
        <v>673.11</v>
      </c>
      <c r="I161" s="86">
        <v>0.15</v>
      </c>
      <c r="J161" s="85">
        <f t="shared" si="2"/>
        <v>143.85</v>
      </c>
      <c r="K161" s="85">
        <f t="shared" si="3"/>
        <v>124.0086207</v>
      </c>
      <c r="L161" s="85"/>
      <c r="M161" s="85">
        <f t="shared" si="4"/>
        <v>75.869</v>
      </c>
      <c r="N161" s="86">
        <f t="shared" si="7"/>
        <v>0.112714118</v>
      </c>
      <c r="O161" s="86"/>
      <c r="P161" s="82"/>
    </row>
    <row r="162">
      <c r="A162" s="89" t="s">
        <v>3026</v>
      </c>
      <c r="B162" s="89" t="s">
        <v>3027</v>
      </c>
      <c r="C162" s="89"/>
      <c r="D162" s="82">
        <v>289.0</v>
      </c>
      <c r="E162" s="83"/>
      <c r="F162" s="84">
        <f t="shared" si="1"/>
        <v>19.941</v>
      </c>
      <c r="G162" s="84"/>
      <c r="H162" s="85">
        <v>135.78</v>
      </c>
      <c r="I162" s="86">
        <v>0.16</v>
      </c>
      <c r="J162" s="85">
        <f t="shared" si="2"/>
        <v>46.24</v>
      </c>
      <c r="K162" s="85">
        <f t="shared" si="3"/>
        <v>39.86206897</v>
      </c>
      <c r="L162" s="82">
        <v>61.79</v>
      </c>
      <c r="M162" s="85">
        <f t="shared" si="4"/>
        <v>25.249</v>
      </c>
      <c r="N162" s="86">
        <f t="shared" si="7"/>
        <v>0.1859552217</v>
      </c>
      <c r="O162" s="86"/>
      <c r="P162" s="82"/>
    </row>
    <row r="163">
      <c r="A163" s="89" t="s">
        <v>3028</v>
      </c>
      <c r="B163" s="89" t="s">
        <v>3029</v>
      </c>
      <c r="C163" s="89"/>
      <c r="D163" s="82">
        <v>969.0</v>
      </c>
      <c r="E163" s="86"/>
      <c r="F163" s="84">
        <f t="shared" si="1"/>
        <v>66.861</v>
      </c>
      <c r="G163" s="84"/>
      <c r="H163" s="85">
        <v>854.11</v>
      </c>
      <c r="I163" s="86">
        <v>0.1</v>
      </c>
      <c r="J163" s="85">
        <f t="shared" si="2"/>
        <v>96.9</v>
      </c>
      <c r="K163" s="85">
        <f t="shared" si="3"/>
        <v>83.53448276</v>
      </c>
      <c r="L163" s="82">
        <v>63.0</v>
      </c>
      <c r="M163" s="85">
        <f t="shared" si="4"/>
        <v>-111.871</v>
      </c>
      <c r="N163" s="86">
        <f t="shared" si="7"/>
        <v>-0.1309796162</v>
      </c>
      <c r="O163" s="86"/>
      <c r="P163" s="82"/>
    </row>
    <row r="164">
      <c r="A164" s="89" t="s">
        <v>3030</v>
      </c>
      <c r="B164" s="89" t="s">
        <v>3031</v>
      </c>
      <c r="C164" s="89"/>
      <c r="D164" s="85">
        <v>959.0</v>
      </c>
      <c r="E164" s="86"/>
      <c r="F164" s="84">
        <f t="shared" si="1"/>
        <v>66.171</v>
      </c>
      <c r="G164" s="84"/>
      <c r="H164" s="85">
        <v>673.11</v>
      </c>
      <c r="I164" s="86">
        <v>0.15</v>
      </c>
      <c r="J164" s="85">
        <f t="shared" si="2"/>
        <v>143.85</v>
      </c>
      <c r="K164" s="85">
        <f t="shared" si="3"/>
        <v>124.0086207</v>
      </c>
      <c r="L164" s="85"/>
      <c r="M164" s="85">
        <f t="shared" si="4"/>
        <v>75.869</v>
      </c>
      <c r="N164" s="86">
        <f t="shared" si="7"/>
        <v>0.112714118</v>
      </c>
      <c r="O164" s="86"/>
      <c r="P164" s="82"/>
    </row>
    <row r="165">
      <c r="A165" s="89" t="s">
        <v>3032</v>
      </c>
      <c r="B165" s="89" t="s">
        <v>3033</v>
      </c>
      <c r="C165" s="89"/>
      <c r="D165" s="85">
        <v>1932.0</v>
      </c>
      <c r="E165" s="86"/>
      <c r="F165" s="84">
        <f t="shared" si="1"/>
        <v>133.308</v>
      </c>
      <c r="G165" s="84"/>
      <c r="H165" s="85">
        <v>1539.53</v>
      </c>
      <c r="I165" s="86">
        <v>0.16</v>
      </c>
      <c r="J165" s="85">
        <f t="shared" si="2"/>
        <v>309.12</v>
      </c>
      <c r="K165" s="85">
        <f t="shared" si="3"/>
        <v>266.4827586</v>
      </c>
      <c r="L165" s="85"/>
      <c r="M165" s="85">
        <f t="shared" si="4"/>
        <v>-49.958</v>
      </c>
      <c r="N165" s="86">
        <f t="shared" si="7"/>
        <v>-0.03245016336</v>
      </c>
      <c r="O165" s="86"/>
      <c r="P165" s="82"/>
    </row>
    <row r="166">
      <c r="A166" s="89"/>
      <c r="B166" s="89" t="s">
        <v>3034</v>
      </c>
      <c r="C166" s="89"/>
      <c r="D166" s="85">
        <v>720.0</v>
      </c>
      <c r="E166" s="86"/>
      <c r="F166" s="84">
        <f t="shared" si="1"/>
        <v>49.68</v>
      </c>
      <c r="G166" s="84"/>
      <c r="H166" s="85">
        <v>513.83</v>
      </c>
      <c r="I166" s="86">
        <v>0.1</v>
      </c>
      <c r="J166" s="85">
        <f t="shared" si="2"/>
        <v>72</v>
      </c>
      <c r="K166" s="85">
        <f t="shared" si="3"/>
        <v>62.06896552</v>
      </c>
      <c r="L166" s="85"/>
      <c r="M166" s="85">
        <f t="shared" si="4"/>
        <v>84.49</v>
      </c>
      <c r="N166" s="86">
        <f t="shared" si="7"/>
        <v>0.164431816</v>
      </c>
      <c r="O166" s="86"/>
      <c r="P166" s="82"/>
    </row>
    <row r="167">
      <c r="A167" s="89" t="s">
        <v>3035</v>
      </c>
      <c r="B167" s="89" t="s">
        <v>3036</v>
      </c>
      <c r="C167" s="89"/>
      <c r="D167" s="85">
        <v>1999.0</v>
      </c>
      <c r="E167" s="86"/>
      <c r="F167" s="84">
        <f t="shared" si="1"/>
        <v>137.931</v>
      </c>
      <c r="G167" s="84"/>
      <c r="H167" s="85">
        <v>1612.63</v>
      </c>
      <c r="I167" s="86">
        <v>0.1</v>
      </c>
      <c r="J167" s="85">
        <f t="shared" si="2"/>
        <v>199.9</v>
      </c>
      <c r="K167" s="85">
        <f t="shared" si="3"/>
        <v>172.3275862</v>
      </c>
      <c r="L167" s="85"/>
      <c r="M167" s="85">
        <f t="shared" si="4"/>
        <v>48.539</v>
      </c>
      <c r="N167" s="86">
        <f t="shared" si="7"/>
        <v>0.03009927882</v>
      </c>
      <c r="O167" s="86"/>
      <c r="P167" s="82"/>
    </row>
    <row r="168">
      <c r="A168" s="89" t="s">
        <v>3037</v>
      </c>
      <c r="B168" s="87" t="s">
        <v>3038</v>
      </c>
      <c r="C168" s="87"/>
      <c r="D168" s="85">
        <v>289.0</v>
      </c>
      <c r="E168" s="86"/>
      <c r="F168" s="84">
        <f t="shared" si="1"/>
        <v>19.941</v>
      </c>
      <c r="G168" s="84"/>
      <c r="H168" s="85">
        <v>120.0</v>
      </c>
      <c r="I168" s="86">
        <v>0.1</v>
      </c>
      <c r="J168" s="85">
        <f t="shared" si="2"/>
        <v>28.9</v>
      </c>
      <c r="K168" s="85">
        <f t="shared" si="3"/>
        <v>24.9137931</v>
      </c>
      <c r="L168" s="85"/>
      <c r="M168" s="85">
        <f t="shared" si="4"/>
        <v>120.159</v>
      </c>
      <c r="N168" s="86">
        <f t="shared" si="7"/>
        <v>1.001325</v>
      </c>
      <c r="O168" s="86"/>
      <c r="P168" s="82"/>
    </row>
    <row r="169">
      <c r="A169" s="89" t="s">
        <v>3039</v>
      </c>
      <c r="B169" s="89" t="s">
        <v>3040</v>
      </c>
      <c r="C169" s="89"/>
      <c r="D169" s="82">
        <v>1299.0</v>
      </c>
      <c r="E169" s="86"/>
      <c r="F169" s="84">
        <f t="shared" si="1"/>
        <v>89.631</v>
      </c>
      <c r="G169" s="84"/>
      <c r="H169" s="85">
        <v>949.71</v>
      </c>
      <c r="I169" s="86">
        <v>0.1</v>
      </c>
      <c r="J169" s="85">
        <f t="shared" si="2"/>
        <v>129.9</v>
      </c>
      <c r="K169" s="85">
        <f t="shared" si="3"/>
        <v>111.9827586</v>
      </c>
      <c r="L169" s="82">
        <v>64.0</v>
      </c>
      <c r="M169" s="85">
        <f t="shared" si="4"/>
        <v>65.759</v>
      </c>
      <c r="N169" s="86">
        <f t="shared" si="7"/>
        <v>0.06924113677</v>
      </c>
      <c r="O169" s="86"/>
      <c r="P169" s="82"/>
    </row>
    <row r="170">
      <c r="A170" s="89" t="s">
        <v>3041</v>
      </c>
      <c r="B170" s="89" t="s">
        <v>3042</v>
      </c>
      <c r="C170" s="89"/>
      <c r="D170" s="82">
        <v>1099.0</v>
      </c>
      <c r="E170" s="83"/>
      <c r="F170" s="84">
        <f t="shared" si="1"/>
        <v>75.831</v>
      </c>
      <c r="G170" s="84"/>
      <c r="H170" s="82">
        <v>732.08</v>
      </c>
      <c r="I170" s="86">
        <v>0.15</v>
      </c>
      <c r="J170" s="85">
        <f t="shared" si="2"/>
        <v>164.85</v>
      </c>
      <c r="K170" s="85">
        <f t="shared" si="3"/>
        <v>142.112069</v>
      </c>
      <c r="L170" s="82">
        <v>67.45</v>
      </c>
      <c r="M170" s="85">
        <f t="shared" si="4"/>
        <v>58.789</v>
      </c>
      <c r="N170" s="86">
        <f t="shared" si="7"/>
        <v>0.08030406513</v>
      </c>
      <c r="O170" s="86"/>
      <c r="P170" s="82"/>
    </row>
    <row r="171">
      <c r="A171" s="89" t="s">
        <v>3043</v>
      </c>
      <c r="B171" s="89" t="s">
        <v>3044</v>
      </c>
      <c r="C171" s="89"/>
      <c r="D171" s="82">
        <v>459.0</v>
      </c>
      <c r="E171" s="83"/>
      <c r="F171" s="84">
        <f t="shared" si="1"/>
        <v>31.671</v>
      </c>
      <c r="G171" s="84"/>
      <c r="H171" s="85">
        <v>269.6</v>
      </c>
      <c r="I171" s="86">
        <v>0.15</v>
      </c>
      <c r="J171" s="85">
        <f t="shared" si="2"/>
        <v>68.85</v>
      </c>
      <c r="K171" s="85">
        <f t="shared" si="3"/>
        <v>59.35344828</v>
      </c>
      <c r="L171" s="82">
        <v>61.79</v>
      </c>
      <c r="M171" s="85">
        <f t="shared" si="4"/>
        <v>27.089</v>
      </c>
      <c r="N171" s="86">
        <f t="shared" si="7"/>
        <v>0.1004784866</v>
      </c>
      <c r="O171" s="86"/>
      <c r="P171" s="82"/>
    </row>
    <row r="172">
      <c r="A172" s="89" t="s">
        <v>3045</v>
      </c>
      <c r="B172" s="89" t="s">
        <v>3046</v>
      </c>
      <c r="C172" s="89"/>
      <c r="D172" s="85">
        <v>1123.0</v>
      </c>
      <c r="E172" s="86"/>
      <c r="F172" s="84">
        <f t="shared" si="1"/>
        <v>77.487</v>
      </c>
      <c r="G172" s="84"/>
      <c r="H172" s="85">
        <v>1564.86</v>
      </c>
      <c r="I172" s="86">
        <v>0.15</v>
      </c>
      <c r="J172" s="85">
        <f t="shared" si="2"/>
        <v>168.45</v>
      </c>
      <c r="K172" s="85">
        <f t="shared" si="3"/>
        <v>145.2155172</v>
      </c>
      <c r="L172" s="85"/>
      <c r="M172" s="85">
        <f t="shared" si="4"/>
        <v>-687.797</v>
      </c>
      <c r="N172" s="86">
        <f t="shared" si="7"/>
        <v>-0.4395262196</v>
      </c>
      <c r="O172" s="86"/>
      <c r="P172" s="82"/>
    </row>
    <row r="173">
      <c r="A173" s="89" t="s">
        <v>3047</v>
      </c>
      <c r="B173" s="89" t="s">
        <v>3048</v>
      </c>
      <c r="C173" s="89"/>
      <c r="D173" s="85">
        <v>159.0</v>
      </c>
      <c r="E173" s="86"/>
      <c r="F173" s="84">
        <f t="shared" si="1"/>
        <v>10.971</v>
      </c>
      <c r="G173" s="84"/>
      <c r="H173" s="85">
        <v>46.72</v>
      </c>
      <c r="I173" s="86">
        <v>0.15</v>
      </c>
      <c r="J173" s="85">
        <f t="shared" si="2"/>
        <v>23.85</v>
      </c>
      <c r="K173" s="85">
        <f t="shared" si="3"/>
        <v>20.56034483</v>
      </c>
      <c r="L173" s="85"/>
      <c r="M173" s="85">
        <f t="shared" si="4"/>
        <v>77.459</v>
      </c>
      <c r="N173" s="86">
        <f t="shared" si="7"/>
        <v>1.657940925</v>
      </c>
      <c r="O173" s="86"/>
      <c r="P173" s="82"/>
    </row>
    <row r="174">
      <c r="A174" s="89" t="s">
        <v>3049</v>
      </c>
      <c r="B174" s="89" t="s">
        <v>3050</v>
      </c>
      <c r="C174" s="89"/>
      <c r="D174" s="85">
        <v>799.0</v>
      </c>
      <c r="E174" s="86"/>
      <c r="F174" s="84">
        <f t="shared" si="1"/>
        <v>55.131</v>
      </c>
      <c r="G174" s="84"/>
      <c r="H174" s="85">
        <v>542.77</v>
      </c>
      <c r="I174" s="86">
        <v>0.15</v>
      </c>
      <c r="J174" s="85">
        <f t="shared" si="2"/>
        <v>119.85</v>
      </c>
      <c r="K174" s="85">
        <f t="shared" si="3"/>
        <v>103.3189655</v>
      </c>
      <c r="L174" s="85"/>
      <c r="M174" s="85">
        <f t="shared" si="4"/>
        <v>81.249</v>
      </c>
      <c r="N174" s="86">
        <f t="shared" si="7"/>
        <v>0.1496932402</v>
      </c>
      <c r="O174" s="86"/>
      <c r="P174" s="82"/>
    </row>
    <row r="175">
      <c r="A175" s="89" t="s">
        <v>3051</v>
      </c>
      <c r="B175" s="89" t="s">
        <v>3052</v>
      </c>
      <c r="C175" s="89"/>
      <c r="D175" s="85">
        <v>1089.0</v>
      </c>
      <c r="E175" s="86"/>
      <c r="F175" s="84">
        <f t="shared" si="1"/>
        <v>75.141</v>
      </c>
      <c r="G175" s="84"/>
      <c r="H175" s="85">
        <v>795.84</v>
      </c>
      <c r="I175" s="86">
        <v>0.13</v>
      </c>
      <c r="J175" s="85">
        <f t="shared" si="2"/>
        <v>141.57</v>
      </c>
      <c r="K175" s="85">
        <f t="shared" si="3"/>
        <v>122.0431034</v>
      </c>
      <c r="L175" s="85"/>
      <c r="M175" s="85">
        <f t="shared" si="4"/>
        <v>76.449</v>
      </c>
      <c r="N175" s="86">
        <f t="shared" si="7"/>
        <v>0.09606076598</v>
      </c>
      <c r="O175" s="86"/>
      <c r="P175" s="82"/>
    </row>
    <row r="176">
      <c r="A176" s="89" t="s">
        <v>3053</v>
      </c>
      <c r="B176" s="89" t="s">
        <v>3054</v>
      </c>
      <c r="C176" s="89"/>
      <c r="D176" s="85">
        <v>924.0</v>
      </c>
      <c r="E176" s="86"/>
      <c r="F176" s="84">
        <f t="shared" si="1"/>
        <v>63.756</v>
      </c>
      <c r="G176" s="84"/>
      <c r="H176" s="85">
        <v>822.15</v>
      </c>
      <c r="I176" s="86">
        <v>0.1</v>
      </c>
      <c r="J176" s="85">
        <f t="shared" si="2"/>
        <v>92.4</v>
      </c>
      <c r="K176" s="85">
        <f t="shared" si="3"/>
        <v>79.65517241</v>
      </c>
      <c r="L176" s="85"/>
      <c r="M176" s="85">
        <f t="shared" si="4"/>
        <v>-54.306</v>
      </c>
      <c r="N176" s="86">
        <f t="shared" si="7"/>
        <v>-0.06605363985</v>
      </c>
      <c r="O176" s="86"/>
      <c r="P176" s="82"/>
    </row>
    <row r="177">
      <c r="A177" s="89" t="s">
        <v>3055</v>
      </c>
      <c r="B177" s="89" t="s">
        <v>3056</v>
      </c>
      <c r="C177" s="89"/>
      <c r="D177" s="85">
        <v>369.0</v>
      </c>
      <c r="E177" s="86"/>
      <c r="F177" s="84">
        <f t="shared" si="1"/>
        <v>25.461</v>
      </c>
      <c r="G177" s="84"/>
      <c r="H177" s="85">
        <v>234.09</v>
      </c>
      <c r="I177" s="86">
        <v>0.1</v>
      </c>
      <c r="J177" s="85">
        <f t="shared" si="2"/>
        <v>36.9</v>
      </c>
      <c r="K177" s="85">
        <f t="shared" si="3"/>
        <v>31.81034483</v>
      </c>
      <c r="L177" s="85"/>
      <c r="M177" s="85">
        <f t="shared" si="4"/>
        <v>72.549</v>
      </c>
      <c r="N177" s="86">
        <f t="shared" si="7"/>
        <v>0.3099192618</v>
      </c>
      <c r="O177" s="86"/>
      <c r="P177" s="82"/>
    </row>
    <row r="178">
      <c r="A178" s="89" t="s">
        <v>3057</v>
      </c>
      <c r="B178" s="89" t="s">
        <v>3058</v>
      </c>
      <c r="C178" s="89"/>
      <c r="D178" s="85">
        <v>338.0</v>
      </c>
      <c r="E178" s="86"/>
      <c r="F178" s="84">
        <f t="shared" si="1"/>
        <v>23.322</v>
      </c>
      <c r="G178" s="84"/>
      <c r="H178" s="85">
        <v>165.79</v>
      </c>
      <c r="I178" s="86">
        <v>0.1</v>
      </c>
      <c r="J178" s="85">
        <f t="shared" si="2"/>
        <v>33.8</v>
      </c>
      <c r="K178" s="85">
        <f t="shared" si="3"/>
        <v>29.13793103</v>
      </c>
      <c r="L178" s="85"/>
      <c r="M178" s="85">
        <f t="shared" si="4"/>
        <v>115.088</v>
      </c>
      <c r="N178" s="86">
        <f t="shared" si="7"/>
        <v>0.6941793836</v>
      </c>
      <c r="O178" s="86"/>
      <c r="P178" s="82"/>
    </row>
    <row r="179">
      <c r="A179" s="89" t="s">
        <v>3059</v>
      </c>
      <c r="B179" s="89" t="s">
        <v>3060</v>
      </c>
      <c r="C179" s="89"/>
      <c r="D179" s="85">
        <v>729.0</v>
      </c>
      <c r="E179" s="86"/>
      <c r="F179" s="84">
        <f t="shared" si="1"/>
        <v>50.301</v>
      </c>
      <c r="G179" s="84"/>
      <c r="H179" s="85">
        <v>525.0</v>
      </c>
      <c r="I179" s="86">
        <v>0.11</v>
      </c>
      <c r="J179" s="85">
        <f t="shared" si="2"/>
        <v>80.19</v>
      </c>
      <c r="K179" s="85">
        <f t="shared" si="3"/>
        <v>69.12931034</v>
      </c>
      <c r="L179" s="85"/>
      <c r="M179" s="85">
        <f t="shared" si="4"/>
        <v>73.509</v>
      </c>
      <c r="N179" s="86">
        <f t="shared" si="7"/>
        <v>0.1400171429</v>
      </c>
      <c r="O179" s="86"/>
      <c r="P179" s="82"/>
    </row>
    <row r="180">
      <c r="A180" s="89" t="s">
        <v>3061</v>
      </c>
      <c r="B180" s="89" t="s">
        <v>3062</v>
      </c>
      <c r="C180" s="89"/>
      <c r="D180" s="85">
        <v>989.0</v>
      </c>
      <c r="E180" s="86"/>
      <c r="F180" s="84">
        <f t="shared" si="1"/>
        <v>68.241</v>
      </c>
      <c r="G180" s="84"/>
      <c r="H180" s="85">
        <v>642.04</v>
      </c>
      <c r="I180" s="86">
        <v>0.15</v>
      </c>
      <c r="J180" s="85">
        <f t="shared" si="2"/>
        <v>148.35</v>
      </c>
      <c r="K180" s="85">
        <f t="shared" si="3"/>
        <v>127.887931</v>
      </c>
      <c r="L180" s="85"/>
      <c r="M180" s="85">
        <f t="shared" si="4"/>
        <v>130.369</v>
      </c>
      <c r="N180" s="86">
        <f t="shared" si="7"/>
        <v>0.2030543268</v>
      </c>
      <c r="O180" s="86"/>
      <c r="P180" s="82"/>
    </row>
    <row r="181">
      <c r="A181" s="89" t="s">
        <v>3063</v>
      </c>
      <c r="B181" s="89" t="s">
        <v>3064</v>
      </c>
      <c r="C181" s="89"/>
      <c r="D181" s="85">
        <v>149.0</v>
      </c>
      <c r="E181" s="86"/>
      <c r="F181" s="84">
        <f t="shared" si="1"/>
        <v>10.281</v>
      </c>
      <c r="G181" s="84"/>
      <c r="H181" s="85">
        <v>46.72</v>
      </c>
      <c r="I181" s="86">
        <v>0.15</v>
      </c>
      <c r="J181" s="85">
        <f t="shared" si="2"/>
        <v>22.35</v>
      </c>
      <c r="K181" s="85">
        <f t="shared" si="3"/>
        <v>19.26724138</v>
      </c>
      <c r="L181" s="85"/>
      <c r="M181" s="85">
        <f t="shared" si="4"/>
        <v>69.649</v>
      </c>
      <c r="N181" s="86">
        <f t="shared" si="7"/>
        <v>1.490774829</v>
      </c>
      <c r="O181" s="86"/>
      <c r="P181" s="82"/>
    </row>
    <row r="182">
      <c r="A182" s="89" t="s">
        <v>3065</v>
      </c>
      <c r="B182" s="89" t="s">
        <v>3066</v>
      </c>
      <c r="C182" s="89"/>
      <c r="D182" s="85">
        <v>519.0</v>
      </c>
      <c r="E182" s="86"/>
      <c r="F182" s="84">
        <f t="shared" si="1"/>
        <v>35.811</v>
      </c>
      <c r="G182" s="84"/>
      <c r="H182" s="85">
        <v>368.65</v>
      </c>
      <c r="I182" s="86">
        <v>0.15</v>
      </c>
      <c r="J182" s="85">
        <f t="shared" si="2"/>
        <v>77.85</v>
      </c>
      <c r="K182" s="85">
        <f t="shared" si="3"/>
        <v>67.11206897</v>
      </c>
      <c r="L182" s="85"/>
      <c r="M182" s="85">
        <f t="shared" si="4"/>
        <v>36.689</v>
      </c>
      <c r="N182" s="86">
        <f t="shared" si="7"/>
        <v>0.0995225824</v>
      </c>
      <c r="O182" s="86"/>
      <c r="P182" s="82"/>
    </row>
    <row r="183">
      <c r="A183" s="89" t="s">
        <v>3067</v>
      </c>
      <c r="B183" s="89" t="s">
        <v>3068</v>
      </c>
      <c r="C183" s="89"/>
      <c r="D183" s="85">
        <v>665.0</v>
      </c>
      <c r="E183" s="86"/>
      <c r="F183" s="84">
        <f t="shared" si="1"/>
        <v>45.885</v>
      </c>
      <c r="G183" s="84"/>
      <c r="H183" s="85">
        <v>452.61</v>
      </c>
      <c r="I183" s="86">
        <v>0.15</v>
      </c>
      <c r="J183" s="85">
        <f t="shared" si="2"/>
        <v>99.75</v>
      </c>
      <c r="K183" s="85">
        <f t="shared" si="3"/>
        <v>85.99137931</v>
      </c>
      <c r="L183" s="85"/>
      <c r="M183" s="85">
        <f t="shared" si="4"/>
        <v>66.755</v>
      </c>
      <c r="N183" s="86">
        <f t="shared" si="7"/>
        <v>0.1474890082</v>
      </c>
      <c r="O183" s="86"/>
      <c r="P183" s="82"/>
    </row>
    <row r="184">
      <c r="A184" s="89" t="s">
        <v>3069</v>
      </c>
      <c r="B184" s="89" t="s">
        <v>3070</v>
      </c>
      <c r="C184" s="89"/>
      <c r="D184" s="85">
        <v>519.0</v>
      </c>
      <c r="E184" s="86"/>
      <c r="F184" s="84">
        <f t="shared" si="1"/>
        <v>35.811</v>
      </c>
      <c r="G184" s="84"/>
      <c r="H184" s="85">
        <v>342.2</v>
      </c>
      <c r="I184" s="86">
        <v>0.1</v>
      </c>
      <c r="J184" s="85">
        <f t="shared" si="2"/>
        <v>51.9</v>
      </c>
      <c r="K184" s="85">
        <f t="shared" si="3"/>
        <v>44.74137931</v>
      </c>
      <c r="L184" s="85"/>
      <c r="M184" s="85">
        <f t="shared" si="4"/>
        <v>89.089</v>
      </c>
      <c r="N184" s="86">
        <f t="shared" si="7"/>
        <v>0.2603419053</v>
      </c>
      <c r="O184" s="86"/>
      <c r="P184" s="82"/>
    </row>
    <row r="185">
      <c r="A185" s="89" t="s">
        <v>3071</v>
      </c>
      <c r="B185" s="89" t="s">
        <v>3072</v>
      </c>
      <c r="C185" s="89"/>
      <c r="D185" s="85">
        <v>1599.0</v>
      </c>
      <c r="E185" s="86"/>
      <c r="F185" s="84">
        <f t="shared" si="1"/>
        <v>110.331</v>
      </c>
      <c r="G185" s="84"/>
      <c r="H185" s="85">
        <v>1160.0</v>
      </c>
      <c r="I185" s="86">
        <v>0.15</v>
      </c>
      <c r="J185" s="85">
        <f t="shared" si="2"/>
        <v>239.85</v>
      </c>
      <c r="K185" s="85">
        <f t="shared" si="3"/>
        <v>206.7672414</v>
      </c>
      <c r="L185" s="85"/>
      <c r="M185" s="85">
        <f t="shared" si="4"/>
        <v>88.819</v>
      </c>
      <c r="N185" s="86">
        <f t="shared" si="7"/>
        <v>0.07656810345</v>
      </c>
      <c r="O185" s="86"/>
      <c r="P185" s="82"/>
    </row>
    <row r="186">
      <c r="A186" s="89" t="s">
        <v>3073</v>
      </c>
      <c r="B186" s="89" t="s">
        <v>3074</v>
      </c>
      <c r="C186" s="89"/>
      <c r="D186" s="82">
        <v>629.0</v>
      </c>
      <c r="E186" s="86"/>
      <c r="F186" s="84">
        <f t="shared" si="1"/>
        <v>43.401</v>
      </c>
      <c r="G186" s="84"/>
      <c r="H186" s="82">
        <v>440.0</v>
      </c>
      <c r="I186" s="86">
        <v>0.1</v>
      </c>
      <c r="J186" s="85">
        <f t="shared" si="2"/>
        <v>62.9</v>
      </c>
      <c r="K186" s="85">
        <f t="shared" si="3"/>
        <v>54.22413793</v>
      </c>
      <c r="L186" s="82">
        <v>65.0</v>
      </c>
      <c r="M186" s="85">
        <f t="shared" si="4"/>
        <v>17.699</v>
      </c>
      <c r="N186" s="86">
        <f t="shared" si="7"/>
        <v>0.040225</v>
      </c>
      <c r="O186" s="86"/>
      <c r="P186" s="82"/>
    </row>
    <row r="187">
      <c r="A187" s="89" t="s">
        <v>3075</v>
      </c>
      <c r="B187" s="89" t="s">
        <v>3076</v>
      </c>
      <c r="C187" s="89"/>
      <c r="D187" s="85">
        <v>10599.0</v>
      </c>
      <c r="E187" s="86"/>
      <c r="F187" s="84">
        <f t="shared" si="1"/>
        <v>731.331</v>
      </c>
      <c r="G187" s="84"/>
      <c r="H187" s="85">
        <v>7641.14</v>
      </c>
      <c r="I187" s="86">
        <v>0.15</v>
      </c>
      <c r="J187" s="85">
        <f t="shared" si="2"/>
        <v>1589.85</v>
      </c>
      <c r="K187" s="85">
        <f t="shared" si="3"/>
        <v>1370.560345</v>
      </c>
      <c r="L187" s="85"/>
      <c r="M187" s="85">
        <f t="shared" si="4"/>
        <v>636.679</v>
      </c>
      <c r="N187" s="86">
        <f t="shared" si="7"/>
        <v>0.0833225147</v>
      </c>
      <c r="O187" s="86"/>
      <c r="P187" s="82"/>
    </row>
    <row r="188">
      <c r="A188" s="89" t="s">
        <v>3077</v>
      </c>
      <c r="B188" s="89" t="s">
        <v>3078</v>
      </c>
      <c r="C188" s="89"/>
      <c r="D188" s="85">
        <v>479.0</v>
      </c>
      <c r="E188" s="86"/>
      <c r="F188" s="84">
        <f t="shared" si="1"/>
        <v>33.051</v>
      </c>
      <c r="G188" s="84"/>
      <c r="H188" s="85">
        <v>302.35</v>
      </c>
      <c r="I188" s="86">
        <v>0.15</v>
      </c>
      <c r="J188" s="85">
        <f t="shared" si="2"/>
        <v>71.85</v>
      </c>
      <c r="K188" s="85">
        <f t="shared" si="3"/>
        <v>61.93965517</v>
      </c>
      <c r="L188" s="85"/>
      <c r="M188" s="85">
        <f t="shared" si="4"/>
        <v>71.749</v>
      </c>
      <c r="N188" s="86">
        <f t="shared" si="7"/>
        <v>0.2373044485</v>
      </c>
      <c r="O188" s="86"/>
      <c r="P188" s="82"/>
    </row>
    <row r="189">
      <c r="A189" s="89" t="s">
        <v>3079</v>
      </c>
      <c r="B189" s="89" t="s">
        <v>3080</v>
      </c>
      <c r="C189" s="89"/>
      <c r="D189" s="85">
        <v>624.0</v>
      </c>
      <c r="E189" s="86"/>
      <c r="F189" s="84">
        <f t="shared" si="1"/>
        <v>43.056</v>
      </c>
      <c r="G189" s="84"/>
      <c r="H189" s="85">
        <v>426.03</v>
      </c>
      <c r="I189" s="86">
        <v>0.15</v>
      </c>
      <c r="J189" s="85">
        <f t="shared" si="2"/>
        <v>93.6</v>
      </c>
      <c r="K189" s="85">
        <f t="shared" si="3"/>
        <v>80.68965517</v>
      </c>
      <c r="L189" s="85"/>
      <c r="M189" s="85">
        <f t="shared" si="4"/>
        <v>61.314</v>
      </c>
      <c r="N189" s="86">
        <f t="shared" si="7"/>
        <v>0.1439194423</v>
      </c>
      <c r="O189" s="86"/>
      <c r="P189" s="82"/>
    </row>
    <row r="190">
      <c r="A190" s="89" t="s">
        <v>3081</v>
      </c>
      <c r="B190" s="89" t="s">
        <v>3082</v>
      </c>
      <c r="C190" s="89"/>
      <c r="D190" s="85">
        <v>12999.0</v>
      </c>
      <c r="E190" s="86"/>
      <c r="F190" s="84">
        <f t="shared" si="1"/>
        <v>896.931</v>
      </c>
      <c r="G190" s="84"/>
      <c r="H190" s="85">
        <v>10368.0</v>
      </c>
      <c r="I190" s="86">
        <v>0.1</v>
      </c>
      <c r="J190" s="85">
        <f t="shared" si="2"/>
        <v>1299.9</v>
      </c>
      <c r="K190" s="85">
        <f t="shared" si="3"/>
        <v>1120.603448</v>
      </c>
      <c r="L190" s="85"/>
      <c r="M190" s="85">
        <f t="shared" si="4"/>
        <v>434.169</v>
      </c>
      <c r="N190" s="86">
        <f t="shared" si="7"/>
        <v>0.04187586806</v>
      </c>
      <c r="O190" s="86"/>
      <c r="P190" s="82"/>
    </row>
    <row r="191">
      <c r="A191" s="89" t="s">
        <v>3083</v>
      </c>
      <c r="B191" s="89" t="s">
        <v>3084</v>
      </c>
      <c r="C191" s="89"/>
      <c r="D191" s="82">
        <v>4899.0</v>
      </c>
      <c r="E191" s="86"/>
      <c r="F191" s="84">
        <f t="shared" si="1"/>
        <v>338.031</v>
      </c>
      <c r="G191" s="84"/>
      <c r="H191" s="82">
        <v>3873.78</v>
      </c>
      <c r="I191" s="86">
        <v>0.1</v>
      </c>
      <c r="J191" s="85">
        <f t="shared" si="2"/>
        <v>489.9</v>
      </c>
      <c r="K191" s="85">
        <f t="shared" si="3"/>
        <v>422.3275862</v>
      </c>
      <c r="L191" s="82">
        <v>100.0</v>
      </c>
      <c r="M191" s="85">
        <f t="shared" si="4"/>
        <v>97.289</v>
      </c>
      <c r="N191" s="86">
        <f t="shared" si="7"/>
        <v>0.0251147458</v>
      </c>
      <c r="O191" s="86"/>
      <c r="P191" s="82"/>
    </row>
    <row r="192">
      <c r="A192" s="89" t="s">
        <v>3085</v>
      </c>
      <c r="B192" s="89" t="s">
        <v>3086</v>
      </c>
      <c r="C192" s="89"/>
      <c r="D192" s="85">
        <v>1499.0</v>
      </c>
      <c r="E192" s="86"/>
      <c r="F192" s="84">
        <f t="shared" si="1"/>
        <v>103.431</v>
      </c>
      <c r="G192" s="84"/>
      <c r="H192" s="85">
        <v>890.85</v>
      </c>
      <c r="I192" s="86">
        <v>0.16</v>
      </c>
      <c r="J192" s="85">
        <f t="shared" si="2"/>
        <v>239.84</v>
      </c>
      <c r="K192" s="85">
        <f t="shared" si="3"/>
        <v>206.7586207</v>
      </c>
      <c r="L192" s="85"/>
      <c r="M192" s="85">
        <f t="shared" si="4"/>
        <v>264.879</v>
      </c>
      <c r="N192" s="86">
        <f t="shared" si="7"/>
        <v>0.2973328843</v>
      </c>
      <c r="O192" s="86"/>
      <c r="P192" s="82"/>
    </row>
    <row r="193">
      <c r="A193" s="89" t="s">
        <v>3087</v>
      </c>
      <c r="B193" s="89" t="s">
        <v>3088</v>
      </c>
      <c r="C193" s="89"/>
      <c r="D193" s="85">
        <v>799.0</v>
      </c>
      <c r="E193" s="86"/>
      <c r="F193" s="84">
        <f t="shared" si="1"/>
        <v>55.131</v>
      </c>
      <c r="G193" s="84"/>
      <c r="H193" s="85">
        <v>560.84</v>
      </c>
      <c r="I193" s="86">
        <v>0.15</v>
      </c>
      <c r="J193" s="85">
        <f t="shared" si="2"/>
        <v>119.85</v>
      </c>
      <c r="K193" s="85">
        <f t="shared" si="3"/>
        <v>103.3189655</v>
      </c>
      <c r="L193" s="85"/>
      <c r="M193" s="85">
        <f t="shared" si="4"/>
        <v>63.179</v>
      </c>
      <c r="N193" s="86">
        <f t="shared" si="7"/>
        <v>0.1126506669</v>
      </c>
      <c r="O193" s="86"/>
      <c r="P193" s="82"/>
    </row>
    <row r="194">
      <c r="A194" s="89" t="s">
        <v>3087</v>
      </c>
      <c r="B194" s="89" t="s">
        <v>3089</v>
      </c>
      <c r="C194" s="89"/>
      <c r="D194" s="85">
        <v>499.0</v>
      </c>
      <c r="E194" s="86"/>
      <c r="F194" s="84">
        <f t="shared" si="1"/>
        <v>34.431</v>
      </c>
      <c r="G194" s="84"/>
      <c r="H194" s="85">
        <v>308.83</v>
      </c>
      <c r="I194" s="86">
        <v>0.15</v>
      </c>
      <c r="J194" s="85">
        <f t="shared" si="2"/>
        <v>74.85</v>
      </c>
      <c r="K194" s="85">
        <f t="shared" si="3"/>
        <v>64.52586207</v>
      </c>
      <c r="L194" s="85"/>
      <c r="M194" s="85">
        <f t="shared" si="4"/>
        <v>80.889</v>
      </c>
      <c r="N194" s="86">
        <f t="shared" si="7"/>
        <v>0.2619207978</v>
      </c>
      <c r="O194" s="86"/>
      <c r="P194" s="82"/>
    </row>
    <row r="195">
      <c r="A195" s="89" t="s">
        <v>3087</v>
      </c>
      <c r="B195" s="89" t="s">
        <v>3090</v>
      </c>
      <c r="C195" s="94" t="s">
        <v>3091</v>
      </c>
      <c r="D195" s="82">
        <v>527.0</v>
      </c>
      <c r="E195" s="83"/>
      <c r="F195" s="84">
        <f t="shared" si="1"/>
        <v>36.363</v>
      </c>
      <c r="G195" s="84"/>
      <c r="H195" s="82">
        <v>350.52</v>
      </c>
      <c r="I195" s="86">
        <v>0.15</v>
      </c>
      <c r="J195" s="85">
        <f t="shared" si="2"/>
        <v>79.05</v>
      </c>
      <c r="K195" s="85">
        <f t="shared" si="3"/>
        <v>68.14655172</v>
      </c>
      <c r="L195" s="82">
        <v>63.0</v>
      </c>
      <c r="M195" s="85">
        <f t="shared" si="4"/>
        <v>-1.933</v>
      </c>
      <c r="N195" s="86">
        <f t="shared" si="7"/>
        <v>-0.005514663928</v>
      </c>
      <c r="O195" s="86"/>
      <c r="P195" s="82"/>
    </row>
    <row r="196">
      <c r="A196" s="89" t="s">
        <v>3092</v>
      </c>
      <c r="B196" s="89" t="s">
        <v>3093</v>
      </c>
      <c r="C196" s="89"/>
      <c r="D196" s="85">
        <v>2149.0</v>
      </c>
      <c r="E196" s="86"/>
      <c r="F196" s="84">
        <f t="shared" si="1"/>
        <v>148.281</v>
      </c>
      <c r="G196" s="84"/>
      <c r="H196" s="85">
        <v>1650.62</v>
      </c>
      <c r="I196" s="86">
        <v>0.1</v>
      </c>
      <c r="J196" s="85">
        <f t="shared" si="2"/>
        <v>214.9</v>
      </c>
      <c r="K196" s="85">
        <f t="shared" si="3"/>
        <v>185.2586207</v>
      </c>
      <c r="L196" s="85"/>
      <c r="M196" s="85">
        <f t="shared" si="4"/>
        <v>135.199</v>
      </c>
      <c r="N196" s="86">
        <f t="shared" si="7"/>
        <v>0.08190801032</v>
      </c>
      <c r="O196" s="86"/>
      <c r="P196" s="82"/>
    </row>
    <row r="197">
      <c r="A197" s="89" t="s">
        <v>3094</v>
      </c>
      <c r="B197" s="89" t="s">
        <v>3095</v>
      </c>
      <c r="C197" s="89"/>
      <c r="D197" s="85">
        <v>356.0</v>
      </c>
      <c r="E197" s="86"/>
      <c r="F197" s="84">
        <f t="shared" si="1"/>
        <v>24.564</v>
      </c>
      <c r="G197" s="84"/>
      <c r="H197" s="85">
        <v>411.45</v>
      </c>
      <c r="I197" s="86">
        <v>0.11</v>
      </c>
      <c r="J197" s="85">
        <f t="shared" si="2"/>
        <v>39.16</v>
      </c>
      <c r="K197" s="85">
        <f t="shared" si="3"/>
        <v>33.75862069</v>
      </c>
      <c r="L197" s="85"/>
      <c r="M197" s="85">
        <f t="shared" si="4"/>
        <v>-119.174</v>
      </c>
      <c r="N197" s="86">
        <f t="shared" si="7"/>
        <v>-0.2896439422</v>
      </c>
      <c r="O197" s="86"/>
      <c r="P197" s="82"/>
    </row>
    <row r="198">
      <c r="A198" s="89" t="s">
        <v>3096</v>
      </c>
      <c r="B198" s="89" t="s">
        <v>3097</v>
      </c>
      <c r="C198" s="89"/>
      <c r="D198" s="85">
        <v>3399.0</v>
      </c>
      <c r="E198" s="86"/>
      <c r="F198" s="84">
        <f t="shared" si="1"/>
        <v>234.531</v>
      </c>
      <c r="G198" s="84"/>
      <c r="H198" s="85">
        <v>2699.52</v>
      </c>
      <c r="I198" s="86">
        <v>0.1</v>
      </c>
      <c r="J198" s="85">
        <f t="shared" si="2"/>
        <v>339.9</v>
      </c>
      <c r="K198" s="85">
        <f t="shared" si="3"/>
        <v>293.0172414</v>
      </c>
      <c r="L198" s="85"/>
      <c r="M198" s="85">
        <f t="shared" si="4"/>
        <v>125.049</v>
      </c>
      <c r="N198" s="86">
        <f t="shared" si="7"/>
        <v>0.04632267959</v>
      </c>
      <c r="O198" s="86"/>
      <c r="P198" s="82"/>
    </row>
    <row r="199">
      <c r="A199" s="89" t="s">
        <v>3098</v>
      </c>
      <c r="B199" s="89" t="s">
        <v>3099</v>
      </c>
      <c r="C199" s="89"/>
      <c r="D199" s="85">
        <v>2410.0</v>
      </c>
      <c r="E199" s="86"/>
      <c r="F199" s="84">
        <f t="shared" si="1"/>
        <v>166.29</v>
      </c>
      <c r="G199" s="84"/>
      <c r="H199" s="85">
        <v>1909.42</v>
      </c>
      <c r="I199" s="86">
        <v>0.1</v>
      </c>
      <c r="J199" s="85">
        <f t="shared" si="2"/>
        <v>241</v>
      </c>
      <c r="K199" s="85">
        <f t="shared" si="3"/>
        <v>207.7586207</v>
      </c>
      <c r="L199" s="85"/>
      <c r="M199" s="85">
        <f t="shared" si="4"/>
        <v>93.29</v>
      </c>
      <c r="N199" s="86">
        <f t="shared" si="7"/>
        <v>0.04885776833</v>
      </c>
      <c r="O199" s="86"/>
      <c r="P199" s="82"/>
    </row>
    <row r="200">
      <c r="A200" s="89" t="s">
        <v>3100</v>
      </c>
      <c r="B200" s="89" t="s">
        <v>3101</v>
      </c>
      <c r="C200" s="89"/>
      <c r="D200" s="85">
        <v>1189.0</v>
      </c>
      <c r="E200" s="86"/>
      <c r="F200" s="84">
        <f t="shared" si="1"/>
        <v>82.041</v>
      </c>
      <c r="G200" s="84"/>
      <c r="H200" s="85">
        <v>1199.74</v>
      </c>
      <c r="I200" s="86">
        <v>0.11</v>
      </c>
      <c r="J200" s="85">
        <f t="shared" si="2"/>
        <v>130.79</v>
      </c>
      <c r="K200" s="85">
        <f t="shared" si="3"/>
        <v>112.75</v>
      </c>
      <c r="L200" s="85"/>
      <c r="M200" s="85">
        <f t="shared" si="4"/>
        <v>-223.571</v>
      </c>
      <c r="N200" s="86">
        <f t="shared" si="7"/>
        <v>-0.1863495424</v>
      </c>
      <c r="O200" s="86"/>
      <c r="P200" s="82"/>
    </row>
    <row r="201">
      <c r="A201" s="89" t="s">
        <v>3102</v>
      </c>
      <c r="B201" s="89" t="s">
        <v>3103</v>
      </c>
      <c r="C201" s="89"/>
      <c r="D201" s="85">
        <v>629.0</v>
      </c>
      <c r="E201" s="86"/>
      <c r="F201" s="84">
        <f t="shared" si="1"/>
        <v>43.401</v>
      </c>
      <c r="G201" s="84"/>
      <c r="H201" s="85">
        <v>449.52</v>
      </c>
      <c r="I201" s="86">
        <v>0.1</v>
      </c>
      <c r="J201" s="85">
        <f t="shared" si="2"/>
        <v>62.9</v>
      </c>
      <c r="K201" s="85">
        <f t="shared" si="3"/>
        <v>54.22413793</v>
      </c>
      <c r="L201" s="85"/>
      <c r="M201" s="85">
        <f t="shared" si="4"/>
        <v>73.179</v>
      </c>
      <c r="N201" s="86">
        <f t="shared" si="7"/>
        <v>0.1627936466</v>
      </c>
      <c r="O201" s="86"/>
      <c r="P201" s="82"/>
    </row>
    <row r="202">
      <c r="A202" s="89" t="s">
        <v>3104</v>
      </c>
      <c r="B202" s="89" t="s">
        <v>3105</v>
      </c>
      <c r="C202" s="89"/>
      <c r="D202" s="85">
        <v>529.0</v>
      </c>
      <c r="E202" s="83"/>
      <c r="F202" s="84">
        <f t="shared" si="1"/>
        <v>36.501</v>
      </c>
      <c r="G202" s="84"/>
      <c r="H202" s="85">
        <v>362.48</v>
      </c>
      <c r="I202" s="86">
        <v>0.1</v>
      </c>
      <c r="J202" s="85">
        <f t="shared" si="2"/>
        <v>52.9</v>
      </c>
      <c r="K202" s="85">
        <f t="shared" si="3"/>
        <v>45.60344828</v>
      </c>
      <c r="L202" s="85"/>
      <c r="M202" s="85">
        <f t="shared" si="4"/>
        <v>77.119</v>
      </c>
      <c r="N202" s="86">
        <f t="shared" si="7"/>
        <v>0.2127538071</v>
      </c>
      <c r="O202" s="86"/>
      <c r="P202" s="82"/>
    </row>
    <row r="203">
      <c r="A203" s="89" t="s">
        <v>3106</v>
      </c>
      <c r="B203" s="89" t="s">
        <v>3107</v>
      </c>
      <c r="C203" s="89"/>
      <c r="D203" s="82">
        <v>1150.0</v>
      </c>
      <c r="E203" s="86"/>
      <c r="F203" s="84">
        <f t="shared" si="1"/>
        <v>79.35</v>
      </c>
      <c r="G203" s="84"/>
      <c r="H203" s="85">
        <v>1470.13</v>
      </c>
      <c r="I203" s="86">
        <v>0.15</v>
      </c>
      <c r="J203" s="85">
        <f t="shared" si="2"/>
        <v>172.5</v>
      </c>
      <c r="K203" s="85">
        <f t="shared" si="3"/>
        <v>148.7068966</v>
      </c>
      <c r="L203" s="82">
        <v>64.62</v>
      </c>
      <c r="M203" s="85">
        <f t="shared" si="4"/>
        <v>-636.6</v>
      </c>
      <c r="N203" s="86">
        <f t="shared" si="7"/>
        <v>-0.4330229299</v>
      </c>
      <c r="O203" s="86"/>
      <c r="P203" s="82"/>
    </row>
    <row r="204">
      <c r="A204" s="89" t="s">
        <v>3108</v>
      </c>
      <c r="B204" s="89" t="s">
        <v>3109</v>
      </c>
      <c r="C204" s="89"/>
      <c r="D204" s="85">
        <v>599.0</v>
      </c>
      <c r="E204" s="83"/>
      <c r="F204" s="84">
        <f t="shared" si="1"/>
        <v>41.331</v>
      </c>
      <c r="G204" s="84"/>
      <c r="H204" s="85">
        <v>431.1</v>
      </c>
      <c r="I204" s="86">
        <v>0.1</v>
      </c>
      <c r="J204" s="85">
        <f t="shared" si="2"/>
        <v>59.9</v>
      </c>
      <c r="K204" s="85">
        <f t="shared" si="3"/>
        <v>51.63793103</v>
      </c>
      <c r="L204" s="82">
        <v>66.04</v>
      </c>
      <c r="M204" s="85">
        <f t="shared" si="4"/>
        <v>0.629</v>
      </c>
      <c r="N204" s="86">
        <f t="shared" si="7"/>
        <v>0.001459058223</v>
      </c>
      <c r="O204" s="86"/>
      <c r="P204" s="82"/>
    </row>
    <row r="205">
      <c r="A205" s="89" t="s">
        <v>3110</v>
      </c>
      <c r="B205" s="89" t="s">
        <v>3111</v>
      </c>
      <c r="C205" s="89"/>
      <c r="D205" s="85">
        <v>3299.0</v>
      </c>
      <c r="E205" s="86"/>
      <c r="F205" s="84">
        <f t="shared" si="1"/>
        <v>227.631</v>
      </c>
      <c r="G205" s="84"/>
      <c r="H205" s="85">
        <v>2463.43</v>
      </c>
      <c r="I205" s="86">
        <v>0.15</v>
      </c>
      <c r="J205" s="85">
        <f t="shared" si="2"/>
        <v>494.85</v>
      </c>
      <c r="K205" s="85">
        <f t="shared" si="3"/>
        <v>426.5948276</v>
      </c>
      <c r="L205" s="85"/>
      <c r="M205" s="85">
        <f t="shared" si="4"/>
        <v>113.089</v>
      </c>
      <c r="N205" s="86">
        <f t="shared" si="7"/>
        <v>0.04590712949</v>
      </c>
      <c r="O205" s="86"/>
      <c r="P205" s="82"/>
    </row>
    <row r="206">
      <c r="A206" s="89" t="s">
        <v>3112</v>
      </c>
      <c r="B206" s="89" t="s">
        <v>3005</v>
      </c>
      <c r="C206" s="89"/>
      <c r="D206" s="85">
        <v>219.0</v>
      </c>
      <c r="E206" s="86"/>
      <c r="F206" s="84">
        <f t="shared" si="1"/>
        <v>15.111</v>
      </c>
      <c r="G206" s="84"/>
      <c r="H206" s="85">
        <v>96.19</v>
      </c>
      <c r="I206" s="86">
        <v>0.15</v>
      </c>
      <c r="J206" s="85">
        <f t="shared" si="2"/>
        <v>32.85</v>
      </c>
      <c r="K206" s="85">
        <f t="shared" si="3"/>
        <v>28.31896552</v>
      </c>
      <c r="L206" s="85"/>
      <c r="M206" s="85">
        <f t="shared" si="4"/>
        <v>74.849</v>
      </c>
      <c r="N206" s="86">
        <f t="shared" si="7"/>
        <v>0.7781370205</v>
      </c>
      <c r="O206" s="86"/>
      <c r="P206" s="82"/>
    </row>
    <row r="207">
      <c r="A207" s="89" t="s">
        <v>3113</v>
      </c>
      <c r="B207" s="89" t="s">
        <v>3114</v>
      </c>
      <c r="C207" s="89"/>
      <c r="D207" s="85">
        <v>2000.0</v>
      </c>
      <c r="E207" s="86"/>
      <c r="F207" s="84">
        <f t="shared" si="1"/>
        <v>138</v>
      </c>
      <c r="G207" s="84"/>
      <c r="H207" s="85">
        <v>1509.38</v>
      </c>
      <c r="I207" s="86">
        <v>0.1</v>
      </c>
      <c r="J207" s="85">
        <f t="shared" si="2"/>
        <v>200</v>
      </c>
      <c r="K207" s="85">
        <f t="shared" si="3"/>
        <v>172.4137931</v>
      </c>
      <c r="L207" s="85"/>
      <c r="M207" s="85">
        <f t="shared" si="4"/>
        <v>152.62</v>
      </c>
      <c r="N207" s="86">
        <f t="shared" si="7"/>
        <v>0.1011143648</v>
      </c>
      <c r="O207" s="86"/>
      <c r="P207" s="82"/>
    </row>
    <row r="208">
      <c r="A208" s="89" t="s">
        <v>3115</v>
      </c>
      <c r="B208" s="89" t="s">
        <v>3116</v>
      </c>
      <c r="C208" s="89"/>
      <c r="D208" s="85">
        <v>2653.0</v>
      </c>
      <c r="E208" s="86"/>
      <c r="F208" s="84">
        <f t="shared" si="1"/>
        <v>183.057</v>
      </c>
      <c r="G208" s="84"/>
      <c r="H208" s="85">
        <v>2941.34</v>
      </c>
      <c r="I208" s="86">
        <v>0.11</v>
      </c>
      <c r="J208" s="85">
        <f t="shared" si="2"/>
        <v>291.83</v>
      </c>
      <c r="K208" s="85">
        <f t="shared" si="3"/>
        <v>251.5775862</v>
      </c>
      <c r="L208" s="85"/>
      <c r="M208" s="85">
        <f t="shared" si="4"/>
        <v>-763.227</v>
      </c>
      <c r="N208" s="86">
        <f t="shared" si="7"/>
        <v>-0.2594827528</v>
      </c>
      <c r="O208" s="86"/>
      <c r="P208" s="82"/>
    </row>
    <row r="209">
      <c r="A209" s="89" t="s">
        <v>3117</v>
      </c>
      <c r="B209" s="89" t="s">
        <v>3118</v>
      </c>
      <c r="C209" s="89"/>
      <c r="D209" s="85">
        <v>889.0</v>
      </c>
      <c r="E209" s="86"/>
      <c r="F209" s="84">
        <f t="shared" si="1"/>
        <v>61.341</v>
      </c>
      <c r="G209" s="84"/>
      <c r="H209" s="85">
        <v>1038.2</v>
      </c>
      <c r="I209" s="86">
        <v>0.11</v>
      </c>
      <c r="J209" s="85">
        <f t="shared" si="2"/>
        <v>97.79</v>
      </c>
      <c r="K209" s="85">
        <f t="shared" si="3"/>
        <v>84.30172414</v>
      </c>
      <c r="L209" s="85"/>
      <c r="M209" s="85">
        <f t="shared" si="4"/>
        <v>-308.331</v>
      </c>
      <c r="N209" s="86">
        <f t="shared" si="7"/>
        <v>-0.2969861298</v>
      </c>
      <c r="O209" s="86"/>
      <c r="P209" s="82"/>
    </row>
    <row r="210">
      <c r="A210" s="89" t="s">
        <v>3119</v>
      </c>
      <c r="B210" s="89" t="s">
        <v>3120</v>
      </c>
      <c r="C210" s="89"/>
      <c r="D210" s="85">
        <v>2233.0</v>
      </c>
      <c r="E210" s="86"/>
      <c r="F210" s="84">
        <f t="shared" si="1"/>
        <v>154.077</v>
      </c>
      <c r="G210" s="84"/>
      <c r="H210" s="85">
        <v>1746.15</v>
      </c>
      <c r="I210" s="86">
        <v>0.1</v>
      </c>
      <c r="J210" s="85">
        <f t="shared" si="2"/>
        <v>223.3</v>
      </c>
      <c r="K210" s="85">
        <f t="shared" si="3"/>
        <v>192.5</v>
      </c>
      <c r="L210" s="85"/>
      <c r="M210" s="85">
        <f t="shared" si="4"/>
        <v>109.473</v>
      </c>
      <c r="N210" s="86">
        <f t="shared" si="7"/>
        <v>0.06269392664</v>
      </c>
      <c r="O210" s="86"/>
      <c r="P210" s="82"/>
    </row>
    <row r="211">
      <c r="A211" s="89" t="s">
        <v>3121</v>
      </c>
      <c r="B211" s="89" t="s">
        <v>3122</v>
      </c>
      <c r="C211" s="89"/>
      <c r="D211" s="85">
        <v>2099.0</v>
      </c>
      <c r="E211" s="86"/>
      <c r="F211" s="84">
        <f t="shared" si="1"/>
        <v>144.831</v>
      </c>
      <c r="G211" s="84"/>
      <c r="H211" s="85">
        <v>1563.41</v>
      </c>
      <c r="I211" s="86">
        <v>0.1</v>
      </c>
      <c r="J211" s="85">
        <f t="shared" si="2"/>
        <v>209.9</v>
      </c>
      <c r="K211" s="85">
        <f t="shared" si="3"/>
        <v>180.9482759</v>
      </c>
      <c r="L211" s="85"/>
      <c r="M211" s="85">
        <f t="shared" si="4"/>
        <v>180.859</v>
      </c>
      <c r="N211" s="86">
        <f t="shared" si="7"/>
        <v>0.1156823866</v>
      </c>
      <c r="O211" s="86"/>
      <c r="P211" s="82"/>
    </row>
    <row r="212">
      <c r="A212" s="89" t="s">
        <v>3092</v>
      </c>
      <c r="B212" s="89" t="s">
        <v>3093</v>
      </c>
      <c r="C212" s="89"/>
      <c r="D212" s="85">
        <v>2099.0</v>
      </c>
      <c r="E212" s="86"/>
      <c r="F212" s="84">
        <f t="shared" si="1"/>
        <v>144.831</v>
      </c>
      <c r="G212" s="84"/>
      <c r="H212" s="85">
        <v>1650.62</v>
      </c>
      <c r="I212" s="86">
        <v>0.1</v>
      </c>
      <c r="J212" s="85">
        <f t="shared" si="2"/>
        <v>209.9</v>
      </c>
      <c r="K212" s="85">
        <f t="shared" si="3"/>
        <v>180.9482759</v>
      </c>
      <c r="L212" s="85"/>
      <c r="M212" s="85">
        <f t="shared" si="4"/>
        <v>93.649</v>
      </c>
      <c r="N212" s="86">
        <f t="shared" si="7"/>
        <v>0.05673565085</v>
      </c>
      <c r="O212" s="86"/>
      <c r="P212" s="82"/>
    </row>
    <row r="213">
      <c r="A213" s="89"/>
      <c r="B213" s="89" t="s">
        <v>3123</v>
      </c>
      <c r="C213" s="89"/>
      <c r="D213" s="85">
        <v>3949.0</v>
      </c>
      <c r="E213" s="86"/>
      <c r="F213" s="84">
        <f t="shared" si="1"/>
        <v>272.481</v>
      </c>
      <c r="G213" s="84"/>
      <c r="H213" s="85">
        <v>2895.95</v>
      </c>
      <c r="I213" s="86">
        <v>0.14</v>
      </c>
      <c r="J213" s="85">
        <f t="shared" si="2"/>
        <v>552.86</v>
      </c>
      <c r="K213" s="85">
        <f t="shared" si="3"/>
        <v>476.6034483</v>
      </c>
      <c r="L213" s="85"/>
      <c r="M213" s="85">
        <f t="shared" si="4"/>
        <v>227.709</v>
      </c>
      <c r="N213" s="86">
        <f t="shared" si="7"/>
        <v>0.07863015591</v>
      </c>
      <c r="O213" s="86"/>
      <c r="P213" s="82"/>
    </row>
    <row r="214">
      <c r="A214" s="89" t="s">
        <v>3124</v>
      </c>
      <c r="B214" s="89" t="s">
        <v>3125</v>
      </c>
      <c r="C214" s="89"/>
      <c r="D214" s="85">
        <v>480.0</v>
      </c>
      <c r="E214" s="86"/>
      <c r="F214" s="84">
        <f t="shared" si="1"/>
        <v>33.12</v>
      </c>
      <c r="G214" s="84"/>
      <c r="H214" s="85">
        <v>318.15</v>
      </c>
      <c r="I214" s="86">
        <v>0.1</v>
      </c>
      <c r="J214" s="85">
        <f t="shared" si="2"/>
        <v>48</v>
      </c>
      <c r="K214" s="85">
        <f t="shared" si="3"/>
        <v>41.37931034</v>
      </c>
      <c r="L214" s="85"/>
      <c r="M214" s="85">
        <f t="shared" si="4"/>
        <v>80.73</v>
      </c>
      <c r="N214" s="86">
        <f t="shared" si="7"/>
        <v>0.253748232</v>
      </c>
      <c r="O214" s="86"/>
      <c r="P214" s="82"/>
    </row>
    <row r="215">
      <c r="A215" s="89" t="s">
        <v>3126</v>
      </c>
      <c r="B215" s="89" t="s">
        <v>3127</v>
      </c>
      <c r="C215" s="89"/>
      <c r="D215" s="85">
        <v>1059.0</v>
      </c>
      <c r="E215" s="86"/>
      <c r="F215" s="84">
        <f t="shared" si="1"/>
        <v>73.071</v>
      </c>
      <c r="G215" s="84"/>
      <c r="H215" s="85">
        <v>756.58</v>
      </c>
      <c r="I215" s="86">
        <v>0.15</v>
      </c>
      <c r="J215" s="85">
        <f t="shared" si="2"/>
        <v>158.85</v>
      </c>
      <c r="K215" s="85">
        <f t="shared" si="3"/>
        <v>136.9396552</v>
      </c>
      <c r="L215" s="85"/>
      <c r="M215" s="85">
        <f t="shared" si="4"/>
        <v>70.499</v>
      </c>
      <c r="N215" s="86">
        <f t="shared" si="7"/>
        <v>0.09318115731</v>
      </c>
      <c r="O215" s="86"/>
      <c r="P215" s="82"/>
    </row>
    <row r="216">
      <c r="A216" s="89" t="s">
        <v>3128</v>
      </c>
      <c r="B216" s="89" t="s">
        <v>3129</v>
      </c>
      <c r="C216" s="89"/>
      <c r="D216" s="85">
        <v>2799.0</v>
      </c>
      <c r="E216" s="86"/>
      <c r="F216" s="84">
        <f t="shared" si="1"/>
        <v>193.131</v>
      </c>
      <c r="G216" s="84"/>
      <c r="H216" s="85">
        <v>2145.47</v>
      </c>
      <c r="I216" s="86">
        <v>0.1</v>
      </c>
      <c r="J216" s="85">
        <f t="shared" si="2"/>
        <v>279.9</v>
      </c>
      <c r="K216" s="85">
        <f t="shared" si="3"/>
        <v>241.2931034</v>
      </c>
      <c r="L216" s="85"/>
      <c r="M216" s="85">
        <f t="shared" si="4"/>
        <v>180.499</v>
      </c>
      <c r="N216" s="86">
        <f t="shared" si="7"/>
        <v>0.08413028381</v>
      </c>
      <c r="O216" s="86"/>
      <c r="P216" s="82"/>
    </row>
    <row r="217">
      <c r="A217" s="89" t="s">
        <v>3130</v>
      </c>
      <c r="B217" s="89" t="s">
        <v>3131</v>
      </c>
      <c r="C217" s="89"/>
      <c r="D217" s="85">
        <v>469.0</v>
      </c>
      <c r="E217" s="86"/>
      <c r="F217" s="84">
        <f t="shared" si="1"/>
        <v>32.361</v>
      </c>
      <c r="G217" s="84"/>
      <c r="H217" s="85">
        <v>292.62</v>
      </c>
      <c r="I217" s="86">
        <v>0.1</v>
      </c>
      <c r="J217" s="85">
        <f t="shared" si="2"/>
        <v>46.9</v>
      </c>
      <c r="K217" s="85">
        <f t="shared" si="3"/>
        <v>40.43103448</v>
      </c>
      <c r="L217" s="85"/>
      <c r="M217" s="85">
        <f t="shared" si="4"/>
        <v>97.119</v>
      </c>
      <c r="N217" s="86">
        <f t="shared" si="7"/>
        <v>0.3318946073</v>
      </c>
      <c r="O217" s="86"/>
      <c r="P217" s="82"/>
    </row>
    <row r="218">
      <c r="A218" s="90" t="s">
        <v>3132</v>
      </c>
      <c r="B218" s="89" t="s">
        <v>3133</v>
      </c>
      <c r="C218" s="89"/>
      <c r="D218" s="85">
        <v>1099.0</v>
      </c>
      <c r="E218" s="83"/>
      <c r="F218" s="84">
        <f t="shared" si="1"/>
        <v>75.831</v>
      </c>
      <c r="G218" s="84"/>
      <c r="H218" s="85">
        <v>763.3</v>
      </c>
      <c r="I218" s="86">
        <v>0.15</v>
      </c>
      <c r="J218" s="85">
        <f t="shared" si="2"/>
        <v>164.85</v>
      </c>
      <c r="K218" s="85">
        <f t="shared" si="3"/>
        <v>142.112069</v>
      </c>
      <c r="L218" s="85"/>
      <c r="M218" s="85">
        <f t="shared" si="4"/>
        <v>95.019</v>
      </c>
      <c r="N218" s="86">
        <f t="shared" si="7"/>
        <v>0.1244844753</v>
      </c>
      <c r="O218" s="86"/>
      <c r="P218" s="82"/>
    </row>
    <row r="219">
      <c r="A219" s="89" t="s">
        <v>3134</v>
      </c>
      <c r="B219" s="89" t="s">
        <v>3135</v>
      </c>
      <c r="C219" s="89"/>
      <c r="D219" s="85">
        <v>379.0</v>
      </c>
      <c r="E219" s="83"/>
      <c r="F219" s="84">
        <f t="shared" si="1"/>
        <v>26.151</v>
      </c>
      <c r="G219" s="84"/>
      <c r="H219" s="85">
        <v>220.83</v>
      </c>
      <c r="I219" s="86">
        <v>0.15</v>
      </c>
      <c r="J219" s="85">
        <f t="shared" si="2"/>
        <v>56.85</v>
      </c>
      <c r="K219" s="85">
        <f t="shared" si="3"/>
        <v>49.00862069</v>
      </c>
      <c r="L219" s="82">
        <v>61.0</v>
      </c>
      <c r="M219" s="85">
        <f t="shared" si="4"/>
        <v>14.169</v>
      </c>
      <c r="N219" s="86">
        <f t="shared" si="7"/>
        <v>0.06416247792</v>
      </c>
      <c r="O219" s="86"/>
      <c r="P219" s="82"/>
    </row>
    <row r="220">
      <c r="A220" s="89" t="s">
        <v>3136</v>
      </c>
      <c r="B220" s="89" t="s">
        <v>3137</v>
      </c>
      <c r="C220" s="89"/>
      <c r="D220" s="85">
        <v>999.0</v>
      </c>
      <c r="E220" s="86"/>
      <c r="F220" s="84">
        <f t="shared" si="1"/>
        <v>68.931</v>
      </c>
      <c r="G220" s="84"/>
      <c r="H220" s="85">
        <v>699.87</v>
      </c>
      <c r="I220" s="86">
        <v>0.1</v>
      </c>
      <c r="J220" s="85">
        <f t="shared" si="2"/>
        <v>99.9</v>
      </c>
      <c r="K220" s="85">
        <f t="shared" si="3"/>
        <v>86.12068966</v>
      </c>
      <c r="L220" s="85"/>
      <c r="M220" s="85">
        <f t="shared" si="4"/>
        <v>130.299</v>
      </c>
      <c r="N220" s="86">
        <f t="shared" si="7"/>
        <v>0.1861760041</v>
      </c>
      <c r="O220" s="86"/>
      <c r="P220" s="82"/>
    </row>
    <row r="221">
      <c r="A221" s="89" t="s">
        <v>3138</v>
      </c>
      <c r="B221" s="89" t="s">
        <v>3139</v>
      </c>
      <c r="C221" s="89"/>
      <c r="D221" s="85">
        <v>2499.0</v>
      </c>
      <c r="E221" s="86"/>
      <c r="F221" s="84">
        <f t="shared" si="1"/>
        <v>172.431</v>
      </c>
      <c r="G221" s="84"/>
      <c r="H221" s="85">
        <v>1990.8</v>
      </c>
      <c r="I221" s="86">
        <v>0.1</v>
      </c>
      <c r="J221" s="85">
        <f t="shared" si="2"/>
        <v>249.9</v>
      </c>
      <c r="K221" s="85">
        <f t="shared" si="3"/>
        <v>215.4310345</v>
      </c>
      <c r="L221" s="85"/>
      <c r="M221" s="85">
        <f t="shared" si="4"/>
        <v>85.869</v>
      </c>
      <c r="N221" s="86">
        <f t="shared" si="7"/>
        <v>0.04313291139</v>
      </c>
      <c r="O221" s="86"/>
      <c r="P221" s="82"/>
    </row>
    <row r="222">
      <c r="A222" s="89" t="s">
        <v>3140</v>
      </c>
      <c r="B222" s="89" t="s">
        <v>3141</v>
      </c>
      <c r="C222" s="89"/>
      <c r="D222" s="85">
        <v>499.0</v>
      </c>
      <c r="E222" s="86"/>
      <c r="F222" s="84">
        <f t="shared" si="1"/>
        <v>34.431</v>
      </c>
      <c r="G222" s="84"/>
      <c r="H222" s="85">
        <v>285.73</v>
      </c>
      <c r="I222" s="86">
        <v>0.11</v>
      </c>
      <c r="J222" s="85">
        <f t="shared" si="2"/>
        <v>54.89</v>
      </c>
      <c r="K222" s="85">
        <f t="shared" si="3"/>
        <v>47.31896552</v>
      </c>
      <c r="L222" s="85"/>
      <c r="M222" s="85">
        <f t="shared" si="4"/>
        <v>123.949</v>
      </c>
      <c r="N222" s="86">
        <f t="shared" si="7"/>
        <v>0.4337976411</v>
      </c>
      <c r="O222" s="86"/>
      <c r="P222" s="82"/>
    </row>
    <row r="223">
      <c r="A223" s="89" t="s">
        <v>3142</v>
      </c>
      <c r="B223" s="89" t="s">
        <v>3143</v>
      </c>
      <c r="C223" s="89"/>
      <c r="D223" s="85">
        <v>1059.0</v>
      </c>
      <c r="E223" s="83"/>
      <c r="F223" s="84">
        <f t="shared" si="1"/>
        <v>73.071</v>
      </c>
      <c r="G223" s="84"/>
      <c r="H223" s="85">
        <v>752.43</v>
      </c>
      <c r="I223" s="86">
        <v>0.1</v>
      </c>
      <c r="J223" s="85">
        <f t="shared" si="2"/>
        <v>105.9</v>
      </c>
      <c r="K223" s="85">
        <f t="shared" si="3"/>
        <v>91.29310345</v>
      </c>
      <c r="L223" s="85"/>
      <c r="M223" s="85">
        <f t="shared" si="4"/>
        <v>127.599</v>
      </c>
      <c r="N223" s="86">
        <f t="shared" si="7"/>
        <v>0.1695825525</v>
      </c>
      <c r="O223" s="86"/>
      <c r="P223" s="82"/>
    </row>
    <row r="224">
      <c r="A224" s="89" t="s">
        <v>3144</v>
      </c>
      <c r="B224" s="89" t="s">
        <v>3145</v>
      </c>
      <c r="C224" s="89"/>
      <c r="D224" s="82">
        <v>2199.0</v>
      </c>
      <c r="E224" s="86"/>
      <c r="F224" s="84">
        <f t="shared" si="1"/>
        <v>151.731</v>
      </c>
      <c r="G224" s="84"/>
      <c r="H224" s="82">
        <v>1600.0</v>
      </c>
      <c r="I224" s="86">
        <v>0.16</v>
      </c>
      <c r="J224" s="85">
        <f t="shared" si="2"/>
        <v>351.84</v>
      </c>
      <c r="K224" s="85">
        <f t="shared" si="3"/>
        <v>303.3103448</v>
      </c>
      <c r="L224" s="85"/>
      <c r="M224" s="85">
        <f t="shared" si="4"/>
        <v>95.429</v>
      </c>
      <c r="N224" s="86">
        <f t="shared" si="7"/>
        <v>0.059643125</v>
      </c>
      <c r="O224" s="86"/>
      <c r="P224" s="82"/>
    </row>
    <row r="225">
      <c r="A225" s="89" t="s">
        <v>3146</v>
      </c>
      <c r="B225" s="89" t="s">
        <v>3147</v>
      </c>
      <c r="C225" s="89"/>
      <c r="D225" s="85">
        <v>819.0</v>
      </c>
      <c r="E225" s="86"/>
      <c r="F225" s="84">
        <f t="shared" si="1"/>
        <v>56.511</v>
      </c>
      <c r="G225" s="84"/>
      <c r="H225" s="85">
        <v>560.29</v>
      </c>
      <c r="I225" s="86">
        <v>0.15</v>
      </c>
      <c r="J225" s="85">
        <f t="shared" si="2"/>
        <v>122.85</v>
      </c>
      <c r="K225" s="85">
        <f t="shared" si="3"/>
        <v>105.9051724</v>
      </c>
      <c r="L225" s="85"/>
      <c r="M225" s="85">
        <f t="shared" si="4"/>
        <v>79.349</v>
      </c>
      <c r="N225" s="86">
        <f t="shared" si="7"/>
        <v>0.1416213033</v>
      </c>
      <c r="O225" s="86"/>
      <c r="P225" s="82"/>
    </row>
    <row r="226">
      <c r="A226" s="89" t="s">
        <v>3148</v>
      </c>
      <c r="B226" s="89" t="s">
        <v>3149</v>
      </c>
      <c r="C226" s="89"/>
      <c r="D226" s="85">
        <v>1099.0</v>
      </c>
      <c r="E226" s="86"/>
      <c r="F226" s="84">
        <f t="shared" si="1"/>
        <v>75.831</v>
      </c>
      <c r="G226" s="84"/>
      <c r="H226" s="85">
        <v>816.01</v>
      </c>
      <c r="I226" s="86">
        <v>0.11</v>
      </c>
      <c r="J226" s="85">
        <f t="shared" si="2"/>
        <v>120.89</v>
      </c>
      <c r="K226" s="85">
        <f t="shared" si="3"/>
        <v>104.2155172</v>
      </c>
      <c r="L226" s="85"/>
      <c r="M226" s="85">
        <f t="shared" si="4"/>
        <v>86.269</v>
      </c>
      <c r="N226" s="86">
        <f t="shared" si="7"/>
        <v>0.1057205181</v>
      </c>
      <c r="O226" s="86"/>
      <c r="P226" s="82"/>
    </row>
    <row r="227">
      <c r="A227" s="89" t="s">
        <v>3150</v>
      </c>
      <c r="B227" s="89" t="s">
        <v>3151</v>
      </c>
      <c r="C227" s="89"/>
      <c r="D227" s="85">
        <v>1329.0</v>
      </c>
      <c r="E227" s="86"/>
      <c r="F227" s="84">
        <f t="shared" si="1"/>
        <v>91.701</v>
      </c>
      <c r="G227" s="84"/>
      <c r="H227" s="85">
        <v>954.25</v>
      </c>
      <c r="I227" s="86">
        <v>0.1</v>
      </c>
      <c r="J227" s="85">
        <f t="shared" si="2"/>
        <v>132.9</v>
      </c>
      <c r="K227" s="85">
        <f t="shared" si="3"/>
        <v>114.5689655</v>
      </c>
      <c r="L227" s="85"/>
      <c r="M227" s="85">
        <f t="shared" si="4"/>
        <v>150.149</v>
      </c>
      <c r="N227" s="86">
        <f t="shared" si="7"/>
        <v>0.1573476552</v>
      </c>
      <c r="O227" s="86"/>
      <c r="P227" s="82"/>
    </row>
    <row r="228">
      <c r="A228" s="89" t="s">
        <v>3152</v>
      </c>
      <c r="B228" s="89" t="s">
        <v>3153</v>
      </c>
      <c r="C228" s="89"/>
      <c r="D228" s="85">
        <v>2099.0</v>
      </c>
      <c r="E228" s="86"/>
      <c r="F228" s="84">
        <f t="shared" si="1"/>
        <v>144.831</v>
      </c>
      <c r="G228" s="84"/>
      <c r="H228" s="85">
        <v>1613.22</v>
      </c>
      <c r="I228" s="86">
        <v>0.1</v>
      </c>
      <c r="J228" s="85">
        <f t="shared" si="2"/>
        <v>209.9</v>
      </c>
      <c r="K228" s="85">
        <f t="shared" si="3"/>
        <v>180.9482759</v>
      </c>
      <c r="L228" s="85"/>
      <c r="M228" s="85">
        <f t="shared" si="4"/>
        <v>131.049</v>
      </c>
      <c r="N228" s="86">
        <f t="shared" si="7"/>
        <v>0.08123442556</v>
      </c>
      <c r="O228" s="86"/>
      <c r="P228" s="82"/>
    </row>
    <row r="229">
      <c r="A229" s="89" t="s">
        <v>3154</v>
      </c>
      <c r="B229" s="89" t="s">
        <v>3155</v>
      </c>
      <c r="C229" s="89"/>
      <c r="D229" s="82">
        <v>729.0</v>
      </c>
      <c r="E229" s="83"/>
      <c r="F229" s="84">
        <f t="shared" si="1"/>
        <v>50.301</v>
      </c>
      <c r="G229" s="84"/>
      <c r="H229" s="85">
        <v>548.8</v>
      </c>
      <c r="I229" s="86">
        <v>0.15</v>
      </c>
      <c r="J229" s="85">
        <f t="shared" si="2"/>
        <v>109.35</v>
      </c>
      <c r="K229" s="85">
        <f t="shared" si="3"/>
        <v>94.26724138</v>
      </c>
      <c r="L229" s="82">
        <v>63.21</v>
      </c>
      <c r="M229" s="85">
        <f t="shared" si="4"/>
        <v>-42.661</v>
      </c>
      <c r="N229" s="86">
        <f t="shared" si="7"/>
        <v>-0.07773505831</v>
      </c>
      <c r="O229" s="86"/>
      <c r="P229" s="82"/>
    </row>
    <row r="230">
      <c r="A230" s="89" t="s">
        <v>3156</v>
      </c>
      <c r="B230" s="89" t="s">
        <v>3157</v>
      </c>
      <c r="C230" s="89"/>
      <c r="D230" s="82">
        <v>1429.0</v>
      </c>
      <c r="E230" s="83"/>
      <c r="F230" s="84">
        <f t="shared" si="1"/>
        <v>98.601</v>
      </c>
      <c r="G230" s="84"/>
      <c r="H230" s="85">
        <v>1086.9</v>
      </c>
      <c r="I230" s="86">
        <v>0.15</v>
      </c>
      <c r="J230" s="85">
        <f t="shared" si="2"/>
        <v>214.35</v>
      </c>
      <c r="K230" s="85">
        <f t="shared" si="3"/>
        <v>184.7844828</v>
      </c>
      <c r="L230" s="82">
        <v>63.21</v>
      </c>
      <c r="M230" s="85">
        <f t="shared" si="4"/>
        <v>-34.061</v>
      </c>
      <c r="N230" s="86">
        <f t="shared" si="7"/>
        <v>-0.03133774956</v>
      </c>
      <c r="O230" s="86"/>
      <c r="P230" s="82"/>
    </row>
    <row r="231">
      <c r="A231" s="89" t="s">
        <v>3158</v>
      </c>
      <c r="B231" s="89" t="s">
        <v>3159</v>
      </c>
      <c r="C231" s="89"/>
      <c r="D231" s="85">
        <v>469.0</v>
      </c>
      <c r="E231" s="86"/>
      <c r="F231" s="84">
        <f t="shared" si="1"/>
        <v>32.361</v>
      </c>
      <c r="G231" s="84"/>
      <c r="H231" s="85">
        <v>292.62</v>
      </c>
      <c r="I231" s="86">
        <v>0.15</v>
      </c>
      <c r="J231" s="85">
        <f t="shared" si="2"/>
        <v>70.35</v>
      </c>
      <c r="K231" s="85">
        <f t="shared" si="3"/>
        <v>60.64655172</v>
      </c>
      <c r="L231" s="85"/>
      <c r="M231" s="85">
        <f t="shared" si="4"/>
        <v>73.669</v>
      </c>
      <c r="N231" s="86">
        <f t="shared" si="7"/>
        <v>0.2517565443</v>
      </c>
      <c r="O231" s="86"/>
      <c r="P231" s="82"/>
    </row>
    <row r="232">
      <c r="A232" s="89" t="s">
        <v>3160</v>
      </c>
      <c r="B232" s="89" t="s">
        <v>3161</v>
      </c>
      <c r="C232" s="89"/>
      <c r="D232" s="85">
        <v>399.0</v>
      </c>
      <c r="E232" s="86"/>
      <c r="F232" s="84">
        <f t="shared" si="1"/>
        <v>27.531</v>
      </c>
      <c r="G232" s="84"/>
      <c r="H232" s="85">
        <v>218.87</v>
      </c>
      <c r="I232" s="86">
        <v>0.15</v>
      </c>
      <c r="J232" s="85">
        <f t="shared" si="2"/>
        <v>59.85</v>
      </c>
      <c r="K232" s="85">
        <f t="shared" si="3"/>
        <v>51.59482759</v>
      </c>
      <c r="L232" s="85"/>
      <c r="M232" s="85">
        <f t="shared" si="4"/>
        <v>92.749</v>
      </c>
      <c r="N232" s="86">
        <f t="shared" si="7"/>
        <v>0.4237629643</v>
      </c>
      <c r="O232" s="86"/>
      <c r="P232" s="82"/>
    </row>
    <row r="233">
      <c r="A233" s="89" t="s">
        <v>3162</v>
      </c>
      <c r="B233" s="89" t="s">
        <v>3163</v>
      </c>
      <c r="C233" s="89"/>
      <c r="D233" s="85">
        <v>799.0</v>
      </c>
      <c r="E233" s="86"/>
      <c r="F233" s="84">
        <f t="shared" si="1"/>
        <v>55.131</v>
      </c>
      <c r="G233" s="84"/>
      <c r="H233" s="85">
        <v>585.6</v>
      </c>
      <c r="I233" s="86">
        <v>0.15</v>
      </c>
      <c r="J233" s="85">
        <f t="shared" si="2"/>
        <v>119.85</v>
      </c>
      <c r="K233" s="85">
        <f t="shared" si="3"/>
        <v>103.3189655</v>
      </c>
      <c r="L233" s="85"/>
      <c r="M233" s="85">
        <f t="shared" si="4"/>
        <v>38.419</v>
      </c>
      <c r="N233" s="86">
        <f t="shared" si="7"/>
        <v>0.06560621585</v>
      </c>
      <c r="O233" s="86"/>
      <c r="P233" s="82"/>
    </row>
    <row r="234">
      <c r="A234" s="89" t="s">
        <v>3164</v>
      </c>
      <c r="B234" s="89" t="s">
        <v>3163</v>
      </c>
      <c r="C234" s="89"/>
      <c r="D234" s="85">
        <v>854.0</v>
      </c>
      <c r="E234" s="86"/>
      <c r="F234" s="84">
        <f t="shared" si="1"/>
        <v>58.926</v>
      </c>
      <c r="G234" s="84"/>
      <c r="H234" s="85">
        <v>585.6</v>
      </c>
      <c r="I234" s="86">
        <v>0.15</v>
      </c>
      <c r="J234" s="85">
        <f t="shared" si="2"/>
        <v>128.1</v>
      </c>
      <c r="K234" s="85">
        <f t="shared" si="3"/>
        <v>110.4310345</v>
      </c>
      <c r="L234" s="85"/>
      <c r="M234" s="85">
        <f t="shared" si="4"/>
        <v>81.374</v>
      </c>
      <c r="N234" s="86">
        <f t="shared" si="7"/>
        <v>0.1389583333</v>
      </c>
      <c r="O234" s="86"/>
      <c r="P234" s="82"/>
    </row>
    <row r="235">
      <c r="A235" s="89" t="s">
        <v>3165</v>
      </c>
      <c r="B235" s="89" t="s">
        <v>3166</v>
      </c>
      <c r="C235" s="94" t="s">
        <v>3167</v>
      </c>
      <c r="D235" s="82">
        <v>459.0</v>
      </c>
      <c r="E235" s="83"/>
      <c r="F235" s="84">
        <f t="shared" si="1"/>
        <v>31.671</v>
      </c>
      <c r="G235" s="84"/>
      <c r="H235" s="82">
        <v>304.73</v>
      </c>
      <c r="I235" s="91">
        <v>0.1</v>
      </c>
      <c r="J235" s="85">
        <f t="shared" si="2"/>
        <v>45.9</v>
      </c>
      <c r="K235" s="85">
        <f t="shared" si="3"/>
        <v>39.56896552</v>
      </c>
      <c r="L235" s="82">
        <v>63.21</v>
      </c>
      <c r="M235" s="85">
        <f t="shared" si="4"/>
        <v>13.489</v>
      </c>
      <c r="N235" s="86">
        <f t="shared" si="7"/>
        <v>0.04426541529</v>
      </c>
      <c r="O235" s="86"/>
      <c r="P235" s="82"/>
    </row>
    <row r="236">
      <c r="A236" s="89" t="s">
        <v>3168</v>
      </c>
      <c r="B236" s="89" t="s">
        <v>3169</v>
      </c>
      <c r="C236" s="89"/>
      <c r="D236" s="85">
        <v>639.0</v>
      </c>
      <c r="E236" s="86"/>
      <c r="F236" s="84">
        <f t="shared" si="1"/>
        <v>44.091</v>
      </c>
      <c r="G236" s="84"/>
      <c r="H236" s="85">
        <v>640.09</v>
      </c>
      <c r="I236" s="86">
        <v>0.11</v>
      </c>
      <c r="J236" s="85">
        <f t="shared" si="2"/>
        <v>70.29</v>
      </c>
      <c r="K236" s="85">
        <f t="shared" si="3"/>
        <v>60.59482759</v>
      </c>
      <c r="L236" s="85"/>
      <c r="M236" s="85">
        <f t="shared" si="4"/>
        <v>-115.471</v>
      </c>
      <c r="N236" s="86">
        <f t="shared" si="7"/>
        <v>-0.180398069</v>
      </c>
      <c r="O236" s="86"/>
      <c r="P236" s="82"/>
    </row>
    <row r="237">
      <c r="A237" s="89" t="s">
        <v>3170</v>
      </c>
      <c r="B237" s="89" t="s">
        <v>3171</v>
      </c>
      <c r="C237" s="89"/>
      <c r="D237" s="85">
        <v>1099.0</v>
      </c>
      <c r="E237" s="86"/>
      <c r="F237" s="84">
        <f t="shared" si="1"/>
        <v>75.831</v>
      </c>
      <c r="G237" s="84"/>
      <c r="H237" s="85">
        <v>830.0</v>
      </c>
      <c r="I237" s="86">
        <v>0.1</v>
      </c>
      <c r="J237" s="85">
        <f t="shared" si="2"/>
        <v>109.9</v>
      </c>
      <c r="K237" s="85">
        <f t="shared" si="3"/>
        <v>94.74137931</v>
      </c>
      <c r="L237" s="85"/>
      <c r="M237" s="85">
        <f t="shared" si="4"/>
        <v>83.269</v>
      </c>
      <c r="N237" s="86">
        <f t="shared" si="7"/>
        <v>0.1003240964</v>
      </c>
      <c r="O237" s="86"/>
      <c r="P237" s="82"/>
    </row>
    <row r="238">
      <c r="A238" s="89" t="s">
        <v>3172</v>
      </c>
      <c r="B238" s="89" t="s">
        <v>3173</v>
      </c>
      <c r="C238" s="89"/>
      <c r="D238" s="85">
        <v>699.0</v>
      </c>
      <c r="E238" s="86"/>
      <c r="F238" s="84">
        <f t="shared" si="1"/>
        <v>48.231</v>
      </c>
      <c r="G238" s="84"/>
      <c r="H238" s="85">
        <v>538.56</v>
      </c>
      <c r="I238" s="86">
        <v>0.1</v>
      </c>
      <c r="J238" s="85">
        <f t="shared" si="2"/>
        <v>69.9</v>
      </c>
      <c r="K238" s="85">
        <f t="shared" si="3"/>
        <v>60.25862069</v>
      </c>
      <c r="L238" s="85"/>
      <c r="M238" s="85">
        <f t="shared" si="4"/>
        <v>42.309</v>
      </c>
      <c r="N238" s="86">
        <f t="shared" si="7"/>
        <v>0.07855949198</v>
      </c>
      <c r="O238" s="86"/>
      <c r="P238" s="82"/>
    </row>
    <row r="239">
      <c r="A239" s="89" t="s">
        <v>3174</v>
      </c>
      <c r="B239" s="89" t="s">
        <v>3175</v>
      </c>
      <c r="C239" s="89"/>
      <c r="D239" s="85">
        <v>1199.0</v>
      </c>
      <c r="E239" s="86"/>
      <c r="F239" s="84">
        <f t="shared" si="1"/>
        <v>82.731</v>
      </c>
      <c r="G239" s="84"/>
      <c r="H239" s="85">
        <v>960.26</v>
      </c>
      <c r="I239" s="86">
        <v>0.1</v>
      </c>
      <c r="J239" s="85">
        <f t="shared" si="2"/>
        <v>119.9</v>
      </c>
      <c r="K239" s="85">
        <f t="shared" si="3"/>
        <v>103.362069</v>
      </c>
      <c r="L239" s="85"/>
      <c r="M239" s="85">
        <f t="shared" si="4"/>
        <v>36.109</v>
      </c>
      <c r="N239" s="86">
        <f t="shared" si="7"/>
        <v>0.03760335742</v>
      </c>
      <c r="O239" s="86"/>
      <c r="P239" s="82"/>
    </row>
    <row r="240">
      <c r="A240" s="89" t="s">
        <v>3176</v>
      </c>
      <c r="B240" s="89" t="s">
        <v>3177</v>
      </c>
      <c r="C240" s="89"/>
      <c r="D240" s="85">
        <v>379.0</v>
      </c>
      <c r="E240" s="86"/>
      <c r="F240" s="84">
        <f t="shared" si="1"/>
        <v>26.151</v>
      </c>
      <c r="G240" s="84"/>
      <c r="H240" s="85">
        <v>240.0</v>
      </c>
      <c r="I240" s="86">
        <v>0.1</v>
      </c>
      <c r="J240" s="85">
        <f t="shared" si="2"/>
        <v>37.9</v>
      </c>
      <c r="K240" s="85">
        <f t="shared" si="3"/>
        <v>32.67241379</v>
      </c>
      <c r="L240" s="85"/>
      <c r="M240" s="85">
        <f t="shared" si="4"/>
        <v>74.949</v>
      </c>
      <c r="N240" s="86">
        <f t="shared" si="7"/>
        <v>0.3122875</v>
      </c>
      <c r="O240" s="86"/>
      <c r="P240" s="82"/>
    </row>
    <row r="241">
      <c r="A241" s="89" t="s">
        <v>3178</v>
      </c>
      <c r="B241" s="89" t="s">
        <v>3179</v>
      </c>
      <c r="C241" s="89"/>
      <c r="D241" s="85">
        <v>269.0</v>
      </c>
      <c r="E241" s="86"/>
      <c r="F241" s="84">
        <f t="shared" si="1"/>
        <v>18.561</v>
      </c>
      <c r="G241" s="84"/>
      <c r="H241" s="85">
        <v>141.11</v>
      </c>
      <c r="I241" s="86">
        <v>0.15</v>
      </c>
      <c r="J241" s="85">
        <f t="shared" si="2"/>
        <v>40.35</v>
      </c>
      <c r="K241" s="85">
        <f t="shared" si="3"/>
        <v>34.78448276</v>
      </c>
      <c r="L241" s="85"/>
      <c r="M241" s="85">
        <f t="shared" si="4"/>
        <v>68.979</v>
      </c>
      <c r="N241" s="86">
        <f t="shared" si="7"/>
        <v>0.4888314081</v>
      </c>
      <c r="O241" s="86"/>
      <c r="P241" s="82"/>
    </row>
    <row r="242">
      <c r="A242" s="89" t="s">
        <v>3180</v>
      </c>
      <c r="B242" s="89" t="s">
        <v>3181</v>
      </c>
      <c r="C242" s="89"/>
      <c r="D242" s="85">
        <v>1729.0</v>
      </c>
      <c r="E242" s="86"/>
      <c r="F242" s="84">
        <f t="shared" si="1"/>
        <v>119.301</v>
      </c>
      <c r="G242" s="84"/>
      <c r="H242" s="85">
        <v>1255.59</v>
      </c>
      <c r="I242" s="86">
        <v>0.15</v>
      </c>
      <c r="J242" s="85">
        <f t="shared" si="2"/>
        <v>259.35</v>
      </c>
      <c r="K242" s="85">
        <f t="shared" si="3"/>
        <v>223.5775862</v>
      </c>
      <c r="L242" s="85"/>
      <c r="M242" s="85">
        <f t="shared" si="4"/>
        <v>94.759</v>
      </c>
      <c r="N242" s="86">
        <f t="shared" si="7"/>
        <v>0.0754696995</v>
      </c>
      <c r="O242" s="86"/>
      <c r="P242" s="82"/>
    </row>
    <row r="243">
      <c r="A243" s="89" t="s">
        <v>3182</v>
      </c>
      <c r="B243" s="89" t="s">
        <v>3183</v>
      </c>
      <c r="C243" s="89"/>
      <c r="D243" s="85">
        <v>1869.0</v>
      </c>
      <c r="E243" s="86"/>
      <c r="F243" s="84">
        <f t="shared" si="1"/>
        <v>128.961</v>
      </c>
      <c r="G243" s="84"/>
      <c r="H243" s="85">
        <v>1665.95</v>
      </c>
      <c r="I243" s="86">
        <v>0.11</v>
      </c>
      <c r="J243" s="85">
        <f t="shared" si="2"/>
        <v>205.59</v>
      </c>
      <c r="K243" s="85">
        <f t="shared" si="3"/>
        <v>177.2327586</v>
      </c>
      <c r="L243" s="85"/>
      <c r="M243" s="85">
        <f t="shared" si="4"/>
        <v>-131.501</v>
      </c>
      <c r="N243" s="86">
        <f t="shared" si="7"/>
        <v>-0.07893454185</v>
      </c>
      <c r="O243" s="86"/>
      <c r="P243" s="82"/>
    </row>
    <row r="244">
      <c r="A244" s="89" t="s">
        <v>3184</v>
      </c>
      <c r="B244" s="89" t="s">
        <v>3185</v>
      </c>
      <c r="C244" s="89"/>
      <c r="D244" s="85">
        <v>2099.0</v>
      </c>
      <c r="E244" s="86"/>
      <c r="F244" s="84">
        <f t="shared" si="1"/>
        <v>144.831</v>
      </c>
      <c r="G244" s="84"/>
      <c r="H244" s="85">
        <v>1561.82</v>
      </c>
      <c r="I244" s="86">
        <v>0.15</v>
      </c>
      <c r="J244" s="85">
        <f t="shared" si="2"/>
        <v>314.85</v>
      </c>
      <c r="K244" s="85">
        <f t="shared" si="3"/>
        <v>271.4224138</v>
      </c>
      <c r="L244" s="85"/>
      <c r="M244" s="85">
        <f t="shared" si="4"/>
        <v>77.499</v>
      </c>
      <c r="N244" s="86">
        <f t="shared" si="7"/>
        <v>0.04962095504</v>
      </c>
      <c r="O244" s="86"/>
      <c r="P244" s="82"/>
    </row>
    <row r="245">
      <c r="A245" s="89" t="s">
        <v>3186</v>
      </c>
      <c r="B245" s="89" t="s">
        <v>3187</v>
      </c>
      <c r="C245" s="89"/>
      <c r="D245" s="85">
        <v>16499.0</v>
      </c>
      <c r="E245" s="86"/>
      <c r="F245" s="84">
        <f t="shared" si="1"/>
        <v>1138.431</v>
      </c>
      <c r="G245" s="84"/>
      <c r="H245" s="85">
        <v>14348.83</v>
      </c>
      <c r="I245" s="86">
        <v>0.1</v>
      </c>
      <c r="J245" s="85">
        <f t="shared" si="2"/>
        <v>1649.9</v>
      </c>
      <c r="K245" s="85">
        <f t="shared" si="3"/>
        <v>1422.327586</v>
      </c>
      <c r="L245" s="85"/>
      <c r="M245" s="85">
        <f t="shared" si="4"/>
        <v>-638.161</v>
      </c>
      <c r="N245" s="86">
        <f t="shared" si="7"/>
        <v>-0.04447477599</v>
      </c>
      <c r="O245" s="86"/>
      <c r="P245" s="82"/>
    </row>
    <row r="246">
      <c r="A246" s="89" t="s">
        <v>3188</v>
      </c>
      <c r="B246" s="89" t="s">
        <v>3189</v>
      </c>
      <c r="C246" s="89"/>
      <c r="D246" s="85">
        <v>499.0</v>
      </c>
      <c r="E246" s="86"/>
      <c r="F246" s="84">
        <f t="shared" si="1"/>
        <v>34.431</v>
      </c>
      <c r="G246" s="84"/>
      <c r="H246" s="85">
        <v>279.6</v>
      </c>
      <c r="I246" s="86">
        <v>0.16</v>
      </c>
      <c r="J246" s="85">
        <f t="shared" si="2"/>
        <v>79.84</v>
      </c>
      <c r="K246" s="85">
        <f t="shared" si="3"/>
        <v>68.82758621</v>
      </c>
      <c r="L246" s="85"/>
      <c r="M246" s="85">
        <f t="shared" si="4"/>
        <v>105.129</v>
      </c>
      <c r="N246" s="86">
        <f t="shared" si="7"/>
        <v>0.3759978541</v>
      </c>
      <c r="O246" s="86"/>
      <c r="P246" s="82"/>
    </row>
    <row r="247">
      <c r="A247" s="89" t="s">
        <v>3190</v>
      </c>
      <c r="B247" s="89" t="s">
        <v>3191</v>
      </c>
      <c r="C247" s="89"/>
      <c r="D247" s="85">
        <v>599.0</v>
      </c>
      <c r="E247" s="86"/>
      <c r="F247" s="84">
        <f t="shared" si="1"/>
        <v>41.331</v>
      </c>
      <c r="G247" s="84"/>
      <c r="H247" s="85">
        <v>279.6</v>
      </c>
      <c r="I247" s="86">
        <v>0.16</v>
      </c>
      <c r="J247" s="85">
        <f t="shared" si="2"/>
        <v>95.84</v>
      </c>
      <c r="K247" s="85">
        <f t="shared" si="3"/>
        <v>82.62068966</v>
      </c>
      <c r="L247" s="85"/>
      <c r="M247" s="85">
        <f t="shared" si="4"/>
        <v>182.229</v>
      </c>
      <c r="N247" s="86">
        <f t="shared" si="7"/>
        <v>0.651748927</v>
      </c>
      <c r="O247" s="86"/>
      <c r="P247" s="82"/>
    </row>
    <row r="248">
      <c r="A248" s="89"/>
      <c r="B248" s="89" t="s">
        <v>3192</v>
      </c>
      <c r="C248" s="89"/>
      <c r="D248" s="85">
        <v>3200.0</v>
      </c>
      <c r="E248" s="86"/>
      <c r="F248" s="84">
        <f t="shared" si="1"/>
        <v>220.8</v>
      </c>
      <c r="G248" s="84"/>
      <c r="H248" s="85">
        <v>2473.34</v>
      </c>
      <c r="I248" s="86">
        <v>0.13</v>
      </c>
      <c r="J248" s="85">
        <f t="shared" si="2"/>
        <v>416</v>
      </c>
      <c r="K248" s="85">
        <f t="shared" si="3"/>
        <v>358.6206897</v>
      </c>
      <c r="L248" s="85"/>
      <c r="M248" s="85">
        <f t="shared" si="4"/>
        <v>89.86</v>
      </c>
      <c r="N248" s="86">
        <f t="shared" si="7"/>
        <v>0.03633143846</v>
      </c>
      <c r="O248" s="86"/>
      <c r="P248" s="82"/>
    </row>
    <row r="249">
      <c r="A249" s="89" t="s">
        <v>3193</v>
      </c>
      <c r="B249" s="89" t="s">
        <v>3194</v>
      </c>
      <c r="C249" s="89"/>
      <c r="D249" s="85">
        <v>509.0</v>
      </c>
      <c r="E249" s="86"/>
      <c r="F249" s="84">
        <f t="shared" si="1"/>
        <v>35.121</v>
      </c>
      <c r="G249" s="84"/>
      <c r="H249" s="85">
        <v>327.66</v>
      </c>
      <c r="I249" s="86">
        <v>0.15</v>
      </c>
      <c r="J249" s="85">
        <f t="shared" si="2"/>
        <v>76.35</v>
      </c>
      <c r="K249" s="85">
        <f t="shared" si="3"/>
        <v>65.81896552</v>
      </c>
      <c r="L249" s="85"/>
      <c r="M249" s="85">
        <f t="shared" si="4"/>
        <v>69.869</v>
      </c>
      <c r="N249" s="86">
        <f t="shared" si="7"/>
        <v>0.2132362815</v>
      </c>
      <c r="O249" s="86"/>
      <c r="P249" s="82"/>
    </row>
    <row r="250">
      <c r="A250" s="89" t="s">
        <v>3195</v>
      </c>
      <c r="B250" s="89" t="s">
        <v>3196</v>
      </c>
      <c r="C250" s="89"/>
      <c r="D250" s="85">
        <v>1410.0</v>
      </c>
      <c r="E250" s="86"/>
      <c r="F250" s="84">
        <f t="shared" si="1"/>
        <v>97.29</v>
      </c>
      <c r="G250" s="84"/>
      <c r="H250" s="85">
        <v>1014.7</v>
      </c>
      <c r="I250" s="86">
        <v>0.15</v>
      </c>
      <c r="J250" s="85">
        <f t="shared" si="2"/>
        <v>211.5</v>
      </c>
      <c r="K250" s="85">
        <f t="shared" si="3"/>
        <v>182.3275862</v>
      </c>
      <c r="L250" s="85"/>
      <c r="M250" s="85">
        <f t="shared" si="4"/>
        <v>86.51</v>
      </c>
      <c r="N250" s="86">
        <f t="shared" si="7"/>
        <v>0.08525672613</v>
      </c>
      <c r="O250" s="86"/>
      <c r="P250" s="82"/>
    </row>
    <row r="251">
      <c r="A251" s="89" t="s">
        <v>3197</v>
      </c>
      <c r="B251" s="89" t="s">
        <v>3198</v>
      </c>
      <c r="C251" s="89"/>
      <c r="D251" s="85">
        <v>899.0</v>
      </c>
      <c r="E251" s="86"/>
      <c r="F251" s="84">
        <f t="shared" si="1"/>
        <v>62.031</v>
      </c>
      <c r="G251" s="84"/>
      <c r="H251" s="85">
        <v>602.48</v>
      </c>
      <c r="I251" s="86">
        <v>0.16</v>
      </c>
      <c r="J251" s="85">
        <f t="shared" si="2"/>
        <v>143.84</v>
      </c>
      <c r="K251" s="85">
        <f t="shared" si="3"/>
        <v>124</v>
      </c>
      <c r="L251" s="85"/>
      <c r="M251" s="85">
        <f t="shared" si="4"/>
        <v>90.649</v>
      </c>
      <c r="N251" s="86">
        <f t="shared" si="7"/>
        <v>0.1504597663</v>
      </c>
      <c r="O251" s="86"/>
      <c r="P251" s="82"/>
    </row>
    <row r="252">
      <c r="A252" s="89" t="s">
        <v>3199</v>
      </c>
      <c r="B252" s="89" t="s">
        <v>3200</v>
      </c>
      <c r="C252" s="89"/>
      <c r="D252" s="85">
        <v>784.0</v>
      </c>
      <c r="E252" s="86"/>
      <c r="F252" s="84">
        <f t="shared" si="1"/>
        <v>54.096</v>
      </c>
      <c r="G252" s="84"/>
      <c r="H252" s="85">
        <v>517.93</v>
      </c>
      <c r="I252" s="86">
        <v>0.15</v>
      </c>
      <c r="J252" s="85">
        <f t="shared" si="2"/>
        <v>117.6</v>
      </c>
      <c r="K252" s="85">
        <f t="shared" si="3"/>
        <v>101.3793103</v>
      </c>
      <c r="L252" s="85"/>
      <c r="M252" s="85">
        <f t="shared" si="4"/>
        <v>94.374</v>
      </c>
      <c r="N252" s="86">
        <f t="shared" si="7"/>
        <v>0.1822138127</v>
      </c>
      <c r="O252" s="86"/>
      <c r="P252" s="82"/>
    </row>
    <row r="253">
      <c r="A253" s="89" t="s">
        <v>3201</v>
      </c>
      <c r="B253" s="89" t="s">
        <v>3202</v>
      </c>
      <c r="C253" s="89"/>
      <c r="D253" s="85">
        <v>1199.0</v>
      </c>
      <c r="E253" s="86"/>
      <c r="F253" s="84">
        <f t="shared" si="1"/>
        <v>82.731</v>
      </c>
      <c r="G253" s="84"/>
      <c r="H253" s="85">
        <v>981.19</v>
      </c>
      <c r="I253" s="86">
        <v>0.16</v>
      </c>
      <c r="J253" s="85">
        <f t="shared" si="2"/>
        <v>191.84</v>
      </c>
      <c r="K253" s="85">
        <f t="shared" si="3"/>
        <v>165.3793103</v>
      </c>
      <c r="L253" s="85"/>
      <c r="M253" s="85">
        <f t="shared" si="4"/>
        <v>-56.761</v>
      </c>
      <c r="N253" s="86">
        <f t="shared" si="7"/>
        <v>-0.05784914237</v>
      </c>
      <c r="O253" s="86"/>
      <c r="P253" s="82"/>
    </row>
    <row r="254">
      <c r="A254" s="89" t="s">
        <v>3203</v>
      </c>
      <c r="B254" s="89" t="s">
        <v>3204</v>
      </c>
      <c r="C254" s="89"/>
      <c r="D254" s="85">
        <v>599.0</v>
      </c>
      <c r="E254" s="86"/>
      <c r="F254" s="84">
        <f t="shared" si="1"/>
        <v>41.331</v>
      </c>
      <c r="G254" s="84"/>
      <c r="H254" s="85">
        <v>416.23</v>
      </c>
      <c r="I254" s="86">
        <v>0.15</v>
      </c>
      <c r="J254" s="85">
        <f t="shared" si="2"/>
        <v>89.85</v>
      </c>
      <c r="K254" s="85">
        <f t="shared" si="3"/>
        <v>77.45689655</v>
      </c>
      <c r="L254" s="85"/>
      <c r="M254" s="85">
        <f t="shared" si="4"/>
        <v>51.589</v>
      </c>
      <c r="N254" s="86">
        <f t="shared" si="7"/>
        <v>0.1239434928</v>
      </c>
      <c r="O254" s="86"/>
      <c r="P254" s="82"/>
    </row>
    <row r="255">
      <c r="A255" s="89" t="s">
        <v>3205</v>
      </c>
      <c r="B255" s="89" t="s">
        <v>3206</v>
      </c>
      <c r="C255" s="89"/>
      <c r="D255" s="85">
        <v>999.0</v>
      </c>
      <c r="E255" s="86"/>
      <c r="F255" s="84">
        <f t="shared" si="1"/>
        <v>68.931</v>
      </c>
      <c r="G255" s="84"/>
      <c r="H255" s="85">
        <v>632.24</v>
      </c>
      <c r="I255" s="86">
        <v>0.15</v>
      </c>
      <c r="J255" s="85">
        <f t="shared" si="2"/>
        <v>149.85</v>
      </c>
      <c r="K255" s="85">
        <f t="shared" si="3"/>
        <v>129.1810345</v>
      </c>
      <c r="L255" s="85"/>
      <c r="M255" s="85">
        <f t="shared" si="4"/>
        <v>147.979</v>
      </c>
      <c r="N255" s="86">
        <f t="shared" si="7"/>
        <v>0.2340551057</v>
      </c>
      <c r="O255" s="86"/>
      <c r="P255" s="82"/>
    </row>
    <row r="256">
      <c r="A256" s="89" t="s">
        <v>3207</v>
      </c>
      <c r="B256" s="89" t="s">
        <v>3208</v>
      </c>
      <c r="C256" s="89"/>
      <c r="D256" s="85">
        <v>529.0</v>
      </c>
      <c r="E256" s="86"/>
      <c r="F256" s="84">
        <f t="shared" si="1"/>
        <v>36.501</v>
      </c>
      <c r="G256" s="84"/>
      <c r="H256" s="85">
        <v>341.42</v>
      </c>
      <c r="I256" s="86">
        <v>0.15</v>
      </c>
      <c r="J256" s="85">
        <f t="shared" si="2"/>
        <v>79.35</v>
      </c>
      <c r="K256" s="85">
        <f t="shared" si="3"/>
        <v>68.40517241</v>
      </c>
      <c r="L256" s="85"/>
      <c r="M256" s="85">
        <f t="shared" si="4"/>
        <v>71.729</v>
      </c>
      <c r="N256" s="86">
        <f t="shared" si="7"/>
        <v>0.2100902115</v>
      </c>
      <c r="O256" s="86"/>
      <c r="P256" s="82"/>
    </row>
    <row r="257">
      <c r="A257" s="89" t="s">
        <v>3209</v>
      </c>
      <c r="B257" s="89" t="s">
        <v>3210</v>
      </c>
      <c r="C257" s="89"/>
      <c r="D257" s="85">
        <v>599.0</v>
      </c>
      <c r="E257" s="86"/>
      <c r="F257" s="84">
        <f t="shared" si="1"/>
        <v>41.331</v>
      </c>
      <c r="G257" s="84"/>
      <c r="H257" s="85">
        <v>391.0</v>
      </c>
      <c r="I257" s="86">
        <v>0.15</v>
      </c>
      <c r="J257" s="85">
        <f t="shared" si="2"/>
        <v>89.85</v>
      </c>
      <c r="K257" s="85">
        <f t="shared" si="3"/>
        <v>77.45689655</v>
      </c>
      <c r="L257" s="85"/>
      <c r="M257" s="85">
        <f t="shared" si="4"/>
        <v>76.819</v>
      </c>
      <c r="N257" s="86">
        <f t="shared" si="7"/>
        <v>0.1964680307</v>
      </c>
      <c r="O257" s="86"/>
      <c r="P257" s="82"/>
    </row>
    <row r="258">
      <c r="A258" s="89" t="s">
        <v>3211</v>
      </c>
      <c r="B258" s="89" t="s">
        <v>3212</v>
      </c>
      <c r="C258" s="90" t="s">
        <v>3213</v>
      </c>
      <c r="D258" s="82">
        <v>749.0</v>
      </c>
      <c r="E258" s="83"/>
      <c r="F258" s="84">
        <f t="shared" si="1"/>
        <v>51.681</v>
      </c>
      <c r="G258" s="84"/>
      <c r="H258" s="82">
        <v>459.0</v>
      </c>
      <c r="I258" s="86">
        <v>0.15</v>
      </c>
      <c r="J258" s="85">
        <f t="shared" si="2"/>
        <v>112.35</v>
      </c>
      <c r="K258" s="85">
        <f t="shared" si="3"/>
        <v>96.85344828</v>
      </c>
      <c r="L258" s="82">
        <v>63.21</v>
      </c>
      <c r="M258" s="85">
        <f t="shared" si="4"/>
        <v>62.759</v>
      </c>
      <c r="N258" s="86">
        <f t="shared" si="7"/>
        <v>0.1367298475</v>
      </c>
      <c r="O258" s="86"/>
      <c r="P258" s="82"/>
    </row>
    <row r="259">
      <c r="A259" s="89" t="s">
        <v>3214</v>
      </c>
      <c r="B259" s="89" t="s">
        <v>3215</v>
      </c>
      <c r="C259" s="89"/>
      <c r="D259" s="85">
        <v>1399.0</v>
      </c>
      <c r="E259" s="83"/>
      <c r="F259" s="84">
        <f t="shared" si="1"/>
        <v>96.531</v>
      </c>
      <c r="G259" s="84"/>
      <c r="H259" s="85">
        <v>1015.9</v>
      </c>
      <c r="I259" s="86">
        <v>0.15</v>
      </c>
      <c r="J259" s="85">
        <f t="shared" si="2"/>
        <v>209.85</v>
      </c>
      <c r="K259" s="85">
        <f t="shared" si="3"/>
        <v>180.9051724</v>
      </c>
      <c r="L259" s="85"/>
      <c r="M259" s="85">
        <f t="shared" si="4"/>
        <v>76.719</v>
      </c>
      <c r="N259" s="86">
        <f t="shared" si="7"/>
        <v>0.07551825967</v>
      </c>
      <c r="O259" s="86"/>
      <c r="P259" s="82"/>
    </row>
    <row r="260">
      <c r="A260" s="89" t="s">
        <v>3216</v>
      </c>
      <c r="B260" s="89" t="s">
        <v>3217</v>
      </c>
      <c r="C260" s="89"/>
      <c r="D260" s="82">
        <v>3499.0</v>
      </c>
      <c r="E260" s="83"/>
      <c r="F260" s="84">
        <f t="shared" si="1"/>
        <v>241.431</v>
      </c>
      <c r="G260" s="84"/>
      <c r="H260" s="85">
        <v>3032.51</v>
      </c>
      <c r="I260" s="86">
        <v>0.11</v>
      </c>
      <c r="J260" s="85">
        <f t="shared" si="2"/>
        <v>384.89</v>
      </c>
      <c r="K260" s="85">
        <f t="shared" si="3"/>
        <v>331.8017241</v>
      </c>
      <c r="L260" s="82">
        <v>83.04</v>
      </c>
      <c r="M260" s="85">
        <f t="shared" si="4"/>
        <v>-242.871</v>
      </c>
      <c r="N260" s="86">
        <f t="shared" si="7"/>
        <v>-0.08008910111</v>
      </c>
      <c r="O260" s="86"/>
      <c r="P260" s="82"/>
    </row>
    <row r="261">
      <c r="A261" s="89" t="s">
        <v>3218</v>
      </c>
      <c r="B261" s="89" t="s">
        <v>3219</v>
      </c>
      <c r="C261" s="89"/>
      <c r="D261" s="85">
        <v>999.0</v>
      </c>
      <c r="E261" s="86"/>
      <c r="F261" s="84">
        <f t="shared" si="1"/>
        <v>68.931</v>
      </c>
      <c r="G261" s="84"/>
      <c r="H261" s="85">
        <v>651.45</v>
      </c>
      <c r="I261" s="86">
        <v>0.16</v>
      </c>
      <c r="J261" s="85">
        <f t="shared" si="2"/>
        <v>159.84</v>
      </c>
      <c r="K261" s="85">
        <f t="shared" si="3"/>
        <v>137.7931034</v>
      </c>
      <c r="L261" s="85"/>
      <c r="M261" s="85">
        <f t="shared" si="4"/>
        <v>118.779</v>
      </c>
      <c r="N261" s="86">
        <f t="shared" si="7"/>
        <v>0.1823301865</v>
      </c>
      <c r="O261" s="86"/>
      <c r="P261" s="82"/>
    </row>
    <row r="262">
      <c r="A262" s="89" t="s">
        <v>3220</v>
      </c>
      <c r="B262" s="89" t="s">
        <v>3221</v>
      </c>
      <c r="C262" s="89"/>
      <c r="D262" s="85">
        <v>699.0</v>
      </c>
      <c r="E262" s="86"/>
      <c r="F262" s="84">
        <f t="shared" si="1"/>
        <v>48.231</v>
      </c>
      <c r="G262" s="84"/>
      <c r="H262" s="85">
        <v>226.84</v>
      </c>
      <c r="I262" s="86">
        <v>0.15</v>
      </c>
      <c r="J262" s="85">
        <f t="shared" si="2"/>
        <v>104.85</v>
      </c>
      <c r="K262" s="85">
        <f t="shared" si="3"/>
        <v>90.38793103</v>
      </c>
      <c r="L262" s="85"/>
      <c r="M262" s="85">
        <f t="shared" si="4"/>
        <v>319.079</v>
      </c>
      <c r="N262" s="86">
        <f t="shared" si="7"/>
        <v>1.406625816</v>
      </c>
      <c r="O262" s="86"/>
      <c r="P262" s="82"/>
    </row>
    <row r="263">
      <c r="A263" s="89" t="s">
        <v>3222</v>
      </c>
      <c r="B263" s="89" t="s">
        <v>3223</v>
      </c>
      <c r="C263" s="89"/>
      <c r="D263" s="85">
        <v>779.0</v>
      </c>
      <c r="E263" s="86"/>
      <c r="F263" s="84">
        <f t="shared" si="1"/>
        <v>53.751</v>
      </c>
      <c r="G263" s="84"/>
      <c r="H263" s="85">
        <v>553.32</v>
      </c>
      <c r="I263" s="86">
        <v>0.1</v>
      </c>
      <c r="J263" s="85">
        <f t="shared" si="2"/>
        <v>77.9</v>
      </c>
      <c r="K263" s="85">
        <f t="shared" si="3"/>
        <v>67.15517241</v>
      </c>
      <c r="L263" s="85"/>
      <c r="M263" s="85">
        <f t="shared" si="4"/>
        <v>94.029</v>
      </c>
      <c r="N263" s="86">
        <f t="shared" si="7"/>
        <v>0.1699360226</v>
      </c>
      <c r="O263" s="86"/>
      <c r="P263" s="82"/>
    </row>
    <row r="264">
      <c r="A264" s="89" t="s">
        <v>3224</v>
      </c>
      <c r="B264" s="89" t="s">
        <v>3225</v>
      </c>
      <c r="C264" s="89"/>
      <c r="D264" s="85">
        <v>999.0</v>
      </c>
      <c r="E264" s="86"/>
      <c r="F264" s="84">
        <f t="shared" si="1"/>
        <v>68.931</v>
      </c>
      <c r="G264" s="84"/>
      <c r="H264" s="85">
        <v>567.45</v>
      </c>
      <c r="I264" s="86">
        <v>0.15</v>
      </c>
      <c r="J264" s="85">
        <f t="shared" si="2"/>
        <v>149.85</v>
      </c>
      <c r="K264" s="85">
        <f t="shared" si="3"/>
        <v>129.1810345</v>
      </c>
      <c r="L264" s="85"/>
      <c r="M264" s="85">
        <f t="shared" si="4"/>
        <v>212.769</v>
      </c>
      <c r="N264" s="86">
        <f t="shared" si="7"/>
        <v>0.3749563838</v>
      </c>
      <c r="O264" s="86"/>
      <c r="P264" s="82"/>
    </row>
    <row r="265">
      <c r="A265" s="89" t="s">
        <v>3226</v>
      </c>
      <c r="B265" s="89" t="s">
        <v>3227</v>
      </c>
      <c r="C265" s="89"/>
      <c r="D265" s="85">
        <v>1459.0</v>
      </c>
      <c r="E265" s="86"/>
      <c r="F265" s="84">
        <f t="shared" si="1"/>
        <v>100.671</v>
      </c>
      <c r="G265" s="84"/>
      <c r="H265" s="85">
        <v>1135.65</v>
      </c>
      <c r="I265" s="86">
        <v>0.1</v>
      </c>
      <c r="J265" s="85">
        <f t="shared" si="2"/>
        <v>145.9</v>
      </c>
      <c r="K265" s="85">
        <f t="shared" si="3"/>
        <v>125.7758621</v>
      </c>
      <c r="L265" s="85"/>
      <c r="M265" s="85">
        <f t="shared" si="4"/>
        <v>76.779</v>
      </c>
      <c r="N265" s="86">
        <f t="shared" si="7"/>
        <v>0.06760797781</v>
      </c>
      <c r="O265" s="86"/>
      <c r="P265" s="82"/>
    </row>
    <row r="266">
      <c r="A266" s="89" t="s">
        <v>3228</v>
      </c>
      <c r="B266" s="89" t="s">
        <v>3229</v>
      </c>
      <c r="C266" s="89"/>
      <c r="D266" s="85">
        <v>3299.0</v>
      </c>
      <c r="E266" s="86"/>
      <c r="F266" s="84">
        <f t="shared" si="1"/>
        <v>227.631</v>
      </c>
      <c r="G266" s="84"/>
      <c r="H266" s="85">
        <v>2589.49</v>
      </c>
      <c r="I266" s="86">
        <v>0.16</v>
      </c>
      <c r="J266" s="85">
        <f t="shared" si="2"/>
        <v>527.84</v>
      </c>
      <c r="K266" s="85">
        <f t="shared" si="3"/>
        <v>455.0344828</v>
      </c>
      <c r="L266" s="85"/>
      <c r="M266" s="85">
        <f t="shared" si="4"/>
        <v>-45.961</v>
      </c>
      <c r="N266" s="86">
        <f t="shared" si="7"/>
        <v>-0.01774905483</v>
      </c>
      <c r="O266" s="86"/>
      <c r="P266" s="82"/>
    </row>
    <row r="267">
      <c r="A267" s="89" t="s">
        <v>3230</v>
      </c>
      <c r="B267" s="89" t="s">
        <v>3231</v>
      </c>
      <c r="C267" s="89"/>
      <c r="D267" s="85">
        <v>10999.0</v>
      </c>
      <c r="E267" s="86"/>
      <c r="F267" s="84">
        <f t="shared" si="1"/>
        <v>758.931</v>
      </c>
      <c r="G267" s="84"/>
      <c r="H267" s="85">
        <v>7992.4</v>
      </c>
      <c r="I267" s="86">
        <v>0.15</v>
      </c>
      <c r="J267" s="85">
        <f t="shared" si="2"/>
        <v>1649.85</v>
      </c>
      <c r="K267" s="85">
        <f t="shared" si="3"/>
        <v>1422.284483</v>
      </c>
      <c r="L267" s="85"/>
      <c r="M267" s="85">
        <f t="shared" si="4"/>
        <v>597.819</v>
      </c>
      <c r="N267" s="86">
        <f t="shared" si="7"/>
        <v>0.07479843351</v>
      </c>
      <c r="O267" s="86"/>
      <c r="P267" s="82"/>
    </row>
    <row r="268">
      <c r="A268" s="89" t="s">
        <v>3232</v>
      </c>
      <c r="B268" s="89" t="s">
        <v>3233</v>
      </c>
      <c r="C268" s="89"/>
      <c r="D268" s="85">
        <v>3299.0</v>
      </c>
      <c r="E268" s="86"/>
      <c r="F268" s="84">
        <f t="shared" si="1"/>
        <v>227.631</v>
      </c>
      <c r="G268" s="84"/>
      <c r="H268" s="85">
        <v>2589.49</v>
      </c>
      <c r="I268" s="86">
        <v>0.16</v>
      </c>
      <c r="J268" s="85">
        <f t="shared" si="2"/>
        <v>527.84</v>
      </c>
      <c r="K268" s="85">
        <f t="shared" si="3"/>
        <v>455.0344828</v>
      </c>
      <c r="L268" s="85"/>
      <c r="M268" s="85">
        <f t="shared" si="4"/>
        <v>-45.961</v>
      </c>
      <c r="N268" s="86">
        <f t="shared" si="7"/>
        <v>-0.01774905483</v>
      </c>
      <c r="O268" s="86"/>
      <c r="P268" s="82"/>
    </row>
    <row r="269">
      <c r="A269" s="89" t="s">
        <v>3234</v>
      </c>
      <c r="B269" s="89" t="s">
        <v>3235</v>
      </c>
      <c r="C269" s="89"/>
      <c r="D269" s="85">
        <v>629.0</v>
      </c>
      <c r="E269" s="86"/>
      <c r="F269" s="84">
        <f t="shared" si="1"/>
        <v>43.401</v>
      </c>
      <c r="G269" s="84"/>
      <c r="H269" s="85">
        <v>428.75</v>
      </c>
      <c r="I269" s="86">
        <v>0.15</v>
      </c>
      <c r="J269" s="85">
        <f t="shared" si="2"/>
        <v>94.35</v>
      </c>
      <c r="K269" s="85">
        <f t="shared" si="3"/>
        <v>81.3362069</v>
      </c>
      <c r="L269" s="85"/>
      <c r="M269" s="85">
        <f t="shared" si="4"/>
        <v>62.499</v>
      </c>
      <c r="N269" s="86">
        <f t="shared" si="7"/>
        <v>0.1457702624</v>
      </c>
      <c r="O269" s="86"/>
      <c r="P269" s="82"/>
    </row>
    <row r="270">
      <c r="A270" s="89" t="s">
        <v>3236</v>
      </c>
      <c r="B270" s="89" t="s">
        <v>3237</v>
      </c>
      <c r="C270" s="89"/>
      <c r="D270" s="85">
        <v>2799.0</v>
      </c>
      <c r="E270" s="83"/>
      <c r="F270" s="84">
        <f t="shared" si="1"/>
        <v>193.131</v>
      </c>
      <c r="G270" s="84"/>
      <c r="H270" s="85">
        <v>2187.7</v>
      </c>
      <c r="I270" s="86">
        <v>0.11</v>
      </c>
      <c r="J270" s="85">
        <f t="shared" si="2"/>
        <v>307.89</v>
      </c>
      <c r="K270" s="85">
        <f t="shared" si="3"/>
        <v>265.4224138</v>
      </c>
      <c r="L270" s="82">
        <v>95.09</v>
      </c>
      <c r="M270" s="85">
        <f t="shared" si="4"/>
        <v>15.189</v>
      </c>
      <c r="N270" s="86">
        <f t="shared" si="7"/>
        <v>0.006942908077</v>
      </c>
      <c r="O270" s="86"/>
      <c r="P270" s="82"/>
    </row>
    <row r="271">
      <c r="A271" s="89" t="s">
        <v>519</v>
      </c>
      <c r="B271" s="89" t="s">
        <v>3238</v>
      </c>
      <c r="C271" s="89"/>
      <c r="D271" s="85">
        <v>4199.0</v>
      </c>
      <c r="E271" s="86"/>
      <c r="F271" s="84">
        <f t="shared" si="1"/>
        <v>289.731</v>
      </c>
      <c r="G271" s="84"/>
      <c r="H271" s="85">
        <v>3305.62</v>
      </c>
      <c r="I271" s="86">
        <v>0.11</v>
      </c>
      <c r="J271" s="85">
        <f t="shared" si="2"/>
        <v>461.89</v>
      </c>
      <c r="K271" s="85">
        <f t="shared" si="3"/>
        <v>398.1810345</v>
      </c>
      <c r="L271" s="85"/>
      <c r="M271" s="85">
        <f t="shared" si="4"/>
        <v>141.759</v>
      </c>
      <c r="N271" s="86">
        <f t="shared" si="7"/>
        <v>0.04288423957</v>
      </c>
      <c r="O271" s="86"/>
      <c r="P271" s="82"/>
    </row>
    <row r="272">
      <c r="A272" s="89" t="s">
        <v>3239</v>
      </c>
      <c r="B272" s="89" t="s">
        <v>3240</v>
      </c>
      <c r="C272" s="89"/>
      <c r="D272" s="85">
        <v>799.0</v>
      </c>
      <c r="E272" s="86"/>
      <c r="F272" s="84">
        <f t="shared" si="1"/>
        <v>55.131</v>
      </c>
      <c r="G272" s="84"/>
      <c r="H272" s="85">
        <v>582.94</v>
      </c>
      <c r="I272" s="86">
        <v>0.1</v>
      </c>
      <c r="J272" s="85">
        <f t="shared" si="2"/>
        <v>79.9</v>
      </c>
      <c r="K272" s="85">
        <f t="shared" si="3"/>
        <v>68.87931034</v>
      </c>
      <c r="L272" s="85"/>
      <c r="M272" s="85">
        <f t="shared" si="4"/>
        <v>81.029</v>
      </c>
      <c r="N272" s="86">
        <f t="shared" si="7"/>
        <v>0.1390005833</v>
      </c>
      <c r="O272" s="86"/>
      <c r="P272" s="82"/>
    </row>
    <row r="273">
      <c r="A273" s="89" t="s">
        <v>3241</v>
      </c>
      <c r="B273" s="89" t="s">
        <v>3242</v>
      </c>
      <c r="C273" s="89"/>
      <c r="D273" s="85">
        <v>20999.0</v>
      </c>
      <c r="E273" s="86"/>
      <c r="F273" s="84">
        <f t="shared" si="1"/>
        <v>1448.931</v>
      </c>
      <c r="G273" s="84"/>
      <c r="H273" s="85">
        <v>12890.8</v>
      </c>
      <c r="I273" s="86">
        <v>0.1</v>
      </c>
      <c r="J273" s="85">
        <f t="shared" si="2"/>
        <v>2099.9</v>
      </c>
      <c r="K273" s="85">
        <f t="shared" si="3"/>
        <v>1810.258621</v>
      </c>
      <c r="L273" s="85"/>
      <c r="M273" s="85">
        <f t="shared" si="4"/>
        <v>4559.369</v>
      </c>
      <c r="N273" s="86">
        <f t="shared" si="7"/>
        <v>0.3536917026</v>
      </c>
      <c r="O273" s="86"/>
      <c r="P273" s="82"/>
    </row>
    <row r="274">
      <c r="A274" s="89" t="s">
        <v>3243</v>
      </c>
      <c r="B274" s="89" t="s">
        <v>3244</v>
      </c>
      <c r="C274" s="89"/>
      <c r="D274" s="85">
        <v>12499.0</v>
      </c>
      <c r="E274" s="86"/>
      <c r="F274" s="84">
        <f t="shared" si="1"/>
        <v>862.431</v>
      </c>
      <c r="G274" s="84"/>
      <c r="H274" s="85">
        <v>9927.39</v>
      </c>
      <c r="I274" s="86">
        <v>0.11</v>
      </c>
      <c r="J274" s="85">
        <f t="shared" si="2"/>
        <v>1374.89</v>
      </c>
      <c r="K274" s="85">
        <f t="shared" si="3"/>
        <v>1185.25</v>
      </c>
      <c r="L274" s="85"/>
      <c r="M274" s="85">
        <f t="shared" si="4"/>
        <v>334.289</v>
      </c>
      <c r="N274" s="86">
        <f t="shared" si="7"/>
        <v>0.03367340258</v>
      </c>
      <c r="O274" s="86"/>
      <c r="P274" s="82"/>
    </row>
    <row r="275">
      <c r="A275" s="89" t="s">
        <v>3245</v>
      </c>
      <c r="B275" s="89" t="s">
        <v>3246</v>
      </c>
      <c r="C275" s="89"/>
      <c r="D275" s="85">
        <v>2119.0</v>
      </c>
      <c r="E275" s="86"/>
      <c r="F275" s="84">
        <f t="shared" si="1"/>
        <v>146.211</v>
      </c>
      <c r="G275" s="84"/>
      <c r="H275" s="85">
        <v>1659.59</v>
      </c>
      <c r="I275" s="86">
        <v>0.1</v>
      </c>
      <c r="J275" s="85">
        <f t="shared" si="2"/>
        <v>211.9</v>
      </c>
      <c r="K275" s="85">
        <f t="shared" si="3"/>
        <v>182.6724138</v>
      </c>
      <c r="L275" s="85"/>
      <c r="M275" s="85">
        <f t="shared" si="4"/>
        <v>101.299</v>
      </c>
      <c r="N275" s="86">
        <f t="shared" si="7"/>
        <v>0.06103856977</v>
      </c>
      <c r="O275" s="86"/>
      <c r="P275" s="82"/>
    </row>
    <row r="276">
      <c r="A276" s="89" t="s">
        <v>3247</v>
      </c>
      <c r="B276" s="89" t="s">
        <v>3248</v>
      </c>
      <c r="C276" s="89"/>
      <c r="D276" s="85">
        <v>899.0</v>
      </c>
      <c r="E276" s="86"/>
      <c r="F276" s="84">
        <f t="shared" si="1"/>
        <v>62.031</v>
      </c>
      <c r="G276" s="84"/>
      <c r="H276" s="85">
        <v>598.82</v>
      </c>
      <c r="I276" s="86">
        <v>0.1</v>
      </c>
      <c r="J276" s="85">
        <f t="shared" si="2"/>
        <v>89.9</v>
      </c>
      <c r="K276" s="85">
        <f t="shared" si="3"/>
        <v>77.5</v>
      </c>
      <c r="L276" s="85"/>
      <c r="M276" s="85">
        <f t="shared" si="4"/>
        <v>148.249</v>
      </c>
      <c r="N276" s="86">
        <f t="shared" si="7"/>
        <v>0.2475685515</v>
      </c>
      <c r="O276" s="86"/>
      <c r="P276" s="82"/>
    </row>
    <row r="277">
      <c r="A277" s="89" t="s">
        <v>3249</v>
      </c>
      <c r="B277" s="89" t="s">
        <v>3250</v>
      </c>
      <c r="C277" s="89"/>
      <c r="D277" s="85">
        <v>2999.0</v>
      </c>
      <c r="E277" s="86"/>
      <c r="F277" s="84">
        <f t="shared" si="1"/>
        <v>206.931</v>
      </c>
      <c r="G277" s="84"/>
      <c r="H277" s="85">
        <v>2602.47</v>
      </c>
      <c r="I277" s="86">
        <v>0.1</v>
      </c>
      <c r="J277" s="85">
        <f t="shared" si="2"/>
        <v>299.9</v>
      </c>
      <c r="K277" s="85">
        <f t="shared" si="3"/>
        <v>258.5344828</v>
      </c>
      <c r="L277" s="85"/>
      <c r="M277" s="85">
        <f t="shared" si="4"/>
        <v>-110.301</v>
      </c>
      <c r="N277" s="86">
        <f t="shared" si="7"/>
        <v>-0.0423831975</v>
      </c>
      <c r="O277" s="86"/>
      <c r="P277" s="82"/>
    </row>
    <row r="278">
      <c r="A278" s="89" t="s">
        <v>3251</v>
      </c>
      <c r="B278" s="89" t="s">
        <v>3252</v>
      </c>
      <c r="C278" s="89"/>
      <c r="D278" s="85">
        <v>1019.0</v>
      </c>
      <c r="E278" s="86"/>
      <c r="F278" s="84">
        <f t="shared" si="1"/>
        <v>70.311</v>
      </c>
      <c r="G278" s="84"/>
      <c r="H278" s="85">
        <v>742.0</v>
      </c>
      <c r="I278" s="86">
        <v>0.1</v>
      </c>
      <c r="J278" s="85">
        <f t="shared" si="2"/>
        <v>101.9</v>
      </c>
      <c r="K278" s="85">
        <f t="shared" si="3"/>
        <v>87.84482759</v>
      </c>
      <c r="L278" s="85"/>
      <c r="M278" s="85">
        <f t="shared" si="4"/>
        <v>104.789</v>
      </c>
      <c r="N278" s="86">
        <f t="shared" si="7"/>
        <v>0.1412250674</v>
      </c>
      <c r="O278" s="86"/>
      <c r="P278" s="82"/>
    </row>
    <row r="279">
      <c r="A279" s="89" t="s">
        <v>3253</v>
      </c>
      <c r="B279" s="89" t="s">
        <v>3254</v>
      </c>
      <c r="C279" s="89"/>
      <c r="D279" s="85">
        <v>1179.0</v>
      </c>
      <c r="E279" s="86"/>
      <c r="F279" s="84">
        <f t="shared" si="1"/>
        <v>81.351</v>
      </c>
      <c r="G279" s="84"/>
      <c r="H279" s="85">
        <v>842.5</v>
      </c>
      <c r="I279" s="86">
        <v>0.15</v>
      </c>
      <c r="J279" s="85">
        <f t="shared" si="2"/>
        <v>176.85</v>
      </c>
      <c r="K279" s="85">
        <f t="shared" si="3"/>
        <v>152.4568966</v>
      </c>
      <c r="L279" s="85"/>
      <c r="M279" s="85">
        <f t="shared" si="4"/>
        <v>78.299</v>
      </c>
      <c r="N279" s="86">
        <f t="shared" si="7"/>
        <v>0.09293649852</v>
      </c>
      <c r="O279" s="86"/>
      <c r="P279" s="82"/>
    </row>
    <row r="280">
      <c r="A280" s="89" t="s">
        <v>962</v>
      </c>
      <c r="B280" s="89" t="s">
        <v>3255</v>
      </c>
      <c r="C280" s="89"/>
      <c r="D280" s="82">
        <v>389.0</v>
      </c>
      <c r="E280" s="83"/>
      <c r="F280" s="84">
        <f t="shared" si="1"/>
        <v>26.841</v>
      </c>
      <c r="G280" s="84"/>
      <c r="H280" s="85">
        <v>209.0</v>
      </c>
      <c r="I280" s="86">
        <v>0.15</v>
      </c>
      <c r="J280" s="85">
        <f t="shared" si="2"/>
        <v>58.35</v>
      </c>
      <c r="K280" s="85">
        <f t="shared" si="3"/>
        <v>50.30172414</v>
      </c>
      <c r="L280" s="82">
        <v>61.79</v>
      </c>
      <c r="M280" s="85">
        <f t="shared" si="4"/>
        <v>33.019</v>
      </c>
      <c r="N280" s="86">
        <f t="shared" si="7"/>
        <v>0.1579856459</v>
      </c>
      <c r="O280" s="86"/>
      <c r="P280" s="82"/>
    </row>
    <row r="281">
      <c r="A281" s="89" t="s">
        <v>962</v>
      </c>
      <c r="B281" s="89" t="s">
        <v>3256</v>
      </c>
      <c r="C281" s="89"/>
      <c r="D281" s="82">
        <v>379.0</v>
      </c>
      <c r="E281" s="83"/>
      <c r="F281" s="84">
        <f t="shared" si="1"/>
        <v>26.151</v>
      </c>
      <c r="G281" s="84"/>
      <c r="H281" s="85">
        <v>220.83</v>
      </c>
      <c r="I281" s="86">
        <v>0.15</v>
      </c>
      <c r="J281" s="85">
        <f t="shared" si="2"/>
        <v>56.85</v>
      </c>
      <c r="K281" s="85">
        <f t="shared" si="3"/>
        <v>49.00862069</v>
      </c>
      <c r="L281" s="82">
        <v>61.79</v>
      </c>
      <c r="M281" s="85">
        <f t="shared" si="4"/>
        <v>13.379</v>
      </c>
      <c r="N281" s="86">
        <f t="shared" si="7"/>
        <v>0.06058506543</v>
      </c>
      <c r="O281" s="86"/>
      <c r="P281" s="82"/>
    </row>
    <row r="282">
      <c r="A282" s="89" t="s">
        <v>3257</v>
      </c>
      <c r="B282" s="89" t="s">
        <v>3258</v>
      </c>
      <c r="C282" s="89"/>
      <c r="D282" s="85">
        <v>3399.0</v>
      </c>
      <c r="E282" s="86"/>
      <c r="F282" s="84">
        <f t="shared" si="1"/>
        <v>234.531</v>
      </c>
      <c r="G282" s="84"/>
      <c r="H282" s="85">
        <v>2693.66</v>
      </c>
      <c r="I282" s="86">
        <v>0.1</v>
      </c>
      <c r="J282" s="85">
        <f t="shared" si="2"/>
        <v>339.9</v>
      </c>
      <c r="K282" s="85">
        <f t="shared" si="3"/>
        <v>293.0172414</v>
      </c>
      <c r="L282" s="85"/>
      <c r="M282" s="85">
        <f t="shared" si="4"/>
        <v>130.909</v>
      </c>
      <c r="N282" s="86">
        <f t="shared" si="7"/>
        <v>0.04859893231</v>
      </c>
      <c r="O282" s="86"/>
      <c r="P282" s="82"/>
    </row>
    <row r="283">
      <c r="A283" s="89" t="s">
        <v>3259</v>
      </c>
      <c r="B283" s="89" t="s">
        <v>3260</v>
      </c>
      <c r="C283" s="89"/>
      <c r="D283" s="85">
        <v>3499.0</v>
      </c>
      <c r="E283" s="86"/>
      <c r="F283" s="84">
        <f t="shared" si="1"/>
        <v>241.431</v>
      </c>
      <c r="G283" s="84"/>
      <c r="H283" s="85">
        <v>2528.41</v>
      </c>
      <c r="I283" s="86">
        <v>0.11</v>
      </c>
      <c r="J283" s="85">
        <f t="shared" si="2"/>
        <v>384.89</v>
      </c>
      <c r="K283" s="85">
        <f t="shared" si="3"/>
        <v>331.8017241</v>
      </c>
      <c r="L283" s="85"/>
      <c r="M283" s="85">
        <f t="shared" si="4"/>
        <v>344.269</v>
      </c>
      <c r="N283" s="86">
        <f t="shared" si="7"/>
        <v>0.1361602746</v>
      </c>
      <c r="O283" s="86"/>
      <c r="P283" s="82"/>
    </row>
    <row r="284">
      <c r="A284" s="89" t="s">
        <v>3261</v>
      </c>
      <c r="B284" s="89" t="s">
        <v>3262</v>
      </c>
      <c r="C284" s="89"/>
      <c r="D284" s="85">
        <v>1999.0</v>
      </c>
      <c r="E284" s="86"/>
      <c r="F284" s="84">
        <f t="shared" si="1"/>
        <v>137.931</v>
      </c>
      <c r="G284" s="84"/>
      <c r="H284" s="85">
        <v>1597.82</v>
      </c>
      <c r="I284" s="86">
        <v>0.1</v>
      </c>
      <c r="J284" s="85">
        <f t="shared" si="2"/>
        <v>199.9</v>
      </c>
      <c r="K284" s="85">
        <f t="shared" si="3"/>
        <v>172.3275862</v>
      </c>
      <c r="L284" s="85"/>
      <c r="M284" s="85">
        <f t="shared" si="4"/>
        <v>63.349</v>
      </c>
      <c r="N284" s="86">
        <f t="shared" si="7"/>
        <v>0.03964714423</v>
      </c>
      <c r="O284" s="86"/>
      <c r="P284" s="82"/>
    </row>
    <row r="285">
      <c r="A285" s="89" t="s">
        <v>3263</v>
      </c>
      <c r="B285" s="89" t="s">
        <v>3227</v>
      </c>
      <c r="C285" s="89"/>
      <c r="D285" s="85">
        <v>1499.0</v>
      </c>
      <c r="E285" s="86"/>
      <c r="F285" s="84">
        <f t="shared" si="1"/>
        <v>103.431</v>
      </c>
      <c r="G285" s="84"/>
      <c r="H285" s="85">
        <v>1135.65</v>
      </c>
      <c r="I285" s="86">
        <v>0.1</v>
      </c>
      <c r="J285" s="85">
        <f t="shared" si="2"/>
        <v>149.9</v>
      </c>
      <c r="K285" s="85">
        <f t="shared" si="3"/>
        <v>129.2241379</v>
      </c>
      <c r="L285" s="85"/>
      <c r="M285" s="85">
        <f t="shared" si="4"/>
        <v>110.019</v>
      </c>
      <c r="N285" s="86">
        <f t="shared" si="7"/>
        <v>0.09687755911</v>
      </c>
      <c r="O285" s="86"/>
      <c r="P285" s="82"/>
    </row>
    <row r="286">
      <c r="A286" s="89" t="s">
        <v>3264</v>
      </c>
      <c r="B286" s="89" t="s">
        <v>3265</v>
      </c>
      <c r="C286" s="89"/>
      <c r="D286" s="85">
        <v>1899.0</v>
      </c>
      <c r="E286" s="86"/>
      <c r="F286" s="84">
        <f t="shared" si="1"/>
        <v>131.031</v>
      </c>
      <c r="G286" s="84"/>
      <c r="H286" s="85">
        <v>2240.7</v>
      </c>
      <c r="I286" s="86">
        <v>0.11</v>
      </c>
      <c r="J286" s="85">
        <f t="shared" si="2"/>
        <v>208.89</v>
      </c>
      <c r="K286" s="85">
        <f t="shared" si="3"/>
        <v>180.0775862</v>
      </c>
      <c r="L286" s="85"/>
      <c r="M286" s="85">
        <f t="shared" si="4"/>
        <v>-681.621</v>
      </c>
      <c r="N286" s="86">
        <f t="shared" si="7"/>
        <v>-0.3042000268</v>
      </c>
      <c r="O286" s="86"/>
      <c r="P286" s="82"/>
    </row>
    <row r="287">
      <c r="A287" s="89" t="s">
        <v>3266</v>
      </c>
      <c r="B287" s="89" t="s">
        <v>3267</v>
      </c>
      <c r="C287" s="89"/>
      <c r="D287" s="85">
        <v>1179.0</v>
      </c>
      <c r="E287" s="86"/>
      <c r="F287" s="84">
        <f t="shared" si="1"/>
        <v>81.351</v>
      </c>
      <c r="G287" s="84"/>
      <c r="H287" s="85">
        <v>871.67</v>
      </c>
      <c r="I287" s="86">
        <v>0.1</v>
      </c>
      <c r="J287" s="85">
        <f t="shared" si="2"/>
        <v>117.9</v>
      </c>
      <c r="K287" s="85">
        <f t="shared" si="3"/>
        <v>101.637931</v>
      </c>
      <c r="L287" s="85"/>
      <c r="M287" s="85">
        <f t="shared" si="4"/>
        <v>108.079</v>
      </c>
      <c r="N287" s="86">
        <f t="shared" si="7"/>
        <v>0.1239907304</v>
      </c>
      <c r="O287" s="86"/>
      <c r="P287" s="82"/>
    </row>
    <row r="288">
      <c r="A288" s="89" t="s">
        <v>518</v>
      </c>
      <c r="B288" s="89" t="s">
        <v>3268</v>
      </c>
      <c r="C288" s="89"/>
      <c r="D288" s="85">
        <v>4199.0</v>
      </c>
      <c r="E288" s="86"/>
      <c r="F288" s="84">
        <f t="shared" si="1"/>
        <v>289.731</v>
      </c>
      <c r="G288" s="84"/>
      <c r="H288" s="85">
        <v>3305.62</v>
      </c>
      <c r="I288" s="86">
        <v>0.1</v>
      </c>
      <c r="J288" s="85">
        <f t="shared" si="2"/>
        <v>419.9</v>
      </c>
      <c r="K288" s="85">
        <f t="shared" si="3"/>
        <v>361.9827586</v>
      </c>
      <c r="L288" s="85"/>
      <c r="M288" s="85">
        <f t="shared" si="4"/>
        <v>183.749</v>
      </c>
      <c r="N288" s="86">
        <f t="shared" si="7"/>
        <v>0.05558684906</v>
      </c>
      <c r="O288" s="86"/>
      <c r="P288" s="82"/>
    </row>
    <row r="289">
      <c r="A289" s="89" t="s">
        <v>3269</v>
      </c>
      <c r="B289" s="89" t="s">
        <v>3270</v>
      </c>
      <c r="C289" s="89"/>
      <c r="D289" s="85">
        <v>1099.0</v>
      </c>
      <c r="E289" s="86"/>
      <c r="F289" s="84">
        <f t="shared" si="1"/>
        <v>75.831</v>
      </c>
      <c r="G289" s="84"/>
      <c r="H289" s="85">
        <v>747.18</v>
      </c>
      <c r="I289" s="86">
        <v>0.15</v>
      </c>
      <c r="J289" s="85">
        <f t="shared" si="2"/>
        <v>164.85</v>
      </c>
      <c r="K289" s="85">
        <f t="shared" si="3"/>
        <v>142.112069</v>
      </c>
      <c r="L289" s="85"/>
      <c r="M289" s="85">
        <f t="shared" si="4"/>
        <v>111.139</v>
      </c>
      <c r="N289" s="86">
        <f t="shared" si="7"/>
        <v>0.1487446131</v>
      </c>
      <c r="O289" s="86"/>
      <c r="P289" s="82"/>
    </row>
    <row r="290">
      <c r="A290" s="89"/>
      <c r="B290" s="89" t="s">
        <v>3271</v>
      </c>
      <c r="C290" s="89"/>
      <c r="D290" s="85">
        <v>999.0</v>
      </c>
      <c r="E290" s="86"/>
      <c r="F290" s="84">
        <f t="shared" si="1"/>
        <v>68.931</v>
      </c>
      <c r="G290" s="84"/>
      <c r="H290" s="85">
        <v>643.41</v>
      </c>
      <c r="I290" s="86">
        <v>0.15</v>
      </c>
      <c r="J290" s="85">
        <f t="shared" si="2"/>
        <v>149.85</v>
      </c>
      <c r="K290" s="85">
        <f t="shared" si="3"/>
        <v>129.1810345</v>
      </c>
      <c r="L290" s="85"/>
      <c r="M290" s="85">
        <f t="shared" si="4"/>
        <v>136.809</v>
      </c>
      <c r="N290" s="86">
        <f t="shared" si="7"/>
        <v>0.2126311372</v>
      </c>
      <c r="O290" s="86"/>
      <c r="P290" s="82"/>
    </row>
    <row r="291">
      <c r="A291" s="89" t="s">
        <v>3272</v>
      </c>
      <c r="B291" s="89" t="s">
        <v>3273</v>
      </c>
      <c r="C291" s="89"/>
      <c r="D291" s="85">
        <v>1399.0</v>
      </c>
      <c r="E291" s="86"/>
      <c r="F291" s="84">
        <f t="shared" si="1"/>
        <v>96.531</v>
      </c>
      <c r="G291" s="84"/>
      <c r="H291" s="85">
        <v>996.25</v>
      </c>
      <c r="I291" s="86">
        <v>0.15</v>
      </c>
      <c r="J291" s="85">
        <f t="shared" si="2"/>
        <v>209.85</v>
      </c>
      <c r="K291" s="85">
        <f t="shared" si="3"/>
        <v>180.9051724</v>
      </c>
      <c r="L291" s="85"/>
      <c r="M291" s="85">
        <f t="shared" si="4"/>
        <v>96.369</v>
      </c>
      <c r="N291" s="86">
        <f t="shared" si="7"/>
        <v>0.09673174404</v>
      </c>
      <c r="O291" s="86"/>
      <c r="P291" s="82"/>
    </row>
    <row r="292">
      <c r="A292" s="89" t="s">
        <v>3274</v>
      </c>
      <c r="B292" s="89" t="s">
        <v>3275</v>
      </c>
      <c r="C292" s="89"/>
      <c r="D292" s="85">
        <v>1459.0</v>
      </c>
      <c r="E292" s="86"/>
      <c r="F292" s="84">
        <f t="shared" si="1"/>
        <v>100.671</v>
      </c>
      <c r="G292" s="84"/>
      <c r="H292" s="85">
        <v>1060.9</v>
      </c>
      <c r="I292" s="86">
        <v>0.15</v>
      </c>
      <c r="J292" s="85">
        <f t="shared" si="2"/>
        <v>218.85</v>
      </c>
      <c r="K292" s="85">
        <f t="shared" si="3"/>
        <v>188.6637931</v>
      </c>
      <c r="L292" s="85"/>
      <c r="M292" s="85">
        <f t="shared" si="4"/>
        <v>78.579</v>
      </c>
      <c r="N292" s="86">
        <f t="shared" si="7"/>
        <v>0.07406824394</v>
      </c>
      <c r="O292" s="86"/>
      <c r="P292" s="82"/>
    </row>
    <row r="293">
      <c r="A293" s="89" t="s">
        <v>3276</v>
      </c>
      <c r="B293" s="89" t="s">
        <v>3277</v>
      </c>
      <c r="C293" s="89"/>
      <c r="D293" s="85">
        <v>1459.0</v>
      </c>
      <c r="E293" s="86"/>
      <c r="F293" s="84">
        <f t="shared" si="1"/>
        <v>100.671</v>
      </c>
      <c r="G293" s="84"/>
      <c r="H293" s="85">
        <v>1062.98</v>
      </c>
      <c r="I293" s="86">
        <v>0.15</v>
      </c>
      <c r="J293" s="85">
        <f t="shared" si="2"/>
        <v>218.85</v>
      </c>
      <c r="K293" s="85">
        <f t="shared" si="3"/>
        <v>188.6637931</v>
      </c>
      <c r="L293" s="85"/>
      <c r="M293" s="85">
        <f t="shared" si="4"/>
        <v>76.499</v>
      </c>
      <c r="N293" s="86">
        <f t="shared" si="7"/>
        <v>0.07196654688</v>
      </c>
      <c r="O293" s="86"/>
      <c r="P293" s="82"/>
    </row>
    <row r="294">
      <c r="A294" s="89" t="s">
        <v>3278</v>
      </c>
      <c r="B294" s="89" t="s">
        <v>3279</v>
      </c>
      <c r="C294" s="89"/>
      <c r="D294" s="85">
        <v>1349.0</v>
      </c>
      <c r="E294" s="86"/>
      <c r="F294" s="84">
        <f t="shared" si="1"/>
        <v>93.081</v>
      </c>
      <c r="G294" s="84"/>
      <c r="H294" s="85">
        <v>983.53</v>
      </c>
      <c r="I294" s="86">
        <v>0.15</v>
      </c>
      <c r="J294" s="85">
        <f t="shared" si="2"/>
        <v>202.35</v>
      </c>
      <c r="K294" s="85">
        <f t="shared" si="3"/>
        <v>174.4396552</v>
      </c>
      <c r="L294" s="85"/>
      <c r="M294" s="85">
        <f t="shared" si="4"/>
        <v>70.039</v>
      </c>
      <c r="N294" s="86">
        <f t="shared" si="7"/>
        <v>0.07121185932</v>
      </c>
      <c r="O294" s="86"/>
      <c r="P294" s="82"/>
    </row>
    <row r="295">
      <c r="A295" s="89" t="s">
        <v>3280</v>
      </c>
      <c r="B295" s="89" t="s">
        <v>3281</v>
      </c>
      <c r="C295" s="89"/>
      <c r="D295" s="85">
        <v>569.0</v>
      </c>
      <c r="E295" s="86"/>
      <c r="F295" s="84">
        <f t="shared" si="1"/>
        <v>39.261</v>
      </c>
      <c r="G295" s="84"/>
      <c r="H295" s="85">
        <v>366.22</v>
      </c>
      <c r="I295" s="86">
        <v>0.15</v>
      </c>
      <c r="J295" s="85">
        <f t="shared" si="2"/>
        <v>85.35</v>
      </c>
      <c r="K295" s="85">
        <f t="shared" si="3"/>
        <v>73.57758621</v>
      </c>
      <c r="L295" s="85"/>
      <c r="M295" s="85">
        <f t="shared" si="4"/>
        <v>78.169</v>
      </c>
      <c r="N295" s="86">
        <f t="shared" si="7"/>
        <v>0.2134482005</v>
      </c>
      <c r="O295" s="86"/>
      <c r="P295" s="82"/>
    </row>
    <row r="296">
      <c r="A296" s="89" t="s">
        <v>3282</v>
      </c>
      <c r="B296" s="89" t="s">
        <v>3283</v>
      </c>
      <c r="C296" s="89"/>
      <c r="D296" s="85">
        <v>929.0</v>
      </c>
      <c r="E296" s="86"/>
      <c r="F296" s="84">
        <f t="shared" si="1"/>
        <v>64.101</v>
      </c>
      <c r="G296" s="84"/>
      <c r="H296" s="85">
        <v>643.41</v>
      </c>
      <c r="I296" s="86">
        <v>0.16</v>
      </c>
      <c r="J296" s="85">
        <f t="shared" si="2"/>
        <v>148.64</v>
      </c>
      <c r="K296" s="85">
        <f t="shared" si="3"/>
        <v>128.137931</v>
      </c>
      <c r="L296" s="85"/>
      <c r="M296" s="85">
        <f t="shared" si="4"/>
        <v>72.849</v>
      </c>
      <c r="N296" s="86">
        <f t="shared" si="7"/>
        <v>0.1132232946</v>
      </c>
      <c r="O296" s="86"/>
      <c r="P296" s="82"/>
    </row>
    <row r="297">
      <c r="A297" s="89" t="s">
        <v>3284</v>
      </c>
      <c r="B297" s="89" t="s">
        <v>3285</v>
      </c>
      <c r="C297" s="89"/>
      <c r="D297" s="82">
        <v>799.0</v>
      </c>
      <c r="E297" s="83"/>
      <c r="F297" s="84">
        <f t="shared" si="1"/>
        <v>55.131</v>
      </c>
      <c r="G297" s="84"/>
      <c r="H297" s="85">
        <v>555.92</v>
      </c>
      <c r="I297" s="86">
        <v>0.15</v>
      </c>
      <c r="J297" s="85">
        <f t="shared" si="2"/>
        <v>119.85</v>
      </c>
      <c r="K297" s="85">
        <f t="shared" si="3"/>
        <v>103.3189655</v>
      </c>
      <c r="L297" s="85"/>
      <c r="M297" s="85">
        <f t="shared" si="4"/>
        <v>68.099</v>
      </c>
      <c r="N297" s="86">
        <f t="shared" si="7"/>
        <v>0.1224978414</v>
      </c>
      <c r="O297" s="86"/>
      <c r="P297" s="82"/>
    </row>
    <row r="298">
      <c r="A298" s="89" t="s">
        <v>3286</v>
      </c>
      <c r="B298" s="89" t="s">
        <v>3287</v>
      </c>
      <c r="C298" s="89"/>
      <c r="D298" s="85">
        <v>1939.0</v>
      </c>
      <c r="E298" s="86"/>
      <c r="F298" s="84">
        <f t="shared" si="1"/>
        <v>133.791</v>
      </c>
      <c r="G298" s="84"/>
      <c r="H298" s="85">
        <v>1434.89</v>
      </c>
      <c r="I298" s="86">
        <v>0.15</v>
      </c>
      <c r="J298" s="85">
        <f t="shared" si="2"/>
        <v>290.85</v>
      </c>
      <c r="K298" s="85">
        <f t="shared" si="3"/>
        <v>250.7327586</v>
      </c>
      <c r="L298" s="85"/>
      <c r="M298" s="85">
        <f t="shared" si="4"/>
        <v>79.469</v>
      </c>
      <c r="N298" s="86">
        <f t="shared" si="7"/>
        <v>0.05538333949</v>
      </c>
      <c r="O298" s="86"/>
      <c r="P298" s="82"/>
    </row>
    <row r="299">
      <c r="A299" s="89" t="s">
        <v>3288</v>
      </c>
      <c r="B299" s="89" t="s">
        <v>3289</v>
      </c>
      <c r="C299" s="89"/>
      <c r="D299" s="85">
        <v>1215.0</v>
      </c>
      <c r="E299" s="86"/>
      <c r="F299" s="84">
        <f t="shared" si="1"/>
        <v>83.835</v>
      </c>
      <c r="G299" s="84"/>
      <c r="H299" s="85">
        <v>676.28</v>
      </c>
      <c r="I299" s="86">
        <v>0.15</v>
      </c>
      <c r="J299" s="85">
        <f t="shared" si="2"/>
        <v>182.25</v>
      </c>
      <c r="K299" s="85">
        <f t="shared" si="3"/>
        <v>157.112069</v>
      </c>
      <c r="L299" s="85"/>
      <c r="M299" s="85">
        <f t="shared" si="4"/>
        <v>272.635</v>
      </c>
      <c r="N299" s="86">
        <f t="shared" si="7"/>
        <v>0.4031392323</v>
      </c>
      <c r="O299" s="86"/>
      <c r="P299" s="82"/>
    </row>
    <row r="300">
      <c r="A300" s="89" t="s">
        <v>3290</v>
      </c>
      <c r="B300" s="89" t="s">
        <v>3291</v>
      </c>
      <c r="C300" s="89"/>
      <c r="D300" s="85">
        <v>266.0</v>
      </c>
      <c r="E300" s="86"/>
      <c r="F300" s="84">
        <f t="shared" si="1"/>
        <v>18.354</v>
      </c>
      <c r="G300" s="84"/>
      <c r="H300" s="85">
        <v>120.87</v>
      </c>
      <c r="I300" s="86">
        <v>0.1</v>
      </c>
      <c r="J300" s="85">
        <f t="shared" si="2"/>
        <v>26.6</v>
      </c>
      <c r="K300" s="85">
        <f t="shared" si="3"/>
        <v>22.93103448</v>
      </c>
      <c r="L300" s="85"/>
      <c r="M300" s="85">
        <f t="shared" si="4"/>
        <v>100.176</v>
      </c>
      <c r="N300" s="86">
        <f t="shared" si="7"/>
        <v>0.8287912633</v>
      </c>
      <c r="O300" s="86"/>
      <c r="P300" s="82"/>
    </row>
    <row r="301">
      <c r="A301" s="89" t="s">
        <v>3292</v>
      </c>
      <c r="B301" s="89" t="s">
        <v>3293</v>
      </c>
      <c r="C301" s="89"/>
      <c r="D301" s="85">
        <v>499.0</v>
      </c>
      <c r="E301" s="86"/>
      <c r="F301" s="84">
        <f t="shared" si="1"/>
        <v>34.431</v>
      </c>
      <c r="G301" s="84"/>
      <c r="H301" s="85">
        <v>330.84</v>
      </c>
      <c r="I301" s="86">
        <v>0.1</v>
      </c>
      <c r="J301" s="85">
        <f t="shared" si="2"/>
        <v>49.9</v>
      </c>
      <c r="K301" s="85">
        <f t="shared" si="3"/>
        <v>43.01724138</v>
      </c>
      <c r="L301" s="85"/>
      <c r="M301" s="85">
        <f t="shared" si="4"/>
        <v>83.829</v>
      </c>
      <c r="N301" s="86">
        <f t="shared" si="7"/>
        <v>0.2533822996</v>
      </c>
      <c r="O301" s="86"/>
      <c r="P301" s="82"/>
    </row>
    <row r="302">
      <c r="A302" s="89" t="s">
        <v>3294</v>
      </c>
      <c r="B302" s="89" t="s">
        <v>3295</v>
      </c>
      <c r="C302" s="89"/>
      <c r="D302" s="85">
        <v>549.0</v>
      </c>
      <c r="E302" s="86"/>
      <c r="F302" s="84">
        <f t="shared" si="1"/>
        <v>37.881</v>
      </c>
      <c r="G302" s="84"/>
      <c r="H302" s="85">
        <v>327.19</v>
      </c>
      <c r="I302" s="86">
        <v>0.16</v>
      </c>
      <c r="J302" s="85">
        <f t="shared" si="2"/>
        <v>87.84</v>
      </c>
      <c r="K302" s="85">
        <f t="shared" si="3"/>
        <v>75.72413793</v>
      </c>
      <c r="L302" s="85"/>
      <c r="M302" s="85">
        <f t="shared" si="4"/>
        <v>96.089</v>
      </c>
      <c r="N302" s="86">
        <f t="shared" si="7"/>
        <v>0.2936795134</v>
      </c>
      <c r="O302" s="86"/>
      <c r="P302" s="82"/>
    </row>
    <row r="303">
      <c r="A303" s="89" t="s">
        <v>3284</v>
      </c>
      <c r="B303" s="89" t="s">
        <v>3296</v>
      </c>
      <c r="C303" s="89"/>
      <c r="D303" s="85">
        <v>799.0</v>
      </c>
      <c r="E303" s="83"/>
      <c r="F303" s="84">
        <f t="shared" si="1"/>
        <v>55.131</v>
      </c>
      <c r="G303" s="84"/>
      <c r="H303" s="85">
        <v>555.92</v>
      </c>
      <c r="I303" s="86">
        <v>0.15</v>
      </c>
      <c r="J303" s="85">
        <f t="shared" si="2"/>
        <v>119.85</v>
      </c>
      <c r="K303" s="85">
        <f t="shared" si="3"/>
        <v>103.3189655</v>
      </c>
      <c r="L303" s="82">
        <v>61.79</v>
      </c>
      <c r="M303" s="85">
        <f t="shared" si="4"/>
        <v>6.309</v>
      </c>
      <c r="N303" s="86">
        <f t="shared" si="7"/>
        <v>0.01134875522</v>
      </c>
      <c r="O303" s="86"/>
      <c r="P303" s="82"/>
    </row>
    <row r="304">
      <c r="A304" s="89" t="s">
        <v>3297</v>
      </c>
      <c r="B304" s="89" t="s">
        <v>3298</v>
      </c>
      <c r="C304" s="89"/>
      <c r="D304" s="85">
        <v>1299.0</v>
      </c>
      <c r="E304" s="86"/>
      <c r="F304" s="84">
        <f t="shared" si="1"/>
        <v>89.631</v>
      </c>
      <c r="G304" s="84"/>
      <c r="H304" s="85">
        <v>800.0</v>
      </c>
      <c r="I304" s="86">
        <v>0.15</v>
      </c>
      <c r="J304" s="85">
        <f t="shared" si="2"/>
        <v>194.85</v>
      </c>
      <c r="K304" s="85">
        <f t="shared" si="3"/>
        <v>167.9741379</v>
      </c>
      <c r="L304" s="85"/>
      <c r="M304" s="85">
        <f t="shared" si="4"/>
        <v>214.519</v>
      </c>
      <c r="N304" s="86">
        <f t="shared" si="7"/>
        <v>0.26814875</v>
      </c>
      <c r="O304" s="86"/>
      <c r="P304" s="82"/>
    </row>
    <row r="305">
      <c r="A305" s="89" t="s">
        <v>3299</v>
      </c>
      <c r="B305" s="89" t="s">
        <v>3300</v>
      </c>
      <c r="C305" s="89"/>
      <c r="D305" s="85">
        <v>2089.0</v>
      </c>
      <c r="E305" s="86"/>
      <c r="F305" s="84">
        <f t="shared" si="1"/>
        <v>144.141</v>
      </c>
      <c r="G305" s="84"/>
      <c r="H305" s="85">
        <v>1599.34</v>
      </c>
      <c r="I305" s="86">
        <v>0.15</v>
      </c>
      <c r="J305" s="85">
        <f t="shared" si="2"/>
        <v>313.35</v>
      </c>
      <c r="K305" s="85">
        <f t="shared" si="3"/>
        <v>270.1293103</v>
      </c>
      <c r="L305" s="85"/>
      <c r="M305" s="85">
        <f t="shared" si="4"/>
        <v>32.169</v>
      </c>
      <c r="N305" s="86">
        <f t="shared" si="7"/>
        <v>0.02011392199</v>
      </c>
      <c r="O305" s="86"/>
      <c r="P305" s="82"/>
    </row>
    <row r="306">
      <c r="A306" s="89" t="s">
        <v>3301</v>
      </c>
      <c r="B306" s="89" t="s">
        <v>3302</v>
      </c>
      <c r="C306" s="89"/>
      <c r="D306" s="82">
        <v>11999.0</v>
      </c>
      <c r="E306" s="83"/>
      <c r="F306" s="84">
        <f t="shared" si="1"/>
        <v>827.931</v>
      </c>
      <c r="G306" s="84"/>
      <c r="H306" s="82">
        <v>9290.0</v>
      </c>
      <c r="I306" s="86">
        <v>0.16</v>
      </c>
      <c r="J306" s="85">
        <f t="shared" si="2"/>
        <v>1919.84</v>
      </c>
      <c r="K306" s="85">
        <f t="shared" si="3"/>
        <v>1655.034483</v>
      </c>
      <c r="L306" s="82">
        <v>354.97</v>
      </c>
      <c r="M306" s="85">
        <f t="shared" si="4"/>
        <v>-393.741</v>
      </c>
      <c r="N306" s="86">
        <f t="shared" si="7"/>
        <v>-0.04238331539</v>
      </c>
      <c r="O306" s="86"/>
      <c r="P306" s="82"/>
    </row>
    <row r="307">
      <c r="A307" s="89" t="s">
        <v>3303</v>
      </c>
      <c r="B307" s="89" t="s">
        <v>3304</v>
      </c>
      <c r="C307" s="89"/>
      <c r="D307" s="82">
        <v>1699.0</v>
      </c>
      <c r="E307" s="83"/>
      <c r="F307" s="84">
        <f t="shared" si="1"/>
        <v>117.231</v>
      </c>
      <c r="G307" s="84"/>
      <c r="H307" s="85">
        <v>1096.29</v>
      </c>
      <c r="I307" s="86">
        <v>0.15</v>
      </c>
      <c r="J307" s="85">
        <f t="shared" si="2"/>
        <v>254.85</v>
      </c>
      <c r="K307" s="85">
        <f t="shared" si="3"/>
        <v>219.6982759</v>
      </c>
      <c r="L307" s="82">
        <v>63.21</v>
      </c>
      <c r="M307" s="85">
        <f t="shared" si="4"/>
        <v>167.419</v>
      </c>
      <c r="N307" s="86">
        <f t="shared" si="7"/>
        <v>0.1527141541</v>
      </c>
      <c r="O307" s="86"/>
      <c r="P307" s="82"/>
    </row>
    <row r="308">
      <c r="A308" s="89" t="s">
        <v>3305</v>
      </c>
      <c r="B308" s="89" t="s">
        <v>3306</v>
      </c>
      <c r="C308" s="89"/>
      <c r="D308" s="85">
        <v>1299.0</v>
      </c>
      <c r="E308" s="86"/>
      <c r="F308" s="84">
        <f t="shared" si="1"/>
        <v>89.631</v>
      </c>
      <c r="G308" s="84"/>
      <c r="H308" s="85">
        <v>820.0</v>
      </c>
      <c r="I308" s="86">
        <v>0.15</v>
      </c>
      <c r="J308" s="85">
        <f t="shared" si="2"/>
        <v>194.85</v>
      </c>
      <c r="K308" s="85">
        <f t="shared" si="3"/>
        <v>167.9741379</v>
      </c>
      <c r="L308" s="85"/>
      <c r="M308" s="85">
        <f t="shared" si="4"/>
        <v>194.519</v>
      </c>
      <c r="N308" s="86">
        <f t="shared" si="7"/>
        <v>0.2372182927</v>
      </c>
      <c r="O308" s="86"/>
      <c r="P308" s="82"/>
    </row>
    <row r="309">
      <c r="A309" s="89" t="s">
        <v>3307</v>
      </c>
      <c r="B309" s="89" t="s">
        <v>3308</v>
      </c>
      <c r="C309" s="89"/>
      <c r="D309" s="85">
        <v>559.0</v>
      </c>
      <c r="E309" s="86"/>
      <c r="F309" s="84">
        <f t="shared" si="1"/>
        <v>38.571</v>
      </c>
      <c r="G309" s="84"/>
      <c r="H309" s="85">
        <v>355.94</v>
      </c>
      <c r="I309" s="86">
        <v>0.15</v>
      </c>
      <c r="J309" s="85">
        <f t="shared" si="2"/>
        <v>83.85</v>
      </c>
      <c r="K309" s="85">
        <f t="shared" si="3"/>
        <v>72.28448276</v>
      </c>
      <c r="L309" s="85"/>
      <c r="M309" s="85">
        <f t="shared" si="4"/>
        <v>80.639</v>
      </c>
      <c r="N309" s="86">
        <f t="shared" si="7"/>
        <v>0.2265522279</v>
      </c>
      <c r="O309" s="86"/>
      <c r="P309" s="82"/>
    </row>
    <row r="310">
      <c r="A310" s="89" t="s">
        <v>3309</v>
      </c>
      <c r="B310" s="89" t="s">
        <v>3310</v>
      </c>
      <c r="C310" s="89"/>
      <c r="D310" s="85">
        <v>479.0</v>
      </c>
      <c r="E310" s="86"/>
      <c r="F310" s="84">
        <f t="shared" si="1"/>
        <v>33.051</v>
      </c>
      <c r="G310" s="84"/>
      <c r="H310" s="85">
        <v>287.69</v>
      </c>
      <c r="I310" s="86">
        <v>0.15</v>
      </c>
      <c r="J310" s="85">
        <f t="shared" si="2"/>
        <v>71.85</v>
      </c>
      <c r="K310" s="85">
        <f t="shared" si="3"/>
        <v>61.93965517</v>
      </c>
      <c r="L310" s="85"/>
      <c r="M310" s="85">
        <f t="shared" si="4"/>
        <v>86.409</v>
      </c>
      <c r="N310" s="86">
        <f t="shared" si="7"/>
        <v>0.3003545483</v>
      </c>
      <c r="O310" s="86"/>
      <c r="P310" s="82"/>
    </row>
    <row r="311">
      <c r="A311" s="89"/>
      <c r="B311" s="89" t="s">
        <v>3311</v>
      </c>
      <c r="C311" s="89"/>
      <c r="D311" s="85">
        <v>4999.0</v>
      </c>
      <c r="E311" s="86"/>
      <c r="F311" s="84">
        <f t="shared" si="1"/>
        <v>344.931</v>
      </c>
      <c r="G311" s="84"/>
      <c r="H311" s="85">
        <v>4010.47</v>
      </c>
      <c r="I311" s="86">
        <v>0.1</v>
      </c>
      <c r="J311" s="85">
        <f t="shared" si="2"/>
        <v>499.9</v>
      </c>
      <c r="K311" s="85">
        <f t="shared" si="3"/>
        <v>430.9482759</v>
      </c>
      <c r="L311" s="85"/>
      <c r="M311" s="85">
        <f t="shared" si="4"/>
        <v>143.699</v>
      </c>
      <c r="N311" s="86">
        <f t="shared" si="7"/>
        <v>0.03583096246</v>
      </c>
      <c r="O311" s="86"/>
      <c r="P311" s="82"/>
    </row>
    <row r="312">
      <c r="A312" s="89" t="s">
        <v>3312</v>
      </c>
      <c r="B312" s="89" t="s">
        <v>3313</v>
      </c>
      <c r="C312" s="89"/>
      <c r="D312" s="85">
        <v>1499.0</v>
      </c>
      <c r="E312" s="86"/>
      <c r="F312" s="84">
        <f t="shared" si="1"/>
        <v>103.431</v>
      </c>
      <c r="G312" s="84"/>
      <c r="H312" s="85">
        <v>1137.93</v>
      </c>
      <c r="I312" s="86">
        <v>0.11</v>
      </c>
      <c r="J312" s="85">
        <f t="shared" si="2"/>
        <v>164.89</v>
      </c>
      <c r="K312" s="85">
        <f t="shared" si="3"/>
        <v>142.1465517</v>
      </c>
      <c r="L312" s="85"/>
      <c r="M312" s="85">
        <f t="shared" si="4"/>
        <v>92.749</v>
      </c>
      <c r="N312" s="86">
        <f t="shared" si="7"/>
        <v>0.08150677107</v>
      </c>
      <c r="O312" s="86"/>
      <c r="P312" s="82"/>
    </row>
    <row r="313">
      <c r="A313" s="89" t="s">
        <v>3314</v>
      </c>
      <c r="B313" s="89" t="s">
        <v>3315</v>
      </c>
      <c r="C313" s="89"/>
      <c r="D313" s="85">
        <v>1329.0</v>
      </c>
      <c r="E313" s="86"/>
      <c r="F313" s="84">
        <f t="shared" si="1"/>
        <v>91.701</v>
      </c>
      <c r="G313" s="84"/>
      <c r="H313" s="85">
        <v>998.21</v>
      </c>
      <c r="I313" s="86">
        <v>0.11</v>
      </c>
      <c r="J313" s="85">
        <f t="shared" si="2"/>
        <v>146.19</v>
      </c>
      <c r="K313" s="85">
        <f t="shared" si="3"/>
        <v>126.0258621</v>
      </c>
      <c r="L313" s="85"/>
      <c r="M313" s="85">
        <f t="shared" si="4"/>
        <v>92.899</v>
      </c>
      <c r="N313" s="86">
        <f t="shared" si="7"/>
        <v>0.0930655874</v>
      </c>
      <c r="O313" s="86"/>
      <c r="P313" s="82"/>
    </row>
    <row r="314">
      <c r="A314" s="89" t="s">
        <v>3316</v>
      </c>
      <c r="B314" s="89" t="s">
        <v>3317</v>
      </c>
      <c r="C314" s="89"/>
      <c r="D314" s="82">
        <v>1229.0</v>
      </c>
      <c r="E314" s="83"/>
      <c r="F314" s="84">
        <f t="shared" si="1"/>
        <v>84.801</v>
      </c>
      <c r="G314" s="84"/>
      <c r="H314" s="82">
        <v>891.0</v>
      </c>
      <c r="I314" s="86">
        <v>0.1</v>
      </c>
      <c r="J314" s="85">
        <f t="shared" si="2"/>
        <v>122.9</v>
      </c>
      <c r="K314" s="85">
        <f t="shared" si="3"/>
        <v>105.9482759</v>
      </c>
      <c r="L314" s="82">
        <v>63.0</v>
      </c>
      <c r="M314" s="85">
        <f t="shared" si="4"/>
        <v>67.299</v>
      </c>
      <c r="N314" s="86">
        <f t="shared" si="7"/>
        <v>0.07553198653</v>
      </c>
      <c r="O314" s="86"/>
      <c r="P314" s="82"/>
    </row>
    <row r="315">
      <c r="A315" s="95" t="s">
        <v>3318</v>
      </c>
      <c r="B315" s="89"/>
      <c r="C315" s="89"/>
      <c r="D315" s="85">
        <v>1396.0</v>
      </c>
      <c r="E315" s="86"/>
      <c r="F315" s="84">
        <f t="shared" si="1"/>
        <v>96.324</v>
      </c>
      <c r="G315" s="84"/>
      <c r="H315" s="85">
        <v>996.3</v>
      </c>
      <c r="I315" s="86">
        <v>0.1</v>
      </c>
      <c r="J315" s="85">
        <f t="shared" si="2"/>
        <v>139.6</v>
      </c>
      <c r="K315" s="85">
        <f t="shared" si="3"/>
        <v>120.3448276</v>
      </c>
      <c r="L315" s="85"/>
      <c r="M315" s="85">
        <f t="shared" si="4"/>
        <v>163.776</v>
      </c>
      <c r="N315" s="86">
        <f t="shared" si="7"/>
        <v>0.1643842216</v>
      </c>
      <c r="O315" s="86"/>
      <c r="P315" s="82"/>
    </row>
    <row r="316">
      <c r="A316" s="89" t="s">
        <v>3319</v>
      </c>
      <c r="B316" s="90" t="s">
        <v>3320</v>
      </c>
      <c r="C316" s="94" t="s">
        <v>3321</v>
      </c>
      <c r="D316" s="82">
        <v>749.0</v>
      </c>
      <c r="E316" s="83"/>
      <c r="F316" s="84">
        <f t="shared" si="1"/>
        <v>51.681</v>
      </c>
      <c r="G316" s="84"/>
      <c r="H316" s="82">
        <v>437.31</v>
      </c>
      <c r="I316" s="86">
        <v>0.15</v>
      </c>
      <c r="J316" s="85">
        <f t="shared" si="2"/>
        <v>112.35</v>
      </c>
      <c r="K316" s="85">
        <f t="shared" si="3"/>
        <v>96.85344828</v>
      </c>
      <c r="L316" s="82">
        <v>63.2</v>
      </c>
      <c r="M316" s="85">
        <f t="shared" si="4"/>
        <v>84.459</v>
      </c>
      <c r="N316" s="86">
        <f t="shared" si="7"/>
        <v>0.1931330178</v>
      </c>
      <c r="O316" s="86"/>
      <c r="P316" s="82"/>
    </row>
    <row r="317">
      <c r="A317" s="89" t="s">
        <v>3322</v>
      </c>
      <c r="B317" s="89" t="s">
        <v>3323</v>
      </c>
      <c r="C317" s="89"/>
      <c r="D317" s="82">
        <v>1499.0</v>
      </c>
      <c r="E317" s="83"/>
      <c r="F317" s="84">
        <f t="shared" si="1"/>
        <v>103.431</v>
      </c>
      <c r="G317" s="84"/>
      <c r="H317" s="85">
        <v>1564.86</v>
      </c>
      <c r="I317" s="86">
        <v>0.15</v>
      </c>
      <c r="J317" s="85">
        <f t="shared" si="2"/>
        <v>224.85</v>
      </c>
      <c r="K317" s="85">
        <f t="shared" si="3"/>
        <v>193.8362069</v>
      </c>
      <c r="L317" s="82">
        <v>95.09</v>
      </c>
      <c r="M317" s="85">
        <f t="shared" si="4"/>
        <v>-489.231</v>
      </c>
      <c r="N317" s="86">
        <f t="shared" si="7"/>
        <v>-0.3126356351</v>
      </c>
      <c r="O317" s="86"/>
      <c r="P317" s="82"/>
    </row>
    <row r="318">
      <c r="A318" s="89" t="s">
        <v>3324</v>
      </c>
      <c r="B318" s="89" t="s">
        <v>3325</v>
      </c>
      <c r="C318" s="89"/>
      <c r="D318" s="85">
        <v>1483.0</v>
      </c>
      <c r="E318" s="86"/>
      <c r="F318" s="84">
        <f t="shared" si="1"/>
        <v>102.327</v>
      </c>
      <c r="G318" s="84"/>
      <c r="H318" s="85">
        <v>1160.0</v>
      </c>
      <c r="I318" s="86">
        <v>0.1</v>
      </c>
      <c r="J318" s="85">
        <f t="shared" si="2"/>
        <v>148.3</v>
      </c>
      <c r="K318" s="85">
        <f t="shared" si="3"/>
        <v>127.8448276</v>
      </c>
      <c r="L318" s="85"/>
      <c r="M318" s="85">
        <f t="shared" si="4"/>
        <v>72.373</v>
      </c>
      <c r="N318" s="86">
        <f t="shared" si="7"/>
        <v>0.06239051724</v>
      </c>
      <c r="O318" s="86"/>
      <c r="P318" s="82"/>
    </row>
    <row r="319">
      <c r="A319" s="89" t="s">
        <v>3326</v>
      </c>
      <c r="B319" s="89" t="s">
        <v>3327</v>
      </c>
      <c r="C319" s="89"/>
      <c r="D319" s="85">
        <v>1399.0</v>
      </c>
      <c r="E319" s="86"/>
      <c r="F319" s="84">
        <f t="shared" si="1"/>
        <v>96.531</v>
      </c>
      <c r="G319" s="84"/>
      <c r="H319" s="85">
        <v>1044.0</v>
      </c>
      <c r="I319" s="86">
        <v>0.1</v>
      </c>
      <c r="J319" s="85">
        <f t="shared" si="2"/>
        <v>139.9</v>
      </c>
      <c r="K319" s="85">
        <f t="shared" si="3"/>
        <v>120.6034483</v>
      </c>
      <c r="L319" s="85"/>
      <c r="M319" s="85">
        <f t="shared" si="4"/>
        <v>118.569</v>
      </c>
      <c r="N319" s="86">
        <f t="shared" si="7"/>
        <v>0.1135718391</v>
      </c>
      <c r="O319" s="86"/>
      <c r="P319" s="82"/>
    </row>
    <row r="320">
      <c r="A320" s="89" t="s">
        <v>3328</v>
      </c>
      <c r="B320" s="89" t="s">
        <v>3329</v>
      </c>
      <c r="C320" s="89"/>
      <c r="D320" s="85">
        <v>1149.0</v>
      </c>
      <c r="E320" s="86"/>
      <c r="F320" s="84">
        <f t="shared" si="1"/>
        <v>79.281</v>
      </c>
      <c r="G320" s="84"/>
      <c r="H320" s="85">
        <v>822.15</v>
      </c>
      <c r="I320" s="86">
        <v>0.1</v>
      </c>
      <c r="J320" s="85">
        <f t="shared" si="2"/>
        <v>114.9</v>
      </c>
      <c r="K320" s="85">
        <f t="shared" si="3"/>
        <v>99.05172414</v>
      </c>
      <c r="L320" s="85"/>
      <c r="M320" s="85">
        <f t="shared" si="4"/>
        <v>132.669</v>
      </c>
      <c r="N320" s="86">
        <f t="shared" si="7"/>
        <v>0.1613683634</v>
      </c>
      <c r="O320" s="86"/>
      <c r="P320" s="82"/>
    </row>
    <row r="321">
      <c r="A321" s="89" t="s">
        <v>3330</v>
      </c>
      <c r="B321" s="89" t="s">
        <v>3331</v>
      </c>
      <c r="C321" s="89"/>
      <c r="D321" s="85">
        <v>1459.0</v>
      </c>
      <c r="E321" s="86"/>
      <c r="F321" s="84">
        <f t="shared" si="1"/>
        <v>100.671</v>
      </c>
      <c r="G321" s="84"/>
      <c r="H321" s="85">
        <v>1062.98</v>
      </c>
      <c r="I321" s="86">
        <v>0.15</v>
      </c>
      <c r="J321" s="85">
        <f t="shared" si="2"/>
        <v>218.85</v>
      </c>
      <c r="K321" s="85">
        <f t="shared" si="3"/>
        <v>188.6637931</v>
      </c>
      <c r="L321" s="85"/>
      <c r="M321" s="85">
        <f t="shared" si="4"/>
        <v>76.499</v>
      </c>
      <c r="N321" s="86">
        <f t="shared" si="7"/>
        <v>0.07196654688</v>
      </c>
      <c r="O321" s="86"/>
      <c r="P321" s="82"/>
    </row>
    <row r="322">
      <c r="A322" s="89" t="s">
        <v>3332</v>
      </c>
      <c r="B322" s="89" t="s">
        <v>3333</v>
      </c>
      <c r="C322" s="89"/>
      <c r="D322" s="85">
        <v>799.0</v>
      </c>
      <c r="E322" s="86"/>
      <c r="F322" s="84">
        <f t="shared" si="1"/>
        <v>55.131</v>
      </c>
      <c r="G322" s="84"/>
      <c r="H322" s="85">
        <v>518.22</v>
      </c>
      <c r="I322" s="86">
        <v>0.15</v>
      </c>
      <c r="J322" s="85">
        <f t="shared" si="2"/>
        <v>119.85</v>
      </c>
      <c r="K322" s="85">
        <f t="shared" si="3"/>
        <v>103.3189655</v>
      </c>
      <c r="L322" s="85"/>
      <c r="M322" s="85">
        <f t="shared" si="4"/>
        <v>105.799</v>
      </c>
      <c r="N322" s="86">
        <f t="shared" si="7"/>
        <v>0.2041584655</v>
      </c>
      <c r="O322" s="86"/>
      <c r="P322" s="82"/>
    </row>
    <row r="323">
      <c r="A323" s="89" t="s">
        <v>3334</v>
      </c>
      <c r="B323" s="89" t="s">
        <v>3335</v>
      </c>
      <c r="C323" s="89"/>
      <c r="D323" s="85">
        <v>1199.0</v>
      </c>
      <c r="E323" s="86"/>
      <c r="F323" s="84">
        <f t="shared" si="1"/>
        <v>82.731</v>
      </c>
      <c r="G323" s="84"/>
      <c r="H323" s="85">
        <v>929.62</v>
      </c>
      <c r="I323" s="86">
        <v>0.15</v>
      </c>
      <c r="J323" s="85">
        <f t="shared" si="2"/>
        <v>179.85</v>
      </c>
      <c r="K323" s="85">
        <f t="shared" si="3"/>
        <v>155.0431034</v>
      </c>
      <c r="L323" s="85"/>
      <c r="M323" s="85">
        <f t="shared" si="4"/>
        <v>6.799</v>
      </c>
      <c r="N323" s="86">
        <f t="shared" si="7"/>
        <v>0.007313741099</v>
      </c>
      <c r="O323" s="86"/>
      <c r="P323" s="82"/>
    </row>
    <row r="324">
      <c r="A324" s="89" t="s">
        <v>3336</v>
      </c>
      <c r="B324" s="89" t="s">
        <v>3337</v>
      </c>
      <c r="C324" s="89"/>
      <c r="D324" s="85">
        <v>439.0</v>
      </c>
      <c r="E324" s="86"/>
      <c r="F324" s="84">
        <f t="shared" si="1"/>
        <v>30.291</v>
      </c>
      <c r="G324" s="84"/>
      <c r="H324" s="85">
        <v>289.0</v>
      </c>
      <c r="I324" s="86">
        <v>0.1</v>
      </c>
      <c r="J324" s="85">
        <f t="shared" si="2"/>
        <v>43.9</v>
      </c>
      <c r="K324" s="85">
        <f t="shared" si="3"/>
        <v>37.84482759</v>
      </c>
      <c r="L324" s="85"/>
      <c r="M324" s="85">
        <f t="shared" si="4"/>
        <v>75.809</v>
      </c>
      <c r="N324" s="86">
        <f t="shared" si="7"/>
        <v>0.2623148789</v>
      </c>
      <c r="O324" s="86"/>
      <c r="P324" s="82"/>
    </row>
    <row r="325">
      <c r="A325" s="89" t="s">
        <v>3338</v>
      </c>
      <c r="B325" s="87" t="s">
        <v>3339</v>
      </c>
      <c r="C325" s="87"/>
      <c r="D325" s="85">
        <v>759.0</v>
      </c>
      <c r="E325" s="86"/>
      <c r="F325" s="84">
        <f t="shared" si="1"/>
        <v>52.371</v>
      </c>
      <c r="G325" s="84"/>
      <c r="H325" s="85">
        <v>456.99</v>
      </c>
      <c r="I325" s="86">
        <v>0.11</v>
      </c>
      <c r="J325" s="85">
        <f t="shared" si="2"/>
        <v>83.49</v>
      </c>
      <c r="K325" s="85">
        <f t="shared" si="3"/>
        <v>71.97413793</v>
      </c>
      <c r="L325" s="85"/>
      <c r="M325" s="85">
        <f t="shared" si="4"/>
        <v>166.149</v>
      </c>
      <c r="N325" s="86">
        <f t="shared" si="7"/>
        <v>0.3635725071</v>
      </c>
      <c r="O325" s="86"/>
      <c r="P325" s="82"/>
    </row>
    <row r="326">
      <c r="A326" s="89" t="s">
        <v>3340</v>
      </c>
      <c r="B326" s="87" t="s">
        <v>3341</v>
      </c>
      <c r="C326" s="87"/>
      <c r="D326" s="82">
        <v>799.0</v>
      </c>
      <c r="E326" s="86"/>
      <c r="F326" s="84">
        <f t="shared" si="1"/>
        <v>55.131</v>
      </c>
      <c r="G326" s="84"/>
      <c r="H326" s="82">
        <v>515.0</v>
      </c>
      <c r="I326" s="86">
        <v>0.15</v>
      </c>
      <c r="J326" s="85">
        <f t="shared" si="2"/>
        <v>119.85</v>
      </c>
      <c r="K326" s="85">
        <f t="shared" si="3"/>
        <v>103.3189655</v>
      </c>
      <c r="L326" s="82">
        <v>67.0</v>
      </c>
      <c r="M326" s="85">
        <f t="shared" si="4"/>
        <v>42.019</v>
      </c>
      <c r="N326" s="86">
        <f t="shared" si="7"/>
        <v>0.08159029126</v>
      </c>
      <c r="O326" s="86"/>
      <c r="P326" s="82"/>
    </row>
    <row r="327">
      <c r="A327" s="89" t="s">
        <v>3342</v>
      </c>
      <c r="B327" s="87" t="s">
        <v>3343</v>
      </c>
      <c r="C327" s="87"/>
      <c r="D327" s="87"/>
      <c r="E327" s="86"/>
      <c r="F327" s="84">
        <f t="shared" si="1"/>
        <v>0</v>
      </c>
      <c r="G327" s="84"/>
      <c r="H327" s="85">
        <v>456.99</v>
      </c>
      <c r="I327" s="86">
        <v>0.1</v>
      </c>
      <c r="J327" s="85">
        <f t="shared" si="2"/>
        <v>0</v>
      </c>
      <c r="K327" s="85">
        <f t="shared" si="3"/>
        <v>0</v>
      </c>
      <c r="L327" s="85"/>
      <c r="M327" s="85">
        <f t="shared" si="4"/>
        <v>-456.99</v>
      </c>
      <c r="N327" s="86">
        <f t="shared" si="7"/>
        <v>-1</v>
      </c>
      <c r="O327" s="86"/>
      <c r="P327" s="82"/>
    </row>
    <row r="328">
      <c r="A328" s="89" t="s">
        <v>3344</v>
      </c>
      <c r="B328" s="87" t="s">
        <v>3345</v>
      </c>
      <c r="C328" s="87"/>
      <c r="D328" s="84">
        <v>398.0</v>
      </c>
      <c r="E328" s="86"/>
      <c r="F328" s="84">
        <f t="shared" si="1"/>
        <v>27.462</v>
      </c>
      <c r="G328" s="84"/>
      <c r="H328" s="82">
        <v>260.0</v>
      </c>
      <c r="I328" s="91">
        <v>0.09</v>
      </c>
      <c r="J328" s="85">
        <f t="shared" si="2"/>
        <v>35.82</v>
      </c>
      <c r="K328" s="85">
        <f t="shared" si="3"/>
        <v>30.87931034</v>
      </c>
      <c r="L328" s="82">
        <v>60.0</v>
      </c>
      <c r="M328" s="85">
        <f t="shared" si="4"/>
        <v>14.718</v>
      </c>
      <c r="N328" s="86">
        <f t="shared" si="7"/>
        <v>0.05660769231</v>
      </c>
      <c r="O328" s="86"/>
      <c r="P328" s="82" t="s">
        <v>1660</v>
      </c>
    </row>
    <row r="329">
      <c r="A329" s="89" t="s">
        <v>3340</v>
      </c>
      <c r="B329" s="87" t="s">
        <v>3341</v>
      </c>
      <c r="C329" s="87"/>
      <c r="D329" s="87"/>
      <c r="E329" s="86"/>
      <c r="F329" s="84">
        <f t="shared" si="1"/>
        <v>0</v>
      </c>
      <c r="G329" s="84"/>
      <c r="H329" s="85">
        <v>537.58</v>
      </c>
      <c r="I329" s="86">
        <v>0.15</v>
      </c>
      <c r="J329" s="85">
        <f t="shared" si="2"/>
        <v>0</v>
      </c>
      <c r="K329" s="85">
        <f t="shared" si="3"/>
        <v>0</v>
      </c>
      <c r="L329" s="85"/>
      <c r="M329" s="85">
        <f t="shared" si="4"/>
        <v>-537.58</v>
      </c>
      <c r="N329" s="86">
        <f t="shared" si="7"/>
        <v>-1</v>
      </c>
      <c r="O329" s="86"/>
      <c r="P329" s="82"/>
    </row>
    <row r="330">
      <c r="A330" s="89" t="s">
        <v>3346</v>
      </c>
      <c r="B330" s="87" t="s">
        <v>3347</v>
      </c>
      <c r="C330" s="87"/>
      <c r="D330" s="85">
        <v>1349.0</v>
      </c>
      <c r="E330" s="86"/>
      <c r="F330" s="84">
        <f t="shared" si="1"/>
        <v>93.081</v>
      </c>
      <c r="G330" s="84"/>
      <c r="H330" s="85">
        <v>1016.35</v>
      </c>
      <c r="I330" s="86">
        <v>0.1</v>
      </c>
      <c r="J330" s="85">
        <f t="shared" si="2"/>
        <v>134.9</v>
      </c>
      <c r="K330" s="85">
        <f t="shared" si="3"/>
        <v>116.2931034</v>
      </c>
      <c r="L330" s="85"/>
      <c r="M330" s="85">
        <f t="shared" si="4"/>
        <v>104.669</v>
      </c>
      <c r="N330" s="86">
        <f t="shared" si="7"/>
        <v>0.1029851921</v>
      </c>
      <c r="O330" s="86"/>
      <c r="P330" s="82"/>
    </row>
    <row r="331">
      <c r="A331" s="89" t="s">
        <v>3348</v>
      </c>
      <c r="B331" s="89" t="s">
        <v>3349</v>
      </c>
      <c r="C331" s="89"/>
      <c r="D331" s="85">
        <v>6349.0</v>
      </c>
      <c r="E331" s="86"/>
      <c r="F331" s="84">
        <f t="shared" si="1"/>
        <v>438.081</v>
      </c>
      <c r="G331" s="84"/>
      <c r="H331" s="85">
        <v>4979.0</v>
      </c>
      <c r="I331" s="86">
        <v>0.1</v>
      </c>
      <c r="J331" s="85">
        <f t="shared" si="2"/>
        <v>634.9</v>
      </c>
      <c r="K331" s="85">
        <f t="shared" si="3"/>
        <v>547.3275862</v>
      </c>
      <c r="L331" s="85"/>
      <c r="M331" s="85">
        <f t="shared" si="4"/>
        <v>297.019</v>
      </c>
      <c r="N331" s="86">
        <f t="shared" si="7"/>
        <v>0.05965434826</v>
      </c>
      <c r="O331" s="86"/>
      <c r="P331" s="82"/>
    </row>
    <row r="332">
      <c r="A332" s="89" t="s">
        <v>3350</v>
      </c>
      <c r="B332" s="89" t="s">
        <v>3351</v>
      </c>
      <c r="C332" s="89"/>
      <c r="D332" s="85">
        <v>5600.0</v>
      </c>
      <c r="E332" s="86"/>
      <c r="F332" s="84">
        <f t="shared" si="1"/>
        <v>386.4</v>
      </c>
      <c r="G332" s="84"/>
      <c r="H332" s="85">
        <v>4293.0</v>
      </c>
      <c r="I332" s="86">
        <v>0.1</v>
      </c>
      <c r="J332" s="85">
        <f t="shared" si="2"/>
        <v>560</v>
      </c>
      <c r="K332" s="85">
        <f t="shared" si="3"/>
        <v>482.7586207</v>
      </c>
      <c r="L332" s="85"/>
      <c r="M332" s="85">
        <f t="shared" si="4"/>
        <v>360.6</v>
      </c>
      <c r="N332" s="86">
        <f t="shared" si="7"/>
        <v>0.08399720475</v>
      </c>
      <c r="O332" s="86"/>
      <c r="P332" s="82"/>
    </row>
    <row r="333">
      <c r="A333" s="89" t="s">
        <v>3352</v>
      </c>
      <c r="B333" s="89" t="s">
        <v>3353</v>
      </c>
      <c r="C333" s="89"/>
      <c r="D333" s="85">
        <v>2099.0</v>
      </c>
      <c r="E333" s="86"/>
      <c r="F333" s="84">
        <f t="shared" si="1"/>
        <v>144.831</v>
      </c>
      <c r="G333" s="84"/>
      <c r="H333" s="85">
        <v>1600.35</v>
      </c>
      <c r="I333" s="86">
        <v>0.11</v>
      </c>
      <c r="J333" s="85">
        <f t="shared" si="2"/>
        <v>230.89</v>
      </c>
      <c r="K333" s="85">
        <f t="shared" si="3"/>
        <v>199.0431034</v>
      </c>
      <c r="L333" s="85"/>
      <c r="M333" s="85">
        <f t="shared" si="4"/>
        <v>122.929</v>
      </c>
      <c r="N333" s="86">
        <f t="shared" si="7"/>
        <v>0.07681382198</v>
      </c>
      <c r="O333" s="86"/>
      <c r="P333" s="82"/>
    </row>
    <row r="334">
      <c r="A334" s="89" t="s">
        <v>3354</v>
      </c>
      <c r="B334" s="89" t="s">
        <v>3355</v>
      </c>
      <c r="C334" s="89"/>
      <c r="D334" s="85">
        <v>9199.0</v>
      </c>
      <c r="E334" s="86"/>
      <c r="F334" s="84">
        <f t="shared" si="1"/>
        <v>634.731</v>
      </c>
      <c r="G334" s="84"/>
      <c r="H334" s="85">
        <v>6693.91</v>
      </c>
      <c r="I334" s="86">
        <v>0.15</v>
      </c>
      <c r="J334" s="85">
        <f t="shared" si="2"/>
        <v>1379.85</v>
      </c>
      <c r="K334" s="85">
        <f t="shared" si="3"/>
        <v>1189.525862</v>
      </c>
      <c r="L334" s="85"/>
      <c r="M334" s="85">
        <f t="shared" si="4"/>
        <v>490.509</v>
      </c>
      <c r="N334" s="86">
        <f t="shared" si="7"/>
        <v>0.07327690393</v>
      </c>
      <c r="O334" s="86"/>
      <c r="P334" s="82"/>
    </row>
    <row r="335">
      <c r="A335" s="89" t="s">
        <v>3356</v>
      </c>
      <c r="B335" s="89" t="s">
        <v>3357</v>
      </c>
      <c r="C335" s="89"/>
      <c r="D335" s="85">
        <v>874.0</v>
      </c>
      <c r="E335" s="86"/>
      <c r="F335" s="84">
        <f t="shared" si="1"/>
        <v>60.306</v>
      </c>
      <c r="G335" s="84"/>
      <c r="H335" s="85">
        <v>629.88</v>
      </c>
      <c r="I335" s="86">
        <v>0.16</v>
      </c>
      <c r="J335" s="85">
        <f t="shared" si="2"/>
        <v>139.84</v>
      </c>
      <c r="K335" s="85">
        <f t="shared" si="3"/>
        <v>120.5517241</v>
      </c>
      <c r="L335" s="85"/>
      <c r="M335" s="85">
        <f t="shared" si="4"/>
        <v>43.974</v>
      </c>
      <c r="N335" s="86">
        <f t="shared" si="7"/>
        <v>0.06981329777</v>
      </c>
      <c r="O335" s="86"/>
      <c r="P335" s="82"/>
    </row>
    <row r="336">
      <c r="A336" s="89" t="s">
        <v>3358</v>
      </c>
      <c r="B336" s="89" t="s">
        <v>3007</v>
      </c>
      <c r="C336" s="89"/>
      <c r="D336" s="85">
        <v>1299.0</v>
      </c>
      <c r="E336" s="86"/>
      <c r="F336" s="84">
        <f t="shared" si="1"/>
        <v>89.631</v>
      </c>
      <c r="G336" s="84"/>
      <c r="H336" s="85">
        <v>933.05</v>
      </c>
      <c r="I336" s="86">
        <v>0.15</v>
      </c>
      <c r="J336" s="85">
        <f t="shared" si="2"/>
        <v>194.85</v>
      </c>
      <c r="K336" s="85">
        <f t="shared" si="3"/>
        <v>167.9741379</v>
      </c>
      <c r="L336" s="85"/>
      <c r="M336" s="85">
        <f t="shared" si="4"/>
        <v>81.469</v>
      </c>
      <c r="N336" s="86">
        <f t="shared" si="7"/>
        <v>0.08731472054</v>
      </c>
      <c r="O336" s="86"/>
      <c r="P336" s="82"/>
    </row>
    <row r="337">
      <c r="A337" s="89" t="s">
        <v>3358</v>
      </c>
      <c r="B337" s="89" t="s">
        <v>3009</v>
      </c>
      <c r="C337" s="89"/>
      <c r="D337" s="85">
        <v>1067.0</v>
      </c>
      <c r="E337" s="86"/>
      <c r="F337" s="84">
        <f t="shared" si="1"/>
        <v>73.623</v>
      </c>
      <c r="G337" s="84"/>
      <c r="H337" s="85">
        <v>780.0</v>
      </c>
      <c r="I337" s="86">
        <v>0.15</v>
      </c>
      <c r="J337" s="85">
        <f t="shared" si="2"/>
        <v>160.05</v>
      </c>
      <c r="K337" s="85">
        <f t="shared" si="3"/>
        <v>137.9741379</v>
      </c>
      <c r="L337" s="85"/>
      <c r="M337" s="85">
        <f t="shared" si="4"/>
        <v>53.327</v>
      </c>
      <c r="N337" s="86">
        <f t="shared" si="7"/>
        <v>0.06836794872</v>
      </c>
      <c r="O337" s="86"/>
      <c r="P337" s="82"/>
    </row>
    <row r="338">
      <c r="A338" s="89" t="s">
        <v>3359</v>
      </c>
      <c r="B338" s="89" t="s">
        <v>3360</v>
      </c>
      <c r="C338" s="89"/>
      <c r="D338" s="85">
        <v>450.0</v>
      </c>
      <c r="E338" s="86"/>
      <c r="F338" s="84">
        <f t="shared" si="1"/>
        <v>31.05</v>
      </c>
      <c r="G338" s="84"/>
      <c r="H338" s="85">
        <v>287.69</v>
      </c>
      <c r="I338" s="86">
        <v>0.15</v>
      </c>
      <c r="J338" s="85">
        <f t="shared" si="2"/>
        <v>67.5</v>
      </c>
      <c r="K338" s="85">
        <f t="shared" si="3"/>
        <v>58.18965517</v>
      </c>
      <c r="L338" s="85"/>
      <c r="M338" s="85">
        <f t="shared" si="4"/>
        <v>63.76</v>
      </c>
      <c r="N338" s="86">
        <f t="shared" si="7"/>
        <v>0.2216274462</v>
      </c>
      <c r="O338" s="86"/>
      <c r="P338" s="82"/>
    </row>
    <row r="339">
      <c r="A339" s="89" t="s">
        <v>3361</v>
      </c>
      <c r="B339" s="89" t="s">
        <v>3362</v>
      </c>
      <c r="C339" s="89"/>
      <c r="D339" s="85">
        <v>439.0</v>
      </c>
      <c r="E339" s="86"/>
      <c r="F339" s="84">
        <f t="shared" si="1"/>
        <v>30.291</v>
      </c>
      <c r="G339" s="84"/>
      <c r="H339" s="85">
        <v>265.38</v>
      </c>
      <c r="I339" s="86">
        <v>0.15</v>
      </c>
      <c r="J339" s="85">
        <f t="shared" si="2"/>
        <v>65.85</v>
      </c>
      <c r="K339" s="85">
        <f t="shared" si="3"/>
        <v>56.76724138</v>
      </c>
      <c r="L339" s="85"/>
      <c r="M339" s="85">
        <f t="shared" si="4"/>
        <v>77.479</v>
      </c>
      <c r="N339" s="86">
        <f t="shared" si="7"/>
        <v>0.2919549325</v>
      </c>
      <c r="O339" s="86"/>
      <c r="P339" s="82"/>
    </row>
    <row r="340">
      <c r="A340" s="89" t="s">
        <v>3363</v>
      </c>
      <c r="B340" s="89" t="s">
        <v>3364</v>
      </c>
      <c r="C340" s="89"/>
      <c r="D340" s="82">
        <v>759.0</v>
      </c>
      <c r="E340" s="83"/>
      <c r="F340" s="84">
        <f t="shared" si="1"/>
        <v>52.371</v>
      </c>
      <c r="G340" s="84"/>
      <c r="H340" s="82">
        <v>459.0</v>
      </c>
      <c r="I340" s="86">
        <v>0.15</v>
      </c>
      <c r="J340" s="85">
        <f t="shared" si="2"/>
        <v>113.85</v>
      </c>
      <c r="K340" s="85">
        <f t="shared" si="3"/>
        <v>98.14655172</v>
      </c>
      <c r="L340" s="82">
        <v>63.21</v>
      </c>
      <c r="M340" s="85">
        <f t="shared" si="4"/>
        <v>70.569</v>
      </c>
      <c r="N340" s="86">
        <f t="shared" si="7"/>
        <v>0.153745098</v>
      </c>
      <c r="O340" s="86"/>
      <c r="P340" s="82"/>
    </row>
    <row r="341">
      <c r="A341" s="89" t="s">
        <v>904</v>
      </c>
      <c r="B341" s="89" t="s">
        <v>3365</v>
      </c>
      <c r="C341" s="89"/>
      <c r="D341" s="82">
        <v>698.0</v>
      </c>
      <c r="E341" s="83"/>
      <c r="F341" s="84">
        <f t="shared" si="1"/>
        <v>48.162</v>
      </c>
      <c r="G341" s="84"/>
      <c r="H341" s="82">
        <v>510.0</v>
      </c>
      <c r="I341" s="91">
        <v>0.15</v>
      </c>
      <c r="J341" s="85">
        <f t="shared" si="2"/>
        <v>104.7</v>
      </c>
      <c r="K341" s="85">
        <f t="shared" si="3"/>
        <v>90.25862069</v>
      </c>
      <c r="L341" s="82">
        <v>61.79</v>
      </c>
      <c r="M341" s="85">
        <f t="shared" si="4"/>
        <v>-26.652</v>
      </c>
      <c r="N341" s="86">
        <f t="shared" si="7"/>
        <v>-0.05225882353</v>
      </c>
      <c r="O341" s="86"/>
      <c r="P341" s="82"/>
    </row>
    <row r="342">
      <c r="A342" s="89" t="s">
        <v>3366</v>
      </c>
      <c r="B342" s="89" t="s">
        <v>3367</v>
      </c>
      <c r="C342" s="89"/>
      <c r="D342" s="82">
        <v>590.0</v>
      </c>
      <c r="E342" s="83"/>
      <c r="F342" s="84">
        <f t="shared" si="1"/>
        <v>40.71</v>
      </c>
      <c r="G342" s="84"/>
      <c r="H342" s="82">
        <v>397.86</v>
      </c>
      <c r="I342" s="86">
        <v>0.15</v>
      </c>
      <c r="J342" s="85">
        <f t="shared" si="2"/>
        <v>88.5</v>
      </c>
      <c r="K342" s="85">
        <f t="shared" si="3"/>
        <v>76.29310345</v>
      </c>
      <c r="L342" s="82">
        <v>67.45</v>
      </c>
      <c r="M342" s="85">
        <f t="shared" si="4"/>
        <v>-4.52</v>
      </c>
      <c r="N342" s="86">
        <f t="shared" si="7"/>
        <v>-0.01136078017</v>
      </c>
      <c r="O342" s="86"/>
      <c r="P342" s="82"/>
    </row>
    <row r="343">
      <c r="A343" s="89" t="s">
        <v>737</v>
      </c>
      <c r="B343" s="89" t="s">
        <v>3368</v>
      </c>
      <c r="C343" s="89"/>
      <c r="D343" s="85">
        <v>659.0</v>
      </c>
      <c r="E343" s="86"/>
      <c r="F343" s="84">
        <f t="shared" si="1"/>
        <v>45.471</v>
      </c>
      <c r="G343" s="84"/>
      <c r="H343" s="85">
        <v>431.04</v>
      </c>
      <c r="I343" s="86">
        <v>0.15</v>
      </c>
      <c r="J343" s="85">
        <f t="shared" si="2"/>
        <v>98.85</v>
      </c>
      <c r="K343" s="85">
        <f t="shared" si="3"/>
        <v>85.21551724</v>
      </c>
      <c r="L343" s="85"/>
      <c r="M343" s="85">
        <f t="shared" si="4"/>
        <v>83.639</v>
      </c>
      <c r="N343" s="86">
        <f t="shared" si="7"/>
        <v>0.1940399963</v>
      </c>
      <c r="O343" s="86"/>
      <c r="P343" s="82"/>
    </row>
    <row r="344">
      <c r="A344" s="89" t="s">
        <v>3369</v>
      </c>
      <c r="B344" s="89" t="s">
        <v>3370</v>
      </c>
      <c r="C344" s="89"/>
      <c r="D344" s="85">
        <v>799.0</v>
      </c>
      <c r="E344" s="86"/>
      <c r="F344" s="84">
        <f t="shared" si="1"/>
        <v>55.131</v>
      </c>
      <c r="G344" s="84"/>
      <c r="H344" s="85">
        <v>456.99</v>
      </c>
      <c r="I344" s="86">
        <v>0.1</v>
      </c>
      <c r="J344" s="85">
        <f t="shared" si="2"/>
        <v>79.9</v>
      </c>
      <c r="K344" s="85">
        <f t="shared" si="3"/>
        <v>68.87931034</v>
      </c>
      <c r="L344" s="85"/>
      <c r="M344" s="85">
        <f t="shared" si="4"/>
        <v>206.979</v>
      </c>
      <c r="N344" s="86">
        <f t="shared" si="7"/>
        <v>0.452918007</v>
      </c>
      <c r="O344" s="86"/>
      <c r="P344" s="82"/>
    </row>
    <row r="345">
      <c r="A345" s="89" t="s">
        <v>3371</v>
      </c>
      <c r="B345" s="89" t="s">
        <v>3372</v>
      </c>
      <c r="C345" s="89"/>
      <c r="D345" s="85">
        <v>239.0</v>
      </c>
      <c r="E345" s="86"/>
      <c r="F345" s="84">
        <f t="shared" si="1"/>
        <v>16.491</v>
      </c>
      <c r="G345" s="84"/>
      <c r="H345" s="85">
        <v>98.61</v>
      </c>
      <c r="I345" s="86">
        <v>0.15</v>
      </c>
      <c r="J345" s="85">
        <f t="shared" si="2"/>
        <v>35.85</v>
      </c>
      <c r="K345" s="85">
        <f t="shared" si="3"/>
        <v>30.90517241</v>
      </c>
      <c r="L345" s="85"/>
      <c r="M345" s="85">
        <f t="shared" si="4"/>
        <v>88.049</v>
      </c>
      <c r="N345" s="86">
        <f t="shared" si="7"/>
        <v>0.8929013285</v>
      </c>
      <c r="O345" s="86"/>
      <c r="P345" s="82"/>
    </row>
    <row r="346">
      <c r="A346" s="89" t="s">
        <v>3373</v>
      </c>
      <c r="B346" s="89" t="s">
        <v>3374</v>
      </c>
      <c r="C346" s="89"/>
      <c r="D346" s="82">
        <v>1059.0</v>
      </c>
      <c r="E346" s="83"/>
      <c r="F346" s="84">
        <f t="shared" si="1"/>
        <v>73.071</v>
      </c>
      <c r="G346" s="84"/>
      <c r="H346" s="82">
        <v>820.0</v>
      </c>
      <c r="I346" s="91">
        <v>0.1</v>
      </c>
      <c r="J346" s="85">
        <f t="shared" si="2"/>
        <v>105.9</v>
      </c>
      <c r="K346" s="85">
        <f t="shared" si="3"/>
        <v>91.29310345</v>
      </c>
      <c r="L346" s="82">
        <v>66.04</v>
      </c>
      <c r="M346" s="85">
        <f t="shared" si="4"/>
        <v>-6.011</v>
      </c>
      <c r="N346" s="86">
        <f t="shared" si="7"/>
        <v>-0.007330487805</v>
      </c>
      <c r="O346" s="86"/>
      <c r="P346" s="82"/>
    </row>
    <row r="347">
      <c r="A347" s="89" t="s">
        <v>3375</v>
      </c>
      <c r="B347" s="89" t="s">
        <v>3376</v>
      </c>
      <c r="C347" s="89"/>
      <c r="D347" s="85">
        <v>1599.0</v>
      </c>
      <c r="E347" s="86"/>
      <c r="F347" s="84">
        <f t="shared" si="1"/>
        <v>110.331</v>
      </c>
      <c r="G347" s="84"/>
      <c r="H347" s="85">
        <v>1133.27</v>
      </c>
      <c r="I347" s="86">
        <v>0.15</v>
      </c>
      <c r="J347" s="85">
        <f t="shared" si="2"/>
        <v>239.85</v>
      </c>
      <c r="K347" s="85">
        <f t="shared" si="3"/>
        <v>206.7672414</v>
      </c>
      <c r="L347" s="85"/>
      <c r="M347" s="85">
        <f t="shared" si="4"/>
        <v>115.549</v>
      </c>
      <c r="N347" s="86">
        <f t="shared" si="7"/>
        <v>0.1019606978</v>
      </c>
      <c r="O347" s="86"/>
      <c r="P347" s="82"/>
    </row>
    <row r="348">
      <c r="A348" s="89" t="s">
        <v>3369</v>
      </c>
      <c r="B348" s="89" t="s">
        <v>3377</v>
      </c>
      <c r="C348" s="89"/>
      <c r="D348" s="85">
        <v>799.0</v>
      </c>
      <c r="E348" s="86"/>
      <c r="F348" s="84">
        <f t="shared" si="1"/>
        <v>55.131</v>
      </c>
      <c r="G348" s="84"/>
      <c r="H348" s="85">
        <v>456.99</v>
      </c>
      <c r="I348" s="86">
        <v>0.1</v>
      </c>
      <c r="J348" s="85">
        <f t="shared" si="2"/>
        <v>79.9</v>
      </c>
      <c r="K348" s="85">
        <f t="shared" si="3"/>
        <v>68.87931034</v>
      </c>
      <c r="L348" s="85"/>
      <c r="M348" s="85">
        <f t="shared" si="4"/>
        <v>206.979</v>
      </c>
      <c r="N348" s="86">
        <f t="shared" si="7"/>
        <v>0.452918007</v>
      </c>
      <c r="O348" s="86"/>
      <c r="P348" s="82"/>
    </row>
    <row r="349">
      <c r="A349" s="89" t="s">
        <v>3378</v>
      </c>
      <c r="B349" s="89" t="s">
        <v>3379</v>
      </c>
      <c r="C349" s="89"/>
      <c r="D349" s="85">
        <v>8499.0</v>
      </c>
      <c r="E349" s="86"/>
      <c r="F349" s="84">
        <f t="shared" si="1"/>
        <v>586.431</v>
      </c>
      <c r="G349" s="84"/>
      <c r="H349" s="85">
        <v>4810.84</v>
      </c>
      <c r="I349" s="86">
        <v>0.11</v>
      </c>
      <c r="J349" s="85">
        <f t="shared" si="2"/>
        <v>934.89</v>
      </c>
      <c r="K349" s="85">
        <f t="shared" si="3"/>
        <v>805.9396552</v>
      </c>
      <c r="L349" s="85"/>
      <c r="M349" s="85">
        <f t="shared" si="4"/>
        <v>2166.839</v>
      </c>
      <c r="N349" s="86">
        <f t="shared" si="7"/>
        <v>0.4504076211</v>
      </c>
      <c r="O349" s="86"/>
      <c r="P349" s="82"/>
    </row>
    <row r="350">
      <c r="A350" s="89" t="s">
        <v>3378</v>
      </c>
      <c r="B350" s="89" t="s">
        <v>3380</v>
      </c>
      <c r="C350" s="89"/>
      <c r="D350" s="87"/>
      <c r="E350" s="86"/>
      <c r="F350" s="84">
        <f t="shared" si="1"/>
        <v>0</v>
      </c>
      <c r="G350" s="84"/>
      <c r="H350" s="85">
        <v>4810.84</v>
      </c>
      <c r="I350" s="86">
        <v>0.11</v>
      </c>
      <c r="J350" s="85">
        <f t="shared" si="2"/>
        <v>0</v>
      </c>
      <c r="K350" s="85">
        <f t="shared" si="3"/>
        <v>0</v>
      </c>
      <c r="L350" s="85"/>
      <c r="M350" s="85">
        <f t="shared" si="4"/>
        <v>-4810.84</v>
      </c>
      <c r="N350" s="86">
        <f t="shared" si="7"/>
        <v>-1</v>
      </c>
      <c r="O350" s="86"/>
      <c r="P350" s="82"/>
    </row>
    <row r="351">
      <c r="A351" s="89" t="s">
        <v>3381</v>
      </c>
      <c r="B351" s="89" t="s">
        <v>3382</v>
      </c>
      <c r="C351" s="89"/>
      <c r="D351" s="82">
        <v>8999.0</v>
      </c>
      <c r="E351" s="83"/>
      <c r="F351" s="84">
        <f t="shared" si="1"/>
        <v>620.931</v>
      </c>
      <c r="G351" s="84"/>
      <c r="H351" s="85">
        <v>4810.84</v>
      </c>
      <c r="I351" s="86">
        <v>0.11</v>
      </c>
      <c r="J351" s="85">
        <f t="shared" si="2"/>
        <v>989.89</v>
      </c>
      <c r="K351" s="85">
        <f t="shared" si="3"/>
        <v>853.3534483</v>
      </c>
      <c r="L351" s="82">
        <v>84.65</v>
      </c>
      <c r="M351" s="85">
        <f t="shared" si="4"/>
        <v>2492.689</v>
      </c>
      <c r="N351" s="86">
        <f t="shared" si="7"/>
        <v>0.5181400753</v>
      </c>
      <c r="O351" s="86"/>
      <c r="P351" s="82"/>
    </row>
    <row r="352">
      <c r="A352" s="89" t="s">
        <v>3383</v>
      </c>
      <c r="B352" s="89" t="s">
        <v>3384</v>
      </c>
      <c r="C352" s="89"/>
      <c r="D352" s="82">
        <v>749.0</v>
      </c>
      <c r="E352" s="83"/>
      <c r="F352" s="84">
        <f t="shared" si="1"/>
        <v>51.681</v>
      </c>
      <c r="G352" s="84"/>
      <c r="H352" s="82">
        <v>514.0</v>
      </c>
      <c r="I352" s="91">
        <v>0.15</v>
      </c>
      <c r="J352" s="85">
        <f t="shared" si="2"/>
        <v>112.35</v>
      </c>
      <c r="K352" s="85">
        <f t="shared" si="3"/>
        <v>96.85344828</v>
      </c>
      <c r="L352" s="82">
        <v>61.79</v>
      </c>
      <c r="M352" s="85">
        <f t="shared" si="4"/>
        <v>9.179</v>
      </c>
      <c r="N352" s="86">
        <f t="shared" si="7"/>
        <v>0.01785797665</v>
      </c>
      <c r="O352" s="86"/>
      <c r="P352" s="82"/>
    </row>
    <row r="353">
      <c r="A353" s="89" t="s">
        <v>3385</v>
      </c>
      <c r="B353" s="89" t="s">
        <v>3386</v>
      </c>
      <c r="C353" s="89"/>
      <c r="D353" s="85">
        <v>899.0</v>
      </c>
      <c r="E353" s="86"/>
      <c r="F353" s="84">
        <f t="shared" si="1"/>
        <v>62.031</v>
      </c>
      <c r="G353" s="84"/>
      <c r="H353" s="85">
        <v>643.83</v>
      </c>
      <c r="I353" s="86">
        <v>0.15</v>
      </c>
      <c r="J353" s="85">
        <f t="shared" si="2"/>
        <v>134.85</v>
      </c>
      <c r="K353" s="85">
        <f t="shared" si="3"/>
        <v>116.25</v>
      </c>
      <c r="L353" s="85"/>
      <c r="M353" s="85">
        <f t="shared" si="4"/>
        <v>58.289</v>
      </c>
      <c r="N353" s="86">
        <f t="shared" si="7"/>
        <v>0.09053476849</v>
      </c>
      <c r="O353" s="86"/>
      <c r="P353" s="82"/>
    </row>
    <row r="354">
      <c r="A354" s="89" t="s">
        <v>3387</v>
      </c>
      <c r="B354" s="89" t="s">
        <v>3388</v>
      </c>
      <c r="C354" s="89"/>
      <c r="D354" s="87"/>
      <c r="E354" s="86"/>
      <c r="F354" s="84">
        <f t="shared" si="1"/>
        <v>0</v>
      </c>
      <c r="G354" s="84"/>
      <c r="H354" s="85">
        <v>490.61</v>
      </c>
      <c r="I354" s="93"/>
      <c r="J354" s="85">
        <f t="shared" si="2"/>
        <v>0</v>
      </c>
      <c r="K354" s="85">
        <f t="shared" si="3"/>
        <v>0</v>
      </c>
      <c r="L354" s="87"/>
      <c r="M354" s="85">
        <f t="shared" si="4"/>
        <v>-490.61</v>
      </c>
      <c r="N354" s="93"/>
      <c r="O354" s="93"/>
      <c r="P354" s="82"/>
    </row>
    <row r="355">
      <c r="A355" s="89" t="s">
        <v>3389</v>
      </c>
      <c r="B355" s="89" t="s">
        <v>3390</v>
      </c>
      <c r="C355" s="89"/>
      <c r="D355" s="87"/>
      <c r="E355" s="86"/>
      <c r="F355" s="84">
        <f t="shared" si="1"/>
        <v>0</v>
      </c>
      <c r="G355" s="84"/>
      <c r="H355" s="85">
        <v>804.66</v>
      </c>
      <c r="I355" s="93"/>
      <c r="J355" s="85">
        <f t="shared" si="2"/>
        <v>0</v>
      </c>
      <c r="K355" s="85">
        <f t="shared" si="3"/>
        <v>0</v>
      </c>
      <c r="L355" s="87"/>
      <c r="M355" s="85">
        <f t="shared" si="4"/>
        <v>-804.66</v>
      </c>
      <c r="N355" s="93"/>
      <c r="O355" s="93"/>
      <c r="P355" s="82"/>
    </row>
    <row r="356">
      <c r="A356" s="89" t="s">
        <v>150</v>
      </c>
      <c r="B356" s="89" t="s">
        <v>3391</v>
      </c>
      <c r="C356" s="89"/>
      <c r="D356" s="85">
        <v>83.0</v>
      </c>
      <c r="E356" s="86"/>
      <c r="F356" s="84">
        <f t="shared" si="1"/>
        <v>5.727</v>
      </c>
      <c r="G356" s="84"/>
      <c r="H356" s="85" t="str">
        <f>4.2*2</f>
        <v>#ERROR!</v>
      </c>
      <c r="I356" s="86">
        <v>0.15</v>
      </c>
      <c r="J356" s="85">
        <f t="shared" si="2"/>
        <v>12.45</v>
      </c>
      <c r="K356" s="85">
        <f t="shared" si="3"/>
        <v>10.73275862</v>
      </c>
      <c r="L356" s="85"/>
      <c r="M356" s="85" t="str">
        <f t="shared" si="4"/>
        <v>#ERROR!</v>
      </c>
      <c r="N356" s="86" t="str">
        <f t="shared" ref="N356:N466" si="8">M356/H356</f>
        <v>#ERROR!</v>
      </c>
      <c r="O356" s="86"/>
      <c r="P356" s="82"/>
    </row>
    <row r="357">
      <c r="A357" s="89" t="s">
        <v>3392</v>
      </c>
      <c r="B357" s="89" t="s">
        <v>3393</v>
      </c>
      <c r="C357" s="89"/>
      <c r="D357" s="82">
        <v>4719.0</v>
      </c>
      <c r="E357" s="86"/>
      <c r="F357" s="84">
        <f t="shared" si="1"/>
        <v>325.611</v>
      </c>
      <c r="G357" s="84"/>
      <c r="H357" s="82">
        <v>3747.44</v>
      </c>
      <c r="I357" s="86">
        <v>0.1</v>
      </c>
      <c r="J357" s="85">
        <f t="shared" si="2"/>
        <v>471.9</v>
      </c>
      <c r="K357" s="85">
        <f t="shared" si="3"/>
        <v>406.8103448</v>
      </c>
      <c r="L357" s="82">
        <v>148.0</v>
      </c>
      <c r="M357" s="85">
        <f t="shared" si="4"/>
        <v>26.049</v>
      </c>
      <c r="N357" s="86">
        <f t="shared" si="8"/>
        <v>0.006951145315</v>
      </c>
      <c r="O357" s="86"/>
      <c r="P357" s="82"/>
    </row>
    <row r="358">
      <c r="A358" s="89" t="s">
        <v>3394</v>
      </c>
      <c r="B358" s="89" t="s">
        <v>3395</v>
      </c>
      <c r="C358" s="89"/>
      <c r="D358" s="85">
        <v>549.0</v>
      </c>
      <c r="E358" s="86"/>
      <c r="F358" s="84">
        <f t="shared" si="1"/>
        <v>37.881</v>
      </c>
      <c r="G358" s="84"/>
      <c r="H358" s="85">
        <v>265.88</v>
      </c>
      <c r="I358" s="86">
        <v>0.15</v>
      </c>
      <c r="J358" s="85">
        <f t="shared" si="2"/>
        <v>82.35</v>
      </c>
      <c r="K358" s="85">
        <f t="shared" si="3"/>
        <v>70.99137931</v>
      </c>
      <c r="L358" s="85"/>
      <c r="M358" s="85">
        <f t="shared" si="4"/>
        <v>162.889</v>
      </c>
      <c r="N358" s="86">
        <f t="shared" si="8"/>
        <v>0.6126410411</v>
      </c>
      <c r="O358" s="86"/>
      <c r="P358" s="82"/>
    </row>
    <row r="359">
      <c r="A359" s="89" t="s">
        <v>3396</v>
      </c>
      <c r="B359" s="89" t="s">
        <v>3397</v>
      </c>
      <c r="C359" s="89"/>
      <c r="D359" s="85">
        <v>3099.0</v>
      </c>
      <c r="E359" s="86"/>
      <c r="F359" s="84">
        <f t="shared" si="1"/>
        <v>213.831</v>
      </c>
      <c r="G359" s="84"/>
      <c r="H359" s="85">
        <v>2472.32</v>
      </c>
      <c r="I359" s="86">
        <v>0.1</v>
      </c>
      <c r="J359" s="85">
        <f t="shared" si="2"/>
        <v>309.9</v>
      </c>
      <c r="K359" s="85">
        <f t="shared" si="3"/>
        <v>267.1551724</v>
      </c>
      <c r="L359" s="85"/>
      <c r="M359" s="85">
        <f t="shared" si="4"/>
        <v>102.949</v>
      </c>
      <c r="N359" s="86">
        <f t="shared" si="8"/>
        <v>0.04164064522</v>
      </c>
      <c r="O359" s="86"/>
      <c r="P359" s="82"/>
    </row>
    <row r="360">
      <c r="A360" s="89" t="s">
        <v>3396</v>
      </c>
      <c r="B360" s="89" t="s">
        <v>3398</v>
      </c>
      <c r="C360" s="89"/>
      <c r="D360" s="85">
        <v>3099.0</v>
      </c>
      <c r="E360" s="86"/>
      <c r="F360" s="84">
        <f t="shared" si="1"/>
        <v>213.831</v>
      </c>
      <c r="G360" s="84"/>
      <c r="H360" s="85">
        <v>2472.32</v>
      </c>
      <c r="I360" s="86">
        <v>0.1</v>
      </c>
      <c r="J360" s="85">
        <f t="shared" si="2"/>
        <v>309.9</v>
      </c>
      <c r="K360" s="85">
        <f t="shared" si="3"/>
        <v>267.1551724</v>
      </c>
      <c r="L360" s="85"/>
      <c r="M360" s="85">
        <f t="shared" si="4"/>
        <v>102.949</v>
      </c>
      <c r="N360" s="86">
        <f t="shared" si="8"/>
        <v>0.04164064522</v>
      </c>
      <c r="O360" s="86"/>
      <c r="P360" s="82"/>
    </row>
    <row r="361">
      <c r="A361" s="89"/>
      <c r="B361" s="89" t="s">
        <v>3399</v>
      </c>
      <c r="C361" s="89"/>
      <c r="D361" s="85">
        <v>699.0</v>
      </c>
      <c r="E361" s="86"/>
      <c r="F361" s="84">
        <f t="shared" si="1"/>
        <v>48.231</v>
      </c>
      <c r="G361" s="84"/>
      <c r="H361" s="85">
        <v>465.01</v>
      </c>
      <c r="I361" s="86">
        <v>0.15</v>
      </c>
      <c r="J361" s="85">
        <f t="shared" si="2"/>
        <v>104.85</v>
      </c>
      <c r="K361" s="85">
        <f t="shared" si="3"/>
        <v>90.38793103</v>
      </c>
      <c r="L361" s="85"/>
      <c r="M361" s="85">
        <f t="shared" si="4"/>
        <v>80.909</v>
      </c>
      <c r="N361" s="86">
        <f t="shared" si="8"/>
        <v>0.1739941077</v>
      </c>
      <c r="O361" s="86"/>
      <c r="P361" s="82"/>
    </row>
    <row r="362">
      <c r="A362" s="89" t="s">
        <v>3400</v>
      </c>
      <c r="B362" s="89" t="s">
        <v>3401</v>
      </c>
      <c r="C362" s="94" t="s">
        <v>3402</v>
      </c>
      <c r="D362" s="82">
        <v>799.0</v>
      </c>
      <c r="E362" s="83"/>
      <c r="F362" s="84">
        <f t="shared" si="1"/>
        <v>55.131</v>
      </c>
      <c r="G362" s="84"/>
      <c r="H362" s="82">
        <v>495.0</v>
      </c>
      <c r="I362" s="86">
        <v>0.16</v>
      </c>
      <c r="J362" s="85">
        <f t="shared" si="2"/>
        <v>127.84</v>
      </c>
      <c r="K362" s="85">
        <f t="shared" si="3"/>
        <v>110.2068966</v>
      </c>
      <c r="L362" s="82">
        <v>63.21</v>
      </c>
      <c r="M362" s="85">
        <f t="shared" si="4"/>
        <v>57.819</v>
      </c>
      <c r="N362" s="86">
        <f t="shared" si="8"/>
        <v>0.1168060606</v>
      </c>
      <c r="O362" s="86"/>
      <c r="P362" s="82"/>
    </row>
    <row r="363">
      <c r="A363" s="89" t="s">
        <v>3403</v>
      </c>
      <c r="B363" s="89" t="s">
        <v>3404</v>
      </c>
      <c r="C363" s="89"/>
      <c r="D363" s="82">
        <v>379.0</v>
      </c>
      <c r="E363" s="83"/>
      <c r="F363" s="84">
        <f t="shared" si="1"/>
        <v>26.151</v>
      </c>
      <c r="G363" s="84"/>
      <c r="H363" s="82">
        <v>228.63</v>
      </c>
      <c r="I363" s="86">
        <v>0.15</v>
      </c>
      <c r="J363" s="85">
        <f t="shared" si="2"/>
        <v>56.85</v>
      </c>
      <c r="K363" s="85">
        <f t="shared" si="3"/>
        <v>49.00862069</v>
      </c>
      <c r="L363" s="82">
        <v>61.79</v>
      </c>
      <c r="M363" s="85">
        <f t="shared" si="4"/>
        <v>5.579</v>
      </c>
      <c r="N363" s="86">
        <f t="shared" si="8"/>
        <v>0.02440187202</v>
      </c>
      <c r="O363" s="86"/>
      <c r="P363" s="82"/>
    </row>
    <row r="364">
      <c r="A364" s="89" t="s">
        <v>3405</v>
      </c>
      <c r="B364" s="89" t="s">
        <v>3406</v>
      </c>
      <c r="C364" s="89"/>
      <c r="D364" s="85">
        <v>539.0</v>
      </c>
      <c r="E364" s="86"/>
      <c r="F364" s="84">
        <f t="shared" si="1"/>
        <v>37.191</v>
      </c>
      <c r="G364" s="84"/>
      <c r="H364" s="85">
        <v>322.98</v>
      </c>
      <c r="I364" s="86">
        <v>0.16</v>
      </c>
      <c r="J364" s="85">
        <f t="shared" si="2"/>
        <v>86.24</v>
      </c>
      <c r="K364" s="85">
        <f t="shared" si="3"/>
        <v>74.34482759</v>
      </c>
      <c r="L364" s="85"/>
      <c r="M364" s="85">
        <f t="shared" si="4"/>
        <v>92.589</v>
      </c>
      <c r="N364" s="86">
        <f t="shared" si="8"/>
        <v>0.2866710013</v>
      </c>
      <c r="O364" s="86"/>
      <c r="P364" s="82"/>
    </row>
    <row r="365">
      <c r="A365" s="89" t="s">
        <v>3407</v>
      </c>
      <c r="B365" s="89" t="s">
        <v>3408</v>
      </c>
      <c r="C365" s="89"/>
      <c r="D365" s="82">
        <v>1449.0</v>
      </c>
      <c r="E365" s="83"/>
      <c r="F365" s="84">
        <f t="shared" si="1"/>
        <v>99.981</v>
      </c>
      <c r="G365" s="84"/>
      <c r="H365" s="85">
        <v>1055.62</v>
      </c>
      <c r="I365" s="86">
        <v>0.15</v>
      </c>
      <c r="J365" s="85">
        <f t="shared" si="2"/>
        <v>217.35</v>
      </c>
      <c r="K365" s="85">
        <f t="shared" si="3"/>
        <v>187.3706897</v>
      </c>
      <c r="L365" s="82">
        <v>63.21</v>
      </c>
      <c r="M365" s="85">
        <f t="shared" si="4"/>
        <v>12.839</v>
      </c>
      <c r="N365" s="86">
        <f t="shared" si="8"/>
        <v>0.0121625206</v>
      </c>
      <c r="O365" s="86"/>
      <c r="P365" s="82"/>
    </row>
    <row r="366">
      <c r="A366" s="89" t="s">
        <v>3409</v>
      </c>
      <c r="B366" s="89" t="s">
        <v>3410</v>
      </c>
      <c r="C366" s="89"/>
      <c r="D366" s="82">
        <v>1399.0</v>
      </c>
      <c r="E366" s="83"/>
      <c r="F366" s="84">
        <f t="shared" si="1"/>
        <v>96.531</v>
      </c>
      <c r="G366" s="84"/>
      <c r="H366" s="82">
        <v>950.19</v>
      </c>
      <c r="I366" s="91">
        <v>0.075</v>
      </c>
      <c r="J366" s="85">
        <f t="shared" si="2"/>
        <v>104.925</v>
      </c>
      <c r="K366" s="85">
        <f t="shared" si="3"/>
        <v>90.45258621</v>
      </c>
      <c r="L366" s="82">
        <v>63.21</v>
      </c>
      <c r="M366" s="85">
        <f t="shared" si="4"/>
        <v>184.144</v>
      </c>
      <c r="N366" s="86">
        <f t="shared" si="8"/>
        <v>0.1937970301</v>
      </c>
      <c r="O366" s="86"/>
      <c r="P366" s="82"/>
    </row>
    <row r="367">
      <c r="A367" s="89" t="s">
        <v>3411</v>
      </c>
      <c r="B367" s="89" t="s">
        <v>3412</v>
      </c>
      <c r="C367" s="89"/>
      <c r="D367" s="85">
        <v>499.0</v>
      </c>
      <c r="E367" s="96"/>
      <c r="F367" s="84">
        <f t="shared" si="1"/>
        <v>34.431</v>
      </c>
      <c r="G367" s="84"/>
      <c r="H367" s="85">
        <v>330.0</v>
      </c>
      <c r="I367" s="86">
        <v>0.1</v>
      </c>
      <c r="J367" s="85">
        <f t="shared" si="2"/>
        <v>49.9</v>
      </c>
      <c r="K367" s="85">
        <f t="shared" si="3"/>
        <v>43.01724138</v>
      </c>
      <c r="L367" s="82">
        <v>54.0</v>
      </c>
      <c r="M367" s="85">
        <f t="shared" si="4"/>
        <v>30.669</v>
      </c>
      <c r="N367" s="86">
        <f t="shared" si="8"/>
        <v>0.09293636364</v>
      </c>
      <c r="O367" s="86"/>
      <c r="P367" s="82"/>
    </row>
    <row r="368">
      <c r="A368" s="89" t="s">
        <v>3413</v>
      </c>
      <c r="B368" s="89" t="s">
        <v>3414</v>
      </c>
      <c r="C368" s="89"/>
      <c r="D368" s="85">
        <v>1399.0</v>
      </c>
      <c r="E368" s="83"/>
      <c r="F368" s="84">
        <f t="shared" si="1"/>
        <v>96.531</v>
      </c>
      <c r="G368" s="84"/>
      <c r="H368" s="85">
        <v>936.85</v>
      </c>
      <c r="I368" s="86">
        <v>0.15</v>
      </c>
      <c r="J368" s="85">
        <f t="shared" si="2"/>
        <v>209.85</v>
      </c>
      <c r="K368" s="85">
        <f t="shared" si="3"/>
        <v>180.9051724</v>
      </c>
      <c r="L368" s="82">
        <v>63.21</v>
      </c>
      <c r="M368" s="85">
        <f t="shared" si="4"/>
        <v>92.559</v>
      </c>
      <c r="N368" s="86">
        <f t="shared" si="8"/>
        <v>0.09879810002</v>
      </c>
      <c r="O368" s="86"/>
      <c r="P368" s="82"/>
    </row>
    <row r="369">
      <c r="A369" s="89" t="s">
        <v>3415</v>
      </c>
      <c r="B369" s="89" t="s">
        <v>3416</v>
      </c>
      <c r="C369" s="89"/>
      <c r="D369" s="85">
        <v>199.0</v>
      </c>
      <c r="E369" s="83" t="s">
        <v>237</v>
      </c>
      <c r="F369" s="84">
        <f t="shared" si="1"/>
        <v>13.731</v>
      </c>
      <c r="G369" s="84"/>
      <c r="H369" s="85">
        <v>50.66</v>
      </c>
      <c r="I369" s="86">
        <v>0.15</v>
      </c>
      <c r="J369" s="85">
        <f t="shared" si="2"/>
        <v>29.85</v>
      </c>
      <c r="K369" s="85">
        <f t="shared" si="3"/>
        <v>25.73275862</v>
      </c>
      <c r="L369" s="82">
        <v>53.0</v>
      </c>
      <c r="M369" s="85">
        <f t="shared" si="4"/>
        <v>51.759</v>
      </c>
      <c r="N369" s="86">
        <f t="shared" si="8"/>
        <v>1.021693644</v>
      </c>
      <c r="O369" s="86"/>
      <c r="P369" s="82"/>
    </row>
    <row r="370">
      <c r="A370" s="89" t="s">
        <v>3417</v>
      </c>
      <c r="B370" s="89" t="s">
        <v>3418</v>
      </c>
      <c r="C370" s="89"/>
      <c r="D370" s="82">
        <v>839.0</v>
      </c>
      <c r="E370" s="83"/>
      <c r="F370" s="84">
        <f t="shared" si="1"/>
        <v>57.891</v>
      </c>
      <c r="G370" s="84"/>
      <c r="H370" s="82">
        <v>583.0</v>
      </c>
      <c r="I370" s="86">
        <v>0.15</v>
      </c>
      <c r="J370" s="85">
        <f t="shared" si="2"/>
        <v>125.85</v>
      </c>
      <c r="K370" s="85">
        <f t="shared" si="3"/>
        <v>108.4913793</v>
      </c>
      <c r="L370" s="85"/>
      <c r="M370" s="85">
        <f t="shared" si="4"/>
        <v>72.259</v>
      </c>
      <c r="N370" s="86">
        <f t="shared" si="8"/>
        <v>0.1239433962</v>
      </c>
      <c r="O370" s="86"/>
      <c r="P370" s="82"/>
    </row>
    <row r="371">
      <c r="A371" s="90" t="s">
        <v>3419</v>
      </c>
      <c r="B371" s="90" t="s">
        <v>3420</v>
      </c>
      <c r="C371" s="90"/>
      <c r="D371" s="82">
        <v>839.0</v>
      </c>
      <c r="E371" s="83"/>
      <c r="F371" s="84">
        <f t="shared" si="1"/>
        <v>57.891</v>
      </c>
      <c r="G371" s="84"/>
      <c r="H371" s="82">
        <v>583.0</v>
      </c>
      <c r="I371" s="86">
        <v>0.15</v>
      </c>
      <c r="J371" s="85">
        <f t="shared" si="2"/>
        <v>125.85</v>
      </c>
      <c r="K371" s="85">
        <f t="shared" si="3"/>
        <v>108.4913793</v>
      </c>
      <c r="L371" s="85"/>
      <c r="M371" s="85">
        <f t="shared" si="4"/>
        <v>72.259</v>
      </c>
      <c r="N371" s="86">
        <f t="shared" si="8"/>
        <v>0.1239433962</v>
      </c>
      <c r="O371" s="86"/>
      <c r="P371" s="82"/>
    </row>
    <row r="372">
      <c r="A372" s="89" t="s">
        <v>3421</v>
      </c>
      <c r="B372" s="89" t="s">
        <v>3422</v>
      </c>
      <c r="C372" s="89"/>
      <c r="D372" s="85">
        <v>3599.0</v>
      </c>
      <c r="E372" s="86"/>
      <c r="F372" s="84">
        <f t="shared" si="1"/>
        <v>248.331</v>
      </c>
      <c r="G372" s="84"/>
      <c r="H372" s="85">
        <v>2543.67</v>
      </c>
      <c r="I372" s="86">
        <v>0.15</v>
      </c>
      <c r="J372" s="85">
        <f t="shared" si="2"/>
        <v>539.85</v>
      </c>
      <c r="K372" s="85">
        <f t="shared" si="3"/>
        <v>465.387931</v>
      </c>
      <c r="L372" s="85"/>
      <c r="M372" s="85">
        <f t="shared" si="4"/>
        <v>267.149</v>
      </c>
      <c r="N372" s="86">
        <f t="shared" si="8"/>
        <v>0.1050250229</v>
      </c>
      <c r="O372" s="86"/>
      <c r="P372" s="82"/>
    </row>
    <row r="373">
      <c r="A373" s="89" t="s">
        <v>3423</v>
      </c>
      <c r="B373" s="89" t="s">
        <v>3424</v>
      </c>
      <c r="C373" s="89"/>
      <c r="D373" s="85">
        <v>1099.0</v>
      </c>
      <c r="E373" s="86"/>
      <c r="F373" s="84">
        <f t="shared" si="1"/>
        <v>75.831</v>
      </c>
      <c r="G373" s="84"/>
      <c r="H373" s="85">
        <v>747.48</v>
      </c>
      <c r="I373" s="86">
        <v>0.16</v>
      </c>
      <c r="J373" s="85">
        <f t="shared" si="2"/>
        <v>175.84</v>
      </c>
      <c r="K373" s="85">
        <f t="shared" si="3"/>
        <v>151.5862069</v>
      </c>
      <c r="L373" s="85"/>
      <c r="M373" s="85">
        <f t="shared" si="4"/>
        <v>99.849</v>
      </c>
      <c r="N373" s="86">
        <f t="shared" si="8"/>
        <v>0.1335808316</v>
      </c>
      <c r="O373" s="86"/>
      <c r="P373" s="82"/>
    </row>
    <row r="374">
      <c r="A374" s="89" t="s">
        <v>3425</v>
      </c>
      <c r="B374" s="89" t="s">
        <v>3426</v>
      </c>
      <c r="C374" s="89"/>
      <c r="D374" s="85">
        <v>399.0</v>
      </c>
      <c r="E374" s="86"/>
      <c r="F374" s="84">
        <f t="shared" si="1"/>
        <v>27.531</v>
      </c>
      <c r="G374" s="84"/>
      <c r="H374" s="85">
        <v>159.46</v>
      </c>
      <c r="I374" s="86">
        <v>0.16</v>
      </c>
      <c r="J374" s="85">
        <f t="shared" si="2"/>
        <v>63.84</v>
      </c>
      <c r="K374" s="85">
        <f t="shared" si="3"/>
        <v>55.03448276</v>
      </c>
      <c r="L374" s="85"/>
      <c r="M374" s="85">
        <f t="shared" si="4"/>
        <v>148.169</v>
      </c>
      <c r="N374" s="86">
        <f t="shared" si="8"/>
        <v>0.9291922739</v>
      </c>
      <c r="O374" s="86"/>
      <c r="P374" s="82"/>
    </row>
    <row r="375">
      <c r="A375" s="89" t="s">
        <v>3427</v>
      </c>
      <c r="B375" s="89" t="s">
        <v>3428</v>
      </c>
      <c r="C375" s="89"/>
      <c r="D375" s="82">
        <v>999.0</v>
      </c>
      <c r="E375" s="83"/>
      <c r="F375" s="84">
        <f t="shared" si="1"/>
        <v>68.931</v>
      </c>
      <c r="G375" s="84"/>
      <c r="H375" s="82">
        <v>645.0</v>
      </c>
      <c r="I375" s="86">
        <v>0.11</v>
      </c>
      <c r="J375" s="85">
        <f t="shared" si="2"/>
        <v>109.89</v>
      </c>
      <c r="K375" s="85">
        <f t="shared" si="3"/>
        <v>94.73275862</v>
      </c>
      <c r="L375" s="82">
        <v>66.04</v>
      </c>
      <c r="M375" s="85">
        <f t="shared" si="4"/>
        <v>109.139</v>
      </c>
      <c r="N375" s="86">
        <f t="shared" si="8"/>
        <v>0.1692077519</v>
      </c>
      <c r="O375" s="86"/>
      <c r="P375" s="82"/>
    </row>
    <row r="376">
      <c r="A376" s="89" t="s">
        <v>3429</v>
      </c>
      <c r="B376" s="89" t="s">
        <v>3430</v>
      </c>
      <c r="C376" s="89"/>
      <c r="D376" s="82">
        <v>349.0</v>
      </c>
      <c r="E376" s="83"/>
      <c r="F376" s="84">
        <f t="shared" si="1"/>
        <v>24.081</v>
      </c>
      <c r="G376" s="84"/>
      <c r="H376" s="82">
        <v>210.0</v>
      </c>
      <c r="I376" s="86">
        <v>0.15</v>
      </c>
      <c r="J376" s="85">
        <f t="shared" si="2"/>
        <v>52.35</v>
      </c>
      <c r="K376" s="85">
        <f t="shared" si="3"/>
        <v>45.12931034</v>
      </c>
      <c r="L376" s="82">
        <v>61.79</v>
      </c>
      <c r="M376" s="85">
        <f t="shared" si="4"/>
        <v>0.779</v>
      </c>
      <c r="N376" s="86">
        <f t="shared" si="8"/>
        <v>0.00370952381</v>
      </c>
      <c r="O376" s="86"/>
      <c r="P376" s="82"/>
    </row>
    <row r="377">
      <c r="A377" s="89" t="s">
        <v>3429</v>
      </c>
      <c r="B377" s="89" t="s">
        <v>3431</v>
      </c>
      <c r="C377" s="89"/>
      <c r="D377" s="82">
        <v>375.0</v>
      </c>
      <c r="E377" s="83"/>
      <c r="F377" s="84">
        <f t="shared" si="1"/>
        <v>25.875</v>
      </c>
      <c r="G377" s="84"/>
      <c r="H377" s="82">
        <v>229.0</v>
      </c>
      <c r="I377" s="86">
        <v>0.15</v>
      </c>
      <c r="J377" s="85">
        <f t="shared" si="2"/>
        <v>56.25</v>
      </c>
      <c r="K377" s="85">
        <f t="shared" si="3"/>
        <v>48.49137931</v>
      </c>
      <c r="L377" s="82">
        <v>61.79</v>
      </c>
      <c r="M377" s="85">
        <f t="shared" si="4"/>
        <v>2.085</v>
      </c>
      <c r="N377" s="86">
        <f t="shared" si="8"/>
        <v>0.009104803493</v>
      </c>
      <c r="O377" s="86"/>
      <c r="P377" s="82"/>
    </row>
    <row r="378">
      <c r="A378" s="90" t="s">
        <v>3432</v>
      </c>
      <c r="B378" s="90" t="s">
        <v>3433</v>
      </c>
      <c r="C378" s="90"/>
      <c r="D378" s="82">
        <v>399.0</v>
      </c>
      <c r="E378" s="83"/>
      <c r="F378" s="84">
        <f t="shared" si="1"/>
        <v>27.531</v>
      </c>
      <c r="G378" s="84"/>
      <c r="H378" s="82">
        <v>194.0</v>
      </c>
      <c r="I378" s="86">
        <v>0.15</v>
      </c>
      <c r="J378" s="85">
        <f t="shared" si="2"/>
        <v>59.85</v>
      </c>
      <c r="K378" s="85">
        <f t="shared" si="3"/>
        <v>51.59482759</v>
      </c>
      <c r="L378" s="82">
        <v>61.79</v>
      </c>
      <c r="M378" s="85">
        <f t="shared" si="4"/>
        <v>55.829</v>
      </c>
      <c r="N378" s="86">
        <f t="shared" si="8"/>
        <v>0.2877783505</v>
      </c>
      <c r="O378" s="86"/>
      <c r="P378" s="82"/>
    </row>
    <row r="379">
      <c r="A379" s="89" t="s">
        <v>3434</v>
      </c>
      <c r="B379" s="89" t="s">
        <v>3435</v>
      </c>
      <c r="C379" s="89"/>
      <c r="D379" s="85">
        <v>329.0</v>
      </c>
      <c r="E379" s="86"/>
      <c r="F379" s="84">
        <f t="shared" si="1"/>
        <v>22.701</v>
      </c>
      <c r="G379" s="84"/>
      <c r="H379" s="85">
        <v>177.85</v>
      </c>
      <c r="I379" s="86">
        <v>0.16</v>
      </c>
      <c r="J379" s="85">
        <f t="shared" si="2"/>
        <v>52.64</v>
      </c>
      <c r="K379" s="85">
        <f t="shared" si="3"/>
        <v>45.37931034</v>
      </c>
      <c r="L379" s="85"/>
      <c r="M379" s="85">
        <f t="shared" si="4"/>
        <v>75.809</v>
      </c>
      <c r="N379" s="86">
        <f t="shared" si="8"/>
        <v>0.4262524599</v>
      </c>
      <c r="O379" s="86"/>
      <c r="P379" s="82"/>
    </row>
    <row r="380">
      <c r="A380" s="89" t="s">
        <v>3436</v>
      </c>
      <c r="B380" s="89" t="s">
        <v>3437</v>
      </c>
      <c r="C380" s="89"/>
      <c r="D380" s="85">
        <v>549.0</v>
      </c>
      <c r="E380" s="83"/>
      <c r="F380" s="84">
        <f t="shared" si="1"/>
        <v>37.881</v>
      </c>
      <c r="G380" s="84"/>
      <c r="H380" s="85">
        <v>331.58</v>
      </c>
      <c r="I380" s="86">
        <v>0.16</v>
      </c>
      <c r="J380" s="85">
        <f t="shared" si="2"/>
        <v>87.84</v>
      </c>
      <c r="K380" s="85">
        <f t="shared" si="3"/>
        <v>75.72413793</v>
      </c>
      <c r="L380" s="82">
        <v>66.04</v>
      </c>
      <c r="M380" s="85">
        <f t="shared" si="4"/>
        <v>25.659</v>
      </c>
      <c r="N380" s="86">
        <f t="shared" si="8"/>
        <v>0.07738404005</v>
      </c>
      <c r="O380" s="86"/>
      <c r="P380" s="82"/>
    </row>
    <row r="381">
      <c r="A381" s="89" t="s">
        <v>3438</v>
      </c>
      <c r="B381" s="89" t="s">
        <v>3439</v>
      </c>
      <c r="C381" s="89"/>
      <c r="D381" s="82">
        <v>369.0</v>
      </c>
      <c r="E381" s="83"/>
      <c r="F381" s="84">
        <f t="shared" si="1"/>
        <v>25.461</v>
      </c>
      <c r="G381" s="84"/>
      <c r="H381" s="85">
        <v>243.5</v>
      </c>
      <c r="I381" s="86">
        <v>0.15</v>
      </c>
      <c r="J381" s="85">
        <f t="shared" si="2"/>
        <v>55.35</v>
      </c>
      <c r="K381" s="85">
        <f t="shared" si="3"/>
        <v>47.71551724</v>
      </c>
      <c r="L381" s="82">
        <v>61.79</v>
      </c>
      <c r="M381" s="85">
        <f t="shared" si="4"/>
        <v>-17.101</v>
      </c>
      <c r="N381" s="86">
        <f t="shared" si="8"/>
        <v>-0.07022997947</v>
      </c>
      <c r="O381" s="86"/>
      <c r="P381" s="82"/>
    </row>
    <row r="382">
      <c r="A382" s="89" t="s">
        <v>3440</v>
      </c>
      <c r="B382" s="89" t="s">
        <v>3441</v>
      </c>
      <c r="C382" s="89"/>
      <c r="D382" s="85">
        <v>499.0</v>
      </c>
      <c r="E382" s="86"/>
      <c r="F382" s="84">
        <f t="shared" si="1"/>
        <v>34.431</v>
      </c>
      <c r="G382" s="84"/>
      <c r="H382" s="85">
        <v>260.17</v>
      </c>
      <c r="I382" s="86">
        <v>0.16</v>
      </c>
      <c r="J382" s="85">
        <f t="shared" si="2"/>
        <v>79.84</v>
      </c>
      <c r="K382" s="85">
        <f t="shared" si="3"/>
        <v>68.82758621</v>
      </c>
      <c r="L382" s="85"/>
      <c r="M382" s="85">
        <f t="shared" si="4"/>
        <v>124.559</v>
      </c>
      <c r="N382" s="86">
        <f t="shared" si="8"/>
        <v>0.4787600415</v>
      </c>
      <c r="O382" s="86"/>
      <c r="P382" s="82"/>
    </row>
    <row r="383">
      <c r="A383" s="89" t="s">
        <v>3442</v>
      </c>
      <c r="B383" s="89" t="s">
        <v>3443</v>
      </c>
      <c r="C383" s="89"/>
      <c r="D383" s="82">
        <v>7299.0</v>
      </c>
      <c r="E383" s="86"/>
      <c r="F383" s="84">
        <f t="shared" si="1"/>
        <v>503.631</v>
      </c>
      <c r="G383" s="84"/>
      <c r="H383" s="82">
        <v>5167.85</v>
      </c>
      <c r="I383" s="86">
        <v>0.1</v>
      </c>
      <c r="J383" s="85">
        <f t="shared" si="2"/>
        <v>729.9</v>
      </c>
      <c r="K383" s="85">
        <f t="shared" si="3"/>
        <v>629.2241379</v>
      </c>
      <c r="L383" s="82">
        <v>148.0</v>
      </c>
      <c r="M383" s="85">
        <f t="shared" si="4"/>
        <v>749.619</v>
      </c>
      <c r="N383" s="86">
        <f t="shared" si="8"/>
        <v>0.1450543263</v>
      </c>
      <c r="O383" s="86"/>
      <c r="P383" s="82"/>
    </row>
    <row r="384">
      <c r="A384" s="89" t="s">
        <v>3444</v>
      </c>
      <c r="B384" s="89" t="s">
        <v>3445</v>
      </c>
      <c r="C384" s="89"/>
      <c r="D384" s="82">
        <v>1099.0</v>
      </c>
      <c r="E384" s="86"/>
      <c r="F384" s="84">
        <f t="shared" si="1"/>
        <v>75.831</v>
      </c>
      <c r="G384" s="84"/>
      <c r="H384" s="85">
        <v>788.33</v>
      </c>
      <c r="I384" s="86">
        <v>0.15</v>
      </c>
      <c r="J384" s="85">
        <f t="shared" si="2"/>
        <v>164.85</v>
      </c>
      <c r="K384" s="85">
        <f t="shared" si="3"/>
        <v>142.112069</v>
      </c>
      <c r="L384" s="85"/>
      <c r="M384" s="85">
        <f t="shared" si="4"/>
        <v>69.989</v>
      </c>
      <c r="N384" s="86">
        <f t="shared" si="8"/>
        <v>0.08878134791</v>
      </c>
      <c r="O384" s="86"/>
      <c r="P384" s="82"/>
    </row>
    <row r="385">
      <c r="A385" s="89" t="s">
        <v>3446</v>
      </c>
      <c r="B385" s="89" t="s">
        <v>3447</v>
      </c>
      <c r="C385" s="89"/>
      <c r="D385" s="85">
        <v>2999.0</v>
      </c>
      <c r="E385" s="86"/>
      <c r="F385" s="84">
        <f t="shared" si="1"/>
        <v>206.931</v>
      </c>
      <c r="G385" s="84"/>
      <c r="H385" s="85">
        <v>2342.64</v>
      </c>
      <c r="I385" s="86">
        <v>0.11</v>
      </c>
      <c r="J385" s="85">
        <f t="shared" si="2"/>
        <v>329.89</v>
      </c>
      <c r="K385" s="85">
        <f t="shared" si="3"/>
        <v>284.387931</v>
      </c>
      <c r="L385" s="85"/>
      <c r="M385" s="85">
        <f t="shared" si="4"/>
        <v>119.539</v>
      </c>
      <c r="N385" s="86">
        <f t="shared" si="8"/>
        <v>0.05102747328</v>
      </c>
      <c r="O385" s="86"/>
      <c r="P385" s="82"/>
    </row>
    <row r="386">
      <c r="A386" s="89" t="s">
        <v>3448</v>
      </c>
      <c r="B386" s="89" t="s">
        <v>3449</v>
      </c>
      <c r="C386" s="89"/>
      <c r="D386" s="85">
        <v>2899.0</v>
      </c>
      <c r="E386" s="86"/>
      <c r="F386" s="84">
        <f t="shared" si="1"/>
        <v>200.031</v>
      </c>
      <c r="G386" s="84"/>
      <c r="H386" s="85">
        <v>2230.38</v>
      </c>
      <c r="I386" s="86">
        <v>0.11</v>
      </c>
      <c r="J386" s="85">
        <f t="shared" si="2"/>
        <v>318.89</v>
      </c>
      <c r="K386" s="85">
        <f t="shared" si="3"/>
        <v>274.9051724</v>
      </c>
      <c r="L386" s="85"/>
      <c r="M386" s="85">
        <f t="shared" si="4"/>
        <v>149.699</v>
      </c>
      <c r="N386" s="86">
        <f t="shared" si="8"/>
        <v>0.06711815924</v>
      </c>
      <c r="O386" s="86"/>
      <c r="P386" s="82"/>
    </row>
    <row r="387">
      <c r="A387" s="89" t="s">
        <v>3450</v>
      </c>
      <c r="B387" s="89" t="s">
        <v>3451</v>
      </c>
      <c r="C387" s="89"/>
      <c r="D387" s="85">
        <v>1099.0</v>
      </c>
      <c r="E387" s="86"/>
      <c r="F387" s="84">
        <f t="shared" si="1"/>
        <v>75.831</v>
      </c>
      <c r="G387" s="84"/>
      <c r="H387" s="85">
        <v>832.2</v>
      </c>
      <c r="I387" s="86">
        <v>0.15</v>
      </c>
      <c r="J387" s="85">
        <f t="shared" si="2"/>
        <v>164.85</v>
      </c>
      <c r="K387" s="85">
        <f t="shared" si="3"/>
        <v>142.112069</v>
      </c>
      <c r="L387" s="85"/>
      <c r="M387" s="85">
        <f t="shared" si="4"/>
        <v>26.119</v>
      </c>
      <c r="N387" s="86">
        <f t="shared" si="8"/>
        <v>0.03138548426</v>
      </c>
      <c r="O387" s="86"/>
      <c r="P387" s="82"/>
    </row>
    <row r="388">
      <c r="A388" s="89" t="s">
        <v>3452</v>
      </c>
      <c r="B388" s="89" t="s">
        <v>3453</v>
      </c>
      <c r="C388" s="89"/>
      <c r="D388" s="85">
        <v>499.0</v>
      </c>
      <c r="E388" s="86"/>
      <c r="F388" s="84">
        <f t="shared" si="1"/>
        <v>34.431</v>
      </c>
      <c r="G388" s="84"/>
      <c r="H388" s="85">
        <v>256.91</v>
      </c>
      <c r="I388" s="86">
        <v>0.16</v>
      </c>
      <c r="J388" s="85">
        <f t="shared" si="2"/>
        <v>79.84</v>
      </c>
      <c r="K388" s="85">
        <f t="shared" si="3"/>
        <v>68.82758621</v>
      </c>
      <c r="L388" s="85"/>
      <c r="M388" s="85">
        <f t="shared" si="4"/>
        <v>127.819</v>
      </c>
      <c r="N388" s="86">
        <f t="shared" si="8"/>
        <v>0.4975244249</v>
      </c>
      <c r="O388" s="86"/>
      <c r="P388" s="82"/>
    </row>
    <row r="389">
      <c r="A389" s="89" t="s">
        <v>3366</v>
      </c>
      <c r="B389" s="89" t="s">
        <v>3454</v>
      </c>
      <c r="C389" s="89"/>
      <c r="D389" s="82">
        <v>649.0</v>
      </c>
      <c r="E389" s="83"/>
      <c r="F389" s="84">
        <f t="shared" si="1"/>
        <v>44.781</v>
      </c>
      <c r="G389" s="84"/>
      <c r="H389" s="82">
        <v>437.02</v>
      </c>
      <c r="I389" s="86">
        <v>0.16</v>
      </c>
      <c r="J389" s="85">
        <f t="shared" si="2"/>
        <v>103.84</v>
      </c>
      <c r="K389" s="85">
        <f t="shared" si="3"/>
        <v>89.51724138</v>
      </c>
      <c r="L389" s="82">
        <v>67.45</v>
      </c>
      <c r="M389" s="85">
        <f t="shared" si="4"/>
        <v>-4.091</v>
      </c>
      <c r="N389" s="86">
        <f t="shared" si="8"/>
        <v>-0.009361127637</v>
      </c>
      <c r="O389" s="86"/>
      <c r="P389" s="82"/>
    </row>
    <row r="390">
      <c r="A390" s="89" t="s">
        <v>3366</v>
      </c>
      <c r="B390" s="89" t="s">
        <v>3455</v>
      </c>
      <c r="C390" s="89"/>
      <c r="D390" s="82">
        <v>659.0</v>
      </c>
      <c r="E390" s="86"/>
      <c r="F390" s="84">
        <f t="shared" si="1"/>
        <v>45.471</v>
      </c>
      <c r="G390" s="84"/>
      <c r="H390" s="82">
        <v>437.02</v>
      </c>
      <c r="I390" s="86">
        <v>0.16</v>
      </c>
      <c r="J390" s="85">
        <f t="shared" si="2"/>
        <v>105.44</v>
      </c>
      <c r="K390" s="85">
        <f t="shared" si="3"/>
        <v>90.89655172</v>
      </c>
      <c r="L390" s="82">
        <v>67.45</v>
      </c>
      <c r="M390" s="85">
        <f t="shared" si="4"/>
        <v>3.619</v>
      </c>
      <c r="N390" s="86">
        <f t="shared" si="8"/>
        <v>0.008281085534</v>
      </c>
      <c r="O390" s="86"/>
      <c r="P390" s="82"/>
    </row>
    <row r="391">
      <c r="A391" s="89" t="s">
        <v>3456</v>
      </c>
      <c r="B391" s="89" t="s">
        <v>3457</v>
      </c>
      <c r="C391" s="89"/>
      <c r="D391" s="85">
        <v>753.0</v>
      </c>
      <c r="E391" s="86"/>
      <c r="F391" s="84">
        <f t="shared" si="1"/>
        <v>51.957</v>
      </c>
      <c r="G391" s="84"/>
      <c r="H391" s="85">
        <v>481.18</v>
      </c>
      <c r="I391" s="86">
        <v>0.16</v>
      </c>
      <c r="J391" s="85">
        <f t="shared" si="2"/>
        <v>120.48</v>
      </c>
      <c r="K391" s="85">
        <f t="shared" si="3"/>
        <v>103.862069</v>
      </c>
      <c r="L391" s="85"/>
      <c r="M391" s="85">
        <f t="shared" si="4"/>
        <v>99.383</v>
      </c>
      <c r="N391" s="86">
        <f t="shared" si="8"/>
        <v>0.2065401721</v>
      </c>
      <c r="O391" s="86"/>
      <c r="P391" s="82"/>
    </row>
    <row r="392">
      <c r="A392" s="89" t="s">
        <v>3458</v>
      </c>
      <c r="B392" s="89" t="s">
        <v>3459</v>
      </c>
      <c r="C392" s="89"/>
      <c r="D392" s="82">
        <v>740.0</v>
      </c>
      <c r="E392" s="83"/>
      <c r="F392" s="84">
        <f t="shared" si="1"/>
        <v>51.06</v>
      </c>
      <c r="G392" s="84"/>
      <c r="H392" s="82">
        <v>500.0</v>
      </c>
      <c r="I392" s="86">
        <v>0.15</v>
      </c>
      <c r="J392" s="85">
        <f t="shared" si="2"/>
        <v>111</v>
      </c>
      <c r="K392" s="85">
        <f t="shared" si="3"/>
        <v>95.68965517</v>
      </c>
      <c r="L392" s="82">
        <v>63.21</v>
      </c>
      <c r="M392" s="85">
        <f t="shared" si="4"/>
        <v>14.73</v>
      </c>
      <c r="N392" s="86">
        <f t="shared" si="8"/>
        <v>0.02946</v>
      </c>
      <c r="O392" s="86"/>
      <c r="P392" s="82"/>
    </row>
    <row r="393">
      <c r="A393" s="89" t="s">
        <v>3460</v>
      </c>
      <c r="B393" s="89" t="s">
        <v>3461</v>
      </c>
      <c r="C393" s="89"/>
      <c r="D393" s="82">
        <v>219.0</v>
      </c>
      <c r="E393" s="83"/>
      <c r="F393" s="84">
        <f t="shared" si="1"/>
        <v>15.111</v>
      </c>
      <c r="G393" s="84"/>
      <c r="H393" s="85">
        <v>113.77</v>
      </c>
      <c r="I393" s="86">
        <v>0.16</v>
      </c>
      <c r="J393" s="85">
        <f t="shared" si="2"/>
        <v>35.04</v>
      </c>
      <c r="K393" s="85">
        <f t="shared" si="3"/>
        <v>30.20689655</v>
      </c>
      <c r="L393" s="82">
        <v>61.79</v>
      </c>
      <c r="M393" s="85">
        <f t="shared" si="4"/>
        <v>-6.711</v>
      </c>
      <c r="N393" s="86">
        <f t="shared" si="8"/>
        <v>-0.05898743078</v>
      </c>
      <c r="O393" s="86"/>
      <c r="P393" s="82"/>
    </row>
    <row r="394">
      <c r="A394" s="89" t="s">
        <v>3462</v>
      </c>
      <c r="B394" s="89" t="s">
        <v>3463</v>
      </c>
      <c r="C394" s="89"/>
      <c r="D394" s="82">
        <v>4499.0</v>
      </c>
      <c r="E394" s="86"/>
      <c r="F394" s="84">
        <f t="shared" si="1"/>
        <v>310.431</v>
      </c>
      <c r="G394" s="84"/>
      <c r="H394" s="85">
        <v>3610.0</v>
      </c>
      <c r="I394" s="91">
        <v>0.1</v>
      </c>
      <c r="J394" s="85">
        <f t="shared" si="2"/>
        <v>449.9</v>
      </c>
      <c r="K394" s="85">
        <f t="shared" si="3"/>
        <v>387.8448276</v>
      </c>
      <c r="L394" s="82">
        <v>68.86</v>
      </c>
      <c r="M394" s="85">
        <f t="shared" si="4"/>
        <v>59.809</v>
      </c>
      <c r="N394" s="86">
        <f t="shared" si="8"/>
        <v>0.01656759003</v>
      </c>
      <c r="O394" s="86"/>
      <c r="P394" s="82"/>
    </row>
    <row r="395">
      <c r="A395" s="89" t="s">
        <v>3464</v>
      </c>
      <c r="B395" s="89" t="s">
        <v>3465</v>
      </c>
      <c r="C395" s="89"/>
      <c r="D395" s="85">
        <v>15599.0</v>
      </c>
      <c r="E395" s="86"/>
      <c r="F395" s="84">
        <f t="shared" si="1"/>
        <v>1076.331</v>
      </c>
      <c r="G395" s="84"/>
      <c r="H395" s="85">
        <v>12260.35</v>
      </c>
      <c r="I395" s="86">
        <v>0.11</v>
      </c>
      <c r="J395" s="85">
        <f t="shared" si="2"/>
        <v>1715.89</v>
      </c>
      <c r="K395" s="85">
        <f t="shared" si="3"/>
        <v>1479.215517</v>
      </c>
      <c r="L395" s="85"/>
      <c r="M395" s="85">
        <f t="shared" si="4"/>
        <v>546.429</v>
      </c>
      <c r="N395" s="86">
        <f t="shared" si="8"/>
        <v>0.0445687929</v>
      </c>
      <c r="O395" s="86"/>
      <c r="P395" s="82"/>
    </row>
    <row r="396">
      <c r="A396" s="89" t="s">
        <v>3466</v>
      </c>
      <c r="B396" s="89" t="s">
        <v>3467</v>
      </c>
      <c r="C396" s="89"/>
      <c r="D396" s="85">
        <v>2829.0</v>
      </c>
      <c r="E396" s="86"/>
      <c r="F396" s="84">
        <f t="shared" si="1"/>
        <v>195.201</v>
      </c>
      <c r="G396" s="84"/>
      <c r="H396" s="85">
        <v>2220.0</v>
      </c>
      <c r="I396" s="86">
        <v>0.1</v>
      </c>
      <c r="J396" s="85">
        <f t="shared" si="2"/>
        <v>282.9</v>
      </c>
      <c r="K396" s="85">
        <f t="shared" si="3"/>
        <v>243.8793103</v>
      </c>
      <c r="L396" s="85"/>
      <c r="M396" s="85">
        <f t="shared" si="4"/>
        <v>130.899</v>
      </c>
      <c r="N396" s="86">
        <f t="shared" si="8"/>
        <v>0.05896351351</v>
      </c>
      <c r="O396" s="86"/>
      <c r="P396" s="82"/>
    </row>
    <row r="397">
      <c r="A397" s="89" t="s">
        <v>3468</v>
      </c>
      <c r="B397" s="89" t="s">
        <v>3469</v>
      </c>
      <c r="C397" s="89"/>
      <c r="D397" s="82">
        <v>4999.0</v>
      </c>
      <c r="E397" s="83"/>
      <c r="F397" s="84">
        <f t="shared" si="1"/>
        <v>344.931</v>
      </c>
      <c r="G397" s="84"/>
      <c r="H397" s="85">
        <v>3610.0</v>
      </c>
      <c r="I397" s="86">
        <v>0.1</v>
      </c>
      <c r="J397" s="85">
        <f t="shared" si="2"/>
        <v>499.9</v>
      </c>
      <c r="K397" s="85">
        <f t="shared" si="3"/>
        <v>430.9482759</v>
      </c>
      <c r="L397" s="82">
        <v>68.86</v>
      </c>
      <c r="M397" s="85">
        <f t="shared" si="4"/>
        <v>475.309</v>
      </c>
      <c r="N397" s="86">
        <f t="shared" si="8"/>
        <v>0.1316645429</v>
      </c>
      <c r="O397" s="86"/>
      <c r="P397" s="82"/>
    </row>
    <row r="398">
      <c r="A398" s="89" t="s">
        <v>3470</v>
      </c>
      <c r="B398" s="89" t="s">
        <v>3471</v>
      </c>
      <c r="C398" s="89"/>
      <c r="D398" s="82">
        <v>13499.0</v>
      </c>
      <c r="E398" s="86"/>
      <c r="F398" s="84">
        <f t="shared" si="1"/>
        <v>931.431</v>
      </c>
      <c r="G398" s="84"/>
      <c r="H398" s="82">
        <v>10545.27</v>
      </c>
      <c r="I398" s="91">
        <v>0.1</v>
      </c>
      <c r="J398" s="85">
        <f t="shared" si="2"/>
        <v>1349.9</v>
      </c>
      <c r="K398" s="85">
        <f t="shared" si="3"/>
        <v>1163.706897</v>
      </c>
      <c r="L398" s="82">
        <v>355.0</v>
      </c>
      <c r="M398" s="85">
        <f t="shared" si="4"/>
        <v>317.399</v>
      </c>
      <c r="N398" s="86">
        <f t="shared" si="8"/>
        <v>0.03009870776</v>
      </c>
      <c r="O398" s="86"/>
      <c r="P398" s="82"/>
    </row>
    <row r="399">
      <c r="A399" s="89" t="s">
        <v>3472</v>
      </c>
      <c r="B399" s="89" t="s">
        <v>3473</v>
      </c>
      <c r="C399" s="89"/>
      <c r="D399" s="85">
        <v>9999.0</v>
      </c>
      <c r="E399" s="86"/>
      <c r="F399" s="84">
        <f t="shared" si="1"/>
        <v>689.931</v>
      </c>
      <c r="G399" s="84"/>
      <c r="H399" s="85">
        <v>8059.85</v>
      </c>
      <c r="I399" s="86">
        <v>0.1</v>
      </c>
      <c r="J399" s="85">
        <f t="shared" si="2"/>
        <v>999.9</v>
      </c>
      <c r="K399" s="85">
        <f t="shared" si="3"/>
        <v>861.9827586</v>
      </c>
      <c r="L399" s="85"/>
      <c r="M399" s="85">
        <f t="shared" si="4"/>
        <v>249.319</v>
      </c>
      <c r="N399" s="86">
        <f t="shared" si="8"/>
        <v>0.0309334541</v>
      </c>
      <c r="O399" s="86"/>
      <c r="P399" s="82"/>
    </row>
    <row r="400">
      <c r="A400" s="89" t="s">
        <v>3474</v>
      </c>
      <c r="B400" s="89" t="s">
        <v>3475</v>
      </c>
      <c r="C400" s="89"/>
      <c r="D400" s="85">
        <v>799.0</v>
      </c>
      <c r="E400" s="86"/>
      <c r="F400" s="84">
        <f t="shared" si="1"/>
        <v>55.131</v>
      </c>
      <c r="G400" s="84"/>
      <c r="H400" s="85">
        <v>528.11</v>
      </c>
      <c r="I400" s="86">
        <v>0.15</v>
      </c>
      <c r="J400" s="85">
        <f t="shared" si="2"/>
        <v>119.85</v>
      </c>
      <c r="K400" s="85">
        <f t="shared" si="3"/>
        <v>103.3189655</v>
      </c>
      <c r="L400" s="85"/>
      <c r="M400" s="85">
        <f t="shared" si="4"/>
        <v>95.909</v>
      </c>
      <c r="N400" s="86">
        <f t="shared" si="8"/>
        <v>0.1816079983</v>
      </c>
      <c r="O400" s="86"/>
      <c r="P400" s="82"/>
    </row>
    <row r="401">
      <c r="A401" s="89" t="s">
        <v>3476</v>
      </c>
      <c r="B401" s="89" t="s">
        <v>3477</v>
      </c>
      <c r="C401" s="89"/>
      <c r="D401" s="82">
        <v>699.0</v>
      </c>
      <c r="E401" s="83"/>
      <c r="F401" s="84">
        <f t="shared" si="1"/>
        <v>48.231</v>
      </c>
      <c r="G401" s="84"/>
      <c r="H401" s="85">
        <v>565.91</v>
      </c>
      <c r="I401" s="86">
        <v>0.15</v>
      </c>
      <c r="J401" s="85">
        <f t="shared" si="2"/>
        <v>104.85</v>
      </c>
      <c r="K401" s="85">
        <f t="shared" si="3"/>
        <v>90.38793103</v>
      </c>
      <c r="L401" s="82">
        <v>63.21</v>
      </c>
      <c r="M401" s="85">
        <f t="shared" si="4"/>
        <v>-83.201</v>
      </c>
      <c r="N401" s="86">
        <f t="shared" si="8"/>
        <v>-0.1470216112</v>
      </c>
      <c r="O401" s="86"/>
      <c r="P401" s="82"/>
    </row>
    <row r="402">
      <c r="A402" s="89" t="s">
        <v>3478</v>
      </c>
      <c r="B402" s="89" t="s">
        <v>3479</v>
      </c>
      <c r="C402" s="89"/>
      <c r="D402" s="82">
        <v>2099.0</v>
      </c>
      <c r="E402" s="83"/>
      <c r="F402" s="84">
        <f t="shared" si="1"/>
        <v>144.831</v>
      </c>
      <c r="G402" s="84"/>
      <c r="H402" s="85">
        <v>1556.39</v>
      </c>
      <c r="I402" s="86">
        <v>0.15</v>
      </c>
      <c r="J402" s="85">
        <f t="shared" si="2"/>
        <v>314.85</v>
      </c>
      <c r="K402" s="85">
        <f t="shared" si="3"/>
        <v>271.4224138</v>
      </c>
      <c r="L402" s="82">
        <v>64.62</v>
      </c>
      <c r="M402" s="85">
        <f t="shared" si="4"/>
        <v>18.309</v>
      </c>
      <c r="N402" s="86">
        <f t="shared" si="8"/>
        <v>0.01176376101</v>
      </c>
      <c r="O402" s="86"/>
      <c r="P402" s="82"/>
    </row>
    <row r="403">
      <c r="A403" s="89" t="s">
        <v>3480</v>
      </c>
      <c r="B403" s="89" t="s">
        <v>3481</v>
      </c>
      <c r="C403" s="89"/>
      <c r="D403" s="85">
        <v>4999.0</v>
      </c>
      <c r="E403" s="86"/>
      <c r="F403" s="84">
        <f t="shared" si="1"/>
        <v>344.931</v>
      </c>
      <c r="G403" s="84"/>
      <c r="H403" s="85">
        <v>3698.05</v>
      </c>
      <c r="I403" s="86">
        <v>0.1</v>
      </c>
      <c r="J403" s="85">
        <f t="shared" si="2"/>
        <v>499.9</v>
      </c>
      <c r="K403" s="85">
        <f t="shared" si="3"/>
        <v>430.9482759</v>
      </c>
      <c r="L403" s="85"/>
      <c r="M403" s="85">
        <f t="shared" si="4"/>
        <v>456.119</v>
      </c>
      <c r="N403" s="86">
        <f t="shared" si="8"/>
        <v>0.1233404091</v>
      </c>
      <c r="O403" s="86"/>
      <c r="P403" s="82"/>
    </row>
    <row r="404">
      <c r="A404" s="89" t="s">
        <v>3482</v>
      </c>
      <c r="B404" s="89" t="s">
        <v>3483</v>
      </c>
      <c r="C404" s="89"/>
      <c r="D404" s="85">
        <v>999.0</v>
      </c>
      <c r="E404" s="86"/>
      <c r="F404" s="84">
        <f t="shared" si="1"/>
        <v>68.931</v>
      </c>
      <c r="G404" s="84"/>
      <c r="H404" s="85">
        <v>663.75</v>
      </c>
      <c r="I404" s="86">
        <v>0.15</v>
      </c>
      <c r="J404" s="85">
        <f t="shared" si="2"/>
        <v>149.85</v>
      </c>
      <c r="K404" s="85">
        <f t="shared" si="3"/>
        <v>129.1810345</v>
      </c>
      <c r="L404" s="85"/>
      <c r="M404" s="85">
        <f t="shared" si="4"/>
        <v>116.469</v>
      </c>
      <c r="N404" s="86">
        <f t="shared" si="8"/>
        <v>0.1754711864</v>
      </c>
      <c r="O404" s="86"/>
      <c r="P404" s="82"/>
    </row>
    <row r="405">
      <c r="A405" s="89" t="s">
        <v>3484</v>
      </c>
      <c r="B405" s="89" t="s">
        <v>3485</v>
      </c>
      <c r="C405" s="89"/>
      <c r="D405" s="85">
        <v>4599.0</v>
      </c>
      <c r="E405" s="86"/>
      <c r="F405" s="84">
        <f t="shared" si="1"/>
        <v>317.331</v>
      </c>
      <c r="G405" s="84"/>
      <c r="H405" s="85">
        <v>3413.59</v>
      </c>
      <c r="I405" s="86">
        <v>0.15</v>
      </c>
      <c r="J405" s="85">
        <f t="shared" si="2"/>
        <v>689.85</v>
      </c>
      <c r="K405" s="85">
        <f t="shared" si="3"/>
        <v>594.6982759</v>
      </c>
      <c r="L405" s="85"/>
      <c r="M405" s="85">
        <f t="shared" si="4"/>
        <v>178.229</v>
      </c>
      <c r="N405" s="86">
        <f t="shared" si="8"/>
        <v>0.05221160128</v>
      </c>
      <c r="O405" s="86"/>
      <c r="P405" s="82"/>
    </row>
    <row r="406">
      <c r="A406" s="89" t="s">
        <v>3486</v>
      </c>
      <c r="B406" s="89" t="s">
        <v>3487</v>
      </c>
      <c r="C406" s="89"/>
      <c r="D406" s="82">
        <v>1150.0</v>
      </c>
      <c r="E406" s="83"/>
      <c r="F406" s="84">
        <f t="shared" si="1"/>
        <v>79.35</v>
      </c>
      <c r="G406" s="84"/>
      <c r="H406" s="85">
        <v>813.75</v>
      </c>
      <c r="I406" s="86">
        <v>0.15</v>
      </c>
      <c r="J406" s="85">
        <f t="shared" si="2"/>
        <v>172.5</v>
      </c>
      <c r="K406" s="85">
        <f t="shared" si="3"/>
        <v>148.7068966</v>
      </c>
      <c r="L406" s="82">
        <v>66.04</v>
      </c>
      <c r="M406" s="85">
        <f t="shared" si="4"/>
        <v>18.36</v>
      </c>
      <c r="N406" s="86">
        <f t="shared" si="8"/>
        <v>0.02256221198</v>
      </c>
      <c r="O406" s="86"/>
      <c r="P406" s="82"/>
    </row>
    <row r="407">
      <c r="A407" s="89" t="s">
        <v>3488</v>
      </c>
      <c r="B407" s="89" t="s">
        <v>3489</v>
      </c>
      <c r="C407" s="89"/>
      <c r="D407" s="85">
        <v>18999.0</v>
      </c>
      <c r="E407" s="86"/>
      <c r="F407" s="84">
        <f t="shared" si="1"/>
        <v>1310.931</v>
      </c>
      <c r="G407" s="84"/>
      <c r="H407" s="85">
        <v>14886.04</v>
      </c>
      <c r="I407" s="86">
        <v>0.1</v>
      </c>
      <c r="J407" s="85">
        <f t="shared" si="2"/>
        <v>1899.9</v>
      </c>
      <c r="K407" s="85">
        <f t="shared" si="3"/>
        <v>1637.844828</v>
      </c>
      <c r="L407" s="85"/>
      <c r="M407" s="85">
        <f t="shared" si="4"/>
        <v>902.129</v>
      </c>
      <c r="N407" s="86">
        <f t="shared" si="8"/>
        <v>0.06060234958</v>
      </c>
      <c r="O407" s="86"/>
      <c r="P407" s="82"/>
    </row>
    <row r="408">
      <c r="A408" s="89" t="s">
        <v>3490</v>
      </c>
      <c r="B408" s="89" t="s">
        <v>3491</v>
      </c>
      <c r="C408" s="89"/>
      <c r="D408" s="82">
        <v>495.0</v>
      </c>
      <c r="E408" s="83"/>
      <c r="F408" s="84">
        <f t="shared" si="1"/>
        <v>34.155</v>
      </c>
      <c r="G408" s="84"/>
      <c r="H408" s="82">
        <v>325.0</v>
      </c>
      <c r="I408" s="91">
        <v>0.15</v>
      </c>
      <c r="J408" s="85">
        <f t="shared" si="2"/>
        <v>74.25</v>
      </c>
      <c r="K408" s="85">
        <f t="shared" si="3"/>
        <v>64.00862069</v>
      </c>
      <c r="L408" s="82">
        <v>62.0</v>
      </c>
      <c r="M408" s="85">
        <f t="shared" si="4"/>
        <v>-0.405</v>
      </c>
      <c r="N408" s="86">
        <f t="shared" si="8"/>
        <v>-0.001246153846</v>
      </c>
      <c r="O408" s="86"/>
      <c r="P408" s="82"/>
    </row>
    <row r="409">
      <c r="A409" s="89" t="s">
        <v>3492</v>
      </c>
      <c r="B409" s="89" t="s">
        <v>3493</v>
      </c>
      <c r="C409" s="94" t="s">
        <v>3494</v>
      </c>
      <c r="D409" s="82">
        <v>1800.0</v>
      </c>
      <c r="E409" s="83"/>
      <c r="F409" s="84">
        <f t="shared" si="1"/>
        <v>124.2</v>
      </c>
      <c r="G409" s="84"/>
      <c r="H409" s="82">
        <v>1525.19</v>
      </c>
      <c r="I409" s="91">
        <v>0.1</v>
      </c>
      <c r="J409" s="85">
        <f t="shared" si="2"/>
        <v>180</v>
      </c>
      <c r="K409" s="85">
        <f t="shared" si="3"/>
        <v>155.1724138</v>
      </c>
      <c r="L409" s="82">
        <v>63.21</v>
      </c>
      <c r="M409" s="85">
        <f t="shared" si="4"/>
        <v>-92.6</v>
      </c>
      <c r="N409" s="86">
        <f t="shared" si="8"/>
        <v>-0.06071374714</v>
      </c>
      <c r="O409" s="86"/>
      <c r="P409" s="82"/>
    </row>
    <row r="410">
      <c r="A410" s="89" t="s">
        <v>3492</v>
      </c>
      <c r="B410" s="89" t="s">
        <v>3495</v>
      </c>
      <c r="C410" s="94" t="s">
        <v>3496</v>
      </c>
      <c r="D410" s="82">
        <v>2089.0</v>
      </c>
      <c r="E410" s="83"/>
      <c r="F410" s="84">
        <f t="shared" si="1"/>
        <v>144.141</v>
      </c>
      <c r="G410" s="84"/>
      <c r="H410" s="82">
        <v>1525.19</v>
      </c>
      <c r="I410" s="91">
        <v>0.1</v>
      </c>
      <c r="J410" s="85">
        <f t="shared" si="2"/>
        <v>208.9</v>
      </c>
      <c r="K410" s="85">
        <f t="shared" si="3"/>
        <v>180.0862069</v>
      </c>
      <c r="L410" s="82">
        <v>63.21</v>
      </c>
      <c r="M410" s="85">
        <f t="shared" si="4"/>
        <v>147.559</v>
      </c>
      <c r="N410" s="86">
        <f t="shared" si="8"/>
        <v>0.09674794616</v>
      </c>
      <c r="O410" s="86"/>
      <c r="P410" s="82"/>
    </row>
    <row r="411">
      <c r="A411" s="89" t="s">
        <v>3497</v>
      </c>
      <c r="B411" s="89" t="s">
        <v>3498</v>
      </c>
      <c r="C411" s="89"/>
      <c r="D411" s="85">
        <v>1299.0</v>
      </c>
      <c r="E411" s="86"/>
      <c r="F411" s="84">
        <f t="shared" si="1"/>
        <v>89.631</v>
      </c>
      <c r="G411" s="84"/>
      <c r="H411" s="85">
        <v>904.46</v>
      </c>
      <c r="I411" s="86">
        <v>0.15</v>
      </c>
      <c r="J411" s="85">
        <f t="shared" si="2"/>
        <v>194.85</v>
      </c>
      <c r="K411" s="85">
        <f t="shared" si="3"/>
        <v>167.9741379</v>
      </c>
      <c r="L411" s="85"/>
      <c r="M411" s="85">
        <f t="shared" si="4"/>
        <v>110.059</v>
      </c>
      <c r="N411" s="86">
        <f t="shared" si="8"/>
        <v>0.1216847622</v>
      </c>
      <c r="O411" s="86"/>
      <c r="P411" s="82"/>
    </row>
    <row r="412">
      <c r="A412" s="89" t="s">
        <v>3499</v>
      </c>
      <c r="B412" s="89" t="s">
        <v>3500</v>
      </c>
      <c r="C412" s="89"/>
      <c r="D412" s="85">
        <v>599.0</v>
      </c>
      <c r="E412" s="86"/>
      <c r="F412" s="84">
        <f t="shared" si="1"/>
        <v>41.331</v>
      </c>
      <c r="G412" s="84"/>
      <c r="H412" s="85">
        <v>326.62</v>
      </c>
      <c r="I412" s="86">
        <v>0.15</v>
      </c>
      <c r="J412" s="85">
        <f t="shared" si="2"/>
        <v>89.85</v>
      </c>
      <c r="K412" s="85">
        <f t="shared" si="3"/>
        <v>77.45689655</v>
      </c>
      <c r="L412" s="85"/>
      <c r="M412" s="85">
        <f t="shared" si="4"/>
        <v>141.199</v>
      </c>
      <c r="N412" s="86">
        <f t="shared" si="8"/>
        <v>0.4323035944</v>
      </c>
      <c r="O412" s="86"/>
      <c r="P412" s="82"/>
    </row>
    <row r="413">
      <c r="A413" s="89" t="s">
        <v>3501</v>
      </c>
      <c r="B413" s="89" t="s">
        <v>3502</v>
      </c>
      <c r="C413" s="89"/>
      <c r="D413" s="82">
        <v>5900.0</v>
      </c>
      <c r="E413" s="86"/>
      <c r="F413" s="84">
        <f t="shared" si="1"/>
        <v>407.1</v>
      </c>
      <c r="G413" s="84"/>
      <c r="H413" s="85">
        <v>4787.11</v>
      </c>
      <c r="I413" s="86">
        <v>0.1</v>
      </c>
      <c r="J413" s="85">
        <f t="shared" si="2"/>
        <v>590</v>
      </c>
      <c r="K413" s="85">
        <f t="shared" si="3"/>
        <v>508.6206897</v>
      </c>
      <c r="L413" s="85"/>
      <c r="M413" s="85">
        <f t="shared" si="4"/>
        <v>115.79</v>
      </c>
      <c r="N413" s="86">
        <f t="shared" si="8"/>
        <v>0.02418787118</v>
      </c>
      <c r="O413" s="86"/>
      <c r="P413" s="82"/>
    </row>
    <row r="414">
      <c r="A414" s="89" t="s">
        <v>3503</v>
      </c>
      <c r="B414" s="89" t="s">
        <v>3504</v>
      </c>
      <c r="C414" s="89"/>
      <c r="D414" s="85">
        <v>2899.0</v>
      </c>
      <c r="E414" s="83"/>
      <c r="F414" s="84">
        <f t="shared" si="1"/>
        <v>200.031</v>
      </c>
      <c r="G414" s="84"/>
      <c r="H414" s="85">
        <v>2120.0</v>
      </c>
      <c r="I414" s="86">
        <v>0.1</v>
      </c>
      <c r="J414" s="85">
        <f t="shared" si="2"/>
        <v>289.9</v>
      </c>
      <c r="K414" s="85">
        <f t="shared" si="3"/>
        <v>249.9137931</v>
      </c>
      <c r="L414" s="82">
        <v>70.88</v>
      </c>
      <c r="M414" s="85">
        <f t="shared" si="4"/>
        <v>218.189</v>
      </c>
      <c r="N414" s="86">
        <f t="shared" si="8"/>
        <v>0.1029193396</v>
      </c>
      <c r="O414" s="86"/>
      <c r="P414" s="82"/>
    </row>
    <row r="415">
      <c r="A415" s="89" t="s">
        <v>3505</v>
      </c>
      <c r="B415" s="89" t="s">
        <v>3506</v>
      </c>
      <c r="C415" s="89"/>
      <c r="D415" s="85">
        <v>4499.0</v>
      </c>
      <c r="E415" s="86"/>
      <c r="F415" s="84">
        <f t="shared" si="1"/>
        <v>310.431</v>
      </c>
      <c r="G415" s="84"/>
      <c r="H415" s="85">
        <v>3335.27</v>
      </c>
      <c r="I415" s="86">
        <v>0.15</v>
      </c>
      <c r="J415" s="85">
        <f t="shared" si="2"/>
        <v>674.85</v>
      </c>
      <c r="K415" s="85">
        <f t="shared" si="3"/>
        <v>581.7672414</v>
      </c>
      <c r="L415" s="85"/>
      <c r="M415" s="85">
        <f t="shared" si="4"/>
        <v>178.449</v>
      </c>
      <c r="N415" s="86">
        <f t="shared" si="8"/>
        <v>0.0535036144</v>
      </c>
      <c r="O415" s="86"/>
      <c r="P415" s="82"/>
    </row>
    <row r="416">
      <c r="A416" s="89" t="s">
        <v>3507</v>
      </c>
      <c r="B416" s="89" t="s">
        <v>3508</v>
      </c>
      <c r="C416" s="89"/>
      <c r="D416" s="82">
        <v>1599.0</v>
      </c>
      <c r="E416" s="83"/>
      <c r="F416" s="84">
        <f t="shared" si="1"/>
        <v>110.331</v>
      </c>
      <c r="G416" s="84"/>
      <c r="H416" s="85">
        <v>880.09</v>
      </c>
      <c r="I416" s="86">
        <v>0.15</v>
      </c>
      <c r="J416" s="85">
        <f t="shared" si="2"/>
        <v>239.85</v>
      </c>
      <c r="K416" s="85">
        <f t="shared" si="3"/>
        <v>206.7672414</v>
      </c>
      <c r="L416" s="82">
        <v>63.21</v>
      </c>
      <c r="M416" s="85">
        <f t="shared" si="4"/>
        <v>305.519</v>
      </c>
      <c r="N416" s="86">
        <f t="shared" si="8"/>
        <v>0.3471451783</v>
      </c>
      <c r="O416" s="86"/>
      <c r="P416" s="82"/>
    </row>
    <row r="417">
      <c r="A417" s="89" t="s">
        <v>3509</v>
      </c>
      <c r="B417" s="89" t="s">
        <v>3510</v>
      </c>
      <c r="C417" s="89"/>
      <c r="D417" s="85">
        <v>5899.0</v>
      </c>
      <c r="E417" s="86"/>
      <c r="F417" s="84">
        <f t="shared" si="1"/>
        <v>407.031</v>
      </c>
      <c r="G417" s="84"/>
      <c r="H417" s="85">
        <v>4780.0</v>
      </c>
      <c r="I417" s="86">
        <v>0.1</v>
      </c>
      <c r="J417" s="85">
        <f t="shared" si="2"/>
        <v>589.9</v>
      </c>
      <c r="K417" s="85">
        <f t="shared" si="3"/>
        <v>508.5344828</v>
      </c>
      <c r="L417" s="85"/>
      <c r="M417" s="85">
        <f t="shared" si="4"/>
        <v>122.069</v>
      </c>
      <c r="N417" s="86">
        <f t="shared" si="8"/>
        <v>0.0255374477</v>
      </c>
      <c r="O417" s="86"/>
      <c r="P417" s="82"/>
    </row>
    <row r="418">
      <c r="A418" s="89" t="s">
        <v>3511</v>
      </c>
      <c r="B418" s="89" t="s">
        <v>3512</v>
      </c>
      <c r="C418" s="89"/>
      <c r="D418" s="82">
        <v>2359.0</v>
      </c>
      <c r="E418" s="83"/>
      <c r="F418" s="84">
        <f t="shared" si="1"/>
        <v>162.771</v>
      </c>
      <c r="G418" s="84"/>
      <c r="H418" s="85">
        <v>1871.36</v>
      </c>
      <c r="I418" s="86">
        <v>0.1</v>
      </c>
      <c r="J418" s="85">
        <f t="shared" si="2"/>
        <v>235.9</v>
      </c>
      <c r="K418" s="85">
        <f t="shared" si="3"/>
        <v>203.362069</v>
      </c>
      <c r="L418" s="82">
        <v>66.0</v>
      </c>
      <c r="M418" s="85">
        <f t="shared" si="4"/>
        <v>22.969</v>
      </c>
      <c r="N418" s="86">
        <f t="shared" si="8"/>
        <v>0.01227396118</v>
      </c>
      <c r="O418" s="86"/>
      <c r="P418" s="82"/>
    </row>
    <row r="419">
      <c r="A419" s="89" t="s">
        <v>3513</v>
      </c>
      <c r="B419" s="89" t="s">
        <v>3514</v>
      </c>
      <c r="C419" s="89"/>
      <c r="D419" s="85">
        <v>18699.0</v>
      </c>
      <c r="E419" s="86"/>
      <c r="F419" s="84">
        <f t="shared" si="1"/>
        <v>1290.231</v>
      </c>
      <c r="G419" s="84"/>
      <c r="H419" s="85">
        <v>14602.55</v>
      </c>
      <c r="I419" s="86">
        <v>0.1</v>
      </c>
      <c r="J419" s="85">
        <f t="shared" si="2"/>
        <v>1869.9</v>
      </c>
      <c r="K419" s="85">
        <f t="shared" si="3"/>
        <v>1611.982759</v>
      </c>
      <c r="L419" s="85"/>
      <c r="M419" s="85">
        <f t="shared" si="4"/>
        <v>936.319</v>
      </c>
      <c r="N419" s="86">
        <f t="shared" si="8"/>
        <v>0.06412023927</v>
      </c>
      <c r="O419" s="86"/>
      <c r="P419" s="82"/>
    </row>
    <row r="420">
      <c r="A420" s="89" t="s">
        <v>3515</v>
      </c>
      <c r="B420" s="89" t="s">
        <v>3516</v>
      </c>
      <c r="C420" s="89"/>
      <c r="D420" s="85">
        <v>529.0</v>
      </c>
      <c r="E420" s="86"/>
      <c r="F420" s="84">
        <f t="shared" si="1"/>
        <v>36.501</v>
      </c>
      <c r="G420" s="84"/>
      <c r="H420" s="85">
        <v>322.4</v>
      </c>
      <c r="I420" s="86">
        <v>0.15</v>
      </c>
      <c r="J420" s="85">
        <f t="shared" si="2"/>
        <v>79.35</v>
      </c>
      <c r="K420" s="85">
        <f t="shared" si="3"/>
        <v>68.40517241</v>
      </c>
      <c r="L420" s="85"/>
      <c r="M420" s="85">
        <f t="shared" si="4"/>
        <v>90.749</v>
      </c>
      <c r="N420" s="86">
        <f t="shared" si="8"/>
        <v>0.2814795285</v>
      </c>
      <c r="O420" s="86"/>
      <c r="P420" s="82"/>
    </row>
    <row r="421">
      <c r="A421" s="89" t="s">
        <v>3517</v>
      </c>
      <c r="B421" s="89" t="s">
        <v>3518</v>
      </c>
      <c r="C421" s="89"/>
      <c r="D421" s="85">
        <v>772.0</v>
      </c>
      <c r="E421" s="86"/>
      <c r="F421" s="84">
        <f t="shared" si="1"/>
        <v>53.268</v>
      </c>
      <c r="G421" s="84"/>
      <c r="H421" s="82">
        <v>508.44</v>
      </c>
      <c r="I421" s="86">
        <v>0.15</v>
      </c>
      <c r="J421" s="85">
        <f t="shared" si="2"/>
        <v>115.8</v>
      </c>
      <c r="K421" s="85">
        <f t="shared" si="3"/>
        <v>99.82758621</v>
      </c>
      <c r="L421" s="85"/>
      <c r="M421" s="85">
        <f t="shared" si="4"/>
        <v>94.492</v>
      </c>
      <c r="N421" s="86">
        <f t="shared" si="8"/>
        <v>0.1858469043</v>
      </c>
      <c r="O421" s="86"/>
      <c r="P421" s="82"/>
    </row>
    <row r="422">
      <c r="A422" s="89" t="s">
        <v>3519</v>
      </c>
      <c r="B422" s="89" t="s">
        <v>3520</v>
      </c>
      <c r="C422" s="89"/>
      <c r="D422" s="85">
        <v>2799.0</v>
      </c>
      <c r="E422" s="86"/>
      <c r="F422" s="84">
        <f t="shared" si="1"/>
        <v>193.131</v>
      </c>
      <c r="G422" s="84"/>
      <c r="H422" s="85">
        <v>2220.0</v>
      </c>
      <c r="I422" s="86">
        <v>0.1</v>
      </c>
      <c r="J422" s="85">
        <f t="shared" si="2"/>
        <v>279.9</v>
      </c>
      <c r="K422" s="85">
        <f t="shared" si="3"/>
        <v>241.2931034</v>
      </c>
      <c r="L422" s="85"/>
      <c r="M422" s="85">
        <f t="shared" si="4"/>
        <v>105.969</v>
      </c>
      <c r="N422" s="86">
        <f t="shared" si="8"/>
        <v>0.04773378378</v>
      </c>
      <c r="O422" s="86"/>
      <c r="P422" s="82"/>
    </row>
    <row r="423">
      <c r="A423" s="89" t="s">
        <v>3521</v>
      </c>
      <c r="B423" s="89" t="s">
        <v>3522</v>
      </c>
      <c r="C423" s="89"/>
      <c r="D423" s="85">
        <v>3959.0</v>
      </c>
      <c r="E423" s="86"/>
      <c r="F423" s="84">
        <f t="shared" si="1"/>
        <v>273.171</v>
      </c>
      <c r="G423" s="84"/>
      <c r="H423" s="85">
        <v>3150.0</v>
      </c>
      <c r="I423" s="86">
        <v>0.1</v>
      </c>
      <c r="J423" s="85">
        <f t="shared" si="2"/>
        <v>395.9</v>
      </c>
      <c r="K423" s="85">
        <f t="shared" si="3"/>
        <v>341.2931034</v>
      </c>
      <c r="L423" s="85"/>
      <c r="M423" s="85">
        <f t="shared" si="4"/>
        <v>139.929</v>
      </c>
      <c r="N423" s="86">
        <f t="shared" si="8"/>
        <v>0.04442190476</v>
      </c>
      <c r="O423" s="86"/>
      <c r="P423" s="82"/>
    </row>
    <row r="424">
      <c r="A424" s="89" t="s">
        <v>3523</v>
      </c>
      <c r="B424" s="89" t="s">
        <v>3524</v>
      </c>
      <c r="C424" s="89"/>
      <c r="D424" s="82">
        <v>7500.0</v>
      </c>
      <c r="E424" s="86"/>
      <c r="F424" s="84">
        <f t="shared" si="1"/>
        <v>517.5</v>
      </c>
      <c r="G424" s="84"/>
      <c r="H424" s="85">
        <v>6192.12</v>
      </c>
      <c r="I424" s="86">
        <v>0.1</v>
      </c>
      <c r="J424" s="85">
        <f t="shared" si="2"/>
        <v>750</v>
      </c>
      <c r="K424" s="85">
        <f t="shared" si="3"/>
        <v>646.5517241</v>
      </c>
      <c r="L424" s="85"/>
      <c r="M424" s="85">
        <f t="shared" si="4"/>
        <v>40.38</v>
      </c>
      <c r="N424" s="86">
        <f t="shared" si="8"/>
        <v>0.00652119145</v>
      </c>
      <c r="O424" s="86"/>
      <c r="P424" s="82"/>
    </row>
    <row r="425">
      <c r="A425" s="89" t="s">
        <v>3525</v>
      </c>
      <c r="B425" s="89" t="s">
        <v>3526</v>
      </c>
      <c r="C425" s="89"/>
      <c r="D425" s="82">
        <v>1747.0</v>
      </c>
      <c r="E425" s="83"/>
      <c r="F425" s="84">
        <f t="shared" si="1"/>
        <v>120.543</v>
      </c>
      <c r="G425" s="84"/>
      <c r="H425" s="85">
        <v>1300.0</v>
      </c>
      <c r="I425" s="86">
        <v>0.15</v>
      </c>
      <c r="J425" s="85">
        <f t="shared" si="2"/>
        <v>262.05</v>
      </c>
      <c r="K425" s="85">
        <f t="shared" si="3"/>
        <v>225.9051724</v>
      </c>
      <c r="L425" s="85"/>
      <c r="M425" s="85">
        <f t="shared" si="4"/>
        <v>64.407</v>
      </c>
      <c r="N425" s="86">
        <f t="shared" si="8"/>
        <v>0.04954384615</v>
      </c>
      <c r="O425" s="86"/>
      <c r="P425" s="82"/>
    </row>
    <row r="426">
      <c r="A426" s="89" t="s">
        <v>3527</v>
      </c>
      <c r="B426" s="89" t="s">
        <v>3528</v>
      </c>
      <c r="C426" s="89"/>
      <c r="D426" s="82">
        <v>1599.0</v>
      </c>
      <c r="E426" s="83"/>
      <c r="F426" s="84">
        <f t="shared" si="1"/>
        <v>110.331</v>
      </c>
      <c r="G426" s="84"/>
      <c r="H426" s="82">
        <v>1000.0</v>
      </c>
      <c r="I426" s="86">
        <v>0.15</v>
      </c>
      <c r="J426" s="85">
        <f t="shared" si="2"/>
        <v>239.85</v>
      </c>
      <c r="K426" s="85">
        <f t="shared" si="3"/>
        <v>206.7672414</v>
      </c>
      <c r="L426" s="82">
        <v>63.2</v>
      </c>
      <c r="M426" s="85">
        <f t="shared" si="4"/>
        <v>185.619</v>
      </c>
      <c r="N426" s="86">
        <f t="shared" si="8"/>
        <v>0.185619</v>
      </c>
      <c r="O426" s="86"/>
      <c r="P426" s="82"/>
    </row>
    <row r="427">
      <c r="A427" s="89" t="s">
        <v>3529</v>
      </c>
      <c r="B427" s="89" t="s">
        <v>3530</v>
      </c>
      <c r="C427" s="89"/>
      <c r="D427" s="85">
        <v>4869.0</v>
      </c>
      <c r="E427" s="86"/>
      <c r="F427" s="84">
        <f t="shared" si="1"/>
        <v>335.961</v>
      </c>
      <c r="G427" s="84"/>
      <c r="H427" s="85">
        <v>3880.0</v>
      </c>
      <c r="I427" s="86">
        <v>0.1</v>
      </c>
      <c r="J427" s="85">
        <f t="shared" si="2"/>
        <v>486.9</v>
      </c>
      <c r="K427" s="85">
        <f t="shared" si="3"/>
        <v>419.7413793</v>
      </c>
      <c r="L427" s="85"/>
      <c r="M427" s="85">
        <f t="shared" si="4"/>
        <v>166.139</v>
      </c>
      <c r="N427" s="86">
        <f t="shared" si="8"/>
        <v>0.0428193299</v>
      </c>
      <c r="O427" s="86"/>
      <c r="P427" s="82"/>
    </row>
    <row r="428">
      <c r="A428" s="89" t="s">
        <v>3531</v>
      </c>
      <c r="B428" s="89" t="s">
        <v>3532</v>
      </c>
      <c r="C428" s="89"/>
      <c r="D428" s="85">
        <v>5999.0</v>
      </c>
      <c r="E428" s="86"/>
      <c r="F428" s="84">
        <f t="shared" si="1"/>
        <v>413.931</v>
      </c>
      <c r="G428" s="84"/>
      <c r="H428" s="85">
        <v>4880.0</v>
      </c>
      <c r="I428" s="86">
        <v>0.1</v>
      </c>
      <c r="J428" s="85">
        <f t="shared" si="2"/>
        <v>599.9</v>
      </c>
      <c r="K428" s="85">
        <f t="shared" si="3"/>
        <v>517.1551724</v>
      </c>
      <c r="L428" s="85"/>
      <c r="M428" s="85">
        <f t="shared" si="4"/>
        <v>105.169</v>
      </c>
      <c r="N428" s="86">
        <f t="shared" si="8"/>
        <v>0.02155102459</v>
      </c>
      <c r="O428" s="86"/>
      <c r="P428" s="82"/>
    </row>
    <row r="429">
      <c r="A429" s="89" t="s">
        <v>3533</v>
      </c>
      <c r="B429" s="89" t="s">
        <v>3534</v>
      </c>
      <c r="C429" s="89"/>
      <c r="D429" s="85">
        <v>7199.0</v>
      </c>
      <c r="E429" s="86"/>
      <c r="F429" s="84">
        <f t="shared" si="1"/>
        <v>496.731</v>
      </c>
      <c r="G429" s="84"/>
      <c r="H429" s="85">
        <v>5750.0</v>
      </c>
      <c r="I429" s="86">
        <v>0.1</v>
      </c>
      <c r="J429" s="85">
        <f t="shared" si="2"/>
        <v>719.9</v>
      </c>
      <c r="K429" s="85">
        <f t="shared" si="3"/>
        <v>620.6034483</v>
      </c>
      <c r="L429" s="82">
        <v>89.0</v>
      </c>
      <c r="M429" s="85">
        <f t="shared" si="4"/>
        <v>143.369</v>
      </c>
      <c r="N429" s="86">
        <f t="shared" si="8"/>
        <v>0.02493373913</v>
      </c>
      <c r="O429" s="86"/>
      <c r="P429" s="82"/>
    </row>
    <row r="430">
      <c r="A430" s="89" t="s">
        <v>1168</v>
      </c>
      <c r="B430" s="89" t="s">
        <v>3535</v>
      </c>
      <c r="C430" s="89"/>
      <c r="D430" s="82">
        <v>549.0</v>
      </c>
      <c r="E430" s="83"/>
      <c r="F430" s="84">
        <f t="shared" si="1"/>
        <v>37.881</v>
      </c>
      <c r="G430" s="84"/>
      <c r="H430" s="82">
        <v>369.0</v>
      </c>
      <c r="I430" s="86">
        <v>0.15</v>
      </c>
      <c r="J430" s="85">
        <f t="shared" si="2"/>
        <v>82.35</v>
      </c>
      <c r="K430" s="85">
        <f t="shared" si="3"/>
        <v>70.99137931</v>
      </c>
      <c r="L430" s="82">
        <v>61.79</v>
      </c>
      <c r="M430" s="85">
        <f t="shared" si="4"/>
        <v>-2.021</v>
      </c>
      <c r="N430" s="86">
        <f t="shared" si="8"/>
        <v>-0.00547696477</v>
      </c>
      <c r="O430" s="86"/>
      <c r="P430" s="82"/>
    </row>
    <row r="431">
      <c r="A431" s="89"/>
      <c r="B431" s="89" t="s">
        <v>3536</v>
      </c>
      <c r="C431" s="89"/>
      <c r="D431" s="85">
        <v>5999.0</v>
      </c>
      <c r="E431" s="86"/>
      <c r="F431" s="84">
        <f t="shared" si="1"/>
        <v>413.931</v>
      </c>
      <c r="G431" s="84"/>
      <c r="H431" s="85">
        <v>4880.0</v>
      </c>
      <c r="I431" s="86">
        <v>0.1</v>
      </c>
      <c r="J431" s="85">
        <f t="shared" si="2"/>
        <v>599.9</v>
      </c>
      <c r="K431" s="85">
        <f t="shared" si="3"/>
        <v>517.1551724</v>
      </c>
      <c r="L431" s="85"/>
      <c r="M431" s="85">
        <f t="shared" si="4"/>
        <v>105.169</v>
      </c>
      <c r="N431" s="86">
        <f t="shared" si="8"/>
        <v>0.02155102459</v>
      </c>
      <c r="O431" s="86"/>
      <c r="P431" s="82"/>
    </row>
    <row r="432">
      <c r="A432" s="89" t="s">
        <v>3537</v>
      </c>
      <c r="B432" s="89" t="s">
        <v>3538</v>
      </c>
      <c r="C432" s="89"/>
      <c r="D432" s="82">
        <v>395.0</v>
      </c>
      <c r="E432" s="83"/>
      <c r="F432" s="84">
        <f t="shared" si="1"/>
        <v>27.255</v>
      </c>
      <c r="G432" s="84"/>
      <c r="H432" s="85">
        <v>218.46</v>
      </c>
      <c r="I432" s="86">
        <v>0.15</v>
      </c>
      <c r="J432" s="85">
        <f t="shared" si="2"/>
        <v>59.25</v>
      </c>
      <c r="K432" s="85">
        <f t="shared" si="3"/>
        <v>51.07758621</v>
      </c>
      <c r="L432" s="82">
        <v>61.79</v>
      </c>
      <c r="M432" s="85">
        <f t="shared" si="4"/>
        <v>28.245</v>
      </c>
      <c r="N432" s="86">
        <f t="shared" si="8"/>
        <v>0.1292914035</v>
      </c>
      <c r="O432" s="86"/>
      <c r="P432" s="82"/>
    </row>
    <row r="433">
      <c r="A433" s="89" t="s">
        <v>3539</v>
      </c>
      <c r="B433" s="89" t="s">
        <v>3540</v>
      </c>
      <c r="C433" s="89"/>
      <c r="D433" s="82">
        <v>4479.0</v>
      </c>
      <c r="E433" s="83"/>
      <c r="F433" s="84">
        <f t="shared" si="1"/>
        <v>309.051</v>
      </c>
      <c r="G433" s="84"/>
      <c r="H433" s="85">
        <v>3911.46</v>
      </c>
      <c r="I433" s="86">
        <v>0.1</v>
      </c>
      <c r="J433" s="85">
        <f t="shared" si="2"/>
        <v>447.9</v>
      </c>
      <c r="K433" s="85">
        <f t="shared" si="3"/>
        <v>386.1206897</v>
      </c>
      <c r="L433" s="82">
        <v>67.4</v>
      </c>
      <c r="M433" s="85">
        <f t="shared" si="4"/>
        <v>-256.811</v>
      </c>
      <c r="N433" s="86">
        <f t="shared" si="8"/>
        <v>-0.06565604659</v>
      </c>
      <c r="O433" s="86"/>
      <c r="P433" s="82"/>
    </row>
    <row r="434">
      <c r="A434" s="89" t="s">
        <v>3541</v>
      </c>
      <c r="B434" s="89" t="s">
        <v>3542</v>
      </c>
      <c r="C434" s="89"/>
      <c r="D434" s="85">
        <v>6999.0</v>
      </c>
      <c r="E434" s="86"/>
      <c r="F434" s="84">
        <f t="shared" si="1"/>
        <v>482.931</v>
      </c>
      <c r="G434" s="84"/>
      <c r="H434" s="85">
        <v>5730.01</v>
      </c>
      <c r="I434" s="86">
        <v>0.1</v>
      </c>
      <c r="J434" s="85">
        <f t="shared" si="2"/>
        <v>699.9</v>
      </c>
      <c r="K434" s="85">
        <f t="shared" si="3"/>
        <v>603.362069</v>
      </c>
      <c r="L434" s="85"/>
      <c r="M434" s="85">
        <f t="shared" si="4"/>
        <v>86.159</v>
      </c>
      <c r="N434" s="86">
        <f t="shared" si="8"/>
        <v>0.01503644845</v>
      </c>
      <c r="O434" s="86"/>
      <c r="P434" s="82"/>
    </row>
    <row r="435">
      <c r="A435" s="89" t="s">
        <v>3543</v>
      </c>
      <c r="B435" s="89" t="s">
        <v>3544</v>
      </c>
      <c r="C435" s="89"/>
      <c r="D435" s="85">
        <v>1599.0</v>
      </c>
      <c r="E435" s="83"/>
      <c r="F435" s="84">
        <f t="shared" si="1"/>
        <v>110.331</v>
      </c>
      <c r="G435" s="84"/>
      <c r="H435" s="85">
        <v>1057.4</v>
      </c>
      <c r="I435" s="86">
        <v>0.15</v>
      </c>
      <c r="J435" s="85">
        <f t="shared" si="2"/>
        <v>239.85</v>
      </c>
      <c r="K435" s="85">
        <f t="shared" si="3"/>
        <v>206.7672414</v>
      </c>
      <c r="L435" s="85"/>
      <c r="M435" s="85">
        <f t="shared" si="4"/>
        <v>191.419</v>
      </c>
      <c r="N435" s="86">
        <f t="shared" si="8"/>
        <v>0.1810279932</v>
      </c>
      <c r="O435" s="86"/>
      <c r="P435" s="82"/>
    </row>
    <row r="436">
      <c r="A436" s="89" t="s">
        <v>3545</v>
      </c>
      <c r="B436" s="89" t="s">
        <v>3546</v>
      </c>
      <c r="C436" s="89"/>
      <c r="D436" s="82">
        <v>639.0</v>
      </c>
      <c r="E436" s="83"/>
      <c r="F436" s="84">
        <f t="shared" si="1"/>
        <v>44.091</v>
      </c>
      <c r="G436" s="84"/>
      <c r="H436" s="82">
        <v>488.0</v>
      </c>
      <c r="I436" s="86">
        <v>0.15</v>
      </c>
      <c r="J436" s="85">
        <f t="shared" si="2"/>
        <v>95.85</v>
      </c>
      <c r="K436" s="85">
        <f t="shared" si="3"/>
        <v>82.62931034</v>
      </c>
      <c r="L436" s="82">
        <v>61.79</v>
      </c>
      <c r="M436" s="85">
        <f t="shared" si="4"/>
        <v>-50.731</v>
      </c>
      <c r="N436" s="86">
        <f t="shared" si="8"/>
        <v>-0.1039569672</v>
      </c>
      <c r="O436" s="86"/>
      <c r="P436" s="82"/>
    </row>
    <row r="437">
      <c r="A437" s="89" t="s">
        <v>3547</v>
      </c>
      <c r="B437" s="89" t="s">
        <v>3548</v>
      </c>
      <c r="C437" s="89"/>
      <c r="D437" s="85">
        <v>689.0</v>
      </c>
      <c r="E437" s="86"/>
      <c r="F437" s="84">
        <f t="shared" si="1"/>
        <v>47.541</v>
      </c>
      <c r="G437" s="84"/>
      <c r="H437" s="85">
        <v>460.28</v>
      </c>
      <c r="I437" s="86">
        <v>0.15</v>
      </c>
      <c r="J437" s="85">
        <f t="shared" si="2"/>
        <v>103.35</v>
      </c>
      <c r="K437" s="85">
        <f t="shared" si="3"/>
        <v>89.09482759</v>
      </c>
      <c r="L437" s="85"/>
      <c r="M437" s="85">
        <f t="shared" si="4"/>
        <v>77.829</v>
      </c>
      <c r="N437" s="86">
        <f t="shared" si="8"/>
        <v>0.1690905536</v>
      </c>
      <c r="O437" s="86"/>
      <c r="P437" s="82"/>
    </row>
    <row r="438">
      <c r="A438" s="89" t="s">
        <v>3549</v>
      </c>
      <c r="B438" s="89" t="s">
        <v>3550</v>
      </c>
      <c r="C438" s="89"/>
      <c r="D438" s="82">
        <v>699.0</v>
      </c>
      <c r="E438" s="83"/>
      <c r="F438" s="84">
        <f t="shared" si="1"/>
        <v>48.231</v>
      </c>
      <c r="G438" s="84"/>
      <c r="H438" s="85">
        <v>460.28</v>
      </c>
      <c r="I438" s="86">
        <v>0.15</v>
      </c>
      <c r="J438" s="85">
        <f t="shared" si="2"/>
        <v>104.85</v>
      </c>
      <c r="K438" s="85">
        <f t="shared" si="3"/>
        <v>90.38793103</v>
      </c>
      <c r="L438" s="82">
        <v>61.79</v>
      </c>
      <c r="M438" s="85">
        <f t="shared" si="4"/>
        <v>23.849</v>
      </c>
      <c r="N438" s="86">
        <f t="shared" si="8"/>
        <v>0.05181411315</v>
      </c>
      <c r="O438" s="86"/>
      <c r="P438" s="82"/>
    </row>
    <row r="439">
      <c r="A439" s="89" t="s">
        <v>3551</v>
      </c>
      <c r="B439" s="89" t="s">
        <v>3552</v>
      </c>
      <c r="C439" s="89"/>
      <c r="D439" s="85">
        <v>7399.0</v>
      </c>
      <c r="E439" s="86"/>
      <c r="F439" s="84">
        <f t="shared" si="1"/>
        <v>510.531</v>
      </c>
      <c r="G439" s="84"/>
      <c r="H439" s="85">
        <v>5940.0</v>
      </c>
      <c r="I439" s="86">
        <v>0.1</v>
      </c>
      <c r="J439" s="85">
        <f t="shared" si="2"/>
        <v>739.9</v>
      </c>
      <c r="K439" s="85">
        <f t="shared" si="3"/>
        <v>637.8448276</v>
      </c>
      <c r="L439" s="85"/>
      <c r="M439" s="85">
        <f t="shared" si="4"/>
        <v>208.569</v>
      </c>
      <c r="N439" s="86">
        <f t="shared" si="8"/>
        <v>0.03511262626</v>
      </c>
      <c r="O439" s="86"/>
      <c r="P439" s="82"/>
    </row>
    <row r="440">
      <c r="A440" s="89" t="s">
        <v>3553</v>
      </c>
      <c r="B440" s="89" t="s">
        <v>3554</v>
      </c>
      <c r="C440" s="89"/>
      <c r="D440" s="85">
        <v>3999.0</v>
      </c>
      <c r="E440" s="86"/>
      <c r="F440" s="84">
        <f t="shared" si="1"/>
        <v>275.931</v>
      </c>
      <c r="G440" s="84"/>
      <c r="H440" s="85">
        <v>3150.0</v>
      </c>
      <c r="I440" s="86">
        <v>0.1</v>
      </c>
      <c r="J440" s="85">
        <f t="shared" si="2"/>
        <v>399.9</v>
      </c>
      <c r="K440" s="85">
        <f t="shared" si="3"/>
        <v>344.7413793</v>
      </c>
      <c r="L440" s="85"/>
      <c r="M440" s="85">
        <f t="shared" si="4"/>
        <v>173.169</v>
      </c>
      <c r="N440" s="86">
        <f t="shared" si="8"/>
        <v>0.05497428571</v>
      </c>
      <c r="O440" s="86"/>
      <c r="P440" s="82"/>
    </row>
    <row r="441">
      <c r="A441" s="89" t="s">
        <v>3555</v>
      </c>
      <c r="B441" s="89" t="s">
        <v>3556</v>
      </c>
      <c r="C441" s="89"/>
      <c r="D441" s="82">
        <v>1299.0</v>
      </c>
      <c r="E441" s="86"/>
      <c r="F441" s="84">
        <f t="shared" si="1"/>
        <v>89.631</v>
      </c>
      <c r="G441" s="84"/>
      <c r="H441" s="85">
        <v>813.75</v>
      </c>
      <c r="I441" s="86">
        <v>0.15</v>
      </c>
      <c r="J441" s="85">
        <f t="shared" si="2"/>
        <v>194.85</v>
      </c>
      <c r="K441" s="85">
        <f t="shared" si="3"/>
        <v>167.9741379</v>
      </c>
      <c r="L441" s="82">
        <v>72.0</v>
      </c>
      <c r="M441" s="85">
        <f t="shared" si="4"/>
        <v>128.769</v>
      </c>
      <c r="N441" s="86">
        <f t="shared" si="8"/>
        <v>0.1582414747</v>
      </c>
      <c r="O441" s="86"/>
      <c r="P441" s="82"/>
    </row>
    <row r="442">
      <c r="A442" s="89" t="s">
        <v>3557</v>
      </c>
      <c r="B442" s="89" t="s">
        <v>3558</v>
      </c>
      <c r="C442" s="89"/>
      <c r="D442" s="85">
        <v>17199.0</v>
      </c>
      <c r="E442" s="83"/>
      <c r="F442" s="84">
        <f t="shared" si="1"/>
        <v>1186.731</v>
      </c>
      <c r="G442" s="84"/>
      <c r="H442" s="85">
        <v>12787.21</v>
      </c>
      <c r="I442" s="86">
        <v>0.15</v>
      </c>
      <c r="J442" s="85">
        <f t="shared" si="2"/>
        <v>2579.85</v>
      </c>
      <c r="K442" s="85">
        <f t="shared" si="3"/>
        <v>2224.008621</v>
      </c>
      <c r="L442" s="82">
        <v>72.89</v>
      </c>
      <c r="M442" s="85">
        <f t="shared" si="4"/>
        <v>572.319</v>
      </c>
      <c r="N442" s="86">
        <f t="shared" si="8"/>
        <v>0.04475714405</v>
      </c>
      <c r="O442" s="86"/>
      <c r="P442" s="82"/>
    </row>
    <row r="443">
      <c r="A443" s="89" t="s">
        <v>3559</v>
      </c>
      <c r="B443" s="89" t="s">
        <v>3560</v>
      </c>
      <c r="C443" s="89"/>
      <c r="D443" s="82">
        <v>16999.0</v>
      </c>
      <c r="E443" s="86"/>
      <c r="F443" s="84">
        <f t="shared" si="1"/>
        <v>1172.931</v>
      </c>
      <c r="G443" s="84"/>
      <c r="H443" s="85">
        <v>13528.56</v>
      </c>
      <c r="I443" s="86">
        <v>0.15</v>
      </c>
      <c r="J443" s="85">
        <f t="shared" si="2"/>
        <v>2549.85</v>
      </c>
      <c r="K443" s="85">
        <f t="shared" si="3"/>
        <v>2198.146552</v>
      </c>
      <c r="L443" s="82">
        <v>71.0</v>
      </c>
      <c r="M443" s="85">
        <f t="shared" si="4"/>
        <v>-323.341</v>
      </c>
      <c r="N443" s="86">
        <f t="shared" si="8"/>
        <v>-0.02390062209</v>
      </c>
      <c r="O443" s="86"/>
      <c r="P443" s="82"/>
    </row>
    <row r="444">
      <c r="A444" s="89" t="s">
        <v>3561</v>
      </c>
      <c r="B444" s="89" t="s">
        <v>3562</v>
      </c>
      <c r="C444" s="89"/>
      <c r="D444" s="85">
        <v>3999.0</v>
      </c>
      <c r="E444" s="86"/>
      <c r="F444" s="84">
        <f t="shared" si="1"/>
        <v>275.931</v>
      </c>
      <c r="G444" s="84"/>
      <c r="H444" s="85">
        <v>3057.74</v>
      </c>
      <c r="I444" s="86">
        <v>0.15</v>
      </c>
      <c r="J444" s="85">
        <f t="shared" si="2"/>
        <v>599.85</v>
      </c>
      <c r="K444" s="85">
        <f t="shared" si="3"/>
        <v>517.112069</v>
      </c>
      <c r="L444" s="85"/>
      <c r="M444" s="85">
        <f t="shared" si="4"/>
        <v>65.479</v>
      </c>
      <c r="N444" s="86">
        <f t="shared" si="8"/>
        <v>0.02141418172</v>
      </c>
      <c r="O444" s="86"/>
      <c r="P444" s="82"/>
    </row>
    <row r="445">
      <c r="A445" s="89"/>
      <c r="B445" s="89" t="s">
        <v>3563</v>
      </c>
      <c r="C445" s="89"/>
      <c r="D445" s="85">
        <v>15999.0</v>
      </c>
      <c r="E445" s="86"/>
      <c r="F445" s="84">
        <f t="shared" si="1"/>
        <v>1103.931</v>
      </c>
      <c r="G445" s="84"/>
      <c r="H445" s="85">
        <v>11675.29</v>
      </c>
      <c r="I445" s="86">
        <v>0.15</v>
      </c>
      <c r="J445" s="85">
        <f t="shared" si="2"/>
        <v>2399.85</v>
      </c>
      <c r="K445" s="85">
        <f t="shared" si="3"/>
        <v>2068.836207</v>
      </c>
      <c r="L445" s="85"/>
      <c r="M445" s="85">
        <f t="shared" si="4"/>
        <v>819.929</v>
      </c>
      <c r="N445" s="86">
        <f t="shared" si="8"/>
        <v>0.07022772025</v>
      </c>
      <c r="O445" s="86"/>
      <c r="P445" s="82"/>
    </row>
    <row r="446">
      <c r="A446" s="89" t="s">
        <v>3564</v>
      </c>
      <c r="B446" s="89" t="s">
        <v>3565</v>
      </c>
      <c r="C446" s="89"/>
      <c r="D446" s="85">
        <v>1169.0</v>
      </c>
      <c r="E446" s="86"/>
      <c r="F446" s="84">
        <f t="shared" si="1"/>
        <v>80.661</v>
      </c>
      <c r="G446" s="84"/>
      <c r="H446" s="85">
        <v>827.35</v>
      </c>
      <c r="I446" s="86">
        <v>0.15</v>
      </c>
      <c r="J446" s="85">
        <f t="shared" si="2"/>
        <v>175.35</v>
      </c>
      <c r="K446" s="85">
        <f t="shared" si="3"/>
        <v>151.1637931</v>
      </c>
      <c r="L446" s="85"/>
      <c r="M446" s="85">
        <f t="shared" si="4"/>
        <v>85.639</v>
      </c>
      <c r="N446" s="86">
        <f t="shared" si="8"/>
        <v>0.1035100018</v>
      </c>
      <c r="O446" s="86"/>
      <c r="P446" s="82"/>
    </row>
    <row r="447">
      <c r="A447" s="89" t="s">
        <v>3566</v>
      </c>
      <c r="B447" s="89" t="s">
        <v>3567</v>
      </c>
      <c r="C447" s="89"/>
      <c r="D447" s="85">
        <v>1699.0</v>
      </c>
      <c r="E447" s="86"/>
      <c r="F447" s="84">
        <f t="shared" si="1"/>
        <v>117.231</v>
      </c>
      <c r="G447" s="84"/>
      <c r="H447" s="85">
        <v>1220.05</v>
      </c>
      <c r="I447" s="86">
        <v>0.15</v>
      </c>
      <c r="J447" s="85">
        <f t="shared" si="2"/>
        <v>254.85</v>
      </c>
      <c r="K447" s="85">
        <f t="shared" si="3"/>
        <v>219.6982759</v>
      </c>
      <c r="L447" s="85"/>
      <c r="M447" s="85">
        <f t="shared" si="4"/>
        <v>106.869</v>
      </c>
      <c r="N447" s="86">
        <f t="shared" si="8"/>
        <v>0.08759395107</v>
      </c>
      <c r="O447" s="86"/>
      <c r="P447" s="82"/>
    </row>
    <row r="448">
      <c r="A448" s="89" t="s">
        <v>3568</v>
      </c>
      <c r="B448" s="89" t="s">
        <v>3569</v>
      </c>
      <c r="C448" s="89"/>
      <c r="D448" s="82">
        <v>4399.0</v>
      </c>
      <c r="E448" s="83"/>
      <c r="F448" s="84">
        <f t="shared" si="1"/>
        <v>303.531</v>
      </c>
      <c r="G448" s="84"/>
      <c r="H448" s="85">
        <v>3150.0</v>
      </c>
      <c r="I448" s="91">
        <v>0.1</v>
      </c>
      <c r="J448" s="85">
        <f t="shared" si="2"/>
        <v>439.9</v>
      </c>
      <c r="K448" s="85">
        <f t="shared" si="3"/>
        <v>379.2241379</v>
      </c>
      <c r="L448" s="82">
        <v>67.45</v>
      </c>
      <c r="M448" s="85">
        <f t="shared" si="4"/>
        <v>438.119</v>
      </c>
      <c r="N448" s="86">
        <f t="shared" si="8"/>
        <v>0.1390853968</v>
      </c>
      <c r="O448" s="86"/>
      <c r="P448" s="82"/>
    </row>
    <row r="449">
      <c r="A449" s="89" t="s">
        <v>3570</v>
      </c>
      <c r="B449" s="89" t="s">
        <v>3571</v>
      </c>
      <c r="C449" s="89"/>
      <c r="D449" s="82">
        <v>1200.0</v>
      </c>
      <c r="E449" s="83"/>
      <c r="F449" s="84">
        <f t="shared" si="1"/>
        <v>82.8</v>
      </c>
      <c r="G449" s="84"/>
      <c r="H449" s="85">
        <v>915.73</v>
      </c>
      <c r="I449" s="86">
        <v>0.15</v>
      </c>
      <c r="J449" s="85">
        <f t="shared" si="2"/>
        <v>180</v>
      </c>
      <c r="K449" s="85">
        <f t="shared" si="3"/>
        <v>155.1724138</v>
      </c>
      <c r="L449" s="82">
        <v>61.79</v>
      </c>
      <c r="M449" s="85">
        <f t="shared" si="4"/>
        <v>-40.32</v>
      </c>
      <c r="N449" s="86">
        <f t="shared" si="8"/>
        <v>-0.04403044566</v>
      </c>
      <c r="O449" s="86"/>
      <c r="P449" s="82"/>
    </row>
    <row r="450">
      <c r="A450" s="89" t="s">
        <v>3572</v>
      </c>
      <c r="B450" s="89" t="s">
        <v>3573</v>
      </c>
      <c r="C450" s="89"/>
      <c r="D450" s="85">
        <v>2799.0</v>
      </c>
      <c r="E450" s="86"/>
      <c r="F450" s="84">
        <f t="shared" si="1"/>
        <v>193.131</v>
      </c>
      <c r="G450" s="84"/>
      <c r="H450" s="85">
        <v>2104.41</v>
      </c>
      <c r="I450" s="86">
        <v>0.1</v>
      </c>
      <c r="J450" s="85">
        <f t="shared" si="2"/>
        <v>279.9</v>
      </c>
      <c r="K450" s="85">
        <f t="shared" si="3"/>
        <v>241.2931034</v>
      </c>
      <c r="L450" s="85"/>
      <c r="M450" s="85">
        <f t="shared" si="4"/>
        <v>221.559</v>
      </c>
      <c r="N450" s="86">
        <f t="shared" si="8"/>
        <v>0.105283191</v>
      </c>
      <c r="O450" s="86"/>
      <c r="P450" s="82"/>
    </row>
    <row r="451">
      <c r="A451" s="89" t="s">
        <v>3574</v>
      </c>
      <c r="B451" s="89" t="s">
        <v>3575</v>
      </c>
      <c r="C451" s="89"/>
      <c r="D451" s="85">
        <v>1899.0</v>
      </c>
      <c r="E451" s="86"/>
      <c r="F451" s="84">
        <f t="shared" si="1"/>
        <v>131.031</v>
      </c>
      <c r="G451" s="84"/>
      <c r="H451" s="85">
        <v>1407.0</v>
      </c>
      <c r="I451" s="86">
        <v>0.1</v>
      </c>
      <c r="J451" s="85">
        <f t="shared" si="2"/>
        <v>189.9</v>
      </c>
      <c r="K451" s="85">
        <f t="shared" si="3"/>
        <v>163.7068966</v>
      </c>
      <c r="L451" s="85"/>
      <c r="M451" s="85">
        <f t="shared" si="4"/>
        <v>171.069</v>
      </c>
      <c r="N451" s="86">
        <f t="shared" si="8"/>
        <v>0.1215842217</v>
      </c>
      <c r="O451" s="86"/>
      <c r="P451" s="82"/>
    </row>
    <row r="452">
      <c r="A452" s="89" t="s">
        <v>3576</v>
      </c>
      <c r="B452" s="89" t="s">
        <v>3577</v>
      </c>
      <c r="C452" s="89"/>
      <c r="D452" s="82">
        <v>3300.0</v>
      </c>
      <c r="E452" s="83"/>
      <c r="F452" s="84">
        <f t="shared" si="1"/>
        <v>227.7</v>
      </c>
      <c r="G452" s="84"/>
      <c r="H452" s="85">
        <v>2935.52</v>
      </c>
      <c r="I452" s="86">
        <v>0.1</v>
      </c>
      <c r="J452" s="85">
        <f t="shared" si="2"/>
        <v>330</v>
      </c>
      <c r="K452" s="85">
        <f t="shared" si="3"/>
        <v>284.4827586</v>
      </c>
      <c r="L452" s="82">
        <v>67.45</v>
      </c>
      <c r="M452" s="85">
        <f t="shared" si="4"/>
        <v>-260.67</v>
      </c>
      <c r="N452" s="86">
        <f t="shared" si="8"/>
        <v>-0.08879857742</v>
      </c>
      <c r="O452" s="86"/>
      <c r="P452" s="82"/>
    </row>
    <row r="453">
      <c r="A453" s="89" t="s">
        <v>3578</v>
      </c>
      <c r="B453" s="89" t="s">
        <v>3579</v>
      </c>
      <c r="C453" s="89"/>
      <c r="D453" s="82">
        <v>599.0</v>
      </c>
      <c r="E453" s="83"/>
      <c r="F453" s="84">
        <f t="shared" si="1"/>
        <v>41.331</v>
      </c>
      <c r="G453" s="84"/>
      <c r="H453" s="82">
        <v>495.19</v>
      </c>
      <c r="I453" s="91">
        <v>0.15</v>
      </c>
      <c r="J453" s="85">
        <f t="shared" si="2"/>
        <v>89.85</v>
      </c>
      <c r="K453" s="85">
        <f t="shared" si="3"/>
        <v>77.45689655</v>
      </c>
      <c r="L453" s="82">
        <v>61.79</v>
      </c>
      <c r="M453" s="85">
        <f t="shared" si="4"/>
        <v>-89.161</v>
      </c>
      <c r="N453" s="86">
        <f t="shared" si="8"/>
        <v>-0.1800541206</v>
      </c>
      <c r="O453" s="86"/>
      <c r="P453" s="82"/>
    </row>
    <row r="454">
      <c r="A454" s="97" t="s">
        <v>3580</v>
      </c>
      <c r="B454" s="89" t="s">
        <v>3581</v>
      </c>
      <c r="C454" s="89"/>
      <c r="D454" s="85">
        <v>6999.0</v>
      </c>
      <c r="E454" s="86"/>
      <c r="F454" s="84">
        <f t="shared" si="1"/>
        <v>482.931</v>
      </c>
      <c r="G454" s="84"/>
      <c r="H454" s="85">
        <v>5711.13</v>
      </c>
      <c r="I454" s="86">
        <v>0.1</v>
      </c>
      <c r="J454" s="85">
        <f t="shared" si="2"/>
        <v>699.9</v>
      </c>
      <c r="K454" s="85">
        <f t="shared" si="3"/>
        <v>603.362069</v>
      </c>
      <c r="L454" s="85"/>
      <c r="M454" s="85">
        <f t="shared" si="4"/>
        <v>105.039</v>
      </c>
      <c r="N454" s="86">
        <f t="shared" si="8"/>
        <v>0.01839198197</v>
      </c>
      <c r="O454" s="86"/>
      <c r="P454" s="82"/>
    </row>
    <row r="455">
      <c r="A455" s="97" t="s">
        <v>3582</v>
      </c>
      <c r="B455" s="89" t="s">
        <v>3583</v>
      </c>
      <c r="C455" s="89"/>
      <c r="D455" s="85">
        <v>6880.0</v>
      </c>
      <c r="E455" s="86"/>
      <c r="F455" s="84">
        <f t="shared" si="1"/>
        <v>474.72</v>
      </c>
      <c r="G455" s="84"/>
      <c r="H455" s="85">
        <v>5711.13</v>
      </c>
      <c r="I455" s="86">
        <v>0.1</v>
      </c>
      <c r="J455" s="85">
        <f t="shared" si="2"/>
        <v>688</v>
      </c>
      <c r="K455" s="85">
        <f t="shared" si="3"/>
        <v>593.1034483</v>
      </c>
      <c r="L455" s="85"/>
      <c r="M455" s="85">
        <f t="shared" si="4"/>
        <v>6.15</v>
      </c>
      <c r="N455" s="86">
        <f t="shared" si="8"/>
        <v>0.001076844687</v>
      </c>
      <c r="O455" s="86"/>
      <c r="P455" s="82"/>
    </row>
    <row r="456">
      <c r="A456" s="89" t="s">
        <v>3584</v>
      </c>
      <c r="B456" s="89" t="s">
        <v>3585</v>
      </c>
      <c r="C456" s="89"/>
      <c r="D456" s="87"/>
      <c r="E456" s="86"/>
      <c r="F456" s="84">
        <f t="shared" si="1"/>
        <v>0</v>
      </c>
      <c r="G456" s="84"/>
      <c r="H456" s="98">
        <v>2472.32</v>
      </c>
      <c r="I456" s="86">
        <v>0.1</v>
      </c>
      <c r="J456" s="85">
        <f t="shared" si="2"/>
        <v>0</v>
      </c>
      <c r="K456" s="85">
        <f t="shared" si="3"/>
        <v>0</v>
      </c>
      <c r="L456" s="85"/>
      <c r="M456" s="85">
        <f t="shared" si="4"/>
        <v>-2472.32</v>
      </c>
      <c r="N456" s="86">
        <f t="shared" si="8"/>
        <v>-1</v>
      </c>
      <c r="O456" s="86"/>
      <c r="P456" s="82"/>
    </row>
    <row r="457">
      <c r="A457" s="89" t="s">
        <v>3586</v>
      </c>
      <c r="B457" s="89" t="s">
        <v>3587</v>
      </c>
      <c r="C457" s="89"/>
      <c r="D457" s="82">
        <v>2899.0</v>
      </c>
      <c r="E457" s="86"/>
      <c r="F457" s="84">
        <f t="shared" si="1"/>
        <v>200.031</v>
      </c>
      <c r="G457" s="84"/>
      <c r="H457" s="98">
        <v>2157.87</v>
      </c>
      <c r="I457" s="86">
        <v>0.15</v>
      </c>
      <c r="J457" s="85">
        <f t="shared" si="2"/>
        <v>434.85</v>
      </c>
      <c r="K457" s="85">
        <f t="shared" si="3"/>
        <v>374.8706897</v>
      </c>
      <c r="L457" s="85"/>
      <c r="M457" s="85">
        <f t="shared" si="4"/>
        <v>106.249</v>
      </c>
      <c r="N457" s="86">
        <f t="shared" si="8"/>
        <v>0.0492379059</v>
      </c>
      <c r="O457" s="86"/>
      <c r="P457" s="82"/>
    </row>
    <row r="458">
      <c r="A458" s="89" t="s">
        <v>3588</v>
      </c>
      <c r="B458" s="89" t="s">
        <v>3589</v>
      </c>
      <c r="C458" s="89"/>
      <c r="D458" s="84">
        <v>7800.0</v>
      </c>
      <c r="E458" s="83"/>
      <c r="F458" s="84">
        <f t="shared" si="1"/>
        <v>538.2</v>
      </c>
      <c r="G458" s="84"/>
      <c r="H458" s="85">
        <v>6900.0</v>
      </c>
      <c r="I458" s="86">
        <v>0.1</v>
      </c>
      <c r="J458" s="85">
        <f t="shared" si="2"/>
        <v>780</v>
      </c>
      <c r="K458" s="85">
        <f t="shared" si="3"/>
        <v>672.4137931</v>
      </c>
      <c r="L458" s="82">
        <v>69.87</v>
      </c>
      <c r="M458" s="85">
        <f t="shared" si="4"/>
        <v>-488.07</v>
      </c>
      <c r="N458" s="86">
        <f t="shared" si="8"/>
        <v>-0.07073478261</v>
      </c>
      <c r="O458" s="86"/>
      <c r="P458" s="82"/>
    </row>
    <row r="459">
      <c r="A459" s="89" t="s">
        <v>3590</v>
      </c>
      <c r="B459" s="89" t="s">
        <v>3591</v>
      </c>
      <c r="C459" s="89"/>
      <c r="D459" s="87"/>
      <c r="E459" s="86"/>
      <c r="F459" s="84">
        <f t="shared" si="1"/>
        <v>0</v>
      </c>
      <c r="G459" s="84"/>
      <c r="H459" s="98">
        <v>727.46</v>
      </c>
      <c r="I459" s="86">
        <v>0.1</v>
      </c>
      <c r="J459" s="85">
        <f t="shared" si="2"/>
        <v>0</v>
      </c>
      <c r="K459" s="85">
        <f t="shared" si="3"/>
        <v>0</v>
      </c>
      <c r="L459" s="85"/>
      <c r="M459" s="85">
        <f t="shared" si="4"/>
        <v>-727.46</v>
      </c>
      <c r="N459" s="86">
        <f t="shared" si="8"/>
        <v>-1</v>
      </c>
      <c r="O459" s="86"/>
      <c r="P459" s="82"/>
    </row>
    <row r="460">
      <c r="A460" s="89" t="s">
        <v>3592</v>
      </c>
      <c r="B460" s="89" t="s">
        <v>3593</v>
      </c>
      <c r="C460" s="89"/>
      <c r="D460" s="82">
        <v>7630.0</v>
      </c>
      <c r="E460" s="83"/>
      <c r="F460" s="84">
        <f t="shared" si="1"/>
        <v>526.47</v>
      </c>
      <c r="G460" s="84"/>
      <c r="H460" s="98">
        <v>6509.62</v>
      </c>
      <c r="I460" s="91">
        <v>0.11</v>
      </c>
      <c r="J460" s="85">
        <f t="shared" si="2"/>
        <v>839.3</v>
      </c>
      <c r="K460" s="85">
        <f t="shared" si="3"/>
        <v>723.5344828</v>
      </c>
      <c r="L460" s="82">
        <v>70.88</v>
      </c>
      <c r="M460" s="85">
        <f t="shared" si="4"/>
        <v>-316.27</v>
      </c>
      <c r="N460" s="86">
        <f t="shared" si="8"/>
        <v>-0.04858501725</v>
      </c>
      <c r="O460" s="86"/>
      <c r="P460" s="82"/>
    </row>
    <row r="461">
      <c r="A461" s="89" t="s">
        <v>3594</v>
      </c>
      <c r="B461" s="89" t="s">
        <v>3595</v>
      </c>
      <c r="C461" s="89"/>
      <c r="D461" s="85">
        <v>6799.0</v>
      </c>
      <c r="E461" s="86"/>
      <c r="F461" s="84">
        <f t="shared" si="1"/>
        <v>469.131</v>
      </c>
      <c r="G461" s="84"/>
      <c r="H461" s="98">
        <v>5490.0</v>
      </c>
      <c r="I461" s="86">
        <v>0.1</v>
      </c>
      <c r="J461" s="85">
        <f t="shared" si="2"/>
        <v>679.9</v>
      </c>
      <c r="K461" s="85">
        <f t="shared" si="3"/>
        <v>586.1206897</v>
      </c>
      <c r="L461" s="85"/>
      <c r="M461" s="85">
        <f t="shared" si="4"/>
        <v>159.969</v>
      </c>
      <c r="N461" s="86">
        <f t="shared" si="8"/>
        <v>0.02913825137</v>
      </c>
      <c r="O461" s="86"/>
      <c r="P461" s="82"/>
    </row>
    <row r="462" ht="17.25" customHeight="1">
      <c r="A462" s="89" t="s">
        <v>3596</v>
      </c>
      <c r="B462" s="89" t="s">
        <v>3597</v>
      </c>
      <c r="C462" s="89"/>
      <c r="D462" s="85">
        <v>6699.0</v>
      </c>
      <c r="E462" s="86"/>
      <c r="F462" s="84">
        <f t="shared" si="1"/>
        <v>462.231</v>
      </c>
      <c r="G462" s="84"/>
      <c r="H462" s="85">
        <v>5369.2</v>
      </c>
      <c r="I462" s="86">
        <v>0.1</v>
      </c>
      <c r="J462" s="85">
        <f t="shared" si="2"/>
        <v>669.9</v>
      </c>
      <c r="K462" s="85">
        <f t="shared" si="3"/>
        <v>577.5</v>
      </c>
      <c r="L462" s="85"/>
      <c r="M462" s="85">
        <f t="shared" si="4"/>
        <v>197.669</v>
      </c>
      <c r="N462" s="86">
        <f t="shared" si="8"/>
        <v>0.03681535424</v>
      </c>
      <c r="O462" s="86"/>
      <c r="P462" s="82"/>
    </row>
    <row r="463">
      <c r="A463" s="89" t="s">
        <v>3598</v>
      </c>
      <c r="B463" s="89" t="s">
        <v>3599</v>
      </c>
      <c r="C463" s="89"/>
      <c r="D463" s="82">
        <v>4490.0</v>
      </c>
      <c r="E463" s="83"/>
      <c r="F463" s="84">
        <f t="shared" si="1"/>
        <v>309.81</v>
      </c>
      <c r="G463" s="84"/>
      <c r="H463" s="85">
        <v>3880.0</v>
      </c>
      <c r="I463" s="86">
        <v>0.1</v>
      </c>
      <c r="J463" s="85">
        <f t="shared" si="2"/>
        <v>449</v>
      </c>
      <c r="K463" s="85">
        <f t="shared" si="3"/>
        <v>387.0689655</v>
      </c>
      <c r="L463" s="82">
        <v>67.45</v>
      </c>
      <c r="M463" s="85">
        <f t="shared" si="4"/>
        <v>-216.26</v>
      </c>
      <c r="N463" s="86">
        <f t="shared" si="8"/>
        <v>-0.0557371134</v>
      </c>
      <c r="O463" s="86"/>
      <c r="P463" s="82"/>
    </row>
    <row r="464">
      <c r="A464" s="89" t="s">
        <v>3598</v>
      </c>
      <c r="B464" s="89" t="s">
        <v>3600</v>
      </c>
      <c r="C464" s="89"/>
      <c r="D464" s="82">
        <v>4393.0</v>
      </c>
      <c r="E464" s="86"/>
      <c r="F464" s="84">
        <f t="shared" si="1"/>
        <v>303.117</v>
      </c>
      <c r="G464" s="84"/>
      <c r="H464" s="82">
        <v>3791.0</v>
      </c>
      <c r="I464" s="86">
        <v>0.1</v>
      </c>
      <c r="J464" s="85">
        <f t="shared" si="2"/>
        <v>439.3</v>
      </c>
      <c r="K464" s="85">
        <f t="shared" si="3"/>
        <v>378.7068966</v>
      </c>
      <c r="L464" s="82">
        <v>79.0</v>
      </c>
      <c r="M464" s="85">
        <f t="shared" si="4"/>
        <v>-219.417</v>
      </c>
      <c r="N464" s="86">
        <f t="shared" si="8"/>
        <v>-0.0578783962</v>
      </c>
      <c r="O464" s="86"/>
      <c r="P464" s="82"/>
    </row>
    <row r="465">
      <c r="A465" s="89"/>
      <c r="B465" s="89" t="s">
        <v>3601</v>
      </c>
      <c r="C465" s="89"/>
      <c r="D465" s="82">
        <v>3700.0</v>
      </c>
      <c r="E465" s="83"/>
      <c r="F465" s="84">
        <f t="shared" si="1"/>
        <v>255.3</v>
      </c>
      <c r="G465" s="84"/>
      <c r="H465" s="85">
        <v>3150.0</v>
      </c>
      <c r="I465" s="86">
        <v>0.1</v>
      </c>
      <c r="J465" s="85">
        <f t="shared" si="2"/>
        <v>370</v>
      </c>
      <c r="K465" s="85">
        <f t="shared" si="3"/>
        <v>318.9655172</v>
      </c>
      <c r="L465" s="82">
        <v>68.86</v>
      </c>
      <c r="M465" s="85">
        <f t="shared" si="4"/>
        <v>-144.16</v>
      </c>
      <c r="N465" s="86">
        <f t="shared" si="8"/>
        <v>-0.04576507937</v>
      </c>
      <c r="O465" s="86"/>
      <c r="P465" s="82"/>
    </row>
    <row r="466">
      <c r="A466" s="89" t="s">
        <v>3602</v>
      </c>
      <c r="B466" s="89" t="s">
        <v>3603</v>
      </c>
      <c r="C466" s="89"/>
      <c r="D466" s="82">
        <v>2699.0</v>
      </c>
      <c r="E466" s="83"/>
      <c r="F466" s="84">
        <f t="shared" si="1"/>
        <v>186.231</v>
      </c>
      <c r="G466" s="84"/>
      <c r="H466" s="85">
        <v>2041.88</v>
      </c>
      <c r="I466" s="86">
        <v>0.15</v>
      </c>
      <c r="J466" s="85">
        <f t="shared" si="2"/>
        <v>404.85</v>
      </c>
      <c r="K466" s="85">
        <f t="shared" si="3"/>
        <v>349.0086207</v>
      </c>
      <c r="L466" s="82">
        <v>64.62</v>
      </c>
      <c r="M466" s="85">
        <f t="shared" si="4"/>
        <v>1.419</v>
      </c>
      <c r="N466" s="86">
        <f t="shared" si="8"/>
        <v>0.0006949477932</v>
      </c>
      <c r="O466" s="86"/>
      <c r="P466" s="82"/>
    </row>
    <row r="467">
      <c r="A467" s="89"/>
      <c r="B467" s="89"/>
      <c r="C467" s="89"/>
      <c r="D467" s="85">
        <v>4999.0</v>
      </c>
      <c r="E467" s="86"/>
      <c r="F467" s="84">
        <f t="shared" si="1"/>
        <v>344.931</v>
      </c>
      <c r="G467" s="84"/>
      <c r="H467" s="87"/>
      <c r="I467" s="93"/>
      <c r="J467" s="85">
        <f t="shared" si="2"/>
        <v>0</v>
      </c>
      <c r="K467" s="85">
        <f t="shared" si="3"/>
        <v>0</v>
      </c>
      <c r="L467" s="87"/>
      <c r="M467" s="85">
        <f t="shared" si="4"/>
        <v>4654.069</v>
      </c>
      <c r="N467" s="93"/>
      <c r="O467" s="93"/>
      <c r="P467" s="82"/>
    </row>
    <row r="468">
      <c r="A468" s="89"/>
      <c r="B468" s="89"/>
      <c r="C468" s="89"/>
      <c r="D468" s="85">
        <f>D467-D466</f>
        <v>2300</v>
      </c>
      <c r="E468" s="86"/>
      <c r="F468" s="84">
        <f t="shared" si="1"/>
        <v>158.7</v>
      </c>
      <c r="G468" s="84"/>
      <c r="H468" s="87"/>
      <c r="I468" s="93"/>
      <c r="J468" s="85">
        <f t="shared" si="2"/>
        <v>0</v>
      </c>
      <c r="K468" s="85">
        <f t="shared" si="3"/>
        <v>0</v>
      </c>
      <c r="L468" s="87"/>
      <c r="M468" s="85">
        <f t="shared" si="4"/>
        <v>2141.3</v>
      </c>
      <c r="N468" s="93"/>
      <c r="O468" s="93"/>
      <c r="P468" s="82"/>
    </row>
    <row r="469">
      <c r="A469" s="89" t="s">
        <v>3604</v>
      </c>
      <c r="B469" s="89" t="s">
        <v>3605</v>
      </c>
      <c r="C469" s="89"/>
      <c r="D469" s="85">
        <v>1999.0</v>
      </c>
      <c r="E469" s="86"/>
      <c r="F469" s="84">
        <f t="shared" si="1"/>
        <v>137.931</v>
      </c>
      <c r="G469" s="84"/>
      <c r="H469" s="85">
        <v>1454.39</v>
      </c>
      <c r="I469" s="86">
        <v>0.15</v>
      </c>
      <c r="J469" s="85">
        <f t="shared" si="2"/>
        <v>299.85</v>
      </c>
      <c r="K469" s="85">
        <f t="shared" si="3"/>
        <v>258.4913793</v>
      </c>
      <c r="L469" s="85"/>
      <c r="M469" s="85">
        <f t="shared" si="4"/>
        <v>106.829</v>
      </c>
      <c r="N469" s="86">
        <f t="shared" ref="N469:N590" si="9">M469/H469</f>
        <v>0.07345278777</v>
      </c>
      <c r="O469" s="86"/>
      <c r="P469" s="82"/>
    </row>
    <row r="470">
      <c r="A470" s="89" t="s">
        <v>3606</v>
      </c>
      <c r="B470" s="89"/>
      <c r="C470" s="89"/>
      <c r="D470" s="85">
        <v>11999.0</v>
      </c>
      <c r="E470" s="86"/>
      <c r="F470" s="84">
        <f t="shared" si="1"/>
        <v>827.931</v>
      </c>
      <c r="G470" s="84"/>
      <c r="H470" s="85">
        <v>9578.28</v>
      </c>
      <c r="I470" s="86">
        <v>0.1</v>
      </c>
      <c r="J470" s="85">
        <f t="shared" si="2"/>
        <v>1199.9</v>
      </c>
      <c r="K470" s="85">
        <f t="shared" si="3"/>
        <v>1034.396552</v>
      </c>
      <c r="L470" s="85"/>
      <c r="M470" s="85">
        <f t="shared" si="4"/>
        <v>392.889</v>
      </c>
      <c r="N470" s="86">
        <f t="shared" si="9"/>
        <v>0.0410187424</v>
      </c>
      <c r="O470" s="86"/>
      <c r="P470" s="82"/>
    </row>
    <row r="471">
      <c r="A471" s="89" t="s">
        <v>3607</v>
      </c>
      <c r="B471" s="89"/>
      <c r="C471" s="89"/>
      <c r="D471" s="85">
        <v>11999.0</v>
      </c>
      <c r="E471" s="86"/>
      <c r="F471" s="84">
        <f t="shared" si="1"/>
        <v>827.931</v>
      </c>
      <c r="G471" s="84"/>
      <c r="H471" s="85">
        <v>9578.28</v>
      </c>
      <c r="I471" s="86">
        <v>0.1</v>
      </c>
      <c r="J471" s="85">
        <f t="shared" si="2"/>
        <v>1199.9</v>
      </c>
      <c r="K471" s="85">
        <f t="shared" si="3"/>
        <v>1034.396552</v>
      </c>
      <c r="L471" s="85"/>
      <c r="M471" s="85">
        <f t="shared" si="4"/>
        <v>392.889</v>
      </c>
      <c r="N471" s="86">
        <f t="shared" si="9"/>
        <v>0.0410187424</v>
      </c>
      <c r="O471" s="86"/>
      <c r="P471" s="82"/>
    </row>
    <row r="472">
      <c r="A472" s="89" t="s">
        <v>3608</v>
      </c>
      <c r="B472" s="89"/>
      <c r="C472" s="89"/>
      <c r="D472" s="85">
        <v>11999.0</v>
      </c>
      <c r="E472" s="86"/>
      <c r="F472" s="84">
        <f t="shared" si="1"/>
        <v>827.931</v>
      </c>
      <c r="G472" s="84"/>
      <c r="H472" s="85">
        <v>9578.28</v>
      </c>
      <c r="I472" s="86">
        <v>0.1</v>
      </c>
      <c r="J472" s="85">
        <f t="shared" si="2"/>
        <v>1199.9</v>
      </c>
      <c r="K472" s="85">
        <f t="shared" si="3"/>
        <v>1034.396552</v>
      </c>
      <c r="L472" s="85"/>
      <c r="M472" s="85">
        <f t="shared" si="4"/>
        <v>392.889</v>
      </c>
      <c r="N472" s="86">
        <f t="shared" si="9"/>
        <v>0.0410187424</v>
      </c>
      <c r="O472" s="86"/>
      <c r="P472" s="82"/>
    </row>
    <row r="473">
      <c r="A473" s="89" t="s">
        <v>3609</v>
      </c>
      <c r="B473" s="89" t="s">
        <v>3610</v>
      </c>
      <c r="C473" s="89"/>
      <c r="D473" s="82">
        <v>1289.0</v>
      </c>
      <c r="E473" s="83"/>
      <c r="F473" s="84">
        <f t="shared" si="1"/>
        <v>88.941</v>
      </c>
      <c r="G473" s="84"/>
      <c r="H473" s="85">
        <v>977.41</v>
      </c>
      <c r="I473" s="91">
        <v>0.15</v>
      </c>
      <c r="J473" s="85">
        <f t="shared" si="2"/>
        <v>193.35</v>
      </c>
      <c r="K473" s="85">
        <f t="shared" si="3"/>
        <v>166.6810345</v>
      </c>
      <c r="L473" s="82">
        <v>61.79</v>
      </c>
      <c r="M473" s="85">
        <f t="shared" si="4"/>
        <v>-32.491</v>
      </c>
      <c r="N473" s="86">
        <f t="shared" si="9"/>
        <v>-0.03324193532</v>
      </c>
      <c r="O473" s="86"/>
      <c r="P473" s="82"/>
    </row>
    <row r="474">
      <c r="A474" s="89" t="s">
        <v>1210</v>
      </c>
      <c r="B474" s="89" t="s">
        <v>3611</v>
      </c>
      <c r="C474" s="89"/>
      <c r="D474" s="82">
        <v>1249.0</v>
      </c>
      <c r="E474" s="83"/>
      <c r="F474" s="84">
        <f t="shared" si="1"/>
        <v>86.181</v>
      </c>
      <c r="G474" s="84"/>
      <c r="H474" s="82">
        <v>899.23</v>
      </c>
      <c r="I474" s="86">
        <v>0.15</v>
      </c>
      <c r="J474" s="85">
        <f t="shared" si="2"/>
        <v>187.35</v>
      </c>
      <c r="K474" s="85">
        <f t="shared" si="3"/>
        <v>161.5086207</v>
      </c>
      <c r="L474" s="82">
        <v>63.0</v>
      </c>
      <c r="M474" s="85">
        <f t="shared" si="4"/>
        <v>13.239</v>
      </c>
      <c r="N474" s="86">
        <f t="shared" si="9"/>
        <v>0.014722596</v>
      </c>
      <c r="O474" s="86"/>
      <c r="P474" s="82"/>
    </row>
    <row r="475">
      <c r="A475" s="89" t="s">
        <v>3612</v>
      </c>
      <c r="B475" s="89" t="s">
        <v>3613</v>
      </c>
      <c r="C475" s="89"/>
      <c r="D475" s="82">
        <v>4390.0</v>
      </c>
      <c r="E475" s="86"/>
      <c r="F475" s="84">
        <f t="shared" si="1"/>
        <v>302.91</v>
      </c>
      <c r="G475" s="84"/>
      <c r="H475" s="85">
        <v>3880.0</v>
      </c>
      <c r="I475" s="86">
        <v>0.1</v>
      </c>
      <c r="J475" s="85">
        <f t="shared" si="2"/>
        <v>439</v>
      </c>
      <c r="K475" s="85">
        <f t="shared" si="3"/>
        <v>378.4482759</v>
      </c>
      <c r="L475" s="85"/>
      <c r="M475" s="85">
        <f t="shared" si="4"/>
        <v>-231.91</v>
      </c>
      <c r="N475" s="86">
        <f t="shared" si="9"/>
        <v>-0.05977061856</v>
      </c>
      <c r="O475" s="86"/>
      <c r="P475" s="82"/>
    </row>
    <row r="476">
      <c r="A476" s="89" t="s">
        <v>3614</v>
      </c>
      <c r="B476" s="89" t="s">
        <v>3615</v>
      </c>
      <c r="C476" s="89"/>
      <c r="D476" s="82">
        <v>4399.0</v>
      </c>
      <c r="E476" s="86"/>
      <c r="F476" s="84">
        <f t="shared" si="1"/>
        <v>303.531</v>
      </c>
      <c r="G476" s="84"/>
      <c r="H476" s="85">
        <v>3880.0</v>
      </c>
      <c r="I476" s="86">
        <v>0.1</v>
      </c>
      <c r="J476" s="85">
        <f t="shared" si="2"/>
        <v>439.9</v>
      </c>
      <c r="K476" s="85">
        <f t="shared" si="3"/>
        <v>379.2241379</v>
      </c>
      <c r="L476" s="85"/>
      <c r="M476" s="85">
        <f t="shared" si="4"/>
        <v>-224.431</v>
      </c>
      <c r="N476" s="86">
        <f t="shared" si="9"/>
        <v>-0.05784304124</v>
      </c>
      <c r="O476" s="86"/>
      <c r="P476" s="82"/>
    </row>
    <row r="477">
      <c r="A477" s="89" t="s">
        <v>3616</v>
      </c>
      <c r="B477" s="89" t="s">
        <v>3617</v>
      </c>
      <c r="C477" s="89"/>
      <c r="D477" s="82">
        <v>3229.0</v>
      </c>
      <c r="E477" s="83"/>
      <c r="F477" s="84">
        <f t="shared" si="1"/>
        <v>222.801</v>
      </c>
      <c r="G477" s="84"/>
      <c r="H477" s="85">
        <v>2593.95</v>
      </c>
      <c r="I477" s="86">
        <v>0.1</v>
      </c>
      <c r="J477" s="85">
        <f t="shared" si="2"/>
        <v>322.9</v>
      </c>
      <c r="K477" s="85">
        <f t="shared" si="3"/>
        <v>278.362069</v>
      </c>
      <c r="L477" s="82">
        <v>68.86</v>
      </c>
      <c r="M477" s="85">
        <f t="shared" si="4"/>
        <v>20.489</v>
      </c>
      <c r="N477" s="86">
        <f t="shared" si="9"/>
        <v>0.007898764433</v>
      </c>
      <c r="O477" s="86"/>
      <c r="P477" s="82"/>
    </row>
    <row r="478">
      <c r="A478" s="89" t="s">
        <v>3618</v>
      </c>
      <c r="B478" s="89" t="s">
        <v>3619</v>
      </c>
      <c r="C478" s="89"/>
      <c r="D478" s="85">
        <v>5689.0</v>
      </c>
      <c r="E478" s="86"/>
      <c r="F478" s="84">
        <f t="shared" si="1"/>
        <v>392.541</v>
      </c>
      <c r="G478" s="84"/>
      <c r="H478" s="85">
        <v>4641.54</v>
      </c>
      <c r="I478" s="86">
        <v>0.1</v>
      </c>
      <c r="J478" s="85">
        <f t="shared" si="2"/>
        <v>568.9</v>
      </c>
      <c r="K478" s="85">
        <f t="shared" si="3"/>
        <v>490.4310345</v>
      </c>
      <c r="L478" s="85"/>
      <c r="M478" s="85">
        <f t="shared" si="4"/>
        <v>86.019</v>
      </c>
      <c r="N478" s="86">
        <f t="shared" si="9"/>
        <v>0.01853242674</v>
      </c>
      <c r="O478" s="86"/>
      <c r="P478" s="82"/>
    </row>
    <row r="479">
      <c r="A479" s="89" t="s">
        <v>3620</v>
      </c>
      <c r="B479" s="89" t="s">
        <v>3621</v>
      </c>
      <c r="C479" s="89"/>
      <c r="D479" s="82">
        <v>4200.0</v>
      </c>
      <c r="E479" s="83"/>
      <c r="F479" s="84">
        <f t="shared" si="1"/>
        <v>289.8</v>
      </c>
      <c r="G479" s="84"/>
      <c r="H479" s="85">
        <v>3816.2</v>
      </c>
      <c r="I479" s="86">
        <v>0.1</v>
      </c>
      <c r="J479" s="85">
        <f t="shared" si="2"/>
        <v>420</v>
      </c>
      <c r="K479" s="85">
        <f t="shared" si="3"/>
        <v>362.0689655</v>
      </c>
      <c r="L479" s="82">
        <v>67.45</v>
      </c>
      <c r="M479" s="85">
        <f t="shared" si="4"/>
        <v>-393.45</v>
      </c>
      <c r="N479" s="86">
        <f t="shared" si="9"/>
        <v>-0.1030999424</v>
      </c>
      <c r="O479" s="86"/>
      <c r="P479" s="82"/>
    </row>
    <row r="480">
      <c r="A480" s="89" t="s">
        <v>3622</v>
      </c>
      <c r="B480" s="89" t="s">
        <v>3623</v>
      </c>
      <c r="C480" s="94" t="s">
        <v>3624</v>
      </c>
      <c r="D480" s="82">
        <v>489.0</v>
      </c>
      <c r="E480" s="83"/>
      <c r="F480" s="84">
        <f t="shared" si="1"/>
        <v>33.741</v>
      </c>
      <c r="G480" s="84"/>
      <c r="H480" s="82">
        <v>319.0</v>
      </c>
      <c r="I480" s="86">
        <v>0.15</v>
      </c>
      <c r="J480" s="85">
        <f t="shared" si="2"/>
        <v>73.35</v>
      </c>
      <c r="K480" s="85">
        <f t="shared" si="3"/>
        <v>63.23275862</v>
      </c>
      <c r="L480" s="82">
        <v>62.0</v>
      </c>
      <c r="M480" s="85">
        <f t="shared" si="4"/>
        <v>0.909</v>
      </c>
      <c r="N480" s="86">
        <f t="shared" si="9"/>
        <v>0.002849529781</v>
      </c>
      <c r="O480" s="86"/>
      <c r="P480" s="82"/>
    </row>
    <row r="481">
      <c r="A481" s="89" t="s">
        <v>3625</v>
      </c>
      <c r="B481" s="89" t="s">
        <v>3626</v>
      </c>
      <c r="C481" s="89"/>
      <c r="D481" s="85">
        <v>799.0</v>
      </c>
      <c r="E481" s="86"/>
      <c r="F481" s="84">
        <f t="shared" si="1"/>
        <v>55.131</v>
      </c>
      <c r="G481" s="84"/>
      <c r="H481" s="85">
        <v>547.88</v>
      </c>
      <c r="I481" s="86">
        <v>0.15</v>
      </c>
      <c r="J481" s="85">
        <f t="shared" si="2"/>
        <v>119.85</v>
      </c>
      <c r="K481" s="85">
        <f t="shared" si="3"/>
        <v>103.3189655</v>
      </c>
      <c r="L481" s="85"/>
      <c r="M481" s="85">
        <f t="shared" si="4"/>
        <v>76.139</v>
      </c>
      <c r="N481" s="86">
        <f t="shared" si="9"/>
        <v>0.1389702125</v>
      </c>
      <c r="O481" s="86"/>
      <c r="P481" s="82"/>
    </row>
    <row r="482">
      <c r="A482" s="89" t="s">
        <v>3627</v>
      </c>
      <c r="B482" s="89" t="s">
        <v>3628</v>
      </c>
      <c r="C482" s="89"/>
      <c r="D482" s="82">
        <v>6972.0</v>
      </c>
      <c r="E482" s="86"/>
      <c r="F482" s="84">
        <f t="shared" si="1"/>
        <v>481.068</v>
      </c>
      <c r="G482" s="84"/>
      <c r="H482" s="85">
        <v>6192.12</v>
      </c>
      <c r="I482" s="86">
        <v>0.1</v>
      </c>
      <c r="J482" s="85">
        <f t="shared" si="2"/>
        <v>697.2</v>
      </c>
      <c r="K482" s="85">
        <f t="shared" si="3"/>
        <v>601.0344828</v>
      </c>
      <c r="L482" s="85"/>
      <c r="M482" s="85">
        <f t="shared" si="4"/>
        <v>-398.388</v>
      </c>
      <c r="N482" s="86">
        <f t="shared" si="9"/>
        <v>-0.06433790043</v>
      </c>
      <c r="O482" s="86"/>
      <c r="P482" s="82"/>
    </row>
    <row r="483">
      <c r="A483" s="89" t="s">
        <v>3629</v>
      </c>
      <c r="B483" s="90" t="s">
        <v>3630</v>
      </c>
      <c r="C483" s="90"/>
      <c r="D483" s="85">
        <v>7899.0</v>
      </c>
      <c r="E483" s="83"/>
      <c r="F483" s="84">
        <f t="shared" si="1"/>
        <v>545.031</v>
      </c>
      <c r="G483" s="84"/>
      <c r="H483" s="85">
        <v>6192.12</v>
      </c>
      <c r="I483" s="86">
        <v>0.1</v>
      </c>
      <c r="J483" s="85">
        <f t="shared" si="2"/>
        <v>789.9</v>
      </c>
      <c r="K483" s="85">
        <f t="shared" si="3"/>
        <v>680.9482759</v>
      </c>
      <c r="L483" s="82">
        <v>69.87</v>
      </c>
      <c r="M483" s="85">
        <f t="shared" si="4"/>
        <v>302.079</v>
      </c>
      <c r="N483" s="86">
        <f t="shared" si="9"/>
        <v>0.04878442278</v>
      </c>
      <c r="O483" s="86"/>
      <c r="P483" s="82"/>
    </row>
    <row r="484">
      <c r="A484" s="89" t="s">
        <v>3631</v>
      </c>
      <c r="B484" s="89" t="s">
        <v>3632</v>
      </c>
      <c r="C484" s="89"/>
      <c r="D484" s="82">
        <v>13599.0</v>
      </c>
      <c r="E484" s="83"/>
      <c r="F484" s="84">
        <f t="shared" si="1"/>
        <v>938.331</v>
      </c>
      <c r="G484" s="84"/>
      <c r="H484" s="82">
        <v>10583.4</v>
      </c>
      <c r="I484" s="91">
        <v>0.11</v>
      </c>
      <c r="J484" s="85">
        <f t="shared" si="2"/>
        <v>1495.89</v>
      </c>
      <c r="K484" s="85">
        <f t="shared" si="3"/>
        <v>1289.560345</v>
      </c>
      <c r="L484" s="82">
        <v>475.0</v>
      </c>
      <c r="M484" s="85">
        <f t="shared" si="4"/>
        <v>106.379</v>
      </c>
      <c r="N484" s="86">
        <f t="shared" si="9"/>
        <v>0.01005149574</v>
      </c>
      <c r="O484" s="86"/>
      <c r="P484" s="82"/>
    </row>
    <row r="485">
      <c r="A485" s="89" t="s">
        <v>3633</v>
      </c>
      <c r="B485" s="89" t="s">
        <v>3634</v>
      </c>
      <c r="C485" s="89"/>
      <c r="D485" s="82">
        <v>179.0</v>
      </c>
      <c r="E485" s="83"/>
      <c r="F485" s="84">
        <f t="shared" si="1"/>
        <v>12.351</v>
      </c>
      <c r="G485" s="84"/>
      <c r="H485" s="85">
        <v>75.0</v>
      </c>
      <c r="I485" s="91">
        <v>0.15</v>
      </c>
      <c r="J485" s="85">
        <f t="shared" si="2"/>
        <v>26.85</v>
      </c>
      <c r="K485" s="85">
        <f t="shared" si="3"/>
        <v>23.14655172</v>
      </c>
      <c r="L485" s="82">
        <v>61.79</v>
      </c>
      <c r="M485" s="85">
        <f t="shared" si="4"/>
        <v>3.009</v>
      </c>
      <c r="N485" s="86">
        <f t="shared" si="9"/>
        <v>0.04012</v>
      </c>
      <c r="O485" s="86"/>
      <c r="P485" s="82"/>
    </row>
    <row r="486">
      <c r="A486" s="89" t="s">
        <v>3635</v>
      </c>
      <c r="B486" s="89" t="s">
        <v>3636</v>
      </c>
      <c r="C486" s="89"/>
      <c r="D486" s="82">
        <v>3199.0</v>
      </c>
      <c r="E486" s="83"/>
      <c r="F486" s="84">
        <f t="shared" si="1"/>
        <v>220.731</v>
      </c>
      <c r="G486" s="84"/>
      <c r="H486" s="82">
        <v>2380.0</v>
      </c>
      <c r="I486" s="91">
        <v>0.16</v>
      </c>
      <c r="J486" s="85">
        <f t="shared" si="2"/>
        <v>511.84</v>
      </c>
      <c r="K486" s="85">
        <f t="shared" si="3"/>
        <v>441.2413793</v>
      </c>
      <c r="L486" s="82">
        <v>106.02</v>
      </c>
      <c r="M486" s="85">
        <f t="shared" si="4"/>
        <v>-19.591</v>
      </c>
      <c r="N486" s="86">
        <f t="shared" si="9"/>
        <v>-0.008231512605</v>
      </c>
      <c r="O486" s="86"/>
      <c r="P486" s="82"/>
    </row>
    <row r="487">
      <c r="A487" s="89" t="s">
        <v>3637</v>
      </c>
      <c r="B487" s="89" t="s">
        <v>3638</v>
      </c>
      <c r="C487" s="89"/>
      <c r="D487" s="82">
        <v>1079.0</v>
      </c>
      <c r="E487" s="83"/>
      <c r="F487" s="84">
        <f t="shared" si="1"/>
        <v>74.451</v>
      </c>
      <c r="G487" s="84"/>
      <c r="H487" s="85">
        <v>765.78</v>
      </c>
      <c r="I487" s="86">
        <v>0.15</v>
      </c>
      <c r="J487" s="85">
        <f t="shared" si="2"/>
        <v>161.85</v>
      </c>
      <c r="K487" s="85">
        <f t="shared" si="3"/>
        <v>139.5258621</v>
      </c>
      <c r="L487" s="82">
        <v>63.21</v>
      </c>
      <c r="M487" s="85">
        <f t="shared" si="4"/>
        <v>13.709</v>
      </c>
      <c r="N487" s="86">
        <f t="shared" si="9"/>
        <v>0.01790200841</v>
      </c>
      <c r="O487" s="86"/>
      <c r="P487" s="82"/>
    </row>
    <row r="488">
      <c r="A488" s="89" t="s">
        <v>3639</v>
      </c>
      <c r="B488" s="89" t="s">
        <v>3640</v>
      </c>
      <c r="C488" s="89"/>
      <c r="D488" s="82">
        <v>999.0</v>
      </c>
      <c r="E488" s="83"/>
      <c r="F488" s="84">
        <f t="shared" si="1"/>
        <v>68.931</v>
      </c>
      <c r="G488" s="84"/>
      <c r="H488" s="85">
        <v>765.78</v>
      </c>
      <c r="I488" s="86">
        <v>0.15</v>
      </c>
      <c r="J488" s="85">
        <f t="shared" si="2"/>
        <v>149.85</v>
      </c>
      <c r="K488" s="85">
        <f t="shared" si="3"/>
        <v>129.1810345</v>
      </c>
      <c r="L488" s="82">
        <v>63.21</v>
      </c>
      <c r="M488" s="85">
        <f t="shared" si="4"/>
        <v>-48.771</v>
      </c>
      <c r="N488" s="86">
        <f t="shared" si="9"/>
        <v>-0.06368800439</v>
      </c>
      <c r="O488" s="86"/>
      <c r="P488" s="82"/>
    </row>
    <row r="489">
      <c r="A489" s="89"/>
      <c r="B489" s="89" t="s">
        <v>3641</v>
      </c>
      <c r="C489" s="89"/>
      <c r="D489" s="82">
        <v>2699.0</v>
      </c>
      <c r="E489" s="83"/>
      <c r="F489" s="84">
        <f t="shared" si="1"/>
        <v>186.231</v>
      </c>
      <c r="G489" s="84"/>
      <c r="H489" s="82">
        <v>1722.0</v>
      </c>
      <c r="I489" s="86">
        <v>0.15</v>
      </c>
      <c r="J489" s="85">
        <f t="shared" si="2"/>
        <v>404.85</v>
      </c>
      <c r="K489" s="85">
        <f t="shared" si="3"/>
        <v>349.0086207</v>
      </c>
      <c r="L489" s="82">
        <v>64.62</v>
      </c>
      <c r="M489" s="85">
        <f t="shared" si="4"/>
        <v>321.299</v>
      </c>
      <c r="N489" s="86">
        <f t="shared" si="9"/>
        <v>0.1865847851</v>
      </c>
      <c r="O489" s="86"/>
      <c r="P489" s="82"/>
    </row>
    <row r="490">
      <c r="A490" s="89" t="s">
        <v>3642</v>
      </c>
      <c r="B490" s="89" t="s">
        <v>3643</v>
      </c>
      <c r="C490" s="89"/>
      <c r="D490" s="82">
        <v>6690.0</v>
      </c>
      <c r="E490" s="83"/>
      <c r="F490" s="84">
        <f t="shared" si="1"/>
        <v>461.61</v>
      </c>
      <c r="G490" s="84"/>
      <c r="H490" s="85">
        <v>5750.0</v>
      </c>
      <c r="I490" s="86">
        <v>0.1</v>
      </c>
      <c r="J490" s="85">
        <f t="shared" si="2"/>
        <v>669</v>
      </c>
      <c r="K490" s="85">
        <f t="shared" si="3"/>
        <v>576.7241379</v>
      </c>
      <c r="L490" s="82">
        <v>69.87</v>
      </c>
      <c r="M490" s="85">
        <f t="shared" si="4"/>
        <v>-260.48</v>
      </c>
      <c r="N490" s="86">
        <f t="shared" si="9"/>
        <v>-0.04530086957</v>
      </c>
      <c r="O490" s="86"/>
      <c r="P490" s="82"/>
    </row>
    <row r="491">
      <c r="A491" s="89" t="s">
        <v>3644</v>
      </c>
      <c r="B491" s="89" t="s">
        <v>3645</v>
      </c>
      <c r="C491" s="89"/>
      <c r="D491" s="85">
        <v>1399.0</v>
      </c>
      <c r="E491" s="86"/>
      <c r="F491" s="84">
        <f t="shared" si="1"/>
        <v>96.531</v>
      </c>
      <c r="G491" s="84"/>
      <c r="H491" s="85">
        <v>849.57</v>
      </c>
      <c r="I491" s="86">
        <v>0.1</v>
      </c>
      <c r="J491" s="85">
        <f t="shared" si="2"/>
        <v>139.9</v>
      </c>
      <c r="K491" s="85">
        <f t="shared" si="3"/>
        <v>120.6034483</v>
      </c>
      <c r="L491" s="85"/>
      <c r="M491" s="85">
        <f t="shared" si="4"/>
        <v>312.999</v>
      </c>
      <c r="N491" s="86">
        <f t="shared" si="9"/>
        <v>0.3684204951</v>
      </c>
      <c r="O491" s="86"/>
      <c r="P491" s="82"/>
    </row>
    <row r="492">
      <c r="A492" s="89" t="s">
        <v>3646</v>
      </c>
      <c r="B492" s="89" t="s">
        <v>3647</v>
      </c>
      <c r="C492" s="89"/>
      <c r="D492" s="84">
        <v>799.0</v>
      </c>
      <c r="E492" s="83"/>
      <c r="F492" s="84">
        <f t="shared" si="1"/>
        <v>55.131</v>
      </c>
      <c r="G492" s="84"/>
      <c r="H492" s="85">
        <v>510.01</v>
      </c>
      <c r="I492" s="86">
        <v>0.15</v>
      </c>
      <c r="J492" s="85">
        <f t="shared" si="2"/>
        <v>119.85</v>
      </c>
      <c r="K492" s="85">
        <f t="shared" si="3"/>
        <v>103.3189655</v>
      </c>
      <c r="L492" s="82">
        <v>63.21</v>
      </c>
      <c r="M492" s="85">
        <f t="shared" si="4"/>
        <v>50.799</v>
      </c>
      <c r="N492" s="86">
        <f t="shared" si="9"/>
        <v>0.09960392933</v>
      </c>
      <c r="O492" s="86"/>
      <c r="P492" s="82"/>
    </row>
    <row r="493">
      <c r="A493" s="89" t="s">
        <v>3648</v>
      </c>
      <c r="B493" s="89" t="s">
        <v>3649</v>
      </c>
      <c r="C493" s="89"/>
      <c r="D493" s="82">
        <v>721.0</v>
      </c>
      <c r="E493" s="83"/>
      <c r="F493" s="84">
        <f t="shared" si="1"/>
        <v>49.749</v>
      </c>
      <c r="G493" s="84"/>
      <c r="H493" s="82">
        <v>500.0</v>
      </c>
      <c r="I493" s="86">
        <v>0.15</v>
      </c>
      <c r="J493" s="85">
        <f t="shared" si="2"/>
        <v>108.15</v>
      </c>
      <c r="K493" s="85">
        <f t="shared" si="3"/>
        <v>93.23275862</v>
      </c>
      <c r="L493" s="82">
        <v>63.21</v>
      </c>
      <c r="M493" s="85">
        <f t="shared" si="4"/>
        <v>-0.109</v>
      </c>
      <c r="N493" s="86">
        <f t="shared" si="9"/>
        <v>-0.000218</v>
      </c>
      <c r="O493" s="86"/>
      <c r="P493" s="82"/>
    </row>
    <row r="494">
      <c r="A494" s="89" t="s">
        <v>866</v>
      </c>
      <c r="B494" s="89" t="s">
        <v>3650</v>
      </c>
      <c r="C494" s="89"/>
      <c r="D494" s="82">
        <v>289.0</v>
      </c>
      <c r="E494" s="83"/>
      <c r="F494" s="84">
        <f t="shared" si="1"/>
        <v>19.941</v>
      </c>
      <c r="G494" s="84"/>
      <c r="H494" s="82">
        <v>189.0</v>
      </c>
      <c r="I494" s="86">
        <v>0.15</v>
      </c>
      <c r="J494" s="85">
        <f t="shared" si="2"/>
        <v>43.35</v>
      </c>
      <c r="K494" s="85">
        <f t="shared" si="3"/>
        <v>37.37068966</v>
      </c>
      <c r="L494" s="82">
        <v>61.79</v>
      </c>
      <c r="M494" s="85">
        <f t="shared" si="4"/>
        <v>-25.081</v>
      </c>
      <c r="N494" s="86">
        <f t="shared" si="9"/>
        <v>-0.1327037037</v>
      </c>
      <c r="O494" s="86"/>
      <c r="P494" s="82"/>
    </row>
    <row r="495">
      <c r="A495" s="89" t="s">
        <v>3651</v>
      </c>
      <c r="B495" s="89" t="s">
        <v>3652</v>
      </c>
      <c r="C495" s="89"/>
      <c r="D495" s="85">
        <v>2499.0</v>
      </c>
      <c r="E495" s="86"/>
      <c r="F495" s="84">
        <f t="shared" si="1"/>
        <v>172.431</v>
      </c>
      <c r="G495" s="84"/>
      <c r="H495" s="85">
        <v>1867.61</v>
      </c>
      <c r="I495" s="86">
        <v>0.15</v>
      </c>
      <c r="J495" s="85">
        <f t="shared" si="2"/>
        <v>374.85</v>
      </c>
      <c r="K495" s="85">
        <f t="shared" si="3"/>
        <v>323.1465517</v>
      </c>
      <c r="L495" s="85"/>
      <c r="M495" s="85">
        <f t="shared" si="4"/>
        <v>84.109</v>
      </c>
      <c r="N495" s="86">
        <f t="shared" si="9"/>
        <v>0.04503563378</v>
      </c>
      <c r="O495" s="86"/>
      <c r="P495" s="82"/>
    </row>
    <row r="496">
      <c r="A496" s="89" t="s">
        <v>3653</v>
      </c>
      <c r="B496" s="89" t="s">
        <v>3654</v>
      </c>
      <c r="C496" s="89"/>
      <c r="D496" s="85">
        <v>1149.0</v>
      </c>
      <c r="E496" s="83"/>
      <c r="F496" s="84">
        <f t="shared" si="1"/>
        <v>79.281</v>
      </c>
      <c r="G496" s="84"/>
      <c r="H496" s="85">
        <v>765.78</v>
      </c>
      <c r="I496" s="86">
        <v>0.15</v>
      </c>
      <c r="J496" s="85">
        <f t="shared" si="2"/>
        <v>172.35</v>
      </c>
      <c r="K496" s="85">
        <f t="shared" si="3"/>
        <v>148.5775862</v>
      </c>
      <c r="L496" s="82">
        <v>61.79</v>
      </c>
      <c r="M496" s="85">
        <f t="shared" si="4"/>
        <v>69.799</v>
      </c>
      <c r="N496" s="86">
        <f t="shared" si="9"/>
        <v>0.09114758808</v>
      </c>
      <c r="O496" s="86"/>
      <c r="P496" s="82"/>
    </row>
    <row r="497">
      <c r="A497" s="89" t="s">
        <v>3655</v>
      </c>
      <c r="B497" s="89" t="s">
        <v>3656</v>
      </c>
      <c r="C497" s="89"/>
      <c r="D497" s="82">
        <v>779.0</v>
      </c>
      <c r="E497" s="83"/>
      <c r="F497" s="84">
        <f t="shared" si="1"/>
        <v>53.751</v>
      </c>
      <c r="G497" s="84"/>
      <c r="H497" s="85">
        <v>516.03</v>
      </c>
      <c r="I497" s="86">
        <v>0.15</v>
      </c>
      <c r="J497" s="85">
        <f t="shared" si="2"/>
        <v>116.85</v>
      </c>
      <c r="K497" s="85">
        <f t="shared" si="3"/>
        <v>100.7327586</v>
      </c>
      <c r="L497" s="82">
        <v>63.21</v>
      </c>
      <c r="M497" s="85">
        <f t="shared" si="4"/>
        <v>29.159</v>
      </c>
      <c r="N497" s="86">
        <f t="shared" si="9"/>
        <v>0.05650640467</v>
      </c>
      <c r="O497" s="86"/>
      <c r="P497" s="82"/>
    </row>
    <row r="498">
      <c r="A498" s="89" t="s">
        <v>3657</v>
      </c>
      <c r="B498" s="89" t="s">
        <v>3658</v>
      </c>
      <c r="C498" s="89"/>
      <c r="D498" s="85">
        <v>1176.0</v>
      </c>
      <c r="E498" s="86"/>
      <c r="F498" s="84">
        <f t="shared" si="1"/>
        <v>81.144</v>
      </c>
      <c r="G498" s="84"/>
      <c r="H498" s="85">
        <v>765.78</v>
      </c>
      <c r="I498" s="86">
        <v>0.15</v>
      </c>
      <c r="J498" s="85">
        <f t="shared" si="2"/>
        <v>176.4</v>
      </c>
      <c r="K498" s="85">
        <f t="shared" si="3"/>
        <v>152.0689655</v>
      </c>
      <c r="L498" s="85"/>
      <c r="M498" s="85">
        <f t="shared" si="4"/>
        <v>152.676</v>
      </c>
      <c r="N498" s="86">
        <f t="shared" si="9"/>
        <v>0.1993731881</v>
      </c>
      <c r="O498" s="86"/>
      <c r="P498" s="82"/>
    </row>
    <row r="499">
      <c r="A499" s="89" t="s">
        <v>3659</v>
      </c>
      <c r="B499" s="89" t="s">
        <v>3660</v>
      </c>
      <c r="C499" s="89"/>
      <c r="D499" s="85">
        <v>2053.0</v>
      </c>
      <c r="E499" s="86"/>
      <c r="F499" s="84">
        <f t="shared" si="1"/>
        <v>141.657</v>
      </c>
      <c r="G499" s="84"/>
      <c r="H499" s="85">
        <v>1668.29</v>
      </c>
      <c r="I499" s="86">
        <v>0.1</v>
      </c>
      <c r="J499" s="85">
        <f t="shared" si="2"/>
        <v>205.3</v>
      </c>
      <c r="K499" s="85">
        <f t="shared" si="3"/>
        <v>176.9827586</v>
      </c>
      <c r="L499" s="85"/>
      <c r="M499" s="85">
        <f t="shared" si="4"/>
        <v>37.753</v>
      </c>
      <c r="N499" s="86">
        <f t="shared" si="9"/>
        <v>0.02262975862</v>
      </c>
      <c r="O499" s="86"/>
      <c r="P499" s="82"/>
    </row>
    <row r="500">
      <c r="A500" s="89" t="s">
        <v>3661</v>
      </c>
      <c r="B500" s="89" t="s">
        <v>3662</v>
      </c>
      <c r="C500" s="89"/>
      <c r="D500" s="82">
        <v>2765.0</v>
      </c>
      <c r="E500" s="83"/>
      <c r="F500" s="84">
        <f t="shared" si="1"/>
        <v>190.785</v>
      </c>
      <c r="G500" s="84"/>
      <c r="H500" s="85">
        <v>2411.68</v>
      </c>
      <c r="I500" s="86">
        <v>0.1</v>
      </c>
      <c r="J500" s="85">
        <f t="shared" si="2"/>
        <v>276.5</v>
      </c>
      <c r="K500" s="85">
        <f t="shared" si="3"/>
        <v>238.362069</v>
      </c>
      <c r="L500" s="82">
        <v>67.45</v>
      </c>
      <c r="M500" s="85">
        <f t="shared" si="4"/>
        <v>-181.415</v>
      </c>
      <c r="N500" s="86">
        <f t="shared" si="9"/>
        <v>-0.07522349565</v>
      </c>
      <c r="O500" s="86"/>
      <c r="P500" s="82"/>
    </row>
    <row r="501">
      <c r="A501" s="89" t="s">
        <v>3663</v>
      </c>
      <c r="B501" s="89" t="s">
        <v>3664</v>
      </c>
      <c r="C501" s="89"/>
      <c r="D501" s="82">
        <v>6999.0</v>
      </c>
      <c r="E501" s="83"/>
      <c r="F501" s="84">
        <f t="shared" si="1"/>
        <v>482.931</v>
      </c>
      <c r="G501" s="84"/>
      <c r="H501" s="85">
        <v>5768.38</v>
      </c>
      <c r="I501" s="86">
        <v>0.1</v>
      </c>
      <c r="J501" s="85">
        <f t="shared" si="2"/>
        <v>699.9</v>
      </c>
      <c r="K501" s="85">
        <f t="shared" si="3"/>
        <v>603.362069</v>
      </c>
      <c r="L501" s="82">
        <v>68.86</v>
      </c>
      <c r="M501" s="85">
        <f t="shared" si="4"/>
        <v>-21.071</v>
      </c>
      <c r="N501" s="86">
        <f t="shared" si="9"/>
        <v>-0.00365284534</v>
      </c>
      <c r="O501" s="86"/>
      <c r="P501" s="82"/>
    </row>
    <row r="502">
      <c r="A502" s="89" t="s">
        <v>3665</v>
      </c>
      <c r="B502" s="89" t="s">
        <v>3666</v>
      </c>
      <c r="C502" s="94" t="s">
        <v>3667</v>
      </c>
      <c r="D502" s="82">
        <v>652.0</v>
      </c>
      <c r="E502" s="83"/>
      <c r="F502" s="84">
        <f t="shared" si="1"/>
        <v>44.988</v>
      </c>
      <c r="G502" s="84"/>
      <c r="H502" s="82">
        <v>458.94</v>
      </c>
      <c r="I502" s="91">
        <v>0.1</v>
      </c>
      <c r="J502" s="85">
        <f t="shared" si="2"/>
        <v>65.2</v>
      </c>
      <c r="K502" s="85">
        <f t="shared" si="3"/>
        <v>56.20689655</v>
      </c>
      <c r="L502" s="82">
        <v>66.04</v>
      </c>
      <c r="M502" s="85">
        <f t="shared" si="4"/>
        <v>16.832</v>
      </c>
      <c r="N502" s="86">
        <f t="shared" si="9"/>
        <v>0.03667581819</v>
      </c>
      <c r="O502" s="86"/>
      <c r="P502" s="82"/>
    </row>
    <row r="503">
      <c r="A503" s="89" t="s">
        <v>3665</v>
      </c>
      <c r="B503" s="89" t="s">
        <v>3668</v>
      </c>
      <c r="C503" s="89"/>
      <c r="D503" s="85">
        <v>799.0</v>
      </c>
      <c r="E503" s="83"/>
      <c r="F503" s="84">
        <f t="shared" si="1"/>
        <v>55.131</v>
      </c>
      <c r="G503" s="84"/>
      <c r="H503" s="85">
        <v>464.03</v>
      </c>
      <c r="I503" s="86">
        <v>0.15</v>
      </c>
      <c r="J503" s="85">
        <f t="shared" si="2"/>
        <v>119.85</v>
      </c>
      <c r="K503" s="85">
        <f t="shared" si="3"/>
        <v>103.3189655</v>
      </c>
      <c r="L503" s="85"/>
      <c r="M503" s="85">
        <f t="shared" si="4"/>
        <v>159.989</v>
      </c>
      <c r="N503" s="86">
        <f t="shared" si="9"/>
        <v>0.3447815874</v>
      </c>
      <c r="O503" s="86"/>
      <c r="P503" s="82"/>
    </row>
    <row r="504">
      <c r="A504" s="90" t="s">
        <v>3669</v>
      </c>
      <c r="B504" s="90" t="s">
        <v>3670</v>
      </c>
      <c r="C504" s="90"/>
      <c r="D504" s="84">
        <v>4022.0</v>
      </c>
      <c r="E504" s="83"/>
      <c r="F504" s="84">
        <f t="shared" si="1"/>
        <v>277.518</v>
      </c>
      <c r="G504" s="84"/>
      <c r="H504" s="84">
        <v>3489.0</v>
      </c>
      <c r="I504" s="91">
        <v>0.1</v>
      </c>
      <c r="J504" s="85">
        <f t="shared" si="2"/>
        <v>402.2</v>
      </c>
      <c r="K504" s="85">
        <f t="shared" si="3"/>
        <v>346.7241379</v>
      </c>
      <c r="L504" s="85"/>
      <c r="M504" s="85">
        <f t="shared" si="4"/>
        <v>-146.718</v>
      </c>
      <c r="N504" s="86">
        <f t="shared" si="9"/>
        <v>-0.04205159071</v>
      </c>
      <c r="O504" s="86"/>
      <c r="P504" s="82"/>
    </row>
    <row r="505">
      <c r="A505" s="90" t="s">
        <v>3671</v>
      </c>
      <c r="B505" s="90" t="s">
        <v>3672</v>
      </c>
      <c r="C505" s="90"/>
      <c r="D505" s="84">
        <v>1414.0</v>
      </c>
      <c r="E505" s="83"/>
      <c r="F505" s="84">
        <f t="shared" si="1"/>
        <v>97.566</v>
      </c>
      <c r="G505" s="84"/>
      <c r="H505" s="84">
        <v>1018.0</v>
      </c>
      <c r="I505" s="91">
        <v>0.15</v>
      </c>
      <c r="J505" s="85">
        <f t="shared" si="2"/>
        <v>212.1</v>
      </c>
      <c r="K505" s="85">
        <f t="shared" si="3"/>
        <v>182.8448276</v>
      </c>
      <c r="L505" s="82">
        <v>64.62</v>
      </c>
      <c r="M505" s="85">
        <f t="shared" si="4"/>
        <v>21.714</v>
      </c>
      <c r="N505" s="86">
        <f t="shared" si="9"/>
        <v>0.02133005894</v>
      </c>
      <c r="O505" s="86"/>
      <c r="P505" s="82"/>
    </row>
    <row r="506">
      <c r="A506" s="90" t="s">
        <v>3673</v>
      </c>
      <c r="B506" s="90" t="s">
        <v>3674</v>
      </c>
      <c r="C506" s="90"/>
      <c r="D506" s="84">
        <v>7199.0</v>
      </c>
      <c r="E506" s="83"/>
      <c r="F506" s="84">
        <f t="shared" si="1"/>
        <v>496.731</v>
      </c>
      <c r="G506" s="84"/>
      <c r="H506" s="84">
        <v>5732.0</v>
      </c>
      <c r="I506" s="91">
        <v>0.1</v>
      </c>
      <c r="J506" s="85">
        <f t="shared" si="2"/>
        <v>719.9</v>
      </c>
      <c r="K506" s="85">
        <f t="shared" si="3"/>
        <v>620.6034483</v>
      </c>
      <c r="L506" s="82">
        <v>69.87</v>
      </c>
      <c r="M506" s="85">
        <f t="shared" si="4"/>
        <v>180.499</v>
      </c>
      <c r="N506" s="86">
        <f t="shared" si="9"/>
        <v>0.03148970691</v>
      </c>
      <c r="O506" s="86"/>
      <c r="P506" s="82"/>
    </row>
    <row r="507">
      <c r="A507" s="90" t="s">
        <v>3675</v>
      </c>
      <c r="B507" s="90" t="s">
        <v>3676</v>
      </c>
      <c r="C507" s="90"/>
      <c r="D507" s="84">
        <v>7199.0</v>
      </c>
      <c r="E507" s="83"/>
      <c r="F507" s="84">
        <f t="shared" si="1"/>
        <v>496.731</v>
      </c>
      <c r="G507" s="84"/>
      <c r="H507" s="84">
        <v>6576.0</v>
      </c>
      <c r="I507" s="91">
        <v>0.1</v>
      </c>
      <c r="J507" s="85">
        <f t="shared" si="2"/>
        <v>719.9</v>
      </c>
      <c r="K507" s="85">
        <f t="shared" si="3"/>
        <v>620.6034483</v>
      </c>
      <c r="L507" s="82">
        <v>69.87</v>
      </c>
      <c r="M507" s="85">
        <f t="shared" si="4"/>
        <v>-663.501</v>
      </c>
      <c r="N507" s="86">
        <f t="shared" si="9"/>
        <v>-0.100897354</v>
      </c>
      <c r="O507" s="86"/>
      <c r="P507" s="82"/>
    </row>
    <row r="508">
      <c r="A508" s="90" t="s">
        <v>3677</v>
      </c>
      <c r="B508" s="90" t="s">
        <v>3678</v>
      </c>
      <c r="C508" s="90"/>
      <c r="D508" s="84">
        <v>2699.0</v>
      </c>
      <c r="E508" s="83"/>
      <c r="F508" s="84">
        <f t="shared" si="1"/>
        <v>186.231</v>
      </c>
      <c r="G508" s="84"/>
      <c r="H508" s="84">
        <v>1900.0</v>
      </c>
      <c r="I508" s="91">
        <v>0.1</v>
      </c>
      <c r="J508" s="85">
        <f t="shared" si="2"/>
        <v>269.9</v>
      </c>
      <c r="K508" s="85">
        <f t="shared" si="3"/>
        <v>232.6724138</v>
      </c>
      <c r="L508" s="82">
        <v>75.95</v>
      </c>
      <c r="M508" s="85">
        <f t="shared" si="4"/>
        <v>266.919</v>
      </c>
      <c r="N508" s="86">
        <f t="shared" si="9"/>
        <v>0.1404836842</v>
      </c>
      <c r="O508" s="86"/>
      <c r="P508" s="82"/>
    </row>
    <row r="509">
      <c r="A509" s="90" t="s">
        <v>3679</v>
      </c>
      <c r="B509" s="90" t="s">
        <v>3680</v>
      </c>
      <c r="C509" s="90"/>
      <c r="D509" s="84">
        <v>2999.0</v>
      </c>
      <c r="E509" s="83"/>
      <c r="F509" s="84">
        <f t="shared" si="1"/>
        <v>206.931</v>
      </c>
      <c r="G509" s="84"/>
      <c r="H509" s="84">
        <v>2279.94</v>
      </c>
      <c r="I509" s="91">
        <v>0.1</v>
      </c>
      <c r="J509" s="85">
        <f t="shared" si="2"/>
        <v>299.9</v>
      </c>
      <c r="K509" s="85">
        <f t="shared" si="3"/>
        <v>258.5344828</v>
      </c>
      <c r="L509" s="82">
        <v>71.89</v>
      </c>
      <c r="M509" s="85">
        <f t="shared" si="4"/>
        <v>140.339</v>
      </c>
      <c r="N509" s="86">
        <f t="shared" si="9"/>
        <v>0.06155381282</v>
      </c>
      <c r="O509" s="86"/>
      <c r="P509" s="82"/>
    </row>
    <row r="510">
      <c r="A510" s="90" t="s">
        <v>3681</v>
      </c>
      <c r="B510" s="90" t="s">
        <v>3682</v>
      </c>
      <c r="C510" s="90"/>
      <c r="D510" s="84">
        <v>2999.0</v>
      </c>
      <c r="E510" s="83"/>
      <c r="F510" s="84">
        <f t="shared" si="1"/>
        <v>206.931</v>
      </c>
      <c r="G510" s="84"/>
      <c r="H510" s="84">
        <v>2279.94</v>
      </c>
      <c r="I510" s="91">
        <v>0.1</v>
      </c>
      <c r="J510" s="85">
        <f t="shared" si="2"/>
        <v>299.9</v>
      </c>
      <c r="K510" s="85">
        <f t="shared" si="3"/>
        <v>258.5344828</v>
      </c>
      <c r="L510" s="85"/>
      <c r="M510" s="85">
        <f t="shared" si="4"/>
        <v>212.229</v>
      </c>
      <c r="N510" s="86">
        <f t="shared" si="9"/>
        <v>0.09308534435</v>
      </c>
      <c r="O510" s="86"/>
      <c r="P510" s="82"/>
    </row>
    <row r="511">
      <c r="A511" s="90" t="s">
        <v>3683</v>
      </c>
      <c r="B511" s="90" t="s">
        <v>3684</v>
      </c>
      <c r="C511" s="90"/>
      <c r="D511" s="84">
        <v>3199.0</v>
      </c>
      <c r="E511" s="83"/>
      <c r="F511" s="84">
        <f t="shared" si="1"/>
        <v>220.731</v>
      </c>
      <c r="G511" s="84"/>
      <c r="H511" s="84">
        <v>2682.86</v>
      </c>
      <c r="I511" s="91">
        <v>0.1</v>
      </c>
      <c r="J511" s="85">
        <f t="shared" si="2"/>
        <v>319.9</v>
      </c>
      <c r="K511" s="85">
        <f t="shared" si="3"/>
        <v>275.7758621</v>
      </c>
      <c r="L511" s="82">
        <v>71.89</v>
      </c>
      <c r="M511" s="85">
        <f t="shared" si="4"/>
        <v>-96.381</v>
      </c>
      <c r="N511" s="86">
        <f t="shared" si="9"/>
        <v>-0.03592472212</v>
      </c>
      <c r="O511" s="86"/>
      <c r="P511" s="82"/>
    </row>
    <row r="512">
      <c r="A512" s="90" t="s">
        <v>3685</v>
      </c>
      <c r="B512" s="90" t="s">
        <v>3686</v>
      </c>
      <c r="C512" s="90"/>
      <c r="D512" s="84">
        <v>3599.0</v>
      </c>
      <c r="E512" s="83"/>
      <c r="F512" s="84">
        <f t="shared" si="1"/>
        <v>248.331</v>
      </c>
      <c r="G512" s="84"/>
      <c r="H512" s="84">
        <v>2780.27</v>
      </c>
      <c r="I512" s="91">
        <v>0.1</v>
      </c>
      <c r="J512" s="85">
        <f t="shared" si="2"/>
        <v>359.9</v>
      </c>
      <c r="K512" s="85">
        <f t="shared" si="3"/>
        <v>310.2586207</v>
      </c>
      <c r="L512" s="85"/>
      <c r="M512" s="85">
        <f t="shared" si="4"/>
        <v>210.499</v>
      </c>
      <c r="N512" s="86">
        <f t="shared" si="9"/>
        <v>0.07571171145</v>
      </c>
      <c r="O512" s="86"/>
      <c r="P512" s="82"/>
    </row>
    <row r="513">
      <c r="A513" s="90" t="s">
        <v>3687</v>
      </c>
      <c r="B513" s="90" t="s">
        <v>3688</v>
      </c>
      <c r="C513" s="90"/>
      <c r="D513" s="84">
        <v>5599.0</v>
      </c>
      <c r="E513" s="83"/>
      <c r="F513" s="84">
        <f t="shared" si="1"/>
        <v>386.331</v>
      </c>
      <c r="G513" s="84"/>
      <c r="H513" s="84">
        <v>4270.0</v>
      </c>
      <c r="I513" s="99">
        <v>0.11</v>
      </c>
      <c r="J513" s="85">
        <f t="shared" si="2"/>
        <v>615.89</v>
      </c>
      <c r="K513" s="85">
        <f t="shared" si="3"/>
        <v>530.9396552</v>
      </c>
      <c r="L513" s="82">
        <v>129.0</v>
      </c>
      <c r="M513" s="85">
        <f t="shared" si="4"/>
        <v>197.779</v>
      </c>
      <c r="N513" s="86">
        <f t="shared" si="9"/>
        <v>0.04631826698</v>
      </c>
      <c r="O513" s="86"/>
      <c r="P513" s="82"/>
    </row>
    <row r="514">
      <c r="A514" s="90" t="s">
        <v>3689</v>
      </c>
      <c r="B514" s="90" t="s">
        <v>3690</v>
      </c>
      <c r="C514" s="90"/>
      <c r="D514" s="84">
        <v>1149.0</v>
      </c>
      <c r="E514" s="83"/>
      <c r="F514" s="84">
        <f t="shared" si="1"/>
        <v>79.281</v>
      </c>
      <c r="G514" s="84"/>
      <c r="H514" s="84">
        <v>693.86</v>
      </c>
      <c r="I514" s="99">
        <v>0.15</v>
      </c>
      <c r="J514" s="85">
        <f t="shared" si="2"/>
        <v>172.35</v>
      </c>
      <c r="K514" s="85">
        <f t="shared" si="3"/>
        <v>148.5775862</v>
      </c>
      <c r="L514" s="82">
        <v>67.45</v>
      </c>
      <c r="M514" s="85">
        <f t="shared" si="4"/>
        <v>136.059</v>
      </c>
      <c r="N514" s="86">
        <f t="shared" si="9"/>
        <v>0.1960899893</v>
      </c>
      <c r="O514" s="86"/>
      <c r="P514" s="82"/>
    </row>
    <row r="515">
      <c r="A515" s="90" t="s">
        <v>3689</v>
      </c>
      <c r="B515" s="90" t="s">
        <v>3691</v>
      </c>
      <c r="C515" s="90"/>
      <c r="D515" s="84">
        <v>1045.0</v>
      </c>
      <c r="E515" s="83"/>
      <c r="F515" s="84">
        <f t="shared" si="1"/>
        <v>72.105</v>
      </c>
      <c r="G515" s="84"/>
      <c r="H515" s="84">
        <v>744.48</v>
      </c>
      <c r="I515" s="99">
        <v>0.15</v>
      </c>
      <c r="J515" s="85">
        <f t="shared" si="2"/>
        <v>156.75</v>
      </c>
      <c r="K515" s="85">
        <f t="shared" si="3"/>
        <v>135.1293103</v>
      </c>
      <c r="L515" s="82">
        <v>67.0</v>
      </c>
      <c r="M515" s="85">
        <f t="shared" si="4"/>
        <v>4.665</v>
      </c>
      <c r="N515" s="86">
        <f t="shared" si="9"/>
        <v>0.006266118633</v>
      </c>
      <c r="O515" s="86"/>
      <c r="P515" s="82"/>
    </row>
    <row r="516">
      <c r="A516" s="90" t="s">
        <v>3692</v>
      </c>
      <c r="B516" s="90" t="s">
        <v>3693</v>
      </c>
      <c r="C516" s="90"/>
      <c r="D516" s="84">
        <v>6399.0</v>
      </c>
      <c r="E516" s="83"/>
      <c r="F516" s="84">
        <f t="shared" si="1"/>
        <v>441.531</v>
      </c>
      <c r="G516" s="84"/>
      <c r="H516" s="84">
        <v>4758.0</v>
      </c>
      <c r="I516" s="99">
        <v>0.15</v>
      </c>
      <c r="J516" s="85">
        <f t="shared" si="2"/>
        <v>959.85</v>
      </c>
      <c r="K516" s="85">
        <f t="shared" si="3"/>
        <v>827.4568966</v>
      </c>
      <c r="L516" s="82">
        <v>75.9</v>
      </c>
      <c r="M516" s="85">
        <f t="shared" si="4"/>
        <v>163.719</v>
      </c>
      <c r="N516" s="86">
        <f t="shared" si="9"/>
        <v>0.03440920555</v>
      </c>
      <c r="O516" s="86"/>
      <c r="P516" s="82"/>
    </row>
    <row r="517">
      <c r="A517" s="90" t="s">
        <v>3694</v>
      </c>
      <c r="B517" s="90" t="s">
        <v>3695</v>
      </c>
      <c r="C517" s="90"/>
      <c r="D517" s="84">
        <v>5499.0</v>
      </c>
      <c r="E517" s="83"/>
      <c r="F517" s="84">
        <f t="shared" si="1"/>
        <v>379.431</v>
      </c>
      <c r="G517" s="84"/>
      <c r="H517" s="84">
        <v>4387.34</v>
      </c>
      <c r="I517" s="99">
        <v>0.1</v>
      </c>
      <c r="J517" s="85">
        <f t="shared" si="2"/>
        <v>549.9</v>
      </c>
      <c r="K517" s="85">
        <f t="shared" si="3"/>
        <v>474.0517241</v>
      </c>
      <c r="L517" s="82">
        <v>125.17</v>
      </c>
      <c r="M517" s="85">
        <f t="shared" si="4"/>
        <v>57.159</v>
      </c>
      <c r="N517" s="86">
        <f t="shared" si="9"/>
        <v>0.01302816741</v>
      </c>
      <c r="O517" s="86"/>
      <c r="P517" s="82"/>
    </row>
    <row r="518">
      <c r="A518" s="90" t="s">
        <v>3696</v>
      </c>
      <c r="B518" s="90" t="s">
        <v>3697</v>
      </c>
      <c r="C518" s="90"/>
      <c r="D518" s="84">
        <v>3299.0</v>
      </c>
      <c r="E518" s="83"/>
      <c r="F518" s="84">
        <f t="shared" si="1"/>
        <v>227.631</v>
      </c>
      <c r="G518" s="84"/>
      <c r="H518" s="84">
        <v>2444.0</v>
      </c>
      <c r="I518" s="99">
        <v>0.15</v>
      </c>
      <c r="J518" s="85">
        <f t="shared" si="2"/>
        <v>494.85</v>
      </c>
      <c r="K518" s="85">
        <f t="shared" si="3"/>
        <v>426.5948276</v>
      </c>
      <c r="L518" s="82">
        <v>64.62</v>
      </c>
      <c r="M518" s="85">
        <f t="shared" si="4"/>
        <v>67.899</v>
      </c>
      <c r="N518" s="86">
        <f t="shared" si="9"/>
        <v>0.02778191489</v>
      </c>
      <c r="O518" s="86"/>
      <c r="P518" s="82"/>
    </row>
    <row r="519">
      <c r="A519" s="90" t="s">
        <v>3698</v>
      </c>
      <c r="B519" s="90" t="s">
        <v>3699</v>
      </c>
      <c r="C519" s="90"/>
      <c r="D519" s="84">
        <v>3799.0</v>
      </c>
      <c r="E519" s="83"/>
      <c r="F519" s="84">
        <f t="shared" si="1"/>
        <v>262.131</v>
      </c>
      <c r="G519" s="84"/>
      <c r="H519" s="84">
        <v>2610.0</v>
      </c>
      <c r="I519" s="99">
        <v>0.12</v>
      </c>
      <c r="J519" s="85">
        <f t="shared" si="2"/>
        <v>455.88</v>
      </c>
      <c r="K519" s="85">
        <f t="shared" si="3"/>
        <v>393</v>
      </c>
      <c r="L519" s="82">
        <v>64.62</v>
      </c>
      <c r="M519" s="85">
        <f t="shared" si="4"/>
        <v>406.369</v>
      </c>
      <c r="N519" s="86">
        <f t="shared" si="9"/>
        <v>0.1556969349</v>
      </c>
      <c r="O519" s="86"/>
      <c r="P519" s="82"/>
    </row>
    <row r="520">
      <c r="A520" s="90" t="s">
        <v>3700</v>
      </c>
      <c r="B520" s="90" t="s">
        <v>3701</v>
      </c>
      <c r="C520" s="90"/>
      <c r="D520" s="84">
        <v>1199.0</v>
      </c>
      <c r="E520" s="83"/>
      <c r="F520" s="84">
        <f t="shared" si="1"/>
        <v>82.731</v>
      </c>
      <c r="G520" s="84"/>
      <c r="H520" s="84">
        <v>763.0</v>
      </c>
      <c r="I520" s="99">
        <v>0.15</v>
      </c>
      <c r="J520" s="85">
        <f t="shared" si="2"/>
        <v>179.85</v>
      </c>
      <c r="K520" s="85">
        <f t="shared" si="3"/>
        <v>155.0431034</v>
      </c>
      <c r="L520" s="82">
        <v>63.21</v>
      </c>
      <c r="M520" s="85">
        <f t="shared" si="4"/>
        <v>110.209</v>
      </c>
      <c r="N520" s="86">
        <f t="shared" si="9"/>
        <v>0.1444416776</v>
      </c>
      <c r="O520" s="86"/>
      <c r="P520" s="82"/>
    </row>
    <row r="521">
      <c r="A521" s="90" t="s">
        <v>3702</v>
      </c>
      <c r="B521" s="90" t="s">
        <v>3703</v>
      </c>
      <c r="C521" s="90"/>
      <c r="D521" s="84">
        <v>4399.0</v>
      </c>
      <c r="E521" s="83"/>
      <c r="F521" s="84">
        <f t="shared" si="1"/>
        <v>303.531</v>
      </c>
      <c r="G521" s="84"/>
      <c r="H521" s="84">
        <v>3505.0</v>
      </c>
      <c r="I521" s="99">
        <v>0.1</v>
      </c>
      <c r="J521" s="85">
        <f t="shared" si="2"/>
        <v>439.9</v>
      </c>
      <c r="K521" s="85">
        <f t="shared" si="3"/>
        <v>379.2241379</v>
      </c>
      <c r="L521" s="85"/>
      <c r="M521" s="85">
        <f t="shared" si="4"/>
        <v>150.569</v>
      </c>
      <c r="N521" s="86">
        <f t="shared" si="9"/>
        <v>0.04295834522</v>
      </c>
      <c r="O521" s="86"/>
      <c r="P521" s="82"/>
    </row>
    <row r="522">
      <c r="A522" s="90" t="s">
        <v>3704</v>
      </c>
      <c r="B522" s="90" t="s">
        <v>3705</v>
      </c>
      <c r="C522" s="90"/>
      <c r="D522" s="84">
        <v>4400.0</v>
      </c>
      <c r="E522" s="83"/>
      <c r="F522" s="84">
        <f t="shared" si="1"/>
        <v>303.6</v>
      </c>
      <c r="G522" s="84"/>
      <c r="H522" s="84">
        <v>3505.0</v>
      </c>
      <c r="I522" s="99">
        <v>0.1</v>
      </c>
      <c r="J522" s="85">
        <f t="shared" si="2"/>
        <v>440</v>
      </c>
      <c r="K522" s="85">
        <f t="shared" si="3"/>
        <v>379.3103448</v>
      </c>
      <c r="L522" s="85"/>
      <c r="M522" s="85">
        <f t="shared" si="4"/>
        <v>151.4</v>
      </c>
      <c r="N522" s="86">
        <f t="shared" si="9"/>
        <v>0.04319543509</v>
      </c>
      <c r="O522" s="86"/>
      <c r="P522" s="82"/>
    </row>
    <row r="523">
      <c r="A523" s="90" t="s">
        <v>3706</v>
      </c>
      <c r="B523" s="90" t="s">
        <v>3707</v>
      </c>
      <c r="C523" s="90"/>
      <c r="D523" s="84">
        <v>499.0</v>
      </c>
      <c r="E523" s="83"/>
      <c r="F523" s="84">
        <f t="shared" si="1"/>
        <v>34.431</v>
      </c>
      <c r="G523" s="84"/>
      <c r="H523" s="84">
        <v>382.89</v>
      </c>
      <c r="I523" s="99">
        <v>0.15</v>
      </c>
      <c r="J523" s="85">
        <f t="shared" si="2"/>
        <v>74.85</v>
      </c>
      <c r="K523" s="85">
        <f t="shared" si="3"/>
        <v>64.52586207</v>
      </c>
      <c r="L523" s="85"/>
      <c r="M523" s="85">
        <f t="shared" si="4"/>
        <v>6.829</v>
      </c>
      <c r="N523" s="86">
        <f t="shared" si="9"/>
        <v>0.01783540965</v>
      </c>
      <c r="O523" s="86"/>
      <c r="P523" s="82"/>
    </row>
    <row r="524">
      <c r="A524" s="90" t="s">
        <v>3708</v>
      </c>
      <c r="B524" s="90" t="s">
        <v>3709</v>
      </c>
      <c r="C524" s="90"/>
      <c r="D524" s="84">
        <v>639.0</v>
      </c>
      <c r="E524" s="83"/>
      <c r="F524" s="84">
        <f t="shared" si="1"/>
        <v>44.091</v>
      </c>
      <c r="G524" s="84"/>
      <c r="H524" s="84">
        <v>430.0</v>
      </c>
      <c r="I524" s="99">
        <v>0.15</v>
      </c>
      <c r="J524" s="85">
        <f t="shared" si="2"/>
        <v>95.85</v>
      </c>
      <c r="K524" s="85">
        <f t="shared" si="3"/>
        <v>82.62931034</v>
      </c>
      <c r="L524" s="82">
        <v>64.62</v>
      </c>
      <c r="M524" s="85">
        <f t="shared" si="4"/>
        <v>4.439</v>
      </c>
      <c r="N524" s="86">
        <f t="shared" si="9"/>
        <v>0.01032325581</v>
      </c>
      <c r="O524" s="86"/>
      <c r="P524" s="82"/>
    </row>
    <row r="525">
      <c r="A525" s="90" t="s">
        <v>3710</v>
      </c>
      <c r="B525" s="90" t="s">
        <v>3711</v>
      </c>
      <c r="C525" s="90"/>
      <c r="D525" s="84">
        <v>1569.0</v>
      </c>
      <c r="E525" s="83"/>
      <c r="F525" s="84">
        <f t="shared" si="1"/>
        <v>108.261</v>
      </c>
      <c r="G525" s="84"/>
      <c r="H525" s="84">
        <v>1073.0</v>
      </c>
      <c r="I525" s="99">
        <v>0.15</v>
      </c>
      <c r="J525" s="85">
        <f t="shared" si="2"/>
        <v>235.35</v>
      </c>
      <c r="K525" s="85">
        <f t="shared" si="3"/>
        <v>202.887931</v>
      </c>
      <c r="L525" s="82">
        <v>64.62</v>
      </c>
      <c r="M525" s="85">
        <f t="shared" si="4"/>
        <v>87.769</v>
      </c>
      <c r="N525" s="86">
        <f t="shared" si="9"/>
        <v>0.08179776328</v>
      </c>
      <c r="O525" s="86"/>
      <c r="P525" s="82"/>
    </row>
    <row r="526">
      <c r="A526" s="89" t="s">
        <v>3712</v>
      </c>
      <c r="B526" s="89" t="s">
        <v>3713</v>
      </c>
      <c r="C526" s="89"/>
      <c r="D526" s="82">
        <v>1499.0</v>
      </c>
      <c r="E526" s="83"/>
      <c r="F526" s="84">
        <f t="shared" si="1"/>
        <v>103.431</v>
      </c>
      <c r="G526" s="84"/>
      <c r="H526" s="82">
        <v>928.46</v>
      </c>
      <c r="I526" s="86">
        <v>0.15</v>
      </c>
      <c r="J526" s="85">
        <f t="shared" si="2"/>
        <v>224.85</v>
      </c>
      <c r="K526" s="85">
        <f t="shared" si="3"/>
        <v>193.8362069</v>
      </c>
      <c r="L526" s="82">
        <v>64.62</v>
      </c>
      <c r="M526" s="85">
        <f t="shared" si="4"/>
        <v>177.639</v>
      </c>
      <c r="N526" s="86">
        <f t="shared" si="9"/>
        <v>0.1913264976</v>
      </c>
      <c r="O526" s="86"/>
      <c r="P526" s="82"/>
    </row>
    <row r="527">
      <c r="A527" s="90" t="s">
        <v>3714</v>
      </c>
      <c r="B527" s="90" t="s">
        <v>3715</v>
      </c>
      <c r="C527" s="90"/>
      <c r="D527" s="84">
        <v>6899.0</v>
      </c>
      <c r="E527" s="83"/>
      <c r="F527" s="84">
        <f t="shared" si="1"/>
        <v>476.031</v>
      </c>
      <c r="G527" s="84"/>
      <c r="H527" s="84">
        <v>5150.73</v>
      </c>
      <c r="I527" s="91">
        <v>0.16</v>
      </c>
      <c r="J527" s="85">
        <f t="shared" si="2"/>
        <v>1103.84</v>
      </c>
      <c r="K527" s="85">
        <f t="shared" si="3"/>
        <v>951.5862069</v>
      </c>
      <c r="L527" s="82">
        <v>121.34</v>
      </c>
      <c r="M527" s="85">
        <f t="shared" si="4"/>
        <v>47.059</v>
      </c>
      <c r="N527" s="86">
        <f t="shared" si="9"/>
        <v>0.009136374844</v>
      </c>
      <c r="O527" s="86"/>
      <c r="P527" s="82"/>
    </row>
    <row r="528">
      <c r="A528" s="90" t="s">
        <v>3716</v>
      </c>
      <c r="B528" s="90" t="s">
        <v>3717</v>
      </c>
      <c r="C528" s="90"/>
      <c r="D528" s="84">
        <v>8999.0</v>
      </c>
      <c r="E528" s="83"/>
      <c r="F528" s="84">
        <f t="shared" si="1"/>
        <v>620.931</v>
      </c>
      <c r="G528" s="84"/>
      <c r="H528" s="84">
        <v>6844.21</v>
      </c>
      <c r="I528" s="91">
        <v>0.1</v>
      </c>
      <c r="J528" s="85">
        <f t="shared" si="2"/>
        <v>899.9</v>
      </c>
      <c r="K528" s="85">
        <f t="shared" si="3"/>
        <v>775.7758621</v>
      </c>
      <c r="L528" s="82">
        <v>155.81</v>
      </c>
      <c r="M528" s="85">
        <f t="shared" si="4"/>
        <v>478.149</v>
      </c>
      <c r="N528" s="86">
        <f t="shared" si="9"/>
        <v>0.06986182481</v>
      </c>
      <c r="O528" s="86"/>
      <c r="P528" s="82"/>
    </row>
    <row r="529">
      <c r="A529" s="90" t="s">
        <v>3718</v>
      </c>
      <c r="B529" s="90" t="s">
        <v>3719</v>
      </c>
      <c r="C529" s="90"/>
      <c r="D529" s="84">
        <v>1870.0</v>
      </c>
      <c r="E529" s="83"/>
      <c r="F529" s="84">
        <f t="shared" si="1"/>
        <v>129.03</v>
      </c>
      <c r="G529" s="84"/>
      <c r="H529" s="84">
        <v>1437.0</v>
      </c>
      <c r="I529" s="91">
        <v>0.1</v>
      </c>
      <c r="J529" s="85">
        <f t="shared" si="2"/>
        <v>187</v>
      </c>
      <c r="K529" s="85">
        <f t="shared" si="3"/>
        <v>161.2068966</v>
      </c>
      <c r="L529" s="82">
        <v>67.45</v>
      </c>
      <c r="M529" s="85">
        <f t="shared" si="4"/>
        <v>49.52</v>
      </c>
      <c r="N529" s="86">
        <f t="shared" si="9"/>
        <v>0.03446068198</v>
      </c>
      <c r="O529" s="86"/>
      <c r="P529" s="82"/>
    </row>
    <row r="530">
      <c r="A530" s="90" t="s">
        <v>3720</v>
      </c>
      <c r="B530" s="90" t="s">
        <v>3721</v>
      </c>
      <c r="C530" s="90"/>
      <c r="D530" s="84">
        <v>699.0</v>
      </c>
      <c r="E530" s="83"/>
      <c r="F530" s="84">
        <f t="shared" si="1"/>
        <v>48.231</v>
      </c>
      <c r="G530" s="84"/>
      <c r="H530" s="84">
        <v>542.0</v>
      </c>
      <c r="I530" s="86">
        <v>0.15</v>
      </c>
      <c r="J530" s="85">
        <f t="shared" si="2"/>
        <v>104.85</v>
      </c>
      <c r="K530" s="85">
        <f t="shared" si="3"/>
        <v>90.38793103</v>
      </c>
      <c r="L530" s="82">
        <v>63.21</v>
      </c>
      <c r="M530" s="85">
        <f t="shared" si="4"/>
        <v>-59.291</v>
      </c>
      <c r="N530" s="86">
        <f t="shared" si="9"/>
        <v>-0.1093929889</v>
      </c>
      <c r="O530" s="86"/>
      <c r="P530" s="82"/>
    </row>
    <row r="531">
      <c r="A531" s="90" t="s">
        <v>3722</v>
      </c>
      <c r="B531" s="90" t="s">
        <v>3723</v>
      </c>
      <c r="C531" s="90"/>
      <c r="D531" s="84">
        <v>589.0</v>
      </c>
      <c r="E531" s="83"/>
      <c r="F531" s="84">
        <f t="shared" si="1"/>
        <v>40.641</v>
      </c>
      <c r="G531" s="84"/>
      <c r="H531" s="84">
        <v>345.0</v>
      </c>
      <c r="I531" s="86">
        <v>0.15</v>
      </c>
      <c r="J531" s="85">
        <f t="shared" si="2"/>
        <v>88.35</v>
      </c>
      <c r="K531" s="85">
        <f t="shared" si="3"/>
        <v>76.1637931</v>
      </c>
      <c r="L531" s="82">
        <v>61.79</v>
      </c>
      <c r="M531" s="85">
        <f t="shared" si="4"/>
        <v>53.219</v>
      </c>
      <c r="N531" s="86">
        <f t="shared" si="9"/>
        <v>0.154257971</v>
      </c>
      <c r="O531" s="86"/>
      <c r="P531" s="82"/>
    </row>
    <row r="532">
      <c r="A532" s="90" t="s">
        <v>3724</v>
      </c>
      <c r="B532" s="90" t="s">
        <v>3725</v>
      </c>
      <c r="C532" s="90"/>
      <c r="D532" s="84">
        <v>850.0</v>
      </c>
      <c r="E532" s="83"/>
      <c r="F532" s="84">
        <f t="shared" si="1"/>
        <v>58.65</v>
      </c>
      <c r="G532" s="84"/>
      <c r="H532" s="84">
        <v>631.0</v>
      </c>
      <c r="I532" s="91">
        <v>0.1</v>
      </c>
      <c r="J532" s="85">
        <f t="shared" si="2"/>
        <v>85</v>
      </c>
      <c r="K532" s="85">
        <f t="shared" si="3"/>
        <v>73.27586207</v>
      </c>
      <c r="L532" s="82">
        <v>66.04</v>
      </c>
      <c r="M532" s="85">
        <f t="shared" si="4"/>
        <v>9.31</v>
      </c>
      <c r="N532" s="86">
        <f t="shared" si="9"/>
        <v>0.01475435816</v>
      </c>
      <c r="O532" s="86"/>
      <c r="P532" s="82"/>
    </row>
    <row r="533">
      <c r="A533" s="90" t="s">
        <v>3724</v>
      </c>
      <c r="B533" s="90" t="s">
        <v>3726</v>
      </c>
      <c r="C533" s="90"/>
      <c r="D533" s="84">
        <v>899.0</v>
      </c>
      <c r="E533" s="83"/>
      <c r="F533" s="84">
        <f t="shared" si="1"/>
        <v>62.031</v>
      </c>
      <c r="G533" s="84"/>
      <c r="H533" s="84">
        <v>631.0</v>
      </c>
      <c r="I533" s="91">
        <v>0.1</v>
      </c>
      <c r="J533" s="85">
        <f t="shared" si="2"/>
        <v>89.9</v>
      </c>
      <c r="K533" s="85">
        <f t="shared" si="3"/>
        <v>77.5</v>
      </c>
      <c r="L533" s="82">
        <v>66.04</v>
      </c>
      <c r="M533" s="85">
        <f t="shared" si="4"/>
        <v>50.029</v>
      </c>
      <c r="N533" s="86">
        <f t="shared" si="9"/>
        <v>0.07928526149</v>
      </c>
      <c r="O533" s="86"/>
      <c r="P533" s="82"/>
    </row>
    <row r="534">
      <c r="A534" s="90" t="s">
        <v>1021</v>
      </c>
      <c r="B534" s="90" t="s">
        <v>3727</v>
      </c>
      <c r="C534" s="90"/>
      <c r="D534" s="84">
        <v>389.0</v>
      </c>
      <c r="E534" s="83"/>
      <c r="F534" s="84">
        <f t="shared" si="1"/>
        <v>26.841</v>
      </c>
      <c r="G534" s="84"/>
      <c r="H534" s="84">
        <v>209.0</v>
      </c>
      <c r="I534" s="86">
        <v>0.15</v>
      </c>
      <c r="J534" s="85">
        <f t="shared" si="2"/>
        <v>58.35</v>
      </c>
      <c r="K534" s="85">
        <f t="shared" si="3"/>
        <v>50.30172414</v>
      </c>
      <c r="L534" s="82">
        <v>61.79</v>
      </c>
      <c r="M534" s="85">
        <f t="shared" si="4"/>
        <v>33.019</v>
      </c>
      <c r="N534" s="86">
        <f t="shared" si="9"/>
        <v>0.1579856459</v>
      </c>
      <c r="O534" s="86"/>
      <c r="P534" s="82"/>
    </row>
    <row r="535">
      <c r="A535" s="90" t="s">
        <v>3728</v>
      </c>
      <c r="B535" s="90" t="s">
        <v>3729</v>
      </c>
      <c r="C535" s="90"/>
      <c r="D535" s="84">
        <v>898.0</v>
      </c>
      <c r="E535" s="83"/>
      <c r="F535" s="84">
        <f t="shared" si="1"/>
        <v>61.962</v>
      </c>
      <c r="G535" s="84"/>
      <c r="H535" s="84">
        <v>631.0</v>
      </c>
      <c r="I535" s="91">
        <v>0.1</v>
      </c>
      <c r="J535" s="85">
        <f t="shared" si="2"/>
        <v>89.8</v>
      </c>
      <c r="K535" s="85">
        <f t="shared" si="3"/>
        <v>77.4137931</v>
      </c>
      <c r="L535" s="82">
        <v>66.04</v>
      </c>
      <c r="M535" s="85">
        <f t="shared" si="4"/>
        <v>49.198</v>
      </c>
      <c r="N535" s="86">
        <f t="shared" si="9"/>
        <v>0.07796830428</v>
      </c>
      <c r="O535" s="86"/>
      <c r="P535" s="82"/>
    </row>
    <row r="536">
      <c r="A536" s="90" t="s">
        <v>3730</v>
      </c>
      <c r="B536" s="90" t="s">
        <v>3731</v>
      </c>
      <c r="C536" s="90"/>
      <c r="D536" s="84">
        <v>799.0</v>
      </c>
      <c r="E536" s="83"/>
      <c r="F536" s="84">
        <f t="shared" si="1"/>
        <v>55.131</v>
      </c>
      <c r="G536" s="84"/>
      <c r="H536" s="84">
        <v>596.0</v>
      </c>
      <c r="I536" s="91">
        <v>0.1</v>
      </c>
      <c r="J536" s="85">
        <f t="shared" si="2"/>
        <v>79.9</v>
      </c>
      <c r="K536" s="85">
        <f t="shared" si="3"/>
        <v>68.87931034</v>
      </c>
      <c r="L536" s="82">
        <v>64.62</v>
      </c>
      <c r="M536" s="85">
        <f t="shared" si="4"/>
        <v>3.349</v>
      </c>
      <c r="N536" s="86">
        <f t="shared" si="9"/>
        <v>0.005619127517</v>
      </c>
      <c r="O536" s="86"/>
      <c r="P536" s="82"/>
    </row>
    <row r="537">
      <c r="A537" s="90" t="s">
        <v>3730</v>
      </c>
      <c r="B537" s="90" t="s">
        <v>3732</v>
      </c>
      <c r="C537" s="90"/>
      <c r="D537" s="84">
        <v>819.0</v>
      </c>
      <c r="E537" s="83"/>
      <c r="F537" s="84">
        <f t="shared" si="1"/>
        <v>56.511</v>
      </c>
      <c r="G537" s="84"/>
      <c r="H537" s="84">
        <v>596.0</v>
      </c>
      <c r="I537" s="91">
        <v>0.1</v>
      </c>
      <c r="J537" s="85">
        <f t="shared" si="2"/>
        <v>81.9</v>
      </c>
      <c r="K537" s="85">
        <f t="shared" si="3"/>
        <v>70.60344828</v>
      </c>
      <c r="L537" s="82">
        <v>64.62</v>
      </c>
      <c r="M537" s="85">
        <f t="shared" si="4"/>
        <v>19.969</v>
      </c>
      <c r="N537" s="86">
        <f t="shared" si="9"/>
        <v>0.03350503356</v>
      </c>
      <c r="O537" s="86"/>
      <c r="P537" s="82"/>
    </row>
    <row r="538">
      <c r="A538" s="90" t="s">
        <v>3733</v>
      </c>
      <c r="B538" s="90" t="s">
        <v>3734</v>
      </c>
      <c r="C538" s="90"/>
      <c r="D538" s="84">
        <v>3599.0</v>
      </c>
      <c r="E538" s="83"/>
      <c r="F538" s="84">
        <f t="shared" si="1"/>
        <v>248.331</v>
      </c>
      <c r="G538" s="84"/>
      <c r="H538" s="84">
        <v>1785.0</v>
      </c>
      <c r="I538" s="91">
        <v>0.12</v>
      </c>
      <c r="J538" s="85">
        <f t="shared" si="2"/>
        <v>431.88</v>
      </c>
      <c r="K538" s="85">
        <f t="shared" si="3"/>
        <v>372.3103448</v>
      </c>
      <c r="L538" s="82">
        <v>64.62</v>
      </c>
      <c r="M538" s="85">
        <f t="shared" si="4"/>
        <v>1069.169</v>
      </c>
      <c r="N538" s="86">
        <f t="shared" si="9"/>
        <v>0.5989742297</v>
      </c>
      <c r="O538" s="86"/>
      <c r="P538" s="82"/>
    </row>
    <row r="539">
      <c r="A539" s="90" t="s">
        <v>3735</v>
      </c>
      <c r="B539" s="90" t="s">
        <v>3736</v>
      </c>
      <c r="C539" s="90"/>
      <c r="D539" s="84">
        <v>2999.0</v>
      </c>
      <c r="E539" s="83"/>
      <c r="F539" s="84">
        <f t="shared" si="1"/>
        <v>206.931</v>
      </c>
      <c r="G539" s="84"/>
      <c r="H539" s="84">
        <v>1785.0</v>
      </c>
      <c r="I539" s="91">
        <v>0.12</v>
      </c>
      <c r="J539" s="85">
        <f t="shared" si="2"/>
        <v>359.88</v>
      </c>
      <c r="K539" s="85">
        <f t="shared" si="3"/>
        <v>310.2413793</v>
      </c>
      <c r="L539" s="82">
        <v>64.62</v>
      </c>
      <c r="M539" s="85">
        <f t="shared" si="4"/>
        <v>582.569</v>
      </c>
      <c r="N539" s="86">
        <f t="shared" si="9"/>
        <v>0.3263691877</v>
      </c>
      <c r="O539" s="86"/>
      <c r="P539" s="82"/>
    </row>
    <row r="540">
      <c r="A540" s="90" t="s">
        <v>3737</v>
      </c>
      <c r="B540" s="90" t="s">
        <v>3738</v>
      </c>
      <c r="C540" s="90"/>
      <c r="D540" s="84">
        <v>1499.0</v>
      </c>
      <c r="E540" s="83"/>
      <c r="F540" s="84">
        <f t="shared" si="1"/>
        <v>103.431</v>
      </c>
      <c r="G540" s="84"/>
      <c r="H540" s="84">
        <v>1048.0</v>
      </c>
      <c r="I540" s="91">
        <v>0.15</v>
      </c>
      <c r="J540" s="85">
        <f t="shared" si="2"/>
        <v>224.85</v>
      </c>
      <c r="K540" s="85">
        <f t="shared" si="3"/>
        <v>193.8362069</v>
      </c>
      <c r="L540" s="82">
        <v>63.21</v>
      </c>
      <c r="M540" s="85">
        <f t="shared" si="4"/>
        <v>59.509</v>
      </c>
      <c r="N540" s="86">
        <f t="shared" si="9"/>
        <v>0.05678339695</v>
      </c>
      <c r="O540" s="86"/>
      <c r="P540" s="82"/>
    </row>
    <row r="541">
      <c r="A541" s="90" t="s">
        <v>3739</v>
      </c>
      <c r="B541" s="90" t="s">
        <v>3740</v>
      </c>
      <c r="C541" s="90"/>
      <c r="D541" s="84">
        <v>3198.0</v>
      </c>
      <c r="E541" s="83"/>
      <c r="F541" s="84">
        <f t="shared" si="1"/>
        <v>220.662</v>
      </c>
      <c r="G541" s="84"/>
      <c r="H541" s="84">
        <v>2649.0</v>
      </c>
      <c r="I541" s="91">
        <v>0.15</v>
      </c>
      <c r="J541" s="85">
        <f t="shared" si="2"/>
        <v>479.7</v>
      </c>
      <c r="K541" s="85">
        <f t="shared" si="3"/>
        <v>413.5344828</v>
      </c>
      <c r="L541" s="82">
        <v>70.88</v>
      </c>
      <c r="M541" s="85">
        <f t="shared" si="4"/>
        <v>-222.242</v>
      </c>
      <c r="N541" s="86">
        <f t="shared" si="9"/>
        <v>-0.08389656474</v>
      </c>
      <c r="O541" s="86"/>
      <c r="P541" s="82"/>
    </row>
    <row r="542">
      <c r="A542" s="90" t="s">
        <v>3741</v>
      </c>
      <c r="B542" s="90" t="s">
        <v>3742</v>
      </c>
      <c r="C542" s="90"/>
      <c r="D542" s="84">
        <v>269.0</v>
      </c>
      <c r="E542" s="83"/>
      <c r="F542" s="84">
        <f t="shared" si="1"/>
        <v>18.561</v>
      </c>
      <c r="G542" s="84"/>
      <c r="H542" s="84">
        <v>97.75</v>
      </c>
      <c r="I542" s="91">
        <v>0.15</v>
      </c>
      <c r="J542" s="85">
        <f t="shared" si="2"/>
        <v>40.35</v>
      </c>
      <c r="K542" s="85">
        <f t="shared" si="3"/>
        <v>34.78448276</v>
      </c>
      <c r="L542" s="82">
        <v>61.79</v>
      </c>
      <c r="M542" s="85">
        <f t="shared" si="4"/>
        <v>50.549</v>
      </c>
      <c r="N542" s="86">
        <f t="shared" si="9"/>
        <v>0.5171253197</v>
      </c>
      <c r="O542" s="86"/>
      <c r="P542" s="82"/>
    </row>
    <row r="543">
      <c r="A543" s="90" t="s">
        <v>3743</v>
      </c>
      <c r="B543" s="90" t="s">
        <v>3744</v>
      </c>
      <c r="C543" s="90"/>
      <c r="D543" s="84">
        <v>430.0</v>
      </c>
      <c r="E543" s="83"/>
      <c r="F543" s="84">
        <f t="shared" si="1"/>
        <v>29.67</v>
      </c>
      <c r="G543" s="84"/>
      <c r="H543" s="84">
        <v>271.59</v>
      </c>
      <c r="I543" s="91">
        <v>0.15</v>
      </c>
      <c r="J543" s="85">
        <f t="shared" si="2"/>
        <v>64.5</v>
      </c>
      <c r="K543" s="85">
        <f t="shared" si="3"/>
        <v>55.60344828</v>
      </c>
      <c r="L543" s="82">
        <v>61.79</v>
      </c>
      <c r="M543" s="85">
        <f t="shared" si="4"/>
        <v>2.45</v>
      </c>
      <c r="N543" s="86">
        <f t="shared" si="9"/>
        <v>0.009020950698</v>
      </c>
      <c r="O543" s="86"/>
      <c r="P543" s="82"/>
    </row>
    <row r="544">
      <c r="A544" s="90" t="s">
        <v>3745</v>
      </c>
      <c r="B544" s="90" t="s">
        <v>3746</v>
      </c>
      <c r="C544" s="90"/>
      <c r="D544" s="84">
        <v>1449.0</v>
      </c>
      <c r="E544" s="83"/>
      <c r="F544" s="84">
        <f t="shared" si="1"/>
        <v>99.981</v>
      </c>
      <c r="G544" s="84"/>
      <c r="H544" s="84">
        <v>1054.31</v>
      </c>
      <c r="I544" s="91">
        <v>0.15</v>
      </c>
      <c r="J544" s="85">
        <f t="shared" si="2"/>
        <v>217.35</v>
      </c>
      <c r="K544" s="85">
        <f t="shared" si="3"/>
        <v>187.3706897</v>
      </c>
      <c r="L544" s="82">
        <v>67.45</v>
      </c>
      <c r="M544" s="85">
        <f t="shared" si="4"/>
        <v>9.909</v>
      </c>
      <c r="N544" s="86">
        <f t="shared" si="9"/>
        <v>0.00939856399</v>
      </c>
      <c r="O544" s="86"/>
      <c r="P544" s="82"/>
    </row>
    <row r="545">
      <c r="A545" s="90" t="s">
        <v>3747</v>
      </c>
      <c r="B545" s="90" t="s">
        <v>3748</v>
      </c>
      <c r="C545" s="90"/>
      <c r="D545" s="84">
        <v>3279.0</v>
      </c>
      <c r="E545" s="83"/>
      <c r="F545" s="84">
        <f t="shared" si="1"/>
        <v>226.251</v>
      </c>
      <c r="G545" s="84"/>
      <c r="H545" s="84">
        <v>2611.17</v>
      </c>
      <c r="I545" s="91">
        <v>0.1</v>
      </c>
      <c r="J545" s="85">
        <f t="shared" si="2"/>
        <v>327.9</v>
      </c>
      <c r="K545" s="85">
        <f t="shared" si="3"/>
        <v>282.6724138</v>
      </c>
      <c r="L545" s="82">
        <v>132.83</v>
      </c>
      <c r="M545" s="85">
        <f t="shared" si="4"/>
        <v>-19.151</v>
      </c>
      <c r="N545" s="86">
        <f t="shared" si="9"/>
        <v>-0.007334260121</v>
      </c>
      <c r="O545" s="86"/>
      <c r="P545" s="82"/>
    </row>
    <row r="546">
      <c r="A546" s="90" t="s">
        <v>3749</v>
      </c>
      <c r="B546" s="90" t="s">
        <v>3750</v>
      </c>
      <c r="C546" s="90"/>
      <c r="D546" s="84">
        <v>3699.0</v>
      </c>
      <c r="E546" s="83"/>
      <c r="F546" s="84">
        <f t="shared" si="1"/>
        <v>255.231</v>
      </c>
      <c r="G546" s="84"/>
      <c r="H546" s="84">
        <v>2861.12</v>
      </c>
      <c r="I546" s="91">
        <v>0.1</v>
      </c>
      <c r="J546" s="85">
        <f t="shared" si="2"/>
        <v>369.9</v>
      </c>
      <c r="K546" s="85">
        <f t="shared" si="3"/>
        <v>318.8793103</v>
      </c>
      <c r="L546" s="82">
        <v>71.89</v>
      </c>
      <c r="M546" s="85">
        <f t="shared" si="4"/>
        <v>140.859</v>
      </c>
      <c r="N546" s="86">
        <f t="shared" si="9"/>
        <v>0.04923211889</v>
      </c>
      <c r="O546" s="86"/>
      <c r="P546" s="82"/>
    </row>
    <row r="547">
      <c r="A547" s="90" t="s">
        <v>3751</v>
      </c>
      <c r="B547" s="90" t="s">
        <v>3752</v>
      </c>
      <c r="C547" s="90"/>
      <c r="D547" s="84">
        <v>3699.0</v>
      </c>
      <c r="E547" s="83"/>
      <c r="F547" s="84">
        <f t="shared" si="1"/>
        <v>255.231</v>
      </c>
      <c r="G547" s="84"/>
      <c r="H547" s="84">
        <v>2861.12</v>
      </c>
      <c r="I547" s="91">
        <v>0.1</v>
      </c>
      <c r="J547" s="85">
        <f t="shared" si="2"/>
        <v>369.9</v>
      </c>
      <c r="K547" s="85">
        <f t="shared" si="3"/>
        <v>318.8793103</v>
      </c>
      <c r="L547" s="82">
        <v>71.89</v>
      </c>
      <c r="M547" s="85">
        <f t="shared" si="4"/>
        <v>140.859</v>
      </c>
      <c r="N547" s="86">
        <f t="shared" si="9"/>
        <v>0.04923211889</v>
      </c>
      <c r="O547" s="86"/>
      <c r="P547" s="82"/>
    </row>
    <row r="548">
      <c r="A548" s="90" t="s">
        <v>3753</v>
      </c>
      <c r="B548" s="90" t="s">
        <v>3754</v>
      </c>
      <c r="C548" s="90"/>
      <c r="D548" s="84">
        <v>789.0</v>
      </c>
      <c r="E548" s="83"/>
      <c r="F548" s="84">
        <f t="shared" si="1"/>
        <v>54.441</v>
      </c>
      <c r="G548" s="84"/>
      <c r="H548" s="84">
        <v>580.0</v>
      </c>
      <c r="I548" s="91">
        <v>0.1</v>
      </c>
      <c r="J548" s="85">
        <f t="shared" si="2"/>
        <v>78.9</v>
      </c>
      <c r="K548" s="85">
        <f t="shared" si="3"/>
        <v>68.01724138</v>
      </c>
      <c r="L548" s="82">
        <v>61.79</v>
      </c>
      <c r="M548" s="85">
        <f t="shared" si="4"/>
        <v>13.869</v>
      </c>
      <c r="N548" s="86">
        <f t="shared" si="9"/>
        <v>0.02391206897</v>
      </c>
      <c r="O548" s="86"/>
      <c r="P548" s="82"/>
    </row>
    <row r="549">
      <c r="A549" s="90" t="s">
        <v>3753</v>
      </c>
      <c r="B549" s="90" t="s">
        <v>3755</v>
      </c>
      <c r="C549" s="90"/>
      <c r="D549" s="84">
        <v>789.0</v>
      </c>
      <c r="E549" s="83"/>
      <c r="F549" s="84">
        <f t="shared" si="1"/>
        <v>54.441</v>
      </c>
      <c r="G549" s="84"/>
      <c r="H549" s="84">
        <v>580.0</v>
      </c>
      <c r="I549" s="91">
        <v>0.1</v>
      </c>
      <c r="J549" s="85">
        <f t="shared" si="2"/>
        <v>78.9</v>
      </c>
      <c r="K549" s="85">
        <f t="shared" si="3"/>
        <v>68.01724138</v>
      </c>
      <c r="L549" s="82">
        <v>61.79</v>
      </c>
      <c r="M549" s="85">
        <f t="shared" si="4"/>
        <v>13.869</v>
      </c>
      <c r="N549" s="86">
        <f t="shared" si="9"/>
        <v>0.02391206897</v>
      </c>
      <c r="O549" s="86"/>
      <c r="P549" s="82"/>
    </row>
    <row r="550">
      <c r="A550" s="90" t="s">
        <v>3753</v>
      </c>
      <c r="B550" s="90" t="s">
        <v>3756</v>
      </c>
      <c r="C550" s="90"/>
      <c r="D550" s="84">
        <v>789.0</v>
      </c>
      <c r="E550" s="83"/>
      <c r="F550" s="84">
        <f t="shared" si="1"/>
        <v>54.441</v>
      </c>
      <c r="G550" s="84"/>
      <c r="H550" s="84">
        <v>531.0</v>
      </c>
      <c r="I550" s="91">
        <v>0.1</v>
      </c>
      <c r="J550" s="85">
        <f t="shared" si="2"/>
        <v>78.9</v>
      </c>
      <c r="K550" s="85">
        <f t="shared" si="3"/>
        <v>68.01724138</v>
      </c>
      <c r="L550" s="82">
        <v>61.79</v>
      </c>
      <c r="M550" s="85">
        <f t="shared" si="4"/>
        <v>62.869</v>
      </c>
      <c r="N550" s="86">
        <f t="shared" si="9"/>
        <v>0.1183973635</v>
      </c>
      <c r="O550" s="86"/>
      <c r="P550" s="82"/>
    </row>
    <row r="551">
      <c r="A551" s="90" t="s">
        <v>1732</v>
      </c>
      <c r="B551" s="90" t="s">
        <v>3757</v>
      </c>
      <c r="C551" s="90"/>
      <c r="D551" s="84">
        <v>429.0</v>
      </c>
      <c r="E551" s="83"/>
      <c r="F551" s="84">
        <f t="shared" si="1"/>
        <v>29.601</v>
      </c>
      <c r="G551" s="84"/>
      <c r="H551" s="84">
        <v>230.0</v>
      </c>
      <c r="I551" s="91">
        <v>0.15</v>
      </c>
      <c r="J551" s="85">
        <f t="shared" si="2"/>
        <v>64.35</v>
      </c>
      <c r="K551" s="85">
        <f t="shared" si="3"/>
        <v>55.47413793</v>
      </c>
      <c r="L551" s="82">
        <v>61.79</v>
      </c>
      <c r="M551" s="85">
        <f t="shared" si="4"/>
        <v>43.259</v>
      </c>
      <c r="N551" s="86">
        <f t="shared" si="9"/>
        <v>0.1880826087</v>
      </c>
      <c r="O551" s="86"/>
      <c r="P551" s="82"/>
    </row>
    <row r="552">
      <c r="A552" s="90" t="s">
        <v>3758</v>
      </c>
      <c r="B552" s="90" t="s">
        <v>3759</v>
      </c>
      <c r="C552" s="90"/>
      <c r="D552" s="84">
        <v>2099.0</v>
      </c>
      <c r="E552" s="83"/>
      <c r="F552" s="84">
        <f t="shared" si="1"/>
        <v>144.831</v>
      </c>
      <c r="G552" s="84"/>
      <c r="H552" s="84">
        <v>1561.14</v>
      </c>
      <c r="I552" s="91">
        <v>0.14</v>
      </c>
      <c r="J552" s="85">
        <f t="shared" si="2"/>
        <v>293.86</v>
      </c>
      <c r="K552" s="85">
        <f t="shared" si="3"/>
        <v>253.3275862</v>
      </c>
      <c r="L552" s="82">
        <v>67.45</v>
      </c>
      <c r="M552" s="85">
        <f t="shared" si="4"/>
        <v>31.719</v>
      </c>
      <c r="N552" s="86">
        <f t="shared" si="9"/>
        <v>0.02031784465</v>
      </c>
      <c r="O552" s="86"/>
      <c r="P552" s="82"/>
    </row>
    <row r="553">
      <c r="A553" s="90" t="s">
        <v>3760</v>
      </c>
      <c r="B553" s="90" t="s">
        <v>3761</v>
      </c>
      <c r="C553" s="90"/>
      <c r="D553" s="84">
        <v>2099.0</v>
      </c>
      <c r="E553" s="83"/>
      <c r="F553" s="84">
        <f t="shared" si="1"/>
        <v>144.831</v>
      </c>
      <c r="G553" s="84"/>
      <c r="H553" s="84">
        <v>1561.14</v>
      </c>
      <c r="I553" s="91">
        <v>0.14</v>
      </c>
      <c r="J553" s="85">
        <f t="shared" si="2"/>
        <v>293.86</v>
      </c>
      <c r="K553" s="85">
        <f t="shared" si="3"/>
        <v>253.3275862</v>
      </c>
      <c r="L553" s="82">
        <v>67.45</v>
      </c>
      <c r="M553" s="85">
        <f t="shared" si="4"/>
        <v>31.719</v>
      </c>
      <c r="N553" s="86">
        <f t="shared" si="9"/>
        <v>0.02031784465</v>
      </c>
      <c r="O553" s="86"/>
      <c r="P553" s="82"/>
    </row>
    <row r="554">
      <c r="A554" s="90" t="s">
        <v>3762</v>
      </c>
      <c r="B554" s="90" t="s">
        <v>3763</v>
      </c>
      <c r="C554" s="90"/>
      <c r="D554" s="84">
        <v>2399.0</v>
      </c>
      <c r="E554" s="83"/>
      <c r="F554" s="84">
        <f t="shared" si="1"/>
        <v>165.531</v>
      </c>
      <c r="G554" s="84"/>
      <c r="H554" s="84">
        <v>1561.14</v>
      </c>
      <c r="I554" s="91">
        <v>0.14</v>
      </c>
      <c r="J554" s="85">
        <f t="shared" si="2"/>
        <v>335.86</v>
      </c>
      <c r="K554" s="85">
        <f t="shared" si="3"/>
        <v>289.5344828</v>
      </c>
      <c r="L554" s="82">
        <v>67.45</v>
      </c>
      <c r="M554" s="85">
        <f t="shared" si="4"/>
        <v>269.019</v>
      </c>
      <c r="N554" s="86">
        <f t="shared" si="9"/>
        <v>0.1723221492</v>
      </c>
      <c r="O554" s="86"/>
      <c r="P554" s="82"/>
    </row>
    <row r="555">
      <c r="A555" s="90" t="s">
        <v>3764</v>
      </c>
      <c r="B555" s="90" t="s">
        <v>3765</v>
      </c>
      <c r="C555" s="90"/>
      <c r="D555" s="84">
        <v>3899.0</v>
      </c>
      <c r="E555" s="83"/>
      <c r="F555" s="84">
        <f t="shared" si="1"/>
        <v>269.031</v>
      </c>
      <c r="G555" s="84"/>
      <c r="H555" s="84">
        <v>2853.08</v>
      </c>
      <c r="I555" s="91">
        <v>0.15</v>
      </c>
      <c r="J555" s="85">
        <f t="shared" si="2"/>
        <v>584.85</v>
      </c>
      <c r="K555" s="85">
        <f t="shared" si="3"/>
        <v>504.1810345</v>
      </c>
      <c r="L555" s="82">
        <v>151.98</v>
      </c>
      <c r="M555" s="85">
        <f t="shared" si="4"/>
        <v>40.059</v>
      </c>
      <c r="N555" s="86">
        <f t="shared" si="9"/>
        <v>0.01404061576</v>
      </c>
      <c r="O555" s="86"/>
      <c r="P555" s="82"/>
    </row>
    <row r="556">
      <c r="A556" s="90" t="s">
        <v>3766</v>
      </c>
      <c r="B556" s="90" t="s">
        <v>3767</v>
      </c>
      <c r="C556" s="90"/>
      <c r="D556" s="84">
        <v>1449.0</v>
      </c>
      <c r="E556" s="83"/>
      <c r="F556" s="84">
        <f t="shared" si="1"/>
        <v>99.981</v>
      </c>
      <c r="G556" s="84"/>
      <c r="H556" s="84">
        <v>1078.1</v>
      </c>
      <c r="I556" s="91">
        <v>0.1</v>
      </c>
      <c r="J556" s="85">
        <f t="shared" si="2"/>
        <v>144.9</v>
      </c>
      <c r="K556" s="85">
        <f t="shared" si="3"/>
        <v>124.9137931</v>
      </c>
      <c r="L556" s="82">
        <v>77.69</v>
      </c>
      <c r="M556" s="85">
        <f t="shared" si="4"/>
        <v>48.329</v>
      </c>
      <c r="N556" s="86">
        <f t="shared" si="9"/>
        <v>0.04482793804</v>
      </c>
      <c r="O556" s="86"/>
      <c r="P556" s="82"/>
    </row>
    <row r="557">
      <c r="A557" s="90" t="s">
        <v>3768</v>
      </c>
      <c r="B557" s="90" t="s">
        <v>3769</v>
      </c>
      <c r="C557" s="90"/>
      <c r="D557" s="84">
        <v>499.0</v>
      </c>
      <c r="E557" s="83"/>
      <c r="F557" s="84">
        <f t="shared" si="1"/>
        <v>34.431</v>
      </c>
      <c r="G557" s="84"/>
      <c r="H557" s="84">
        <v>310.45</v>
      </c>
      <c r="I557" s="91">
        <v>0.15</v>
      </c>
      <c r="J557" s="85">
        <f t="shared" si="2"/>
        <v>74.85</v>
      </c>
      <c r="K557" s="85">
        <f t="shared" si="3"/>
        <v>64.52586207</v>
      </c>
      <c r="L557" s="82">
        <v>61.79</v>
      </c>
      <c r="M557" s="85">
        <f t="shared" si="4"/>
        <v>17.479</v>
      </c>
      <c r="N557" s="86">
        <f t="shared" si="9"/>
        <v>0.05630214205</v>
      </c>
      <c r="O557" s="86"/>
      <c r="P557" s="82"/>
    </row>
    <row r="558">
      <c r="A558" s="89"/>
      <c r="B558" s="90" t="s">
        <v>3770</v>
      </c>
      <c r="C558" s="90"/>
      <c r="D558" s="84">
        <v>399.0</v>
      </c>
      <c r="E558" s="83"/>
      <c r="F558" s="84">
        <f t="shared" si="1"/>
        <v>27.531</v>
      </c>
      <c r="G558" s="84"/>
      <c r="H558" s="84">
        <v>332.28</v>
      </c>
      <c r="I558" s="91">
        <v>0.15</v>
      </c>
      <c r="J558" s="85">
        <f t="shared" si="2"/>
        <v>59.85</v>
      </c>
      <c r="K558" s="85">
        <f t="shared" si="3"/>
        <v>51.59482759</v>
      </c>
      <c r="L558" s="82">
        <v>61.79</v>
      </c>
      <c r="M558" s="85">
        <f t="shared" si="4"/>
        <v>-82.451</v>
      </c>
      <c r="N558" s="86">
        <f t="shared" si="9"/>
        <v>-0.2481371133</v>
      </c>
      <c r="O558" s="86"/>
      <c r="P558" s="82"/>
    </row>
    <row r="559">
      <c r="A559" s="90" t="s">
        <v>3771</v>
      </c>
      <c r="B559" s="90" t="s">
        <v>3772</v>
      </c>
      <c r="C559" s="90"/>
      <c r="D559" s="84">
        <v>4599.0</v>
      </c>
      <c r="E559" s="83"/>
      <c r="F559" s="84">
        <f t="shared" si="1"/>
        <v>317.331</v>
      </c>
      <c r="G559" s="84"/>
      <c r="H559" s="84">
        <v>3342.01</v>
      </c>
      <c r="I559" s="91">
        <v>0.15</v>
      </c>
      <c r="J559" s="85">
        <f t="shared" si="2"/>
        <v>689.85</v>
      </c>
      <c r="K559" s="85">
        <f t="shared" si="3"/>
        <v>594.6982759</v>
      </c>
      <c r="L559" s="82">
        <v>217.09</v>
      </c>
      <c r="M559" s="85">
        <f t="shared" si="4"/>
        <v>32.719</v>
      </c>
      <c r="N559" s="86">
        <f t="shared" si="9"/>
        <v>0.009790216068</v>
      </c>
      <c r="O559" s="86"/>
      <c r="P559" s="82"/>
    </row>
    <row r="560">
      <c r="A560" s="90" t="s">
        <v>3773</v>
      </c>
      <c r="B560" s="90" t="s">
        <v>3774</v>
      </c>
      <c r="C560" s="90"/>
      <c r="D560" s="84">
        <v>3599.0</v>
      </c>
      <c r="E560" s="83"/>
      <c r="F560" s="84">
        <f t="shared" si="1"/>
        <v>248.331</v>
      </c>
      <c r="G560" s="84"/>
      <c r="H560" s="84">
        <v>2826.76</v>
      </c>
      <c r="I560" s="91">
        <v>0.1</v>
      </c>
      <c r="J560" s="85">
        <f t="shared" si="2"/>
        <v>359.9</v>
      </c>
      <c r="K560" s="85">
        <f t="shared" si="3"/>
        <v>310.2586207</v>
      </c>
      <c r="L560" s="82">
        <v>106.02</v>
      </c>
      <c r="M560" s="85">
        <f t="shared" si="4"/>
        <v>57.989</v>
      </c>
      <c r="N560" s="86">
        <f t="shared" si="9"/>
        <v>0.02051429906</v>
      </c>
      <c r="O560" s="86"/>
      <c r="P560" s="82"/>
    </row>
    <row r="561">
      <c r="A561" s="90" t="s">
        <v>3775</v>
      </c>
      <c r="B561" s="90" t="s">
        <v>3776</v>
      </c>
      <c r="C561" s="90"/>
      <c r="D561" s="84">
        <v>2799.0</v>
      </c>
      <c r="E561" s="83"/>
      <c r="F561" s="84">
        <f t="shared" si="1"/>
        <v>193.131</v>
      </c>
      <c r="G561" s="84"/>
      <c r="H561" s="84">
        <v>2177.78</v>
      </c>
      <c r="I561" s="91">
        <v>0.115</v>
      </c>
      <c r="J561" s="85">
        <f t="shared" si="2"/>
        <v>321.885</v>
      </c>
      <c r="K561" s="85">
        <f t="shared" si="3"/>
        <v>277.487069</v>
      </c>
      <c r="L561" s="82">
        <v>63.21</v>
      </c>
      <c r="M561" s="85">
        <f t="shared" si="4"/>
        <v>42.994</v>
      </c>
      <c r="N561" s="86">
        <f t="shared" si="9"/>
        <v>0.01974212271</v>
      </c>
      <c r="O561" s="86"/>
      <c r="P561" s="82"/>
    </row>
    <row r="562">
      <c r="A562" s="90" t="s">
        <v>3777</v>
      </c>
      <c r="B562" s="90" t="s">
        <v>3778</v>
      </c>
      <c r="C562" s="90"/>
      <c r="D562" s="84">
        <v>1999.0</v>
      </c>
      <c r="E562" s="83"/>
      <c r="F562" s="84">
        <f t="shared" si="1"/>
        <v>137.931</v>
      </c>
      <c r="G562" s="84"/>
      <c r="H562" s="84">
        <v>1690.38</v>
      </c>
      <c r="I562" s="91">
        <v>0.15</v>
      </c>
      <c r="J562" s="85">
        <f t="shared" si="2"/>
        <v>299.85</v>
      </c>
      <c r="K562" s="85">
        <f t="shared" si="3"/>
        <v>258.4913793</v>
      </c>
      <c r="L562" s="82">
        <v>63.21</v>
      </c>
      <c r="M562" s="85">
        <f t="shared" si="4"/>
        <v>-192.371</v>
      </c>
      <c r="N562" s="86">
        <f t="shared" si="9"/>
        <v>-0.1138034052</v>
      </c>
      <c r="O562" s="86"/>
      <c r="P562" s="82"/>
    </row>
    <row r="563">
      <c r="A563" s="90" t="s">
        <v>3777</v>
      </c>
      <c r="B563" s="90" t="s">
        <v>3778</v>
      </c>
      <c r="C563" s="90"/>
      <c r="D563" s="84">
        <v>1999.0</v>
      </c>
      <c r="E563" s="83"/>
      <c r="F563" s="84">
        <f t="shared" si="1"/>
        <v>137.931</v>
      </c>
      <c r="G563" s="84"/>
      <c r="H563" s="84">
        <v>1690.38</v>
      </c>
      <c r="I563" s="91">
        <v>0.125</v>
      </c>
      <c r="J563" s="85">
        <f t="shared" si="2"/>
        <v>249.875</v>
      </c>
      <c r="K563" s="85">
        <f t="shared" si="3"/>
        <v>215.4094828</v>
      </c>
      <c r="L563" s="82">
        <v>63.21</v>
      </c>
      <c r="M563" s="85">
        <f t="shared" si="4"/>
        <v>-142.396</v>
      </c>
      <c r="N563" s="86">
        <f t="shared" si="9"/>
        <v>-0.08423904684</v>
      </c>
      <c r="O563" s="86"/>
      <c r="P563" s="82"/>
    </row>
    <row r="564">
      <c r="A564" s="90" t="s">
        <v>3779</v>
      </c>
      <c r="B564" s="90" t="s">
        <v>3780</v>
      </c>
      <c r="C564" s="90"/>
      <c r="D564" s="84">
        <v>2200.0</v>
      </c>
      <c r="E564" s="83"/>
      <c r="F564" s="84">
        <f t="shared" si="1"/>
        <v>151.8</v>
      </c>
      <c r="G564" s="84"/>
      <c r="H564" s="84">
        <v>1690.38</v>
      </c>
      <c r="I564" s="91">
        <v>0.15</v>
      </c>
      <c r="J564" s="85">
        <f t="shared" si="2"/>
        <v>330</v>
      </c>
      <c r="K564" s="85">
        <f t="shared" si="3"/>
        <v>284.4827586</v>
      </c>
      <c r="L564" s="82">
        <v>63.21</v>
      </c>
      <c r="M564" s="85">
        <f t="shared" si="4"/>
        <v>-35.39</v>
      </c>
      <c r="N564" s="86">
        <f t="shared" si="9"/>
        <v>-0.02093612087</v>
      </c>
      <c r="O564" s="86"/>
      <c r="P564" s="82"/>
    </row>
    <row r="565">
      <c r="A565" s="90" t="s">
        <v>3781</v>
      </c>
      <c r="B565" s="90" t="s">
        <v>3782</v>
      </c>
      <c r="C565" s="94" t="s">
        <v>3783</v>
      </c>
      <c r="D565" s="84">
        <v>999.0</v>
      </c>
      <c r="E565" s="83"/>
      <c r="F565" s="84">
        <f t="shared" si="1"/>
        <v>68.931</v>
      </c>
      <c r="G565" s="84"/>
      <c r="H565" s="84">
        <v>857.67</v>
      </c>
      <c r="I565" s="91">
        <v>0.15</v>
      </c>
      <c r="J565" s="85">
        <f t="shared" si="2"/>
        <v>149.85</v>
      </c>
      <c r="K565" s="85">
        <f t="shared" si="3"/>
        <v>129.1810345</v>
      </c>
      <c r="L565" s="82">
        <v>63.21</v>
      </c>
      <c r="M565" s="85">
        <f t="shared" si="4"/>
        <v>-140.661</v>
      </c>
      <c r="N565" s="86">
        <f t="shared" si="9"/>
        <v>-0.1640036378</v>
      </c>
      <c r="O565" s="86"/>
      <c r="P565" s="82"/>
    </row>
    <row r="566">
      <c r="A566" s="90" t="s">
        <v>3784</v>
      </c>
      <c r="B566" s="90" t="s">
        <v>3785</v>
      </c>
      <c r="C566" s="90"/>
      <c r="D566" s="84">
        <v>999.0</v>
      </c>
      <c r="E566" s="83"/>
      <c r="F566" s="84">
        <f t="shared" si="1"/>
        <v>68.931</v>
      </c>
      <c r="G566" s="84"/>
      <c r="H566" s="84">
        <v>573.04</v>
      </c>
      <c r="I566" s="91">
        <v>0.15</v>
      </c>
      <c r="J566" s="85">
        <f t="shared" si="2"/>
        <v>149.85</v>
      </c>
      <c r="K566" s="85">
        <f t="shared" si="3"/>
        <v>129.1810345</v>
      </c>
      <c r="L566" s="82">
        <v>64.0</v>
      </c>
      <c r="M566" s="85">
        <f t="shared" si="4"/>
        <v>143.179</v>
      </c>
      <c r="N566" s="86">
        <f t="shared" si="9"/>
        <v>0.2498586486</v>
      </c>
      <c r="O566" s="86"/>
      <c r="P566" s="82"/>
    </row>
    <row r="567">
      <c r="A567" s="90" t="s">
        <v>3786</v>
      </c>
      <c r="B567" s="90" t="s">
        <v>3787</v>
      </c>
      <c r="C567" s="90"/>
      <c r="D567" s="84">
        <v>3125.0</v>
      </c>
      <c r="E567" s="83"/>
      <c r="F567" s="84">
        <f t="shared" si="1"/>
        <v>215.625</v>
      </c>
      <c r="G567" s="84"/>
      <c r="H567" s="84">
        <v>3122.35</v>
      </c>
      <c r="I567" s="91">
        <v>0.1</v>
      </c>
      <c r="J567" s="85">
        <f t="shared" si="2"/>
        <v>312.5</v>
      </c>
      <c r="K567" s="85">
        <f t="shared" si="3"/>
        <v>269.3965517</v>
      </c>
      <c r="L567" s="82">
        <v>71.0</v>
      </c>
      <c r="M567" s="85">
        <f t="shared" si="4"/>
        <v>-596.475</v>
      </c>
      <c r="N567" s="86">
        <f t="shared" si="9"/>
        <v>-0.1910339968</v>
      </c>
      <c r="O567" s="86"/>
      <c r="P567" s="82"/>
    </row>
    <row r="568">
      <c r="A568" s="90" t="s">
        <v>3788</v>
      </c>
      <c r="B568" s="90" t="s">
        <v>3789</v>
      </c>
      <c r="C568" s="90"/>
      <c r="D568" s="84">
        <v>3299.0</v>
      </c>
      <c r="E568" s="83"/>
      <c r="F568" s="84">
        <f t="shared" si="1"/>
        <v>227.631</v>
      </c>
      <c r="G568" s="84"/>
      <c r="H568" s="84">
        <v>2682.86</v>
      </c>
      <c r="I568" s="91">
        <v>0.1</v>
      </c>
      <c r="J568" s="85">
        <f t="shared" si="2"/>
        <v>329.9</v>
      </c>
      <c r="K568" s="85">
        <f t="shared" si="3"/>
        <v>284.3965517</v>
      </c>
      <c r="L568" s="82">
        <v>71.0</v>
      </c>
      <c r="M568" s="85">
        <f t="shared" si="4"/>
        <v>-12.391</v>
      </c>
      <c r="N568" s="86">
        <f t="shared" si="9"/>
        <v>-0.004618578681</v>
      </c>
      <c r="O568" s="86"/>
      <c r="P568" s="82"/>
    </row>
    <row r="569">
      <c r="A569" s="90" t="s">
        <v>3790</v>
      </c>
      <c r="B569" s="90" t="s">
        <v>3791</v>
      </c>
      <c r="C569" s="90" t="s">
        <v>3792</v>
      </c>
      <c r="D569" s="84">
        <v>569.0</v>
      </c>
      <c r="E569" s="83"/>
      <c r="F569" s="84">
        <f t="shared" si="1"/>
        <v>39.261</v>
      </c>
      <c r="G569" s="84"/>
      <c r="H569" s="84">
        <v>350.52</v>
      </c>
      <c r="I569" s="91">
        <v>0.15</v>
      </c>
      <c r="J569" s="85">
        <f t="shared" si="2"/>
        <v>85.35</v>
      </c>
      <c r="K569" s="85">
        <f t="shared" si="3"/>
        <v>73.57758621</v>
      </c>
      <c r="L569" s="82">
        <v>63.21</v>
      </c>
      <c r="M569" s="85">
        <f t="shared" si="4"/>
        <v>30.659</v>
      </c>
      <c r="N569" s="86">
        <f t="shared" si="9"/>
        <v>0.0874671916</v>
      </c>
      <c r="O569" s="86"/>
      <c r="P569" s="82"/>
    </row>
    <row r="570">
      <c r="A570" s="90" t="s">
        <v>3793</v>
      </c>
      <c r="B570" s="90" t="s">
        <v>3794</v>
      </c>
      <c r="C570" s="90"/>
      <c r="D570" s="84">
        <v>1799.0</v>
      </c>
      <c r="E570" s="83"/>
      <c r="F570" s="84">
        <f t="shared" si="1"/>
        <v>124.131</v>
      </c>
      <c r="G570" s="84"/>
      <c r="H570" s="84">
        <v>1350.0</v>
      </c>
      <c r="I570" s="91">
        <v>0.1</v>
      </c>
      <c r="J570" s="85">
        <f t="shared" si="2"/>
        <v>179.9</v>
      </c>
      <c r="K570" s="85">
        <f t="shared" si="3"/>
        <v>155.0862069</v>
      </c>
      <c r="L570" s="82">
        <v>77.69</v>
      </c>
      <c r="M570" s="85">
        <f t="shared" si="4"/>
        <v>67.279</v>
      </c>
      <c r="N570" s="86">
        <f t="shared" si="9"/>
        <v>0.0498362963</v>
      </c>
      <c r="O570" s="86"/>
      <c r="P570" s="82"/>
    </row>
    <row r="571">
      <c r="A571" s="90" t="s">
        <v>3795</v>
      </c>
      <c r="B571" s="90" t="s">
        <v>3796</v>
      </c>
      <c r="C571" s="90"/>
      <c r="D571" s="84">
        <v>810.0</v>
      </c>
      <c r="E571" s="83"/>
      <c r="F571" s="84">
        <f t="shared" si="1"/>
        <v>55.89</v>
      </c>
      <c r="G571" s="84"/>
      <c r="H571" s="84">
        <v>606.33</v>
      </c>
      <c r="I571" s="91">
        <v>0.1</v>
      </c>
      <c r="J571" s="85">
        <f t="shared" si="2"/>
        <v>81</v>
      </c>
      <c r="K571" s="85">
        <f t="shared" si="3"/>
        <v>69.82758621</v>
      </c>
      <c r="L571" s="82">
        <v>64.0</v>
      </c>
      <c r="M571" s="85">
        <f t="shared" si="4"/>
        <v>2.78</v>
      </c>
      <c r="N571" s="86">
        <f t="shared" si="9"/>
        <v>0.004584961984</v>
      </c>
      <c r="O571" s="86"/>
      <c r="P571" s="82"/>
    </row>
    <row r="572">
      <c r="A572" s="90" t="s">
        <v>3797</v>
      </c>
      <c r="B572" s="90" t="s">
        <v>3796</v>
      </c>
      <c r="C572" s="90"/>
      <c r="D572" s="84">
        <v>6500.0</v>
      </c>
      <c r="E572" s="83"/>
      <c r="F572" s="84">
        <f t="shared" si="1"/>
        <v>448.5</v>
      </c>
      <c r="G572" s="84"/>
      <c r="H572" s="84">
        <v>5150.73</v>
      </c>
      <c r="I572" s="91">
        <v>0.1</v>
      </c>
      <c r="J572" s="85">
        <f t="shared" si="2"/>
        <v>650</v>
      </c>
      <c r="K572" s="85">
        <f t="shared" si="3"/>
        <v>560.3448276</v>
      </c>
      <c r="L572" s="82">
        <v>71.0</v>
      </c>
      <c r="M572" s="85">
        <f t="shared" si="4"/>
        <v>179.77</v>
      </c>
      <c r="N572" s="86">
        <f t="shared" si="9"/>
        <v>0.03490184886</v>
      </c>
      <c r="O572" s="86"/>
      <c r="P572" s="82"/>
    </row>
    <row r="573">
      <c r="A573" s="90" t="s">
        <v>3798</v>
      </c>
      <c r="B573" s="90" t="s">
        <v>3799</v>
      </c>
      <c r="C573" s="90"/>
      <c r="D573" s="84">
        <v>3999.0</v>
      </c>
      <c r="E573" s="83" t="s">
        <v>237</v>
      </c>
      <c r="F573" s="84">
        <f t="shared" si="1"/>
        <v>275.931</v>
      </c>
      <c r="G573" s="84"/>
      <c r="H573" s="84">
        <v>2999.0</v>
      </c>
      <c r="I573" s="91">
        <v>0.15</v>
      </c>
      <c r="J573" s="85">
        <f t="shared" si="2"/>
        <v>599.85</v>
      </c>
      <c r="K573" s="85">
        <f t="shared" si="3"/>
        <v>517.112069</v>
      </c>
      <c r="L573" s="82">
        <v>155.0</v>
      </c>
      <c r="M573" s="85">
        <f t="shared" si="4"/>
        <v>-30.781</v>
      </c>
      <c r="N573" s="86">
        <f t="shared" si="9"/>
        <v>-0.01026375458</v>
      </c>
      <c r="O573" s="86"/>
      <c r="P573" s="82"/>
    </row>
    <row r="574">
      <c r="A574" s="90" t="s">
        <v>3800</v>
      </c>
      <c r="B574" s="90" t="s">
        <v>3801</v>
      </c>
      <c r="C574" s="90"/>
      <c r="D574" s="84">
        <v>1999.0</v>
      </c>
      <c r="E574" s="83"/>
      <c r="F574" s="84">
        <f t="shared" si="1"/>
        <v>137.931</v>
      </c>
      <c r="G574" s="84"/>
      <c r="H574" s="84">
        <v>1400.0</v>
      </c>
      <c r="I574" s="91">
        <v>0.15</v>
      </c>
      <c r="J574" s="85">
        <f t="shared" si="2"/>
        <v>299.85</v>
      </c>
      <c r="K574" s="85">
        <f t="shared" si="3"/>
        <v>258.4913793</v>
      </c>
      <c r="L574" s="82">
        <v>72.89</v>
      </c>
      <c r="M574" s="85">
        <f t="shared" si="4"/>
        <v>88.329</v>
      </c>
      <c r="N574" s="86">
        <f t="shared" si="9"/>
        <v>0.06309214286</v>
      </c>
      <c r="O574" s="86"/>
      <c r="P574" s="82"/>
    </row>
    <row r="575" ht="37.5" customHeight="1">
      <c r="A575" s="90" t="s">
        <v>3802</v>
      </c>
      <c r="B575" s="90" t="s">
        <v>3803</v>
      </c>
      <c r="C575" s="90"/>
      <c r="D575" s="84">
        <v>5600.0</v>
      </c>
      <c r="E575" s="83"/>
      <c r="F575" s="84">
        <f t="shared" si="1"/>
        <v>386.4</v>
      </c>
      <c r="G575" s="84"/>
      <c r="H575" s="84">
        <v>3747.44</v>
      </c>
      <c r="I575" s="91">
        <v>0.1</v>
      </c>
      <c r="J575" s="85">
        <f t="shared" si="2"/>
        <v>560</v>
      </c>
      <c r="K575" s="85">
        <f t="shared" si="3"/>
        <v>482.7586207</v>
      </c>
      <c r="L575" s="82">
        <v>155.81</v>
      </c>
      <c r="M575" s="85">
        <f t="shared" si="4"/>
        <v>750.35</v>
      </c>
      <c r="N575" s="86">
        <f t="shared" si="9"/>
        <v>0.2002300237</v>
      </c>
      <c r="O575" s="86"/>
      <c r="P575" s="82"/>
    </row>
    <row r="576">
      <c r="A576" s="90" t="s">
        <v>3804</v>
      </c>
      <c r="B576" s="90" t="s">
        <v>3805</v>
      </c>
      <c r="C576" s="90"/>
      <c r="D576" s="84">
        <v>3700.0</v>
      </c>
      <c r="E576" s="83"/>
      <c r="F576" s="84">
        <f t="shared" si="1"/>
        <v>255.3</v>
      </c>
      <c r="G576" s="84"/>
      <c r="H576" s="84">
        <v>2030.0</v>
      </c>
      <c r="I576" s="91">
        <v>0.15</v>
      </c>
      <c r="J576" s="85">
        <f t="shared" si="2"/>
        <v>555</v>
      </c>
      <c r="K576" s="85">
        <f t="shared" si="3"/>
        <v>478.4482759</v>
      </c>
      <c r="L576" s="82">
        <v>106.02</v>
      </c>
      <c r="M576" s="85">
        <f t="shared" si="4"/>
        <v>753.68</v>
      </c>
      <c r="N576" s="86">
        <f t="shared" si="9"/>
        <v>0.371270936</v>
      </c>
      <c r="O576" s="86"/>
      <c r="P576" s="82"/>
    </row>
    <row r="577">
      <c r="A577" s="90" t="s">
        <v>3806</v>
      </c>
      <c r="B577" s="90" t="s">
        <v>3807</v>
      </c>
      <c r="C577" s="90"/>
      <c r="D577" s="84">
        <v>389.0</v>
      </c>
      <c r="E577" s="83"/>
      <c r="F577" s="84">
        <f t="shared" si="1"/>
        <v>26.841</v>
      </c>
      <c r="G577" s="84"/>
      <c r="H577" s="84">
        <v>238.0</v>
      </c>
      <c r="I577" s="91">
        <v>0.15</v>
      </c>
      <c r="J577" s="85">
        <f t="shared" si="2"/>
        <v>58.35</v>
      </c>
      <c r="K577" s="85">
        <f t="shared" si="3"/>
        <v>50.30172414</v>
      </c>
      <c r="L577" s="82">
        <v>61.79</v>
      </c>
      <c r="M577" s="85">
        <f t="shared" si="4"/>
        <v>4.019</v>
      </c>
      <c r="N577" s="86">
        <f t="shared" si="9"/>
        <v>0.01688655462</v>
      </c>
      <c r="O577" s="86"/>
      <c r="P577" s="82"/>
    </row>
    <row r="578">
      <c r="A578" s="90" t="s">
        <v>3808</v>
      </c>
      <c r="B578" s="90" t="s">
        <v>3809</v>
      </c>
      <c r="C578" s="90"/>
      <c r="D578" s="84">
        <v>6899.0</v>
      </c>
      <c r="E578" s="83"/>
      <c r="F578" s="84">
        <f t="shared" si="1"/>
        <v>476.031</v>
      </c>
      <c r="G578" s="84"/>
      <c r="H578" s="84">
        <v>4579.61</v>
      </c>
      <c r="I578" s="91">
        <v>0.15</v>
      </c>
      <c r="J578" s="85">
        <f t="shared" si="2"/>
        <v>1034.85</v>
      </c>
      <c r="K578" s="85">
        <f t="shared" si="3"/>
        <v>892.112069</v>
      </c>
      <c r="L578" s="82">
        <v>68.86</v>
      </c>
      <c r="M578" s="85">
        <f t="shared" si="4"/>
        <v>739.649</v>
      </c>
      <c r="N578" s="86">
        <f t="shared" si="9"/>
        <v>0.1615091678</v>
      </c>
      <c r="O578" s="86"/>
      <c r="P578" s="82"/>
    </row>
    <row r="579">
      <c r="A579" s="90" t="s">
        <v>3810</v>
      </c>
      <c r="B579" s="90" t="s">
        <v>3811</v>
      </c>
      <c r="C579" s="90"/>
      <c r="D579" s="84">
        <v>5999.0</v>
      </c>
      <c r="E579" s="83"/>
      <c r="F579" s="84">
        <f t="shared" si="1"/>
        <v>413.931</v>
      </c>
      <c r="G579" s="84"/>
      <c r="H579" s="84">
        <v>4579.61</v>
      </c>
      <c r="I579" s="91">
        <v>0.15</v>
      </c>
      <c r="J579" s="85">
        <f t="shared" si="2"/>
        <v>899.85</v>
      </c>
      <c r="K579" s="85">
        <f t="shared" si="3"/>
        <v>775.7327586</v>
      </c>
      <c r="L579" s="82">
        <v>68.86</v>
      </c>
      <c r="M579" s="85">
        <f t="shared" si="4"/>
        <v>36.749</v>
      </c>
      <c r="N579" s="86">
        <f t="shared" si="9"/>
        <v>0.008024482434</v>
      </c>
      <c r="O579" s="86"/>
      <c r="P579" s="82"/>
    </row>
    <row r="580">
      <c r="A580" s="90" t="s">
        <v>3812</v>
      </c>
      <c r="B580" s="90" t="s">
        <v>3813</v>
      </c>
      <c r="C580" s="90"/>
      <c r="D580" s="84">
        <v>680.0</v>
      </c>
      <c r="E580" s="83"/>
      <c r="F580" s="84">
        <f t="shared" si="1"/>
        <v>46.92</v>
      </c>
      <c r="G580" s="84"/>
      <c r="H580" s="84">
        <v>452.1</v>
      </c>
      <c r="I580" s="91">
        <v>0.15</v>
      </c>
      <c r="J580" s="85">
        <f t="shared" si="2"/>
        <v>102</v>
      </c>
      <c r="K580" s="85">
        <f t="shared" si="3"/>
        <v>87.93103448</v>
      </c>
      <c r="L580" s="82">
        <v>68.86</v>
      </c>
      <c r="M580" s="85">
        <f t="shared" si="4"/>
        <v>10.12</v>
      </c>
      <c r="N580" s="86">
        <f t="shared" si="9"/>
        <v>0.02238442822</v>
      </c>
      <c r="O580" s="86"/>
      <c r="P580" s="82"/>
    </row>
    <row r="581">
      <c r="A581" s="90" t="s">
        <v>3814</v>
      </c>
      <c r="B581" s="90" t="s">
        <v>3815</v>
      </c>
      <c r="C581" s="90"/>
      <c r="D581" s="84">
        <v>5890.0</v>
      </c>
      <c r="E581" s="83"/>
      <c r="F581" s="84">
        <f t="shared" si="1"/>
        <v>406.41</v>
      </c>
      <c r="G581" s="84"/>
      <c r="H581" s="84">
        <v>4914.79</v>
      </c>
      <c r="I581" s="91">
        <v>0.1</v>
      </c>
      <c r="J581" s="85">
        <f t="shared" si="2"/>
        <v>589</v>
      </c>
      <c r="K581" s="85">
        <f t="shared" si="3"/>
        <v>507.7586207</v>
      </c>
      <c r="L581" s="82">
        <v>68.86</v>
      </c>
      <c r="M581" s="85">
        <f t="shared" si="4"/>
        <v>-89.06</v>
      </c>
      <c r="N581" s="86">
        <f t="shared" si="9"/>
        <v>-0.01812081493</v>
      </c>
      <c r="O581" s="86"/>
      <c r="P581" s="82"/>
    </row>
    <row r="582">
      <c r="A582" s="90" t="s">
        <v>3816</v>
      </c>
      <c r="B582" s="90" t="s">
        <v>3817</v>
      </c>
      <c r="C582" s="90"/>
      <c r="D582" s="84">
        <v>785.0</v>
      </c>
      <c r="E582" s="83"/>
      <c r="F582" s="84">
        <f t="shared" si="1"/>
        <v>54.165</v>
      </c>
      <c r="G582" s="84"/>
      <c r="H582" s="84">
        <v>606.33</v>
      </c>
      <c r="I582" s="91">
        <v>0.1</v>
      </c>
      <c r="J582" s="85">
        <f t="shared" si="2"/>
        <v>78.5</v>
      </c>
      <c r="K582" s="85">
        <f t="shared" si="3"/>
        <v>67.67241379</v>
      </c>
      <c r="L582" s="82">
        <v>66.04</v>
      </c>
      <c r="M582" s="85">
        <f t="shared" si="4"/>
        <v>-20.035</v>
      </c>
      <c r="N582" s="86">
        <f t="shared" si="9"/>
        <v>-0.03304306236</v>
      </c>
      <c r="O582" s="86"/>
      <c r="P582" s="82"/>
    </row>
    <row r="583">
      <c r="A583" s="90" t="s">
        <v>3818</v>
      </c>
      <c r="B583" s="90" t="s">
        <v>3819</v>
      </c>
      <c r="C583" s="90"/>
      <c r="D583" s="84">
        <v>2099.0</v>
      </c>
      <c r="E583" s="83"/>
      <c r="F583" s="84">
        <f t="shared" si="1"/>
        <v>144.831</v>
      </c>
      <c r="G583" s="84"/>
      <c r="H583" s="84">
        <v>1507.15</v>
      </c>
      <c r="I583" s="91">
        <v>0.08</v>
      </c>
      <c r="J583" s="85">
        <f t="shared" si="2"/>
        <v>167.92</v>
      </c>
      <c r="K583" s="85">
        <f t="shared" si="3"/>
        <v>144.7586207</v>
      </c>
      <c r="L583" s="82">
        <v>67.45</v>
      </c>
      <c r="M583" s="85">
        <f t="shared" si="4"/>
        <v>211.649</v>
      </c>
      <c r="N583" s="86">
        <f t="shared" si="9"/>
        <v>0.1404299506</v>
      </c>
      <c r="O583" s="86"/>
      <c r="P583" s="82"/>
    </row>
    <row r="584">
      <c r="A584" s="90" t="s">
        <v>3820</v>
      </c>
      <c r="B584" s="90" t="s">
        <v>3821</v>
      </c>
      <c r="C584" s="90"/>
      <c r="D584" s="84">
        <v>6499.0</v>
      </c>
      <c r="E584" s="83"/>
      <c r="F584" s="84">
        <f t="shared" si="1"/>
        <v>448.431</v>
      </c>
      <c r="G584" s="84"/>
      <c r="H584" s="84">
        <v>5150.73</v>
      </c>
      <c r="I584" s="91">
        <v>0.1</v>
      </c>
      <c r="J584" s="85">
        <f t="shared" si="2"/>
        <v>649.9</v>
      </c>
      <c r="K584" s="85">
        <f t="shared" si="3"/>
        <v>560.2586207</v>
      </c>
      <c r="L584" s="82">
        <v>70.88</v>
      </c>
      <c r="M584" s="85">
        <f t="shared" si="4"/>
        <v>179.059</v>
      </c>
      <c r="N584" s="86">
        <f t="shared" si="9"/>
        <v>0.03476381018</v>
      </c>
      <c r="O584" s="86"/>
      <c r="P584" s="82"/>
    </row>
    <row r="585">
      <c r="A585" s="90" t="s">
        <v>3822</v>
      </c>
      <c r="B585" s="90" t="s">
        <v>3823</v>
      </c>
      <c r="C585" s="90"/>
      <c r="D585" s="84">
        <v>4999.0</v>
      </c>
      <c r="E585" s="83"/>
      <c r="F585" s="84">
        <f t="shared" si="1"/>
        <v>344.931</v>
      </c>
      <c r="G585" s="84"/>
      <c r="H585" s="87">
        <v>3720.5075111111105</v>
      </c>
      <c r="I585" s="91">
        <v>0.11</v>
      </c>
      <c r="J585" s="85">
        <f t="shared" si="2"/>
        <v>549.89</v>
      </c>
      <c r="K585" s="85">
        <f t="shared" si="3"/>
        <v>474.0431034</v>
      </c>
      <c r="L585" s="82">
        <v>113.0</v>
      </c>
      <c r="M585" s="85">
        <f t="shared" si="4"/>
        <v>270.6714889</v>
      </c>
      <c r="N585" s="86">
        <f t="shared" si="9"/>
        <v>0.07275122764</v>
      </c>
      <c r="O585" s="86"/>
      <c r="P585" s="82"/>
    </row>
    <row r="586">
      <c r="A586" s="90" t="s">
        <v>3824</v>
      </c>
      <c r="B586" s="90" t="s">
        <v>3825</v>
      </c>
      <c r="C586" s="90"/>
      <c r="D586" s="84">
        <v>499.0</v>
      </c>
      <c r="E586" s="83"/>
      <c r="F586" s="84">
        <f t="shared" si="1"/>
        <v>34.431</v>
      </c>
      <c r="G586" s="84"/>
      <c r="H586" s="84">
        <v>270.0</v>
      </c>
      <c r="I586" s="91">
        <v>0.15</v>
      </c>
      <c r="J586" s="85">
        <f t="shared" si="2"/>
        <v>74.85</v>
      </c>
      <c r="K586" s="85">
        <f t="shared" si="3"/>
        <v>64.52586207</v>
      </c>
      <c r="L586" s="82">
        <v>68.86</v>
      </c>
      <c r="M586" s="85">
        <f t="shared" si="4"/>
        <v>50.859</v>
      </c>
      <c r="N586" s="86">
        <f t="shared" si="9"/>
        <v>0.1883666667</v>
      </c>
      <c r="O586" s="86"/>
      <c r="P586" s="82"/>
    </row>
    <row r="587">
      <c r="A587" s="89"/>
      <c r="B587" s="90" t="s">
        <v>3826</v>
      </c>
      <c r="C587" s="90"/>
      <c r="D587" s="84">
        <v>2999.0</v>
      </c>
      <c r="E587" s="83"/>
      <c r="F587" s="84">
        <f t="shared" si="1"/>
        <v>206.931</v>
      </c>
      <c r="G587" s="84"/>
      <c r="H587" s="84">
        <v>2275.01</v>
      </c>
      <c r="I587" s="91">
        <v>0.1</v>
      </c>
      <c r="J587" s="85">
        <f t="shared" si="2"/>
        <v>299.9</v>
      </c>
      <c r="K587" s="85">
        <f t="shared" si="3"/>
        <v>258.5344828</v>
      </c>
      <c r="L587" s="82">
        <v>81.17</v>
      </c>
      <c r="M587" s="85">
        <f t="shared" si="4"/>
        <v>135.989</v>
      </c>
      <c r="N587" s="86">
        <f t="shared" si="9"/>
        <v>0.05977512187</v>
      </c>
      <c r="O587" s="86"/>
      <c r="P587" s="82"/>
    </row>
    <row r="588">
      <c r="A588" s="90" t="s">
        <v>3827</v>
      </c>
      <c r="B588" s="90" t="s">
        <v>3828</v>
      </c>
      <c r="C588" s="90"/>
      <c r="D588" s="84">
        <v>599.0</v>
      </c>
      <c r="E588" s="83"/>
      <c r="F588" s="84">
        <f t="shared" si="1"/>
        <v>41.331</v>
      </c>
      <c r="G588" s="84"/>
      <c r="H588" s="84">
        <v>385.0</v>
      </c>
      <c r="I588" s="91">
        <v>0.15</v>
      </c>
      <c r="J588" s="85">
        <f t="shared" si="2"/>
        <v>89.85</v>
      </c>
      <c r="K588" s="85">
        <f t="shared" si="3"/>
        <v>77.45689655</v>
      </c>
      <c r="L588" s="82">
        <v>81.17</v>
      </c>
      <c r="M588" s="85">
        <f t="shared" si="4"/>
        <v>1.649</v>
      </c>
      <c r="N588" s="86">
        <f t="shared" si="9"/>
        <v>0.004283116883</v>
      </c>
      <c r="O588" s="86"/>
      <c r="P588" s="82"/>
    </row>
    <row r="589">
      <c r="A589" s="90" t="s">
        <v>3829</v>
      </c>
      <c r="B589" s="90" t="s">
        <v>3830</v>
      </c>
      <c r="C589" s="90"/>
      <c r="D589" s="84">
        <v>5699.0</v>
      </c>
      <c r="E589" s="83"/>
      <c r="F589" s="84">
        <f t="shared" si="1"/>
        <v>393.231</v>
      </c>
      <c r="G589" s="84"/>
      <c r="H589" s="84">
        <v>4221.97</v>
      </c>
      <c r="I589" s="91">
        <v>0.15</v>
      </c>
      <c r="J589" s="85">
        <f t="shared" si="2"/>
        <v>854.85</v>
      </c>
      <c r="K589" s="85">
        <f t="shared" si="3"/>
        <v>736.9396552</v>
      </c>
      <c r="L589" s="82">
        <v>186.45</v>
      </c>
      <c r="M589" s="85">
        <f t="shared" si="4"/>
        <v>42.499</v>
      </c>
      <c r="N589" s="86">
        <f t="shared" si="9"/>
        <v>0.01006615395</v>
      </c>
      <c r="O589" s="86"/>
      <c r="P589" s="82"/>
    </row>
    <row r="590">
      <c r="A590" s="89"/>
      <c r="B590" s="90" t="s">
        <v>3831</v>
      </c>
      <c r="C590" s="90"/>
      <c r="D590" s="84">
        <v>2946.0</v>
      </c>
      <c r="E590" s="83"/>
      <c r="F590" s="84">
        <f t="shared" si="1"/>
        <v>203.274</v>
      </c>
      <c r="G590" s="84"/>
      <c r="H590" s="84">
        <v>2274.07</v>
      </c>
      <c r="I590" s="91">
        <v>0.15</v>
      </c>
      <c r="J590" s="85">
        <f t="shared" si="2"/>
        <v>441.9</v>
      </c>
      <c r="K590" s="85">
        <f t="shared" si="3"/>
        <v>380.9482759</v>
      </c>
      <c r="L590" s="82">
        <v>148.15</v>
      </c>
      <c r="M590" s="85">
        <f t="shared" si="4"/>
        <v>-121.394</v>
      </c>
      <c r="N590" s="86">
        <f t="shared" si="9"/>
        <v>-0.05338182202</v>
      </c>
      <c r="O590" s="86"/>
      <c r="P590" s="82"/>
    </row>
    <row r="591">
      <c r="A591" s="89"/>
      <c r="B591" s="90"/>
      <c r="C591" s="90"/>
      <c r="D591" s="84"/>
      <c r="E591" s="83"/>
      <c r="F591" s="84">
        <f t="shared" si="1"/>
        <v>0</v>
      </c>
      <c r="G591" s="84"/>
      <c r="H591" s="84"/>
      <c r="I591" s="91"/>
      <c r="J591" s="85"/>
      <c r="K591" s="85"/>
      <c r="L591" s="82"/>
      <c r="M591" s="85">
        <f t="shared" si="4"/>
        <v>0</v>
      </c>
      <c r="N591" s="86"/>
      <c r="O591" s="86"/>
      <c r="P591" s="82"/>
    </row>
    <row r="592">
      <c r="A592" s="90" t="s">
        <v>3797</v>
      </c>
      <c r="B592" s="90" t="s">
        <v>3832</v>
      </c>
      <c r="C592" s="90"/>
      <c r="D592" s="84">
        <v>6399.0</v>
      </c>
      <c r="E592" s="83"/>
      <c r="F592" s="84">
        <f t="shared" si="1"/>
        <v>441.531</v>
      </c>
      <c r="G592" s="84"/>
      <c r="H592" s="84">
        <v>5150.73</v>
      </c>
      <c r="I592" s="91">
        <v>0.1</v>
      </c>
      <c r="J592" s="85">
        <f t="shared" ref="J592:J611" si="10">I592*D592</f>
        <v>639.9</v>
      </c>
      <c r="K592" s="85">
        <f t="shared" ref="K592:K611" si="11">J592/1.16</f>
        <v>551.637931</v>
      </c>
      <c r="L592" s="82">
        <v>71.89</v>
      </c>
      <c r="M592" s="85">
        <f t="shared" si="4"/>
        <v>94.949</v>
      </c>
      <c r="N592" s="86">
        <f t="shared" ref="N592:N611" si="12">M592/H592</f>
        <v>0.01843408604</v>
      </c>
      <c r="O592" s="86"/>
      <c r="P592" s="82"/>
    </row>
    <row r="593">
      <c r="A593" s="90" t="s">
        <v>3833</v>
      </c>
      <c r="B593" s="90" t="s">
        <v>3834</v>
      </c>
      <c r="C593" s="90"/>
      <c r="D593" s="84">
        <v>1799.0</v>
      </c>
      <c r="E593" s="83"/>
      <c r="F593" s="84">
        <f t="shared" si="1"/>
        <v>124.131</v>
      </c>
      <c r="G593" s="84"/>
      <c r="H593" s="84">
        <v>1311.11</v>
      </c>
      <c r="I593" s="91">
        <v>0.15</v>
      </c>
      <c r="J593" s="85">
        <f t="shared" si="10"/>
        <v>269.85</v>
      </c>
      <c r="K593" s="85">
        <f t="shared" si="11"/>
        <v>232.6293103</v>
      </c>
      <c r="L593" s="82">
        <v>63.21</v>
      </c>
      <c r="M593" s="85">
        <f t="shared" si="4"/>
        <v>30.699</v>
      </c>
      <c r="N593" s="86">
        <f t="shared" si="12"/>
        <v>0.02341451137</v>
      </c>
      <c r="O593" s="86"/>
      <c r="P593" s="82"/>
    </row>
    <row r="594">
      <c r="A594" s="90" t="s">
        <v>3835</v>
      </c>
      <c r="B594" s="90" t="s">
        <v>3836</v>
      </c>
      <c r="C594" s="90"/>
      <c r="D594" s="84">
        <v>5899.0</v>
      </c>
      <c r="E594" s="83"/>
      <c r="F594" s="84">
        <f t="shared" si="1"/>
        <v>407.031</v>
      </c>
      <c r="G594" s="84"/>
      <c r="H594" s="84">
        <v>4773.0</v>
      </c>
      <c r="I594" s="91">
        <v>0.1</v>
      </c>
      <c r="J594" s="85">
        <f t="shared" si="10"/>
        <v>589.9</v>
      </c>
      <c r="K594" s="85">
        <f t="shared" si="11"/>
        <v>508.5344828</v>
      </c>
      <c r="L594" s="82">
        <v>98.36</v>
      </c>
      <c r="M594" s="85">
        <f t="shared" si="4"/>
        <v>30.709</v>
      </c>
      <c r="N594" s="86">
        <f t="shared" si="12"/>
        <v>0.006433899015</v>
      </c>
      <c r="O594" s="86"/>
      <c r="P594" s="82"/>
    </row>
    <row r="595">
      <c r="A595" s="90" t="s">
        <v>3837</v>
      </c>
      <c r="B595" s="90" t="s">
        <v>3838</v>
      </c>
      <c r="C595" s="90"/>
      <c r="D595" s="84">
        <v>510.0</v>
      </c>
      <c r="E595" s="83"/>
      <c r="F595" s="84">
        <f t="shared" si="1"/>
        <v>35.19</v>
      </c>
      <c r="G595" s="84"/>
      <c r="H595" s="84">
        <v>340.38</v>
      </c>
      <c r="I595" s="91">
        <v>0.15</v>
      </c>
      <c r="J595" s="85">
        <f t="shared" si="10"/>
        <v>76.5</v>
      </c>
      <c r="K595" s="85">
        <f t="shared" si="11"/>
        <v>65.94827586</v>
      </c>
      <c r="L595" s="82">
        <v>61.0</v>
      </c>
      <c r="M595" s="85">
        <f t="shared" si="4"/>
        <v>-3.07</v>
      </c>
      <c r="N595" s="86">
        <f t="shared" si="12"/>
        <v>-0.009019331336</v>
      </c>
      <c r="O595" s="86"/>
      <c r="P595" s="82"/>
    </row>
    <row r="596">
      <c r="A596" s="90" t="s">
        <v>3839</v>
      </c>
      <c r="B596" s="90" t="s">
        <v>3840</v>
      </c>
      <c r="C596" s="90"/>
      <c r="D596" s="84">
        <v>696.0</v>
      </c>
      <c r="E596" s="83"/>
      <c r="F596" s="84">
        <f t="shared" si="1"/>
        <v>48.024</v>
      </c>
      <c r="G596" s="84"/>
      <c r="H596" s="84">
        <v>439.0</v>
      </c>
      <c r="I596" s="91">
        <v>0.15</v>
      </c>
      <c r="J596" s="85">
        <f t="shared" si="10"/>
        <v>104.4</v>
      </c>
      <c r="K596" s="85">
        <f t="shared" si="11"/>
        <v>90</v>
      </c>
      <c r="L596" s="82">
        <v>63.0</v>
      </c>
      <c r="M596" s="85">
        <f t="shared" si="4"/>
        <v>41.576</v>
      </c>
      <c r="N596" s="86">
        <f t="shared" si="12"/>
        <v>0.09470615034</v>
      </c>
      <c r="O596" s="86"/>
      <c r="P596" s="82"/>
    </row>
    <row r="597">
      <c r="A597" s="90" t="s">
        <v>3839</v>
      </c>
      <c r="B597" s="90" t="s">
        <v>3841</v>
      </c>
      <c r="C597" s="90"/>
      <c r="D597" s="84">
        <v>598.0</v>
      </c>
      <c r="E597" s="83" t="s">
        <v>237</v>
      </c>
      <c r="F597" s="84">
        <f t="shared" si="1"/>
        <v>41.262</v>
      </c>
      <c r="G597" s="84"/>
      <c r="H597" s="84">
        <v>403.69</v>
      </c>
      <c r="I597" s="91">
        <v>0.1</v>
      </c>
      <c r="J597" s="85">
        <f t="shared" si="10"/>
        <v>59.8</v>
      </c>
      <c r="K597" s="85">
        <f t="shared" si="11"/>
        <v>51.55172414</v>
      </c>
      <c r="L597" s="82">
        <v>63.0</v>
      </c>
      <c r="M597" s="85">
        <f t="shared" si="4"/>
        <v>30.248</v>
      </c>
      <c r="N597" s="86">
        <f t="shared" si="12"/>
        <v>0.07492878199</v>
      </c>
      <c r="O597" s="86"/>
      <c r="P597" s="82"/>
    </row>
    <row r="598">
      <c r="A598" s="90" t="s">
        <v>3842</v>
      </c>
      <c r="B598" s="90" t="s">
        <v>3843</v>
      </c>
      <c r="C598" s="90"/>
      <c r="D598" s="84">
        <v>9699.0</v>
      </c>
      <c r="E598" s="83"/>
      <c r="F598" s="84">
        <f t="shared" si="1"/>
        <v>669.231</v>
      </c>
      <c r="G598" s="84"/>
      <c r="H598" s="84">
        <v>7700.79</v>
      </c>
      <c r="I598" s="91">
        <v>0.1</v>
      </c>
      <c r="J598" s="85">
        <f t="shared" si="10"/>
        <v>969.9</v>
      </c>
      <c r="K598" s="85">
        <f t="shared" si="11"/>
        <v>836.1206897</v>
      </c>
      <c r="L598" s="82">
        <v>255.0</v>
      </c>
      <c r="M598" s="85">
        <f t="shared" si="4"/>
        <v>104.079</v>
      </c>
      <c r="N598" s="86">
        <f t="shared" si="12"/>
        <v>0.01351536661</v>
      </c>
      <c r="O598" s="86"/>
      <c r="P598" s="82"/>
    </row>
    <row r="599">
      <c r="A599" s="90" t="s">
        <v>3844</v>
      </c>
      <c r="B599" s="90" t="s">
        <v>3845</v>
      </c>
      <c r="C599" s="90"/>
      <c r="D599" s="84">
        <v>1999.0</v>
      </c>
      <c r="E599" s="83"/>
      <c r="F599" s="84">
        <f t="shared" si="1"/>
        <v>137.931</v>
      </c>
      <c r="G599" s="84"/>
      <c r="H599" s="84">
        <v>1528.81</v>
      </c>
      <c r="I599" s="91">
        <v>0.1</v>
      </c>
      <c r="J599" s="85">
        <f t="shared" si="10"/>
        <v>199.9</v>
      </c>
      <c r="K599" s="85">
        <f t="shared" si="11"/>
        <v>172.3275862</v>
      </c>
      <c r="L599" s="82">
        <v>65.0</v>
      </c>
      <c r="M599" s="85">
        <f t="shared" si="4"/>
        <v>67.359</v>
      </c>
      <c r="N599" s="86">
        <f t="shared" si="12"/>
        <v>0.0440597589</v>
      </c>
      <c r="O599" s="86"/>
      <c r="P599" s="82"/>
    </row>
    <row r="600">
      <c r="A600" s="90" t="s">
        <v>3846</v>
      </c>
      <c r="B600" s="90" t="s">
        <v>3847</v>
      </c>
      <c r="C600" s="90"/>
      <c r="D600" s="84">
        <v>1999.0</v>
      </c>
      <c r="E600" s="83"/>
      <c r="F600" s="84">
        <f t="shared" si="1"/>
        <v>137.931</v>
      </c>
      <c r="G600" s="84"/>
      <c r="H600" s="84">
        <v>1528.81</v>
      </c>
      <c r="I600" s="91">
        <v>0.1</v>
      </c>
      <c r="J600" s="85">
        <f t="shared" si="10"/>
        <v>199.9</v>
      </c>
      <c r="K600" s="85">
        <f t="shared" si="11"/>
        <v>172.3275862</v>
      </c>
      <c r="L600" s="82">
        <v>65.0</v>
      </c>
      <c r="M600" s="85">
        <f t="shared" si="4"/>
        <v>67.359</v>
      </c>
      <c r="N600" s="86">
        <f t="shared" si="12"/>
        <v>0.0440597589</v>
      </c>
      <c r="O600" s="86"/>
      <c r="P600" s="82"/>
    </row>
    <row r="601">
      <c r="A601" s="90" t="s">
        <v>3848</v>
      </c>
      <c r="B601" s="90" t="s">
        <v>3849</v>
      </c>
      <c r="C601" s="90"/>
      <c r="D601" s="84">
        <v>2198.0</v>
      </c>
      <c r="E601" s="83"/>
      <c r="F601" s="84">
        <f t="shared" si="1"/>
        <v>151.662</v>
      </c>
      <c r="G601" s="84"/>
      <c r="H601" s="84">
        <v>1649.66</v>
      </c>
      <c r="I601" s="91">
        <v>0.15</v>
      </c>
      <c r="J601" s="85">
        <f t="shared" si="10"/>
        <v>329.7</v>
      </c>
      <c r="K601" s="85">
        <f t="shared" si="11"/>
        <v>284.2241379</v>
      </c>
      <c r="L601" s="82">
        <v>68.0</v>
      </c>
      <c r="M601" s="85">
        <f t="shared" si="4"/>
        <v>-1.022</v>
      </c>
      <c r="N601" s="86">
        <f t="shared" si="12"/>
        <v>-0.0006195215984</v>
      </c>
      <c r="O601" s="86"/>
      <c r="P601" s="82"/>
    </row>
    <row r="602">
      <c r="A602" s="90" t="s">
        <v>3850</v>
      </c>
      <c r="B602" s="90" t="s">
        <v>3851</v>
      </c>
      <c r="C602" s="90"/>
      <c r="D602" s="84">
        <v>499.0</v>
      </c>
      <c r="E602" s="83"/>
      <c r="F602" s="84">
        <f t="shared" si="1"/>
        <v>34.431</v>
      </c>
      <c r="G602" s="84"/>
      <c r="H602" s="84">
        <v>309.0</v>
      </c>
      <c r="I602" s="91">
        <v>0.15</v>
      </c>
      <c r="J602" s="85">
        <f t="shared" si="10"/>
        <v>74.85</v>
      </c>
      <c r="K602" s="85">
        <f t="shared" si="11"/>
        <v>64.52586207</v>
      </c>
      <c r="L602" s="82">
        <v>62.0</v>
      </c>
      <c r="M602" s="85">
        <f t="shared" si="4"/>
        <v>18.719</v>
      </c>
      <c r="N602" s="86">
        <f t="shared" si="12"/>
        <v>0.06057928803</v>
      </c>
      <c r="O602" s="86"/>
      <c r="P602" s="82"/>
    </row>
    <row r="603">
      <c r="A603" s="90" t="s">
        <v>3852</v>
      </c>
      <c r="B603" s="90" t="s">
        <v>3853</v>
      </c>
      <c r="C603" s="90"/>
      <c r="D603" s="84">
        <v>749.0</v>
      </c>
      <c r="E603" s="83"/>
      <c r="F603" s="84">
        <f t="shared" si="1"/>
        <v>51.681</v>
      </c>
      <c r="G603" s="84"/>
      <c r="H603" s="84">
        <v>520.94</v>
      </c>
      <c r="I603" s="91">
        <v>0.1</v>
      </c>
      <c r="J603" s="85">
        <f t="shared" si="10"/>
        <v>74.9</v>
      </c>
      <c r="K603" s="85">
        <f t="shared" si="11"/>
        <v>64.56896552</v>
      </c>
      <c r="L603" s="82">
        <v>64.0</v>
      </c>
      <c r="M603" s="85">
        <f t="shared" si="4"/>
        <v>37.479</v>
      </c>
      <c r="N603" s="86">
        <f t="shared" si="12"/>
        <v>0.07194494568</v>
      </c>
      <c r="O603" s="86"/>
      <c r="P603" s="82"/>
    </row>
    <row r="604">
      <c r="A604" s="90" t="s">
        <v>3854</v>
      </c>
      <c r="B604" s="90" t="s">
        <v>3855</v>
      </c>
      <c r="C604" s="90"/>
      <c r="D604" s="84">
        <v>385.0</v>
      </c>
      <c r="E604" s="83"/>
      <c r="F604" s="84">
        <f t="shared" si="1"/>
        <v>26.565</v>
      </c>
      <c r="G604" s="84"/>
      <c r="H604" s="84">
        <v>242.69</v>
      </c>
      <c r="I604" s="91">
        <v>0.15</v>
      </c>
      <c r="J604" s="85">
        <f t="shared" si="10"/>
        <v>57.75</v>
      </c>
      <c r="K604" s="85">
        <f t="shared" si="11"/>
        <v>49.78448276</v>
      </c>
      <c r="L604" s="82">
        <v>61.0</v>
      </c>
      <c r="M604" s="85">
        <f t="shared" si="4"/>
        <v>-3.005</v>
      </c>
      <c r="N604" s="86">
        <f t="shared" si="12"/>
        <v>-0.01238205118</v>
      </c>
      <c r="O604" s="86"/>
      <c r="P604" s="82"/>
    </row>
    <row r="605">
      <c r="A605" s="90" t="s">
        <v>3856</v>
      </c>
      <c r="B605" s="90" t="s">
        <v>3857</v>
      </c>
      <c r="C605" s="90"/>
      <c r="D605" s="84">
        <v>1999.0</v>
      </c>
      <c r="E605" s="83"/>
      <c r="F605" s="84">
        <f t="shared" si="1"/>
        <v>137.931</v>
      </c>
      <c r="G605" s="84"/>
      <c r="H605" s="84">
        <v>1543.98</v>
      </c>
      <c r="I605" s="91">
        <v>0.1</v>
      </c>
      <c r="J605" s="85">
        <f t="shared" si="10"/>
        <v>199.9</v>
      </c>
      <c r="K605" s="85">
        <f t="shared" si="11"/>
        <v>172.3275862</v>
      </c>
      <c r="L605" s="82">
        <v>66.0</v>
      </c>
      <c r="M605" s="85">
        <f t="shared" si="4"/>
        <v>51.189</v>
      </c>
      <c r="N605" s="86">
        <f t="shared" si="12"/>
        <v>0.03315392686</v>
      </c>
      <c r="O605" s="86"/>
      <c r="P605" s="82"/>
    </row>
    <row r="606">
      <c r="A606" s="90" t="s">
        <v>3858</v>
      </c>
      <c r="B606" s="90" t="s">
        <v>3859</v>
      </c>
      <c r="C606" s="90"/>
      <c r="D606" s="84">
        <v>1519.0</v>
      </c>
      <c r="E606" s="83"/>
      <c r="F606" s="84">
        <f t="shared" si="1"/>
        <v>104.811</v>
      </c>
      <c r="G606" s="84"/>
      <c r="H606" s="84">
        <v>1140.88</v>
      </c>
      <c r="I606" s="91">
        <v>0.1</v>
      </c>
      <c r="J606" s="85">
        <f t="shared" si="10"/>
        <v>151.9</v>
      </c>
      <c r="K606" s="85">
        <f t="shared" si="11"/>
        <v>130.9482759</v>
      </c>
      <c r="L606" s="82">
        <v>66.0</v>
      </c>
      <c r="M606" s="85">
        <f t="shared" si="4"/>
        <v>55.409</v>
      </c>
      <c r="N606" s="86">
        <f t="shared" si="12"/>
        <v>0.04856689573</v>
      </c>
      <c r="O606" s="86"/>
      <c r="P606" s="82"/>
    </row>
    <row r="607">
      <c r="A607" s="90" t="s">
        <v>3854</v>
      </c>
      <c r="B607" s="90" t="s">
        <v>3860</v>
      </c>
      <c r="C607" s="90"/>
      <c r="D607" s="84">
        <v>398.0</v>
      </c>
      <c r="E607" s="83"/>
      <c r="F607" s="84">
        <f t="shared" si="1"/>
        <v>27.462</v>
      </c>
      <c r="G607" s="84"/>
      <c r="H607" s="84">
        <v>229.0</v>
      </c>
      <c r="I607" s="91">
        <v>0.15</v>
      </c>
      <c r="J607" s="85">
        <f t="shared" si="10"/>
        <v>59.7</v>
      </c>
      <c r="K607" s="85">
        <f t="shared" si="11"/>
        <v>51.46551724</v>
      </c>
      <c r="L607" s="82">
        <v>66.0</v>
      </c>
      <c r="M607" s="85">
        <f t="shared" si="4"/>
        <v>15.838</v>
      </c>
      <c r="N607" s="86">
        <f t="shared" si="12"/>
        <v>0.06916157205</v>
      </c>
      <c r="O607" s="86"/>
      <c r="P607" s="82"/>
    </row>
    <row r="608">
      <c r="A608" s="90" t="s">
        <v>3861</v>
      </c>
      <c r="B608" s="90" t="s">
        <v>3862</v>
      </c>
      <c r="C608" s="90"/>
      <c r="D608" s="84">
        <v>1299.0</v>
      </c>
      <c r="E608" s="83"/>
      <c r="F608" s="84">
        <f t="shared" si="1"/>
        <v>89.631</v>
      </c>
      <c r="G608" s="84"/>
      <c r="H608" s="84">
        <v>943.64</v>
      </c>
      <c r="I608" s="91">
        <v>0.15</v>
      </c>
      <c r="J608" s="85">
        <f t="shared" si="10"/>
        <v>194.85</v>
      </c>
      <c r="K608" s="85">
        <f t="shared" si="11"/>
        <v>167.9741379</v>
      </c>
      <c r="L608" s="82">
        <v>66.0</v>
      </c>
      <c r="M608" s="85">
        <f t="shared" si="4"/>
        <v>4.879</v>
      </c>
      <c r="N608" s="86">
        <f t="shared" si="12"/>
        <v>0.005170403968</v>
      </c>
      <c r="O608" s="86"/>
      <c r="P608" s="82"/>
    </row>
    <row r="609">
      <c r="A609" s="90" t="s">
        <v>3863</v>
      </c>
      <c r="B609" s="90" t="s">
        <v>3864</v>
      </c>
      <c r="C609" s="90"/>
      <c r="D609" s="84">
        <v>269.0</v>
      </c>
      <c r="E609" s="83"/>
      <c r="F609" s="84">
        <f t="shared" si="1"/>
        <v>18.561</v>
      </c>
      <c r="G609" s="84"/>
      <c r="H609" s="84">
        <v>140.14</v>
      </c>
      <c r="I609" s="91">
        <v>0.15</v>
      </c>
      <c r="J609" s="85">
        <f t="shared" si="10"/>
        <v>40.35</v>
      </c>
      <c r="K609" s="85">
        <f t="shared" si="11"/>
        <v>34.78448276</v>
      </c>
      <c r="L609" s="82">
        <v>66.0</v>
      </c>
      <c r="M609" s="85">
        <f t="shared" si="4"/>
        <v>3.949</v>
      </c>
      <c r="N609" s="86">
        <f t="shared" si="12"/>
        <v>0.02817896389</v>
      </c>
      <c r="O609" s="86"/>
      <c r="P609" s="82"/>
    </row>
    <row r="610">
      <c r="A610" s="90" t="s">
        <v>3863</v>
      </c>
      <c r="B610" s="90" t="s">
        <v>3865</v>
      </c>
      <c r="C610" s="90"/>
      <c r="D610" s="84">
        <v>269.0</v>
      </c>
      <c r="E610" s="83"/>
      <c r="F610" s="84">
        <f t="shared" si="1"/>
        <v>18.561</v>
      </c>
      <c r="G610" s="84"/>
      <c r="H610" s="84">
        <v>140.0</v>
      </c>
      <c r="I610" s="91">
        <v>0.15</v>
      </c>
      <c r="J610" s="85">
        <f t="shared" si="10"/>
        <v>40.35</v>
      </c>
      <c r="K610" s="85">
        <f t="shared" si="11"/>
        <v>34.78448276</v>
      </c>
      <c r="L610" s="82">
        <v>66.0</v>
      </c>
      <c r="M610" s="85">
        <f t="shared" si="4"/>
        <v>4.089</v>
      </c>
      <c r="N610" s="86">
        <f t="shared" si="12"/>
        <v>0.02920714286</v>
      </c>
      <c r="O610" s="86"/>
      <c r="P610" s="82"/>
    </row>
    <row r="611">
      <c r="A611" s="90" t="s">
        <v>3866</v>
      </c>
      <c r="B611" s="90" t="s">
        <v>3867</v>
      </c>
      <c r="C611" s="94" t="s">
        <v>3868</v>
      </c>
      <c r="D611" s="84">
        <v>769.0</v>
      </c>
      <c r="E611" s="83"/>
      <c r="F611" s="84">
        <f t="shared" si="1"/>
        <v>53.061</v>
      </c>
      <c r="G611" s="84"/>
      <c r="H611" s="84">
        <v>510.77</v>
      </c>
      <c r="I611" s="91">
        <v>0.15</v>
      </c>
      <c r="J611" s="85">
        <f t="shared" si="10"/>
        <v>115.35</v>
      </c>
      <c r="K611" s="85">
        <f t="shared" si="11"/>
        <v>99.43965517</v>
      </c>
      <c r="L611" s="82">
        <v>66.0</v>
      </c>
      <c r="M611" s="85">
        <f t="shared" si="4"/>
        <v>23.819</v>
      </c>
      <c r="N611" s="86">
        <f t="shared" si="12"/>
        <v>0.04663351411</v>
      </c>
      <c r="O611" s="86"/>
      <c r="P611" s="82"/>
    </row>
    <row r="612">
      <c r="A612" s="89"/>
      <c r="B612" s="90" t="s">
        <v>3869</v>
      </c>
      <c r="C612" s="90"/>
      <c r="D612" s="87"/>
      <c r="E612" s="83"/>
      <c r="F612" s="84">
        <f t="shared" si="1"/>
        <v>0</v>
      </c>
      <c r="G612" s="84"/>
      <c r="H612" s="84">
        <v>520.97</v>
      </c>
      <c r="I612" s="93"/>
      <c r="J612" s="87"/>
      <c r="K612" s="87"/>
      <c r="L612" s="87"/>
      <c r="M612" s="85">
        <f t="shared" si="4"/>
        <v>-520.97</v>
      </c>
      <c r="N612" s="93"/>
      <c r="O612" s="93"/>
      <c r="P612" s="82"/>
    </row>
    <row r="613">
      <c r="A613" s="90" t="s">
        <v>3870</v>
      </c>
      <c r="B613" s="90" t="s">
        <v>3871</v>
      </c>
      <c r="C613" s="90"/>
      <c r="D613" s="84">
        <v>4599.0</v>
      </c>
      <c r="E613" s="83"/>
      <c r="F613" s="84">
        <f t="shared" si="1"/>
        <v>317.331</v>
      </c>
      <c r="G613" s="84"/>
      <c r="H613" s="84">
        <v>3464.79</v>
      </c>
      <c r="I613" s="91">
        <v>0.1</v>
      </c>
      <c r="J613" s="85">
        <f t="shared" ref="J613:J614" si="13">I613*D613</f>
        <v>459.9</v>
      </c>
      <c r="K613" s="85">
        <f t="shared" ref="K613:K614" si="14">J613/1.16</f>
        <v>396.4655172</v>
      </c>
      <c r="L613" s="82">
        <v>82.0</v>
      </c>
      <c r="M613" s="85">
        <f t="shared" si="4"/>
        <v>274.979</v>
      </c>
      <c r="N613" s="86">
        <f t="shared" ref="N613:N614" si="15">M613/H613</f>
        <v>0.07936382869</v>
      </c>
      <c r="O613" s="86"/>
      <c r="P613" s="82"/>
    </row>
    <row r="614">
      <c r="A614" s="90" t="s">
        <v>3872</v>
      </c>
      <c r="B614" s="90" t="s">
        <v>3873</v>
      </c>
      <c r="C614" s="90"/>
      <c r="D614" s="84">
        <v>3299.0</v>
      </c>
      <c r="E614" s="83"/>
      <c r="F614" s="84">
        <f t="shared" si="1"/>
        <v>227.631</v>
      </c>
      <c r="G614" s="84"/>
      <c r="H614" s="84">
        <v>2380.0</v>
      </c>
      <c r="I614" s="91">
        <v>0.15</v>
      </c>
      <c r="J614" s="85">
        <f t="shared" si="13"/>
        <v>494.85</v>
      </c>
      <c r="K614" s="85">
        <f t="shared" si="14"/>
        <v>426.5948276</v>
      </c>
      <c r="L614" s="82">
        <v>106.0</v>
      </c>
      <c r="M614" s="85">
        <f t="shared" si="4"/>
        <v>90.519</v>
      </c>
      <c r="N614" s="86">
        <f t="shared" si="15"/>
        <v>0.03803319328</v>
      </c>
      <c r="O614" s="86"/>
      <c r="P614" s="82"/>
    </row>
    <row r="615">
      <c r="A615" s="89"/>
      <c r="B615" s="90" t="s">
        <v>3874</v>
      </c>
      <c r="C615" s="90"/>
      <c r="D615" s="87"/>
      <c r="E615" s="83"/>
      <c r="F615" s="84">
        <f t="shared" si="1"/>
        <v>0</v>
      </c>
      <c r="G615" s="84"/>
      <c r="H615" s="84">
        <v>1528.81</v>
      </c>
      <c r="I615" s="93"/>
      <c r="J615" s="87"/>
      <c r="K615" s="87"/>
      <c r="L615" s="87"/>
      <c r="M615" s="85">
        <f t="shared" si="4"/>
        <v>-1528.81</v>
      </c>
      <c r="N615" s="93"/>
      <c r="O615" s="93"/>
      <c r="P615" s="82"/>
    </row>
    <row r="616">
      <c r="A616" s="89"/>
      <c r="B616" s="90" t="s">
        <v>3875</v>
      </c>
      <c r="C616" s="90"/>
      <c r="D616" s="87"/>
      <c r="E616" s="83"/>
      <c r="F616" s="84">
        <f t="shared" si="1"/>
        <v>0</v>
      </c>
      <c r="G616" s="84"/>
      <c r="H616" s="84">
        <v>437.02</v>
      </c>
      <c r="I616" s="93"/>
      <c r="J616" s="87"/>
      <c r="K616" s="87"/>
      <c r="L616" s="87"/>
      <c r="M616" s="85">
        <f t="shared" si="4"/>
        <v>-437.02</v>
      </c>
      <c r="N616" s="93"/>
      <c r="O616" s="93"/>
      <c r="P616" s="82"/>
    </row>
    <row r="617">
      <c r="A617" s="90" t="s">
        <v>3876</v>
      </c>
      <c r="B617" s="90" t="s">
        <v>3877</v>
      </c>
      <c r="C617" s="94" t="s">
        <v>3878</v>
      </c>
      <c r="D617" s="84">
        <v>699.0</v>
      </c>
      <c r="E617" s="83"/>
      <c r="F617" s="84">
        <f t="shared" si="1"/>
        <v>48.231</v>
      </c>
      <c r="G617" s="84"/>
      <c r="H617" s="84">
        <v>495.01</v>
      </c>
      <c r="I617" s="91">
        <v>0.15</v>
      </c>
      <c r="J617" s="85">
        <f t="shared" ref="J617:J631" si="16">I617*D617</f>
        <v>104.85</v>
      </c>
      <c r="K617" s="85">
        <f t="shared" ref="K617:K631" si="17">J617/1.16</f>
        <v>90.38793103</v>
      </c>
      <c r="L617" s="82">
        <v>63.0</v>
      </c>
      <c r="M617" s="85">
        <f t="shared" si="4"/>
        <v>-12.091</v>
      </c>
      <c r="N617" s="86">
        <f t="shared" ref="N617:N631" si="18">M617/H617</f>
        <v>-0.02442576918</v>
      </c>
      <c r="O617" s="86"/>
      <c r="P617" s="82"/>
    </row>
    <row r="618">
      <c r="A618" s="90" t="s">
        <v>3879</v>
      </c>
      <c r="B618" s="90" t="s">
        <v>3880</v>
      </c>
      <c r="C618" s="90"/>
      <c r="D618" s="84">
        <v>3799.0</v>
      </c>
      <c r="E618" s="83"/>
      <c r="F618" s="84">
        <f t="shared" si="1"/>
        <v>262.131</v>
      </c>
      <c r="G618" s="84"/>
      <c r="H618" s="84">
        <v>3019.0</v>
      </c>
      <c r="I618" s="91">
        <v>0.12</v>
      </c>
      <c r="J618" s="85">
        <f t="shared" si="16"/>
        <v>455.88</v>
      </c>
      <c r="K618" s="85">
        <f t="shared" si="17"/>
        <v>393</v>
      </c>
      <c r="L618" s="82">
        <v>63.0</v>
      </c>
      <c r="M618" s="85">
        <f t="shared" si="4"/>
        <v>-1.011</v>
      </c>
      <c r="N618" s="86">
        <f t="shared" si="18"/>
        <v>-0.000334879099</v>
      </c>
      <c r="O618" s="86"/>
      <c r="P618" s="82"/>
    </row>
    <row r="619">
      <c r="A619" s="90" t="s">
        <v>3881</v>
      </c>
      <c r="B619" s="90" t="s">
        <v>3882</v>
      </c>
      <c r="C619" s="90"/>
      <c r="D619" s="84">
        <v>2799.0</v>
      </c>
      <c r="E619" s="83"/>
      <c r="F619" s="84">
        <f t="shared" si="1"/>
        <v>193.131</v>
      </c>
      <c r="G619" s="84"/>
      <c r="H619" s="84">
        <v>2649.0</v>
      </c>
      <c r="I619" s="91">
        <v>0.1</v>
      </c>
      <c r="J619" s="85">
        <f t="shared" si="16"/>
        <v>279.9</v>
      </c>
      <c r="K619" s="85">
        <f t="shared" si="17"/>
        <v>241.2931034</v>
      </c>
      <c r="L619" s="82">
        <v>68.0</v>
      </c>
      <c r="M619" s="85">
        <f t="shared" si="4"/>
        <v>-391.031</v>
      </c>
      <c r="N619" s="86">
        <f t="shared" si="18"/>
        <v>-0.1476145715</v>
      </c>
      <c r="O619" s="86"/>
      <c r="P619" s="82"/>
    </row>
    <row r="620">
      <c r="A620" s="90" t="s">
        <v>3883</v>
      </c>
      <c r="B620" s="90" t="s">
        <v>3884</v>
      </c>
      <c r="C620" s="90"/>
      <c r="D620" s="84">
        <v>439.0</v>
      </c>
      <c r="E620" s="83"/>
      <c r="F620" s="84">
        <f t="shared" si="1"/>
        <v>30.291</v>
      </c>
      <c r="G620" s="84"/>
      <c r="H620" s="84">
        <v>219.83</v>
      </c>
      <c r="I620" s="91">
        <v>0.15</v>
      </c>
      <c r="J620" s="85">
        <f t="shared" si="16"/>
        <v>65.85</v>
      </c>
      <c r="K620" s="85">
        <f t="shared" si="17"/>
        <v>56.76724138</v>
      </c>
      <c r="L620" s="82">
        <v>62.0</v>
      </c>
      <c r="M620" s="85">
        <f t="shared" si="4"/>
        <v>61.029</v>
      </c>
      <c r="N620" s="86">
        <f t="shared" si="18"/>
        <v>0.2776190693</v>
      </c>
      <c r="O620" s="86"/>
      <c r="P620" s="82"/>
    </row>
    <row r="621">
      <c r="A621" s="90" t="s">
        <v>3883</v>
      </c>
      <c r="B621" s="90" t="s">
        <v>3885</v>
      </c>
      <c r="C621" s="90"/>
      <c r="D621" s="84">
        <v>359.0</v>
      </c>
      <c r="E621" s="83"/>
      <c r="F621" s="84">
        <f t="shared" si="1"/>
        <v>24.771</v>
      </c>
      <c r="G621" s="84"/>
      <c r="H621" s="84">
        <v>219.83</v>
      </c>
      <c r="I621" s="91">
        <v>0.15</v>
      </c>
      <c r="J621" s="85">
        <f t="shared" si="16"/>
        <v>53.85</v>
      </c>
      <c r="K621" s="85">
        <f t="shared" si="17"/>
        <v>46.42241379</v>
      </c>
      <c r="L621" s="82">
        <v>62.0</v>
      </c>
      <c r="M621" s="85">
        <f t="shared" si="4"/>
        <v>-1.451</v>
      </c>
      <c r="N621" s="86">
        <f t="shared" si="18"/>
        <v>-0.006600554974</v>
      </c>
      <c r="O621" s="86"/>
      <c r="P621" s="82"/>
    </row>
    <row r="622">
      <c r="A622" s="89"/>
      <c r="B622" s="90" t="s">
        <v>3886</v>
      </c>
      <c r="C622" s="90"/>
      <c r="D622" s="87"/>
      <c r="E622" s="83"/>
      <c r="F622" s="84">
        <f t="shared" si="1"/>
        <v>0</v>
      </c>
      <c r="G622" s="84"/>
      <c r="H622" s="84">
        <v>3019.0</v>
      </c>
      <c r="I622" s="91">
        <v>0.15</v>
      </c>
      <c r="J622" s="85">
        <f t="shared" si="16"/>
        <v>0</v>
      </c>
      <c r="K622" s="85">
        <f t="shared" si="17"/>
        <v>0</v>
      </c>
      <c r="L622" s="82">
        <v>62.0</v>
      </c>
      <c r="M622" s="85">
        <f t="shared" si="4"/>
        <v>-3081</v>
      </c>
      <c r="N622" s="86">
        <f t="shared" si="18"/>
        <v>-1.020536602</v>
      </c>
      <c r="O622" s="86"/>
      <c r="P622" s="82"/>
    </row>
    <row r="623">
      <c r="A623" s="90" t="s">
        <v>3887</v>
      </c>
      <c r="B623" s="90" t="s">
        <v>3888</v>
      </c>
      <c r="C623" s="94" t="s">
        <v>3889</v>
      </c>
      <c r="D623" s="84">
        <v>499.0</v>
      </c>
      <c r="E623" s="83"/>
      <c r="F623" s="84">
        <f t="shared" si="1"/>
        <v>34.431</v>
      </c>
      <c r="G623" s="84"/>
      <c r="H623" s="84">
        <v>310.0</v>
      </c>
      <c r="I623" s="91">
        <v>0.15</v>
      </c>
      <c r="J623" s="85">
        <f t="shared" si="16"/>
        <v>74.85</v>
      </c>
      <c r="K623" s="85">
        <f t="shared" si="17"/>
        <v>64.52586207</v>
      </c>
      <c r="L623" s="82">
        <v>62.0</v>
      </c>
      <c r="M623" s="85">
        <f t="shared" si="4"/>
        <v>17.719</v>
      </c>
      <c r="N623" s="86">
        <f t="shared" si="18"/>
        <v>0.05715806452</v>
      </c>
      <c r="O623" s="86"/>
      <c r="P623" s="82"/>
    </row>
    <row r="624">
      <c r="A624" s="89"/>
      <c r="B624" s="90" t="s">
        <v>3890</v>
      </c>
      <c r="C624" s="90"/>
      <c r="D624" s="84">
        <v>349.0</v>
      </c>
      <c r="E624" s="83"/>
      <c r="F624" s="84">
        <f t="shared" si="1"/>
        <v>24.081</v>
      </c>
      <c r="G624" s="84"/>
      <c r="H624" s="84">
        <v>255.0</v>
      </c>
      <c r="I624" s="91">
        <v>0.15</v>
      </c>
      <c r="J624" s="85">
        <f t="shared" si="16"/>
        <v>52.35</v>
      </c>
      <c r="K624" s="85">
        <f t="shared" si="17"/>
        <v>45.12931034</v>
      </c>
      <c r="L624" s="82">
        <v>62.0</v>
      </c>
      <c r="M624" s="85">
        <f t="shared" si="4"/>
        <v>-44.431</v>
      </c>
      <c r="N624" s="86">
        <f t="shared" si="18"/>
        <v>-0.1742392157</v>
      </c>
      <c r="O624" s="86"/>
      <c r="P624" s="82"/>
    </row>
    <row r="625">
      <c r="A625" s="90" t="s">
        <v>3891</v>
      </c>
      <c r="B625" s="90" t="s">
        <v>3892</v>
      </c>
      <c r="C625" s="90"/>
      <c r="D625" s="84">
        <v>4199.0</v>
      </c>
      <c r="E625" s="83"/>
      <c r="F625" s="84">
        <f t="shared" si="1"/>
        <v>289.731</v>
      </c>
      <c r="G625" s="84"/>
      <c r="H625" s="84">
        <v>3404.81</v>
      </c>
      <c r="I625" s="91">
        <v>0.1</v>
      </c>
      <c r="J625" s="85">
        <f t="shared" si="16"/>
        <v>419.9</v>
      </c>
      <c r="K625" s="85">
        <f t="shared" si="17"/>
        <v>361.9827586</v>
      </c>
      <c r="L625" s="82">
        <v>70.88</v>
      </c>
      <c r="M625" s="85">
        <f t="shared" si="4"/>
        <v>13.679</v>
      </c>
      <c r="N625" s="86">
        <f t="shared" si="18"/>
        <v>0.00401755164</v>
      </c>
      <c r="O625" s="86"/>
      <c r="P625" s="82"/>
    </row>
    <row r="626">
      <c r="A626" s="90" t="s">
        <v>3893</v>
      </c>
      <c r="B626" s="90" t="s">
        <v>3894</v>
      </c>
      <c r="C626" s="94" t="s">
        <v>3895</v>
      </c>
      <c r="D626" s="84">
        <v>2999.0</v>
      </c>
      <c r="E626" s="83"/>
      <c r="F626" s="84">
        <f t="shared" si="1"/>
        <v>206.931</v>
      </c>
      <c r="G626" s="84"/>
      <c r="H626" s="84">
        <v>2287.62</v>
      </c>
      <c r="I626" s="91">
        <v>0.15</v>
      </c>
      <c r="J626" s="85">
        <f t="shared" si="16"/>
        <v>449.85</v>
      </c>
      <c r="K626" s="85">
        <f t="shared" si="17"/>
        <v>387.8017241</v>
      </c>
      <c r="L626" s="82">
        <v>79.0</v>
      </c>
      <c r="M626" s="85">
        <f t="shared" si="4"/>
        <v>-24.401</v>
      </c>
      <c r="N626" s="86">
        <f t="shared" si="18"/>
        <v>-0.01066654427</v>
      </c>
      <c r="O626" s="86"/>
      <c r="P626" s="82"/>
    </row>
    <row r="627">
      <c r="A627" s="90" t="s">
        <v>3896</v>
      </c>
      <c r="B627" s="90" t="s">
        <v>3897</v>
      </c>
      <c r="C627" s="90"/>
      <c r="D627" s="84">
        <v>3299.0</v>
      </c>
      <c r="E627" s="83"/>
      <c r="F627" s="84">
        <f t="shared" si="1"/>
        <v>227.631</v>
      </c>
      <c r="G627" s="84"/>
      <c r="H627" s="84">
        <v>2649.0</v>
      </c>
      <c r="I627" s="91">
        <v>0.1</v>
      </c>
      <c r="J627" s="85">
        <f t="shared" si="16"/>
        <v>329.9</v>
      </c>
      <c r="K627" s="85">
        <f t="shared" si="17"/>
        <v>284.3965517</v>
      </c>
      <c r="L627" s="82">
        <v>62.0</v>
      </c>
      <c r="M627" s="85">
        <f t="shared" si="4"/>
        <v>30.469</v>
      </c>
      <c r="N627" s="86">
        <f t="shared" si="18"/>
        <v>0.01150207626</v>
      </c>
      <c r="O627" s="86"/>
      <c r="P627" s="82"/>
    </row>
    <row r="628">
      <c r="A628" s="90" t="s">
        <v>3898</v>
      </c>
      <c r="B628" s="90" t="s">
        <v>3899</v>
      </c>
      <c r="C628" s="90" t="s">
        <v>3900</v>
      </c>
      <c r="D628" s="84">
        <v>3399.0</v>
      </c>
      <c r="E628" s="83"/>
      <c r="F628" s="84">
        <f t="shared" si="1"/>
        <v>234.531</v>
      </c>
      <c r="G628" s="84"/>
      <c r="H628" s="84">
        <v>2350.0</v>
      </c>
      <c r="I628" s="91">
        <v>0.16</v>
      </c>
      <c r="J628" s="85">
        <f t="shared" si="16"/>
        <v>543.84</v>
      </c>
      <c r="K628" s="85">
        <f t="shared" si="17"/>
        <v>468.8275862</v>
      </c>
      <c r="L628" s="82">
        <v>118.0</v>
      </c>
      <c r="M628" s="85">
        <f t="shared" si="4"/>
        <v>152.629</v>
      </c>
      <c r="N628" s="86">
        <f t="shared" si="18"/>
        <v>0.06494851064</v>
      </c>
      <c r="O628" s="86"/>
      <c r="P628" s="82"/>
    </row>
    <row r="629">
      <c r="A629" s="90" t="s">
        <v>3901</v>
      </c>
      <c r="B629" s="90" t="s">
        <v>3902</v>
      </c>
      <c r="C629" s="89"/>
      <c r="D629" s="84">
        <v>3899.0</v>
      </c>
      <c r="E629" s="83"/>
      <c r="F629" s="84">
        <f t="shared" si="1"/>
        <v>269.031</v>
      </c>
      <c r="G629" s="84"/>
      <c r="H629" s="84">
        <v>2850.0</v>
      </c>
      <c r="I629" s="91">
        <v>0.16</v>
      </c>
      <c r="J629" s="85">
        <f t="shared" si="16"/>
        <v>623.84</v>
      </c>
      <c r="K629" s="85">
        <f t="shared" si="17"/>
        <v>537.7931034</v>
      </c>
      <c r="L629" s="82">
        <v>109.0</v>
      </c>
      <c r="M629" s="85">
        <f t="shared" si="4"/>
        <v>47.129</v>
      </c>
      <c r="N629" s="86">
        <f t="shared" si="18"/>
        <v>0.01653649123</v>
      </c>
      <c r="O629" s="86"/>
      <c r="P629" s="82"/>
    </row>
    <row r="630">
      <c r="A630" s="90" t="s">
        <v>3903</v>
      </c>
      <c r="B630" s="90" t="s">
        <v>3904</v>
      </c>
      <c r="C630" s="89"/>
      <c r="D630" s="84">
        <v>369.0</v>
      </c>
      <c r="E630" s="83" t="s">
        <v>237</v>
      </c>
      <c r="F630" s="84">
        <f t="shared" si="1"/>
        <v>25.461</v>
      </c>
      <c r="G630" s="84"/>
      <c r="H630" s="84">
        <v>218.0</v>
      </c>
      <c r="I630" s="91">
        <v>0.07</v>
      </c>
      <c r="J630" s="85">
        <f t="shared" si="16"/>
        <v>25.83</v>
      </c>
      <c r="K630" s="85">
        <f t="shared" si="17"/>
        <v>22.26724138</v>
      </c>
      <c r="L630" s="82">
        <v>61.0</v>
      </c>
      <c r="M630" s="85">
        <f t="shared" si="4"/>
        <v>38.709</v>
      </c>
      <c r="N630" s="86">
        <f t="shared" si="18"/>
        <v>0.1775642202</v>
      </c>
      <c r="O630" s="86"/>
      <c r="P630" s="82"/>
    </row>
    <row r="631">
      <c r="A631" s="90" t="s">
        <v>3905</v>
      </c>
      <c r="B631" s="90" t="s">
        <v>3906</v>
      </c>
      <c r="C631" s="89"/>
      <c r="D631" s="84">
        <v>300.0</v>
      </c>
      <c r="E631" s="83"/>
      <c r="F631" s="84">
        <f t="shared" si="1"/>
        <v>20.7</v>
      </c>
      <c r="G631" s="84"/>
      <c r="H631" s="84">
        <v>192.0</v>
      </c>
      <c r="I631" s="91">
        <v>0.1</v>
      </c>
      <c r="J631" s="85">
        <f t="shared" si="16"/>
        <v>30</v>
      </c>
      <c r="K631" s="85">
        <f t="shared" si="17"/>
        <v>25.86206897</v>
      </c>
      <c r="L631" s="82">
        <v>61.0</v>
      </c>
      <c r="M631" s="85">
        <f t="shared" si="4"/>
        <v>-3.7</v>
      </c>
      <c r="N631" s="86">
        <f t="shared" si="18"/>
        <v>-0.01927083333</v>
      </c>
      <c r="O631" s="86"/>
      <c r="P631" s="82"/>
    </row>
    <row r="632">
      <c r="A632" s="90"/>
      <c r="B632" s="90"/>
      <c r="C632" s="89"/>
      <c r="D632" s="84"/>
      <c r="E632" s="83"/>
      <c r="F632" s="84">
        <f t="shared" si="1"/>
        <v>0</v>
      </c>
      <c r="G632" s="84"/>
      <c r="H632" s="84"/>
      <c r="I632" s="91"/>
      <c r="J632" s="85"/>
      <c r="K632" s="85"/>
      <c r="L632" s="82"/>
      <c r="M632" s="85">
        <f t="shared" si="4"/>
        <v>0</v>
      </c>
      <c r="N632" s="86"/>
      <c r="O632" s="86"/>
      <c r="P632" s="82"/>
    </row>
    <row r="633">
      <c r="A633" s="90" t="s">
        <v>3907</v>
      </c>
      <c r="B633" s="90" t="s">
        <v>3908</v>
      </c>
      <c r="C633" s="90" t="s">
        <v>3909</v>
      </c>
      <c r="D633" s="84">
        <v>5899.0</v>
      </c>
      <c r="E633" s="83"/>
      <c r="F633" s="84">
        <f t="shared" si="1"/>
        <v>407.031</v>
      </c>
      <c r="G633" s="84"/>
      <c r="H633" s="84">
        <v>4547.12</v>
      </c>
      <c r="I633" s="91">
        <v>0.1</v>
      </c>
      <c r="J633" s="85">
        <f t="shared" ref="J633:J749" si="19">I633*D633</f>
        <v>589.9</v>
      </c>
      <c r="K633" s="85">
        <f t="shared" ref="K633:K749" si="20">J633/1.16</f>
        <v>508.5344828</v>
      </c>
      <c r="L633" s="82">
        <v>75.0</v>
      </c>
      <c r="M633" s="85">
        <f t="shared" si="4"/>
        <v>279.949</v>
      </c>
      <c r="N633" s="86">
        <f t="shared" ref="N633:N749" si="21">M633/H633</f>
        <v>0.06156622214</v>
      </c>
      <c r="O633" s="86"/>
      <c r="P633" s="82"/>
    </row>
    <row r="634">
      <c r="A634" s="90" t="s">
        <v>3910</v>
      </c>
      <c r="B634" s="90" t="s">
        <v>3911</v>
      </c>
      <c r="C634" s="90" t="s">
        <v>3912</v>
      </c>
      <c r="D634" s="84">
        <v>5599.0</v>
      </c>
      <c r="E634" s="83"/>
      <c r="F634" s="84">
        <f t="shared" si="1"/>
        <v>386.331</v>
      </c>
      <c r="G634" s="84"/>
      <c r="H634" s="84">
        <v>4729.0</v>
      </c>
      <c r="I634" s="91">
        <v>0.1</v>
      </c>
      <c r="J634" s="85">
        <f t="shared" si="19"/>
        <v>559.9</v>
      </c>
      <c r="K634" s="85">
        <f t="shared" si="20"/>
        <v>482.6724138</v>
      </c>
      <c r="L634" s="82">
        <v>75.0</v>
      </c>
      <c r="M634" s="85">
        <f t="shared" si="4"/>
        <v>-151.231</v>
      </c>
      <c r="N634" s="86">
        <f t="shared" si="21"/>
        <v>-0.03197948826</v>
      </c>
      <c r="O634" s="86"/>
      <c r="P634" s="82"/>
    </row>
    <row r="635">
      <c r="A635" s="90" t="s">
        <v>3913</v>
      </c>
      <c r="B635" s="90" t="s">
        <v>3914</v>
      </c>
      <c r="C635" s="90" t="s">
        <v>3915</v>
      </c>
      <c r="D635" s="84">
        <v>785.0</v>
      </c>
      <c r="E635" s="83"/>
      <c r="F635" s="84">
        <f t="shared" si="1"/>
        <v>54.165</v>
      </c>
      <c r="G635" s="84"/>
      <c r="H635" s="84">
        <v>543.99</v>
      </c>
      <c r="I635" s="91">
        <v>0.1</v>
      </c>
      <c r="J635" s="85">
        <f t="shared" si="19"/>
        <v>78.5</v>
      </c>
      <c r="K635" s="85">
        <f t="shared" si="20"/>
        <v>67.67241379</v>
      </c>
      <c r="L635" s="82">
        <v>75.0</v>
      </c>
      <c r="M635" s="85">
        <f t="shared" si="4"/>
        <v>33.345</v>
      </c>
      <c r="N635" s="86">
        <f t="shared" si="21"/>
        <v>0.06129708267</v>
      </c>
      <c r="O635" s="86"/>
      <c r="P635" s="82"/>
    </row>
    <row r="636">
      <c r="A636" s="90" t="s">
        <v>3916</v>
      </c>
      <c r="B636" s="90" t="s">
        <v>3917</v>
      </c>
      <c r="C636" s="90" t="s">
        <v>3918</v>
      </c>
      <c r="D636" s="84">
        <v>799.0</v>
      </c>
      <c r="E636" s="83"/>
      <c r="F636" s="84">
        <f t="shared" si="1"/>
        <v>55.131</v>
      </c>
      <c r="G636" s="84"/>
      <c r="H636" s="84">
        <v>543.99</v>
      </c>
      <c r="I636" s="91">
        <v>0.1</v>
      </c>
      <c r="J636" s="85">
        <f t="shared" si="19"/>
        <v>79.9</v>
      </c>
      <c r="K636" s="85">
        <f t="shared" si="20"/>
        <v>68.87931034</v>
      </c>
      <c r="L636" s="82">
        <v>75.0</v>
      </c>
      <c r="M636" s="85">
        <f t="shared" si="4"/>
        <v>44.979</v>
      </c>
      <c r="N636" s="86">
        <f t="shared" si="21"/>
        <v>0.08268350521</v>
      </c>
      <c r="O636" s="86"/>
      <c r="P636" s="82"/>
    </row>
    <row r="637">
      <c r="A637" s="90" t="s">
        <v>3919</v>
      </c>
      <c r="B637" s="90" t="s">
        <v>3920</v>
      </c>
      <c r="C637" s="90" t="s">
        <v>3921</v>
      </c>
      <c r="D637" s="84">
        <v>899.0</v>
      </c>
      <c r="E637" s="83"/>
      <c r="F637" s="84">
        <f t="shared" si="1"/>
        <v>62.031</v>
      </c>
      <c r="G637" s="84"/>
      <c r="H637" s="84">
        <v>750.0</v>
      </c>
      <c r="I637" s="91">
        <v>0.07</v>
      </c>
      <c r="J637" s="85">
        <f t="shared" si="19"/>
        <v>62.93</v>
      </c>
      <c r="K637" s="85">
        <f t="shared" si="20"/>
        <v>54.25</v>
      </c>
      <c r="L637" s="82">
        <v>63.0</v>
      </c>
      <c r="M637" s="85">
        <f t="shared" si="4"/>
        <v>-38.961</v>
      </c>
      <c r="N637" s="86">
        <f t="shared" si="21"/>
        <v>-0.051948</v>
      </c>
      <c r="O637" s="86"/>
      <c r="P637" s="82"/>
    </row>
    <row r="638">
      <c r="A638" s="90" t="s">
        <v>3919</v>
      </c>
      <c r="B638" s="90" t="s">
        <v>3922</v>
      </c>
      <c r="C638" s="90" t="s">
        <v>3923</v>
      </c>
      <c r="D638" s="84">
        <v>1088.0</v>
      </c>
      <c r="E638" s="83"/>
      <c r="F638" s="84">
        <f t="shared" si="1"/>
        <v>75.072</v>
      </c>
      <c r="G638" s="84"/>
      <c r="H638" s="84">
        <v>769.0</v>
      </c>
      <c r="I638" s="91">
        <v>0.15</v>
      </c>
      <c r="J638" s="85">
        <f t="shared" si="19"/>
        <v>163.2</v>
      </c>
      <c r="K638" s="85">
        <f t="shared" si="20"/>
        <v>140.6896552</v>
      </c>
      <c r="L638" s="82">
        <v>63.0</v>
      </c>
      <c r="M638" s="85">
        <f t="shared" si="4"/>
        <v>17.728</v>
      </c>
      <c r="N638" s="86">
        <f t="shared" si="21"/>
        <v>0.02305331599</v>
      </c>
      <c r="O638" s="86"/>
      <c r="P638" s="82"/>
    </row>
    <row r="639">
      <c r="A639" s="90" t="s">
        <v>3924</v>
      </c>
      <c r="B639" s="90" t="s">
        <v>3925</v>
      </c>
      <c r="C639" s="90" t="s">
        <v>3926</v>
      </c>
      <c r="D639" s="84">
        <v>1499.0</v>
      </c>
      <c r="E639" s="83"/>
      <c r="F639" s="84">
        <f t="shared" si="1"/>
        <v>103.431</v>
      </c>
      <c r="G639" s="84"/>
      <c r="H639" s="84">
        <v>1108.99</v>
      </c>
      <c r="I639" s="91">
        <v>0.15</v>
      </c>
      <c r="J639" s="85">
        <f t="shared" si="19"/>
        <v>224.85</v>
      </c>
      <c r="K639" s="85">
        <f t="shared" si="20"/>
        <v>193.8362069</v>
      </c>
      <c r="L639" s="82">
        <v>63.0</v>
      </c>
      <c r="M639" s="85">
        <f t="shared" si="4"/>
        <v>-1.271</v>
      </c>
      <c r="N639" s="86">
        <f t="shared" si="21"/>
        <v>-0.001146087882</v>
      </c>
      <c r="O639" s="86"/>
      <c r="P639" s="82"/>
    </row>
    <row r="640">
      <c r="A640" s="90" t="s">
        <v>1587</v>
      </c>
      <c r="B640" s="90" t="s">
        <v>3927</v>
      </c>
      <c r="C640" s="89"/>
      <c r="D640" s="84">
        <v>4599.0</v>
      </c>
      <c r="E640" s="83"/>
      <c r="F640" s="84">
        <f t="shared" si="1"/>
        <v>317.331</v>
      </c>
      <c r="G640" s="84"/>
      <c r="H640" s="84">
        <v>2999.0</v>
      </c>
      <c r="I640" s="91">
        <v>0.15</v>
      </c>
      <c r="J640" s="85">
        <f t="shared" si="19"/>
        <v>689.85</v>
      </c>
      <c r="K640" s="85">
        <f t="shared" si="20"/>
        <v>594.6982759</v>
      </c>
      <c r="L640" s="82">
        <v>200.0</v>
      </c>
      <c r="M640" s="85">
        <f t="shared" si="4"/>
        <v>392.819</v>
      </c>
      <c r="N640" s="86">
        <f t="shared" si="21"/>
        <v>0.1309833278</v>
      </c>
      <c r="O640" s="86"/>
      <c r="P640" s="82"/>
    </row>
    <row r="641">
      <c r="A641" s="90" t="s">
        <v>3928</v>
      </c>
      <c r="B641" s="90" t="s">
        <v>3929</v>
      </c>
      <c r="C641" s="89"/>
      <c r="D641" s="87"/>
      <c r="E641" s="83"/>
      <c r="F641" s="84">
        <f t="shared" si="1"/>
        <v>0</v>
      </c>
      <c r="G641" s="84"/>
      <c r="H641" s="84">
        <v>360.0</v>
      </c>
      <c r="I641" s="91">
        <v>0.15</v>
      </c>
      <c r="J641" s="85">
        <f t="shared" si="19"/>
        <v>0</v>
      </c>
      <c r="K641" s="85">
        <f t="shared" si="20"/>
        <v>0</v>
      </c>
      <c r="L641" s="82">
        <v>200.0</v>
      </c>
      <c r="M641" s="85">
        <f t="shared" si="4"/>
        <v>-560</v>
      </c>
      <c r="N641" s="86">
        <f t="shared" si="21"/>
        <v>-1.555555556</v>
      </c>
      <c r="O641" s="86"/>
      <c r="P641" s="82"/>
    </row>
    <row r="642">
      <c r="A642" s="90" t="s">
        <v>3930</v>
      </c>
      <c r="B642" s="90" t="s">
        <v>3931</v>
      </c>
      <c r="C642" s="89"/>
      <c r="D642" s="84">
        <v>439.0</v>
      </c>
      <c r="E642" s="83"/>
      <c r="F642" s="84">
        <f t="shared" si="1"/>
        <v>30.291</v>
      </c>
      <c r="G642" s="84"/>
      <c r="H642" s="84">
        <v>276.68</v>
      </c>
      <c r="I642" s="91">
        <v>0.15</v>
      </c>
      <c r="J642" s="85">
        <f t="shared" si="19"/>
        <v>65.85</v>
      </c>
      <c r="K642" s="85">
        <f t="shared" si="20"/>
        <v>56.76724138</v>
      </c>
      <c r="L642" s="82">
        <v>68.0</v>
      </c>
      <c r="M642" s="85">
        <f t="shared" si="4"/>
        <v>-1.821</v>
      </c>
      <c r="N642" s="86">
        <f t="shared" si="21"/>
        <v>-0.006581610525</v>
      </c>
      <c r="O642" s="86"/>
      <c r="P642" s="82"/>
    </row>
    <row r="643">
      <c r="A643" s="90" t="s">
        <v>3932</v>
      </c>
      <c r="B643" s="90" t="s">
        <v>3933</v>
      </c>
      <c r="C643" s="90" t="s">
        <v>3934</v>
      </c>
      <c r="D643" s="84">
        <v>699.0</v>
      </c>
      <c r="E643" s="83"/>
      <c r="F643" s="84">
        <f t="shared" si="1"/>
        <v>48.231</v>
      </c>
      <c r="G643" s="84"/>
      <c r="H643" s="84">
        <v>437.31</v>
      </c>
      <c r="I643" s="91">
        <v>0.099</v>
      </c>
      <c r="J643" s="85">
        <f t="shared" si="19"/>
        <v>69.201</v>
      </c>
      <c r="K643" s="85">
        <f t="shared" si="20"/>
        <v>59.65603448</v>
      </c>
      <c r="L643" s="82">
        <v>68.0</v>
      </c>
      <c r="M643" s="85">
        <f t="shared" si="4"/>
        <v>76.258</v>
      </c>
      <c r="N643" s="86">
        <f t="shared" si="21"/>
        <v>0.1743797306</v>
      </c>
      <c r="O643" s="86"/>
      <c r="P643" s="82"/>
    </row>
    <row r="644">
      <c r="A644" s="90" t="s">
        <v>3935</v>
      </c>
      <c r="B644" s="90" t="s">
        <v>3936</v>
      </c>
      <c r="C644" s="90" t="s">
        <v>3937</v>
      </c>
      <c r="D644" s="84">
        <v>599.0</v>
      </c>
      <c r="E644" s="83"/>
      <c r="F644" s="84">
        <f t="shared" si="1"/>
        <v>41.331</v>
      </c>
      <c r="G644" s="84"/>
      <c r="H644" s="84">
        <v>440.2</v>
      </c>
      <c r="I644" s="91">
        <v>0.09</v>
      </c>
      <c r="J644" s="85">
        <f t="shared" si="19"/>
        <v>53.91</v>
      </c>
      <c r="K644" s="85">
        <f t="shared" si="20"/>
        <v>46.47413793</v>
      </c>
      <c r="L644" s="82">
        <v>68.0</v>
      </c>
      <c r="M644" s="85">
        <f t="shared" si="4"/>
        <v>-4.441</v>
      </c>
      <c r="N644" s="86">
        <f t="shared" si="21"/>
        <v>-0.01008859609</v>
      </c>
      <c r="O644" s="86"/>
      <c r="P644" s="82"/>
    </row>
    <row r="645">
      <c r="A645" s="90" t="s">
        <v>3938</v>
      </c>
      <c r="B645" s="90" t="s">
        <v>3939</v>
      </c>
      <c r="C645" s="90" t="s">
        <v>3940</v>
      </c>
      <c r="D645" s="84">
        <v>478.0</v>
      </c>
      <c r="E645" s="83"/>
      <c r="F645" s="84">
        <f t="shared" si="1"/>
        <v>32.982</v>
      </c>
      <c r="G645" s="84"/>
      <c r="H645" s="84">
        <v>354.38</v>
      </c>
      <c r="I645" s="91">
        <v>0.1</v>
      </c>
      <c r="J645" s="85">
        <f t="shared" si="19"/>
        <v>47.8</v>
      </c>
      <c r="K645" s="85">
        <f t="shared" si="20"/>
        <v>41.20689655</v>
      </c>
      <c r="L645" s="82">
        <v>61.0</v>
      </c>
      <c r="M645" s="85">
        <f t="shared" si="4"/>
        <v>-18.162</v>
      </c>
      <c r="N645" s="86">
        <f t="shared" si="21"/>
        <v>-0.05125007055</v>
      </c>
      <c r="O645" s="86"/>
      <c r="P645" s="82"/>
    </row>
    <row r="646">
      <c r="A646" s="90" t="s">
        <v>3941</v>
      </c>
      <c r="B646" s="90" t="s">
        <v>3942</v>
      </c>
      <c r="C646" s="90" t="s">
        <v>3943</v>
      </c>
      <c r="D646" s="84">
        <v>499.0</v>
      </c>
      <c r="E646" s="83"/>
      <c r="F646" s="84">
        <f t="shared" si="1"/>
        <v>34.431</v>
      </c>
      <c r="G646" s="84"/>
      <c r="H646" s="84">
        <v>329.0</v>
      </c>
      <c r="I646" s="91">
        <v>0.1</v>
      </c>
      <c r="J646" s="85">
        <f t="shared" si="19"/>
        <v>49.9</v>
      </c>
      <c r="K646" s="85">
        <f t="shared" si="20"/>
        <v>43.01724138</v>
      </c>
      <c r="L646" s="82">
        <v>68.0</v>
      </c>
      <c r="M646" s="85">
        <f t="shared" si="4"/>
        <v>17.669</v>
      </c>
      <c r="N646" s="86">
        <f t="shared" si="21"/>
        <v>0.05370516717</v>
      </c>
      <c r="O646" s="86"/>
      <c r="P646" s="82"/>
    </row>
    <row r="647">
      <c r="A647" s="90" t="s">
        <v>3944</v>
      </c>
      <c r="B647" s="90" t="s">
        <v>3945</v>
      </c>
      <c r="C647" s="89"/>
      <c r="D647" s="84">
        <v>819.0</v>
      </c>
      <c r="E647" s="83"/>
      <c r="F647" s="84">
        <f t="shared" si="1"/>
        <v>56.511</v>
      </c>
      <c r="G647" s="84"/>
      <c r="H647" s="84">
        <v>600.0</v>
      </c>
      <c r="I647" s="91">
        <v>0.1</v>
      </c>
      <c r="J647" s="85">
        <f t="shared" si="19"/>
        <v>81.9</v>
      </c>
      <c r="K647" s="85">
        <f t="shared" si="20"/>
        <v>70.60344828</v>
      </c>
      <c r="L647" s="82">
        <v>68.0</v>
      </c>
      <c r="M647" s="85">
        <f t="shared" si="4"/>
        <v>12.589</v>
      </c>
      <c r="N647" s="86">
        <f t="shared" si="21"/>
        <v>0.02098166667</v>
      </c>
      <c r="O647" s="86"/>
      <c r="P647" s="82"/>
    </row>
    <row r="648">
      <c r="A648" s="90" t="s">
        <v>3946</v>
      </c>
      <c r="B648" s="90" t="s">
        <v>3947</v>
      </c>
      <c r="C648" s="89"/>
      <c r="D648" s="84">
        <v>849.0</v>
      </c>
      <c r="E648" s="83"/>
      <c r="F648" s="84">
        <f t="shared" si="1"/>
        <v>58.581</v>
      </c>
      <c r="G648" s="84"/>
      <c r="H648" s="84">
        <v>590.0</v>
      </c>
      <c r="I648" s="91">
        <v>0.15</v>
      </c>
      <c r="J648" s="85">
        <f t="shared" si="19"/>
        <v>127.35</v>
      </c>
      <c r="K648" s="85">
        <f t="shared" si="20"/>
        <v>109.7844828</v>
      </c>
      <c r="L648" s="82">
        <v>70.0</v>
      </c>
      <c r="M648" s="85">
        <f t="shared" si="4"/>
        <v>3.069</v>
      </c>
      <c r="N648" s="86">
        <f t="shared" si="21"/>
        <v>0.005201694915</v>
      </c>
      <c r="O648" s="86"/>
      <c r="P648" s="82"/>
    </row>
    <row r="649">
      <c r="A649" s="90" t="s">
        <v>3948</v>
      </c>
      <c r="B649" s="90" t="s">
        <v>3949</v>
      </c>
      <c r="C649" s="89"/>
      <c r="D649" s="84">
        <v>3299.0</v>
      </c>
      <c r="E649" s="83"/>
      <c r="F649" s="84">
        <f t="shared" si="1"/>
        <v>227.631</v>
      </c>
      <c r="G649" s="84"/>
      <c r="H649" s="84">
        <v>2649.0</v>
      </c>
      <c r="I649" s="91">
        <v>0.1</v>
      </c>
      <c r="J649" s="85">
        <f t="shared" si="19"/>
        <v>329.9</v>
      </c>
      <c r="K649" s="85">
        <f t="shared" si="20"/>
        <v>284.3965517</v>
      </c>
      <c r="L649" s="82">
        <v>70.0</v>
      </c>
      <c r="M649" s="85">
        <f t="shared" si="4"/>
        <v>22.469</v>
      </c>
      <c r="N649" s="86">
        <f t="shared" si="21"/>
        <v>0.008482068705</v>
      </c>
      <c r="O649" s="86"/>
      <c r="P649" s="82"/>
    </row>
    <row r="650">
      <c r="A650" s="90" t="s">
        <v>3950</v>
      </c>
      <c r="B650" s="90" t="s">
        <v>3951</v>
      </c>
      <c r="C650" s="89"/>
      <c r="D650" s="84">
        <v>289.0</v>
      </c>
      <c r="E650" s="83" t="s">
        <v>237</v>
      </c>
      <c r="F650" s="84">
        <f t="shared" si="1"/>
        <v>19.941</v>
      </c>
      <c r="G650" s="84"/>
      <c r="H650" s="84">
        <v>160.0</v>
      </c>
      <c r="I650" s="91">
        <v>0.1</v>
      </c>
      <c r="J650" s="85">
        <f t="shared" si="19"/>
        <v>28.9</v>
      </c>
      <c r="K650" s="85">
        <f t="shared" si="20"/>
        <v>24.9137931</v>
      </c>
      <c r="L650" s="82">
        <v>64.0</v>
      </c>
      <c r="M650" s="85">
        <f t="shared" si="4"/>
        <v>16.159</v>
      </c>
      <c r="N650" s="86">
        <f t="shared" si="21"/>
        <v>0.10099375</v>
      </c>
      <c r="O650" s="86"/>
      <c r="P650" s="82"/>
    </row>
    <row r="651">
      <c r="A651" s="90" t="s">
        <v>3952</v>
      </c>
      <c r="B651" s="90" t="s">
        <v>3953</v>
      </c>
      <c r="C651" s="89"/>
      <c r="D651" s="84">
        <v>2999.0</v>
      </c>
      <c r="E651" s="83"/>
      <c r="F651" s="84">
        <f t="shared" si="1"/>
        <v>206.931</v>
      </c>
      <c r="G651" s="84"/>
      <c r="H651" s="84">
        <v>2307.36</v>
      </c>
      <c r="I651" s="91">
        <v>0.1</v>
      </c>
      <c r="J651" s="85">
        <f t="shared" si="19"/>
        <v>299.9</v>
      </c>
      <c r="K651" s="85">
        <f t="shared" si="20"/>
        <v>258.5344828</v>
      </c>
      <c r="L651" s="82">
        <v>117.0</v>
      </c>
      <c r="M651" s="85">
        <f t="shared" si="4"/>
        <v>67.809</v>
      </c>
      <c r="N651" s="86">
        <f t="shared" si="21"/>
        <v>0.02938813189</v>
      </c>
      <c r="O651" s="86"/>
      <c r="P651" s="82"/>
    </row>
    <row r="652">
      <c r="A652" s="90" t="s">
        <v>3954</v>
      </c>
      <c r="B652" s="90" t="s">
        <v>3955</v>
      </c>
      <c r="C652" s="89"/>
      <c r="D652" s="84">
        <v>4749.0</v>
      </c>
      <c r="E652" s="83"/>
      <c r="F652" s="84">
        <f t="shared" si="1"/>
        <v>327.681</v>
      </c>
      <c r="G652" s="84"/>
      <c r="H652" s="84">
        <v>3791.94</v>
      </c>
      <c r="I652" s="91">
        <v>0.1</v>
      </c>
      <c r="J652" s="85">
        <f t="shared" si="19"/>
        <v>474.9</v>
      </c>
      <c r="K652" s="85">
        <f t="shared" si="20"/>
        <v>409.3965517</v>
      </c>
      <c r="L652" s="82">
        <v>220.92</v>
      </c>
      <c r="M652" s="85">
        <f t="shared" si="4"/>
        <v>-66.441</v>
      </c>
      <c r="N652" s="86">
        <f t="shared" si="21"/>
        <v>-0.017521638</v>
      </c>
      <c r="O652" s="86"/>
      <c r="P652" s="82"/>
    </row>
    <row r="653" ht="42.0" customHeight="1">
      <c r="A653" s="90" t="s">
        <v>3956</v>
      </c>
      <c r="B653" s="90" t="s">
        <v>3957</v>
      </c>
      <c r="C653" s="89"/>
      <c r="D653" s="84">
        <v>899.0</v>
      </c>
      <c r="E653" s="83"/>
      <c r="F653" s="84">
        <f t="shared" si="1"/>
        <v>62.031</v>
      </c>
      <c r="G653" s="84"/>
      <c r="H653" s="84">
        <v>601.0</v>
      </c>
      <c r="I653" s="91">
        <v>0.15</v>
      </c>
      <c r="J653" s="85">
        <f t="shared" si="19"/>
        <v>134.85</v>
      </c>
      <c r="K653" s="85">
        <f t="shared" si="20"/>
        <v>116.25</v>
      </c>
      <c r="L653" s="82">
        <v>64.0</v>
      </c>
      <c r="M653" s="85">
        <f t="shared" si="4"/>
        <v>37.119</v>
      </c>
      <c r="N653" s="86">
        <f t="shared" si="21"/>
        <v>0.06176206323</v>
      </c>
      <c r="O653" s="86"/>
      <c r="P653" s="82"/>
    </row>
    <row r="654">
      <c r="A654" s="90" t="s">
        <v>3958</v>
      </c>
      <c r="B654" s="90" t="s">
        <v>3959</v>
      </c>
      <c r="C654" s="89"/>
      <c r="D654" s="84">
        <v>599.0</v>
      </c>
      <c r="E654" s="83"/>
      <c r="F654" s="84">
        <f t="shared" si="1"/>
        <v>41.331</v>
      </c>
      <c r="G654" s="84"/>
      <c r="H654" s="84">
        <v>360.6</v>
      </c>
      <c r="I654" s="91">
        <v>0.15</v>
      </c>
      <c r="J654" s="85">
        <f t="shared" si="19"/>
        <v>89.85</v>
      </c>
      <c r="K654" s="85">
        <f t="shared" si="20"/>
        <v>77.45689655</v>
      </c>
      <c r="L654" s="82">
        <v>64.0</v>
      </c>
      <c r="M654" s="85">
        <f t="shared" si="4"/>
        <v>43.219</v>
      </c>
      <c r="N654" s="86">
        <f t="shared" si="21"/>
        <v>0.1198530227</v>
      </c>
      <c r="O654" s="86"/>
      <c r="P654" s="82"/>
    </row>
    <row r="655">
      <c r="A655" s="90" t="s">
        <v>3960</v>
      </c>
      <c r="B655" s="90" t="s">
        <v>3961</v>
      </c>
      <c r="C655" s="89"/>
      <c r="D655" s="84">
        <v>599.0</v>
      </c>
      <c r="E655" s="83"/>
      <c r="F655" s="84">
        <f t="shared" si="1"/>
        <v>41.331</v>
      </c>
      <c r="G655" s="84"/>
      <c r="H655" s="84">
        <v>360.6</v>
      </c>
      <c r="I655" s="91">
        <v>0.15</v>
      </c>
      <c r="J655" s="85">
        <f t="shared" si="19"/>
        <v>89.85</v>
      </c>
      <c r="K655" s="85">
        <f t="shared" si="20"/>
        <v>77.45689655</v>
      </c>
      <c r="L655" s="82">
        <v>64.0</v>
      </c>
      <c r="M655" s="85">
        <f t="shared" si="4"/>
        <v>43.219</v>
      </c>
      <c r="N655" s="86">
        <f t="shared" si="21"/>
        <v>0.1198530227</v>
      </c>
      <c r="O655" s="86"/>
      <c r="P655" s="82"/>
    </row>
    <row r="656">
      <c r="A656" s="90" t="s">
        <v>3962</v>
      </c>
      <c r="B656" s="90" t="s">
        <v>3963</v>
      </c>
      <c r="C656" s="89"/>
      <c r="D656" s="84">
        <v>699.0</v>
      </c>
      <c r="E656" s="83"/>
      <c r="F656" s="84">
        <f t="shared" si="1"/>
        <v>48.231</v>
      </c>
      <c r="G656" s="84"/>
      <c r="H656" s="84">
        <v>360.6</v>
      </c>
      <c r="I656" s="91">
        <v>0.15</v>
      </c>
      <c r="J656" s="85">
        <f t="shared" si="19"/>
        <v>104.85</v>
      </c>
      <c r="K656" s="85">
        <f t="shared" si="20"/>
        <v>90.38793103</v>
      </c>
      <c r="L656" s="82">
        <v>64.0</v>
      </c>
      <c r="M656" s="85">
        <f t="shared" si="4"/>
        <v>121.319</v>
      </c>
      <c r="N656" s="86">
        <f t="shared" si="21"/>
        <v>0.3364364947</v>
      </c>
      <c r="O656" s="86"/>
      <c r="P656" s="82"/>
    </row>
    <row r="657">
      <c r="A657" s="90" t="s">
        <v>3964</v>
      </c>
      <c r="B657" s="90" t="s">
        <v>3965</v>
      </c>
      <c r="C657" s="89"/>
      <c r="D657" s="84">
        <v>699.0</v>
      </c>
      <c r="E657" s="83"/>
      <c r="F657" s="84">
        <f t="shared" si="1"/>
        <v>48.231</v>
      </c>
      <c r="G657" s="84"/>
      <c r="H657" s="84">
        <v>360.6</v>
      </c>
      <c r="I657" s="91">
        <v>0.15</v>
      </c>
      <c r="J657" s="85">
        <f t="shared" si="19"/>
        <v>104.85</v>
      </c>
      <c r="K657" s="85">
        <f t="shared" si="20"/>
        <v>90.38793103</v>
      </c>
      <c r="L657" s="82">
        <v>64.0</v>
      </c>
      <c r="M657" s="85">
        <f t="shared" si="4"/>
        <v>121.319</v>
      </c>
      <c r="N657" s="86">
        <f t="shared" si="21"/>
        <v>0.3364364947</v>
      </c>
      <c r="O657" s="86"/>
      <c r="P657" s="82"/>
    </row>
    <row r="658">
      <c r="A658" s="90" t="s">
        <v>3966</v>
      </c>
      <c r="B658" s="90" t="s">
        <v>3967</v>
      </c>
      <c r="C658" s="89"/>
      <c r="D658" s="84">
        <v>699.0</v>
      </c>
      <c r="E658" s="83"/>
      <c r="F658" s="84">
        <f t="shared" si="1"/>
        <v>48.231</v>
      </c>
      <c r="G658" s="84"/>
      <c r="H658" s="84">
        <v>360.6</v>
      </c>
      <c r="I658" s="91">
        <v>0.15</v>
      </c>
      <c r="J658" s="85">
        <f t="shared" si="19"/>
        <v>104.85</v>
      </c>
      <c r="K658" s="85">
        <f t="shared" si="20"/>
        <v>90.38793103</v>
      </c>
      <c r="L658" s="82">
        <v>64.0</v>
      </c>
      <c r="M658" s="85">
        <f t="shared" si="4"/>
        <v>121.319</v>
      </c>
      <c r="N658" s="86">
        <f t="shared" si="21"/>
        <v>0.3364364947</v>
      </c>
      <c r="O658" s="86"/>
      <c r="P658" s="82"/>
    </row>
    <row r="659">
      <c r="A659" s="90" t="s">
        <v>3966</v>
      </c>
      <c r="B659" s="90" t="s">
        <v>3967</v>
      </c>
      <c r="C659" s="89"/>
      <c r="D659" s="84">
        <v>1699.0</v>
      </c>
      <c r="E659" s="83"/>
      <c r="F659" s="84">
        <f t="shared" si="1"/>
        <v>117.231</v>
      </c>
      <c r="G659" s="84"/>
      <c r="H659" s="84">
        <v>1081.81</v>
      </c>
      <c r="I659" s="91">
        <v>0.15</v>
      </c>
      <c r="J659" s="85">
        <f t="shared" si="19"/>
        <v>254.85</v>
      </c>
      <c r="K659" s="85">
        <f t="shared" si="20"/>
        <v>219.6982759</v>
      </c>
      <c r="L659" s="82">
        <v>90.0</v>
      </c>
      <c r="M659" s="85">
        <f t="shared" si="4"/>
        <v>155.109</v>
      </c>
      <c r="N659" s="86">
        <f t="shared" si="21"/>
        <v>0.1433791516</v>
      </c>
      <c r="O659" s="86"/>
      <c r="P659" s="82"/>
    </row>
    <row r="660">
      <c r="A660" s="90" t="s">
        <v>3968</v>
      </c>
      <c r="B660" s="90" t="s">
        <v>3969</v>
      </c>
      <c r="C660" s="89"/>
      <c r="D660" s="84">
        <v>1999.0</v>
      </c>
      <c r="E660" s="83"/>
      <c r="F660" s="84">
        <f t="shared" si="1"/>
        <v>137.931</v>
      </c>
      <c r="G660" s="84"/>
      <c r="H660" s="84">
        <v>1442.42</v>
      </c>
      <c r="I660" s="91">
        <v>0.15</v>
      </c>
      <c r="J660" s="85">
        <f t="shared" si="19"/>
        <v>299.85</v>
      </c>
      <c r="K660" s="85">
        <f t="shared" si="20"/>
        <v>258.4913793</v>
      </c>
      <c r="L660" s="82">
        <v>90.0</v>
      </c>
      <c r="M660" s="85">
        <f t="shared" si="4"/>
        <v>28.799</v>
      </c>
      <c r="N660" s="86">
        <f t="shared" si="21"/>
        <v>0.019965752</v>
      </c>
      <c r="O660" s="86"/>
      <c r="P660" s="82"/>
    </row>
    <row r="661">
      <c r="A661" s="90" t="s">
        <v>3970</v>
      </c>
      <c r="B661" s="90" t="s">
        <v>3971</v>
      </c>
      <c r="C661" s="89"/>
      <c r="D661" s="84">
        <v>1499.0</v>
      </c>
      <c r="E661" s="83"/>
      <c r="F661" s="84">
        <f t="shared" si="1"/>
        <v>103.431</v>
      </c>
      <c r="G661" s="84"/>
      <c r="H661" s="84">
        <v>961.62</v>
      </c>
      <c r="I661" s="91">
        <v>0.15</v>
      </c>
      <c r="J661" s="85">
        <f t="shared" si="19"/>
        <v>224.85</v>
      </c>
      <c r="K661" s="85">
        <f t="shared" si="20"/>
        <v>193.8362069</v>
      </c>
      <c r="L661" s="82">
        <v>90.0</v>
      </c>
      <c r="M661" s="85">
        <f t="shared" si="4"/>
        <v>119.099</v>
      </c>
      <c r="N661" s="86">
        <f t="shared" si="21"/>
        <v>0.1238524573</v>
      </c>
      <c r="O661" s="86"/>
      <c r="P661" s="82"/>
    </row>
    <row r="662">
      <c r="A662" s="90" t="s">
        <v>3972</v>
      </c>
      <c r="B662" s="90" t="s">
        <v>3973</v>
      </c>
      <c r="C662" s="89"/>
      <c r="D662" s="84">
        <v>1599.0</v>
      </c>
      <c r="E662" s="83"/>
      <c r="F662" s="84">
        <f t="shared" si="1"/>
        <v>110.331</v>
      </c>
      <c r="G662" s="84"/>
      <c r="H662" s="84">
        <v>961.62</v>
      </c>
      <c r="I662" s="91">
        <v>0.15</v>
      </c>
      <c r="J662" s="85">
        <f t="shared" si="19"/>
        <v>239.85</v>
      </c>
      <c r="K662" s="85">
        <f t="shared" si="20"/>
        <v>206.7672414</v>
      </c>
      <c r="L662" s="82">
        <v>90.0</v>
      </c>
      <c r="M662" s="85">
        <f t="shared" si="4"/>
        <v>197.199</v>
      </c>
      <c r="N662" s="86">
        <f t="shared" si="21"/>
        <v>0.2050695701</v>
      </c>
      <c r="O662" s="86"/>
      <c r="P662" s="82"/>
    </row>
    <row r="663">
      <c r="A663" s="90" t="s">
        <v>3974</v>
      </c>
      <c r="B663" s="90" t="s">
        <v>3975</v>
      </c>
      <c r="C663" s="89"/>
      <c r="D663" s="84">
        <v>1499.0</v>
      </c>
      <c r="E663" s="83"/>
      <c r="F663" s="84">
        <f t="shared" si="1"/>
        <v>103.431</v>
      </c>
      <c r="G663" s="84"/>
      <c r="H663" s="84">
        <v>961.62</v>
      </c>
      <c r="I663" s="91">
        <v>0.15</v>
      </c>
      <c r="J663" s="85">
        <f t="shared" si="19"/>
        <v>224.85</v>
      </c>
      <c r="K663" s="85">
        <f t="shared" si="20"/>
        <v>193.8362069</v>
      </c>
      <c r="L663" s="82">
        <v>90.0</v>
      </c>
      <c r="M663" s="85">
        <f t="shared" si="4"/>
        <v>119.099</v>
      </c>
      <c r="N663" s="86">
        <f t="shared" si="21"/>
        <v>0.1238524573</v>
      </c>
      <c r="O663" s="86"/>
      <c r="P663" s="82"/>
    </row>
    <row r="664">
      <c r="A664" s="90" t="s">
        <v>3976</v>
      </c>
      <c r="B664" s="90" t="s">
        <v>3977</v>
      </c>
      <c r="C664" s="89"/>
      <c r="D664" s="84">
        <v>1349.0</v>
      </c>
      <c r="E664" s="83"/>
      <c r="F664" s="84">
        <f t="shared" si="1"/>
        <v>93.081</v>
      </c>
      <c r="G664" s="84"/>
      <c r="H664" s="84">
        <v>961.62</v>
      </c>
      <c r="I664" s="91">
        <v>0.15</v>
      </c>
      <c r="J664" s="85">
        <f t="shared" si="19"/>
        <v>202.35</v>
      </c>
      <c r="K664" s="85">
        <f t="shared" si="20"/>
        <v>174.4396552</v>
      </c>
      <c r="L664" s="82">
        <v>90.0</v>
      </c>
      <c r="M664" s="85">
        <f t="shared" si="4"/>
        <v>1.949</v>
      </c>
      <c r="N664" s="86">
        <f t="shared" si="21"/>
        <v>0.002026788128</v>
      </c>
      <c r="O664" s="86"/>
      <c r="P664" s="82"/>
    </row>
    <row r="665">
      <c r="A665" s="90" t="s">
        <v>3978</v>
      </c>
      <c r="B665" s="90" t="s">
        <v>3979</v>
      </c>
      <c r="C665" s="89"/>
      <c r="D665" s="84">
        <v>1399.0</v>
      </c>
      <c r="E665" s="83"/>
      <c r="F665" s="84">
        <f t="shared" si="1"/>
        <v>96.531</v>
      </c>
      <c r="G665" s="84"/>
      <c r="H665" s="84">
        <v>961.62</v>
      </c>
      <c r="I665" s="91">
        <v>0.15</v>
      </c>
      <c r="J665" s="85">
        <f t="shared" si="19"/>
        <v>209.85</v>
      </c>
      <c r="K665" s="85">
        <f t="shared" si="20"/>
        <v>180.9051724</v>
      </c>
      <c r="L665" s="82">
        <v>90.0</v>
      </c>
      <c r="M665" s="85">
        <f t="shared" si="4"/>
        <v>40.999</v>
      </c>
      <c r="N665" s="86">
        <f t="shared" si="21"/>
        <v>0.04263534452</v>
      </c>
      <c r="O665" s="86"/>
      <c r="P665" s="82"/>
    </row>
    <row r="666">
      <c r="A666" s="90" t="s">
        <v>3980</v>
      </c>
      <c r="B666" s="90" t="s">
        <v>3981</v>
      </c>
      <c r="C666" s="89"/>
      <c r="D666" s="84">
        <v>1349.0</v>
      </c>
      <c r="E666" s="83"/>
      <c r="F666" s="84">
        <f t="shared" si="1"/>
        <v>93.081</v>
      </c>
      <c r="G666" s="84"/>
      <c r="H666" s="84">
        <v>961.62</v>
      </c>
      <c r="I666" s="91">
        <v>0.15</v>
      </c>
      <c r="J666" s="85">
        <f t="shared" si="19"/>
        <v>202.35</v>
      </c>
      <c r="K666" s="85">
        <f t="shared" si="20"/>
        <v>174.4396552</v>
      </c>
      <c r="L666" s="82">
        <v>90.0</v>
      </c>
      <c r="M666" s="85">
        <f t="shared" si="4"/>
        <v>1.949</v>
      </c>
      <c r="N666" s="86">
        <f t="shared" si="21"/>
        <v>0.002026788128</v>
      </c>
      <c r="O666" s="86"/>
      <c r="P666" s="82"/>
    </row>
    <row r="667">
      <c r="A667" s="90" t="s">
        <v>3982</v>
      </c>
      <c r="B667" s="90" t="s">
        <v>3983</v>
      </c>
      <c r="C667" s="89"/>
      <c r="D667" s="84">
        <v>1399.0</v>
      </c>
      <c r="E667" s="83"/>
      <c r="F667" s="84">
        <f t="shared" si="1"/>
        <v>96.531</v>
      </c>
      <c r="G667" s="84"/>
      <c r="H667" s="84">
        <v>961.62</v>
      </c>
      <c r="I667" s="91">
        <v>0.15</v>
      </c>
      <c r="J667" s="85">
        <f t="shared" si="19"/>
        <v>209.85</v>
      </c>
      <c r="K667" s="85">
        <f t="shared" si="20"/>
        <v>180.9051724</v>
      </c>
      <c r="L667" s="82">
        <v>90.0</v>
      </c>
      <c r="M667" s="85">
        <f t="shared" si="4"/>
        <v>40.999</v>
      </c>
      <c r="N667" s="86">
        <f t="shared" si="21"/>
        <v>0.04263534452</v>
      </c>
      <c r="O667" s="86"/>
      <c r="P667" s="82"/>
    </row>
    <row r="668">
      <c r="A668" s="90" t="s">
        <v>3984</v>
      </c>
      <c r="B668" s="90" t="s">
        <v>3985</v>
      </c>
      <c r="C668" s="89"/>
      <c r="D668" s="84">
        <v>1399.0</v>
      </c>
      <c r="E668" s="83"/>
      <c r="F668" s="84">
        <f t="shared" si="1"/>
        <v>96.531</v>
      </c>
      <c r="G668" s="84"/>
      <c r="H668" s="84">
        <v>961.62</v>
      </c>
      <c r="I668" s="91">
        <v>0.15</v>
      </c>
      <c r="J668" s="85">
        <f t="shared" si="19"/>
        <v>209.85</v>
      </c>
      <c r="K668" s="85">
        <f t="shared" si="20"/>
        <v>180.9051724</v>
      </c>
      <c r="L668" s="82">
        <v>90.0</v>
      </c>
      <c r="M668" s="85">
        <f t="shared" si="4"/>
        <v>40.999</v>
      </c>
      <c r="N668" s="86">
        <f t="shared" si="21"/>
        <v>0.04263534452</v>
      </c>
      <c r="O668" s="86"/>
      <c r="P668" s="82"/>
    </row>
    <row r="669">
      <c r="A669" s="90" t="s">
        <v>3986</v>
      </c>
      <c r="B669" s="90" t="s">
        <v>3987</v>
      </c>
      <c r="C669" s="89"/>
      <c r="D669" s="84">
        <v>1399.0</v>
      </c>
      <c r="E669" s="83"/>
      <c r="F669" s="84">
        <f t="shared" si="1"/>
        <v>96.531</v>
      </c>
      <c r="G669" s="84"/>
      <c r="H669" s="84">
        <v>961.62</v>
      </c>
      <c r="I669" s="91">
        <v>0.15</v>
      </c>
      <c r="J669" s="85">
        <f t="shared" si="19"/>
        <v>209.85</v>
      </c>
      <c r="K669" s="85">
        <f t="shared" si="20"/>
        <v>180.9051724</v>
      </c>
      <c r="L669" s="82">
        <v>90.0</v>
      </c>
      <c r="M669" s="85">
        <f t="shared" si="4"/>
        <v>40.999</v>
      </c>
      <c r="N669" s="86">
        <f t="shared" si="21"/>
        <v>0.04263534452</v>
      </c>
      <c r="O669" s="86"/>
      <c r="P669" s="82"/>
    </row>
    <row r="670">
      <c r="A670" s="90" t="s">
        <v>3988</v>
      </c>
      <c r="B670" s="90" t="s">
        <v>3989</v>
      </c>
      <c r="C670" s="89"/>
      <c r="D670" s="84">
        <v>1399.0</v>
      </c>
      <c r="E670" s="83"/>
      <c r="F670" s="84">
        <f t="shared" si="1"/>
        <v>96.531</v>
      </c>
      <c r="G670" s="84"/>
      <c r="H670" s="84">
        <v>961.62</v>
      </c>
      <c r="I670" s="91">
        <v>0.15</v>
      </c>
      <c r="J670" s="85">
        <f t="shared" si="19"/>
        <v>209.85</v>
      </c>
      <c r="K670" s="85">
        <f t="shared" si="20"/>
        <v>180.9051724</v>
      </c>
      <c r="L670" s="82">
        <v>90.0</v>
      </c>
      <c r="M670" s="85">
        <f t="shared" si="4"/>
        <v>40.999</v>
      </c>
      <c r="N670" s="86">
        <f t="shared" si="21"/>
        <v>0.04263534452</v>
      </c>
      <c r="O670" s="86"/>
      <c r="P670" s="82"/>
    </row>
    <row r="671">
      <c r="A671" s="90" t="s">
        <v>3990</v>
      </c>
      <c r="B671" s="90" t="s">
        <v>3991</v>
      </c>
      <c r="C671" s="89"/>
      <c r="D671" s="84">
        <v>1299.0</v>
      </c>
      <c r="E671" s="83"/>
      <c r="F671" s="84">
        <f t="shared" si="1"/>
        <v>89.631</v>
      </c>
      <c r="G671" s="84"/>
      <c r="H671" s="84">
        <v>961.62</v>
      </c>
      <c r="I671" s="91">
        <v>0.15</v>
      </c>
      <c r="J671" s="85">
        <f t="shared" si="19"/>
        <v>194.85</v>
      </c>
      <c r="K671" s="85">
        <f t="shared" si="20"/>
        <v>167.9741379</v>
      </c>
      <c r="L671" s="82">
        <v>90.0</v>
      </c>
      <c r="M671" s="85">
        <f t="shared" si="4"/>
        <v>-37.101</v>
      </c>
      <c r="N671" s="86">
        <f t="shared" si="21"/>
        <v>-0.03858176827</v>
      </c>
      <c r="O671" s="86"/>
      <c r="P671" s="82"/>
    </row>
    <row r="672">
      <c r="A672" s="90" t="s">
        <v>3992</v>
      </c>
      <c r="B672" s="90" t="s">
        <v>3993</v>
      </c>
      <c r="C672" s="89"/>
      <c r="D672" s="84">
        <v>1499.0</v>
      </c>
      <c r="E672" s="83"/>
      <c r="F672" s="84">
        <f t="shared" si="1"/>
        <v>103.431</v>
      </c>
      <c r="G672" s="84"/>
      <c r="H672" s="84">
        <v>1081.81</v>
      </c>
      <c r="I672" s="91">
        <v>0.15</v>
      </c>
      <c r="J672" s="85">
        <f t="shared" si="19"/>
        <v>224.85</v>
      </c>
      <c r="K672" s="85">
        <f t="shared" si="20"/>
        <v>193.8362069</v>
      </c>
      <c r="L672" s="82">
        <v>90.0</v>
      </c>
      <c r="M672" s="85">
        <f t="shared" si="4"/>
        <v>-1.091</v>
      </c>
      <c r="N672" s="86">
        <f t="shared" si="21"/>
        <v>-0.001008495022</v>
      </c>
      <c r="O672" s="86"/>
      <c r="P672" s="82"/>
    </row>
    <row r="673">
      <c r="A673" s="90" t="s">
        <v>3994</v>
      </c>
      <c r="B673" s="90" t="s">
        <v>3995</v>
      </c>
      <c r="C673" s="89"/>
      <c r="D673" s="84">
        <v>669.0</v>
      </c>
      <c r="E673" s="83"/>
      <c r="F673" s="84">
        <f t="shared" si="1"/>
        <v>46.161</v>
      </c>
      <c r="G673" s="84"/>
      <c r="H673" s="84">
        <v>432.72</v>
      </c>
      <c r="I673" s="91">
        <v>0.15</v>
      </c>
      <c r="J673" s="85">
        <f t="shared" si="19"/>
        <v>100.35</v>
      </c>
      <c r="K673" s="85">
        <f t="shared" si="20"/>
        <v>86.50862069</v>
      </c>
      <c r="L673" s="82">
        <v>90.0</v>
      </c>
      <c r="M673" s="85">
        <f t="shared" si="4"/>
        <v>-0.231</v>
      </c>
      <c r="N673" s="86">
        <f t="shared" si="21"/>
        <v>-0.0005338325014</v>
      </c>
      <c r="O673" s="86"/>
      <c r="P673" s="82"/>
    </row>
    <row r="674">
      <c r="A674" s="90" t="s">
        <v>3996</v>
      </c>
      <c r="B674" s="90" t="s">
        <v>3997</v>
      </c>
      <c r="C674" s="89"/>
      <c r="D674" s="84">
        <v>699.0</v>
      </c>
      <c r="E674" s="83"/>
      <c r="F674" s="84">
        <f t="shared" si="1"/>
        <v>48.231</v>
      </c>
      <c r="G674" s="84"/>
      <c r="H674" s="84">
        <v>432.72</v>
      </c>
      <c r="I674" s="91">
        <v>0.15</v>
      </c>
      <c r="J674" s="85">
        <f t="shared" si="19"/>
        <v>104.85</v>
      </c>
      <c r="K674" s="85">
        <f t="shared" si="20"/>
        <v>90.38793103</v>
      </c>
      <c r="L674" s="82">
        <v>90.0</v>
      </c>
      <c r="M674" s="85">
        <f t="shared" si="4"/>
        <v>23.199</v>
      </c>
      <c r="N674" s="86">
        <f t="shared" si="21"/>
        <v>0.0536120355</v>
      </c>
      <c r="O674" s="86"/>
      <c r="P674" s="82"/>
    </row>
    <row r="675">
      <c r="A675" s="90" t="s">
        <v>3996</v>
      </c>
      <c r="B675" s="90" t="s">
        <v>3998</v>
      </c>
      <c r="C675" s="89"/>
      <c r="D675" s="84">
        <v>699.0</v>
      </c>
      <c r="E675" s="83"/>
      <c r="F675" s="84">
        <f t="shared" si="1"/>
        <v>48.231</v>
      </c>
      <c r="G675" s="84"/>
      <c r="H675" s="84">
        <v>432.72</v>
      </c>
      <c r="I675" s="91">
        <v>0.15</v>
      </c>
      <c r="J675" s="85">
        <f t="shared" si="19"/>
        <v>104.85</v>
      </c>
      <c r="K675" s="85">
        <f t="shared" si="20"/>
        <v>90.38793103</v>
      </c>
      <c r="L675" s="82">
        <v>90.0</v>
      </c>
      <c r="M675" s="85">
        <f t="shared" si="4"/>
        <v>23.199</v>
      </c>
      <c r="N675" s="86">
        <f t="shared" si="21"/>
        <v>0.0536120355</v>
      </c>
      <c r="O675" s="86"/>
      <c r="P675" s="82"/>
    </row>
    <row r="676">
      <c r="A676" s="90" t="s">
        <v>3999</v>
      </c>
      <c r="B676" s="90" t="s">
        <v>4000</v>
      </c>
      <c r="C676" s="89"/>
      <c r="D676" s="84">
        <v>299.0</v>
      </c>
      <c r="E676" s="83"/>
      <c r="F676" s="84">
        <f t="shared" si="1"/>
        <v>20.631</v>
      </c>
      <c r="G676" s="84"/>
      <c r="H676" s="84">
        <v>170.0</v>
      </c>
      <c r="I676" s="91">
        <v>0.15</v>
      </c>
      <c r="J676" s="85">
        <f t="shared" si="19"/>
        <v>44.85</v>
      </c>
      <c r="K676" s="85">
        <f t="shared" si="20"/>
        <v>38.6637931</v>
      </c>
      <c r="L676" s="82">
        <v>90.0</v>
      </c>
      <c r="M676" s="85">
        <f t="shared" si="4"/>
        <v>-26.481</v>
      </c>
      <c r="N676" s="86">
        <f t="shared" si="21"/>
        <v>-0.1557705882</v>
      </c>
      <c r="O676" s="86"/>
      <c r="P676" s="82"/>
    </row>
    <row r="677">
      <c r="A677" s="90" t="s">
        <v>4001</v>
      </c>
      <c r="B677" s="90" t="s">
        <v>4002</v>
      </c>
      <c r="C677" s="89"/>
      <c r="D677" s="84">
        <v>249.0</v>
      </c>
      <c r="E677" s="83"/>
      <c r="F677" s="84">
        <f t="shared" si="1"/>
        <v>17.181</v>
      </c>
      <c r="G677" s="84"/>
      <c r="H677" s="84">
        <v>150.0</v>
      </c>
      <c r="I677" s="91">
        <v>0.1</v>
      </c>
      <c r="J677" s="85">
        <f t="shared" si="19"/>
        <v>24.9</v>
      </c>
      <c r="K677" s="85">
        <f t="shared" si="20"/>
        <v>21.46551724</v>
      </c>
      <c r="L677" s="82">
        <v>63.0</v>
      </c>
      <c r="M677" s="85">
        <f t="shared" si="4"/>
        <v>-6.081</v>
      </c>
      <c r="N677" s="86">
        <f t="shared" si="21"/>
        <v>-0.04054</v>
      </c>
      <c r="O677" s="86"/>
      <c r="P677" s="82"/>
    </row>
    <row r="678">
      <c r="A678" s="90" t="s">
        <v>4003</v>
      </c>
      <c r="B678" s="90" t="s">
        <v>4004</v>
      </c>
      <c r="C678" s="89"/>
      <c r="D678" s="84">
        <v>799.0</v>
      </c>
      <c r="E678" s="83"/>
      <c r="F678" s="84">
        <f t="shared" si="1"/>
        <v>55.131</v>
      </c>
      <c r="G678" s="84"/>
      <c r="H678" s="84">
        <v>500.0</v>
      </c>
      <c r="I678" s="91">
        <v>0.15</v>
      </c>
      <c r="J678" s="85">
        <f t="shared" si="19"/>
        <v>119.85</v>
      </c>
      <c r="K678" s="85">
        <f t="shared" si="20"/>
        <v>103.3189655</v>
      </c>
      <c r="L678" s="82">
        <v>71.0</v>
      </c>
      <c r="M678" s="85">
        <f t="shared" si="4"/>
        <v>53.019</v>
      </c>
      <c r="N678" s="86">
        <f t="shared" si="21"/>
        <v>0.106038</v>
      </c>
      <c r="O678" s="86"/>
      <c r="P678" s="82"/>
    </row>
    <row r="679">
      <c r="A679" s="90" t="s">
        <v>4005</v>
      </c>
      <c r="B679" s="90" t="s">
        <v>4006</v>
      </c>
      <c r="C679" s="89"/>
      <c r="D679" s="84">
        <v>1689.0</v>
      </c>
      <c r="E679" s="83"/>
      <c r="F679" s="84">
        <f t="shared" si="1"/>
        <v>116.541</v>
      </c>
      <c r="G679" s="84"/>
      <c r="H679" s="84">
        <v>1238.24</v>
      </c>
      <c r="I679" s="91">
        <v>0.15</v>
      </c>
      <c r="J679" s="85">
        <f t="shared" si="19"/>
        <v>253.35</v>
      </c>
      <c r="K679" s="85">
        <f t="shared" si="20"/>
        <v>218.4051724</v>
      </c>
      <c r="L679" s="82">
        <v>67.0</v>
      </c>
      <c r="M679" s="85">
        <f t="shared" si="4"/>
        <v>13.869</v>
      </c>
      <c r="N679" s="86">
        <f t="shared" si="21"/>
        <v>0.01120057501</v>
      </c>
      <c r="O679" s="86"/>
      <c r="P679" s="82"/>
    </row>
    <row r="680">
      <c r="A680" s="90" t="s">
        <v>4007</v>
      </c>
      <c r="B680" s="90" t="s">
        <v>3422</v>
      </c>
      <c r="C680" s="89"/>
      <c r="D680" s="84">
        <v>3899.0</v>
      </c>
      <c r="E680" s="83"/>
      <c r="F680" s="84">
        <f t="shared" si="1"/>
        <v>269.031</v>
      </c>
      <c r="G680" s="84"/>
      <c r="H680" s="84">
        <v>3118.84</v>
      </c>
      <c r="I680" s="91">
        <v>0.1</v>
      </c>
      <c r="J680" s="85">
        <f t="shared" si="19"/>
        <v>389.9</v>
      </c>
      <c r="K680" s="85">
        <f t="shared" si="20"/>
        <v>336.1206897</v>
      </c>
      <c r="L680" s="82">
        <v>67.0</v>
      </c>
      <c r="M680" s="85">
        <f t="shared" si="4"/>
        <v>54.229</v>
      </c>
      <c r="N680" s="86">
        <f t="shared" si="21"/>
        <v>0.01738755435</v>
      </c>
      <c r="O680" s="86"/>
      <c r="P680" s="82"/>
    </row>
    <row r="681">
      <c r="A681" s="89"/>
      <c r="B681" s="90" t="s">
        <v>4008</v>
      </c>
      <c r="C681" s="89"/>
      <c r="D681" s="84">
        <v>1269.0</v>
      </c>
      <c r="E681" s="83"/>
      <c r="F681" s="84">
        <f t="shared" si="1"/>
        <v>87.561</v>
      </c>
      <c r="G681" s="84"/>
      <c r="H681" s="84">
        <v>961.62</v>
      </c>
      <c r="I681" s="91">
        <v>0.1</v>
      </c>
      <c r="J681" s="85">
        <f t="shared" si="19"/>
        <v>126.9</v>
      </c>
      <c r="K681" s="85">
        <f t="shared" si="20"/>
        <v>109.3965517</v>
      </c>
      <c r="L681" s="82">
        <v>67.0</v>
      </c>
      <c r="M681" s="85">
        <f t="shared" si="4"/>
        <v>25.919</v>
      </c>
      <c r="N681" s="86">
        <f t="shared" si="21"/>
        <v>0.02695347435</v>
      </c>
      <c r="O681" s="86"/>
      <c r="P681" s="82"/>
    </row>
    <row r="682">
      <c r="A682" s="90" t="s">
        <v>4009</v>
      </c>
      <c r="B682" s="90" t="s">
        <v>4010</v>
      </c>
      <c r="C682" s="89"/>
      <c r="D682" s="84">
        <v>759.0</v>
      </c>
      <c r="E682" s="83"/>
      <c r="F682" s="84">
        <f t="shared" si="1"/>
        <v>52.371</v>
      </c>
      <c r="G682" s="84"/>
      <c r="H682" s="84">
        <v>549.0</v>
      </c>
      <c r="I682" s="91">
        <v>0.1</v>
      </c>
      <c r="J682" s="85">
        <f t="shared" si="19"/>
        <v>75.9</v>
      </c>
      <c r="K682" s="85">
        <f t="shared" si="20"/>
        <v>65.43103448</v>
      </c>
      <c r="L682" s="82">
        <v>61.0</v>
      </c>
      <c r="M682" s="85">
        <f t="shared" si="4"/>
        <v>20.729</v>
      </c>
      <c r="N682" s="86">
        <f t="shared" si="21"/>
        <v>0.03775774135</v>
      </c>
      <c r="O682" s="86"/>
      <c r="P682" s="82"/>
    </row>
    <row r="683">
      <c r="A683" s="90" t="s">
        <v>2337</v>
      </c>
      <c r="B683" s="90" t="s">
        <v>4011</v>
      </c>
      <c r="C683" s="89"/>
      <c r="D683" s="84">
        <v>379.0</v>
      </c>
      <c r="E683" s="83"/>
      <c r="F683" s="84">
        <f t="shared" si="1"/>
        <v>26.151</v>
      </c>
      <c r="G683" s="84"/>
      <c r="H683" s="84">
        <v>218.0</v>
      </c>
      <c r="I683" s="91">
        <v>0.1</v>
      </c>
      <c r="J683" s="85">
        <f t="shared" si="19"/>
        <v>37.9</v>
      </c>
      <c r="K683" s="85">
        <f t="shared" si="20"/>
        <v>32.67241379</v>
      </c>
      <c r="L683" s="82">
        <v>64.0</v>
      </c>
      <c r="M683" s="85">
        <f t="shared" si="4"/>
        <v>32.949</v>
      </c>
      <c r="N683" s="86">
        <f t="shared" si="21"/>
        <v>0.1511422018</v>
      </c>
      <c r="O683" s="86"/>
      <c r="P683" s="82"/>
    </row>
    <row r="684">
      <c r="A684" s="89"/>
      <c r="B684" s="90" t="s">
        <v>4012</v>
      </c>
      <c r="C684" s="89"/>
      <c r="D684" s="84">
        <v>1399.0</v>
      </c>
      <c r="E684" s="83"/>
      <c r="F684" s="84">
        <f t="shared" si="1"/>
        <v>96.531</v>
      </c>
      <c r="G684" s="84"/>
      <c r="H684" s="84">
        <v>1108.99</v>
      </c>
      <c r="I684" s="91">
        <v>0.1</v>
      </c>
      <c r="J684" s="85">
        <f t="shared" si="19"/>
        <v>139.9</v>
      </c>
      <c r="K684" s="85">
        <f t="shared" si="20"/>
        <v>120.6034483</v>
      </c>
      <c r="L684" s="82">
        <v>64.0</v>
      </c>
      <c r="M684" s="85">
        <f t="shared" si="4"/>
        <v>-10.421</v>
      </c>
      <c r="N684" s="86">
        <f t="shared" si="21"/>
        <v>-0.009396838565</v>
      </c>
      <c r="O684" s="86"/>
      <c r="P684" s="82"/>
    </row>
    <row r="685">
      <c r="A685" s="90" t="s">
        <v>4013</v>
      </c>
      <c r="B685" s="90" t="s">
        <v>4014</v>
      </c>
      <c r="C685" s="89"/>
      <c r="D685" s="84">
        <v>3999.0</v>
      </c>
      <c r="E685" s="83"/>
      <c r="F685" s="84">
        <f t="shared" si="1"/>
        <v>275.931</v>
      </c>
      <c r="G685" s="84"/>
      <c r="H685" s="84">
        <v>3359.8</v>
      </c>
      <c r="I685" s="91">
        <v>0.1</v>
      </c>
      <c r="J685" s="85">
        <f t="shared" si="19"/>
        <v>399.9</v>
      </c>
      <c r="K685" s="85">
        <f t="shared" si="20"/>
        <v>344.7413793</v>
      </c>
      <c r="L685" s="82">
        <v>64.0</v>
      </c>
      <c r="M685" s="85">
        <f t="shared" si="4"/>
        <v>-100.631</v>
      </c>
      <c r="N685" s="86">
        <f t="shared" si="21"/>
        <v>-0.02995148521</v>
      </c>
      <c r="O685" s="86"/>
      <c r="P685" s="82"/>
    </row>
    <row r="686">
      <c r="A686" s="90" t="s">
        <v>4015</v>
      </c>
      <c r="B686" s="90" t="s">
        <v>4016</v>
      </c>
      <c r="C686" s="89"/>
      <c r="D686" s="84">
        <v>4299.0</v>
      </c>
      <c r="E686" s="83"/>
      <c r="F686" s="84">
        <f t="shared" si="1"/>
        <v>296.631</v>
      </c>
      <c r="G686" s="84"/>
      <c r="H686" s="84">
        <v>3357.52</v>
      </c>
      <c r="I686" s="91">
        <v>0.1</v>
      </c>
      <c r="J686" s="85">
        <f t="shared" si="19"/>
        <v>429.9</v>
      </c>
      <c r="K686" s="85">
        <f t="shared" si="20"/>
        <v>370.6034483</v>
      </c>
      <c r="L686" s="82">
        <v>136.0</v>
      </c>
      <c r="M686" s="85">
        <f t="shared" si="4"/>
        <v>78.949</v>
      </c>
      <c r="N686" s="86">
        <f t="shared" si="21"/>
        <v>0.02351408182</v>
      </c>
      <c r="O686" s="86"/>
      <c r="P686" s="82"/>
    </row>
    <row r="687">
      <c r="A687" s="90" t="s">
        <v>4017</v>
      </c>
      <c r="B687" s="90" t="s">
        <v>4018</v>
      </c>
      <c r="C687" s="89"/>
      <c r="D687" s="84">
        <v>712.0</v>
      </c>
      <c r="E687" s="83"/>
      <c r="F687" s="84">
        <f t="shared" si="1"/>
        <v>49.128</v>
      </c>
      <c r="G687" s="84"/>
      <c r="H687" s="84">
        <v>212.0</v>
      </c>
      <c r="I687" s="91">
        <v>0.15</v>
      </c>
      <c r="J687" s="85">
        <f t="shared" si="19"/>
        <v>106.8</v>
      </c>
      <c r="K687" s="85">
        <f t="shared" si="20"/>
        <v>92.06896552</v>
      </c>
      <c r="L687" s="82">
        <v>63.0</v>
      </c>
      <c r="M687" s="85">
        <f t="shared" si="4"/>
        <v>281.072</v>
      </c>
      <c r="N687" s="86">
        <f t="shared" si="21"/>
        <v>1.325811321</v>
      </c>
      <c r="O687" s="86"/>
      <c r="P687" s="82"/>
    </row>
    <row r="688">
      <c r="A688" s="90" t="s">
        <v>4019</v>
      </c>
      <c r="B688" s="90" t="s">
        <v>4020</v>
      </c>
      <c r="C688" s="89"/>
      <c r="D688" s="84">
        <v>299.0</v>
      </c>
      <c r="E688" s="83"/>
      <c r="F688" s="84">
        <f t="shared" si="1"/>
        <v>20.631</v>
      </c>
      <c r="G688" s="84"/>
      <c r="H688" s="84">
        <v>170.0</v>
      </c>
      <c r="I688" s="91">
        <v>0.15</v>
      </c>
      <c r="J688" s="85">
        <f t="shared" si="19"/>
        <v>44.85</v>
      </c>
      <c r="K688" s="85">
        <f t="shared" si="20"/>
        <v>38.6637931</v>
      </c>
      <c r="L688" s="82">
        <v>63.0</v>
      </c>
      <c r="M688" s="85">
        <f t="shared" si="4"/>
        <v>0.519</v>
      </c>
      <c r="N688" s="86">
        <f t="shared" si="21"/>
        <v>0.003052941176</v>
      </c>
      <c r="O688" s="86"/>
      <c r="P688" s="82"/>
    </row>
    <row r="689">
      <c r="A689" s="90" t="s">
        <v>4021</v>
      </c>
      <c r="B689" s="90" t="s">
        <v>4022</v>
      </c>
      <c r="C689" s="89"/>
      <c r="D689" s="84">
        <v>640.0</v>
      </c>
      <c r="E689" s="83"/>
      <c r="F689" s="84">
        <f t="shared" si="1"/>
        <v>44.16</v>
      </c>
      <c r="G689" s="84"/>
      <c r="H689" s="84">
        <v>440.0</v>
      </c>
      <c r="I689" s="91">
        <v>0.1</v>
      </c>
      <c r="J689" s="85">
        <f t="shared" si="19"/>
        <v>64</v>
      </c>
      <c r="K689" s="85">
        <f t="shared" si="20"/>
        <v>55.17241379</v>
      </c>
      <c r="L689" s="82">
        <v>72.0</v>
      </c>
      <c r="M689" s="85">
        <f t="shared" si="4"/>
        <v>19.84</v>
      </c>
      <c r="N689" s="86">
        <f t="shared" si="21"/>
        <v>0.04509090909</v>
      </c>
      <c r="O689" s="86"/>
      <c r="P689" s="82"/>
    </row>
    <row r="690">
      <c r="A690" s="90" t="s">
        <v>4023</v>
      </c>
      <c r="B690" s="90" t="s">
        <v>4024</v>
      </c>
      <c r="C690" s="89"/>
      <c r="D690" s="84">
        <v>3599.0</v>
      </c>
      <c r="E690" s="83"/>
      <c r="F690" s="84">
        <f t="shared" si="1"/>
        <v>248.331</v>
      </c>
      <c r="G690" s="84"/>
      <c r="H690" s="84">
        <v>2826.76</v>
      </c>
      <c r="I690" s="91">
        <v>0.1</v>
      </c>
      <c r="J690" s="85">
        <f t="shared" si="19"/>
        <v>359.9</v>
      </c>
      <c r="K690" s="85">
        <f t="shared" si="20"/>
        <v>310.2586207</v>
      </c>
      <c r="L690" s="82">
        <v>106.0</v>
      </c>
      <c r="M690" s="85">
        <f t="shared" si="4"/>
        <v>58.009</v>
      </c>
      <c r="N690" s="86">
        <f t="shared" si="21"/>
        <v>0.02052137429</v>
      </c>
      <c r="O690" s="86"/>
      <c r="P690" s="82"/>
    </row>
    <row r="691">
      <c r="A691" s="90" t="s">
        <v>4025</v>
      </c>
      <c r="B691" s="90" t="s">
        <v>4026</v>
      </c>
      <c r="C691" s="89"/>
      <c r="D691" s="84">
        <v>549.0</v>
      </c>
      <c r="E691" s="83"/>
      <c r="F691" s="84">
        <f t="shared" si="1"/>
        <v>37.881</v>
      </c>
      <c r="G691" s="84"/>
      <c r="H691" s="84">
        <v>360.0</v>
      </c>
      <c r="I691" s="91">
        <v>0.15</v>
      </c>
      <c r="J691" s="85">
        <f t="shared" si="19"/>
        <v>82.35</v>
      </c>
      <c r="K691" s="85">
        <f t="shared" si="20"/>
        <v>70.99137931</v>
      </c>
      <c r="L691" s="82">
        <v>70.0</v>
      </c>
      <c r="M691" s="85">
        <f t="shared" si="4"/>
        <v>-1.231</v>
      </c>
      <c r="N691" s="86">
        <f t="shared" si="21"/>
        <v>-0.003419444444</v>
      </c>
      <c r="O691" s="86"/>
      <c r="P691" s="82"/>
    </row>
    <row r="692">
      <c r="A692" s="90" t="s">
        <v>4027</v>
      </c>
      <c r="B692" s="90" t="s">
        <v>4028</v>
      </c>
      <c r="C692" s="89"/>
      <c r="D692" s="84">
        <v>899.0</v>
      </c>
      <c r="E692" s="83"/>
      <c r="F692" s="84">
        <f t="shared" si="1"/>
        <v>62.031</v>
      </c>
      <c r="G692" s="84"/>
      <c r="H692" s="84">
        <v>656.2</v>
      </c>
      <c r="I692" s="91">
        <v>0.1</v>
      </c>
      <c r="J692" s="85">
        <f t="shared" si="19"/>
        <v>89.9</v>
      </c>
      <c r="K692" s="85">
        <f t="shared" si="20"/>
        <v>77.5</v>
      </c>
      <c r="L692" s="82">
        <v>69.0</v>
      </c>
      <c r="M692" s="85">
        <f t="shared" si="4"/>
        <v>21.869</v>
      </c>
      <c r="N692" s="86">
        <f t="shared" si="21"/>
        <v>0.03332672966</v>
      </c>
      <c r="O692" s="86"/>
      <c r="P692" s="82"/>
    </row>
    <row r="693">
      <c r="A693" s="90" t="s">
        <v>4029</v>
      </c>
      <c r="B693" s="90" t="s">
        <v>4030</v>
      </c>
      <c r="C693" s="89"/>
      <c r="D693" s="84">
        <v>829.0</v>
      </c>
      <c r="E693" s="83"/>
      <c r="F693" s="84">
        <f t="shared" si="1"/>
        <v>57.201</v>
      </c>
      <c r="G693" s="84"/>
      <c r="H693" s="84">
        <v>490.0</v>
      </c>
      <c r="I693" s="91">
        <v>0.15</v>
      </c>
      <c r="J693" s="85">
        <f t="shared" si="19"/>
        <v>124.35</v>
      </c>
      <c r="K693" s="85">
        <f t="shared" si="20"/>
        <v>107.1982759</v>
      </c>
      <c r="L693" s="82">
        <v>69.0</v>
      </c>
      <c r="M693" s="85">
        <f t="shared" si="4"/>
        <v>88.449</v>
      </c>
      <c r="N693" s="86">
        <f t="shared" si="21"/>
        <v>0.1805081633</v>
      </c>
      <c r="O693" s="86"/>
      <c r="P693" s="82"/>
    </row>
    <row r="694">
      <c r="A694" s="90" t="s">
        <v>4031</v>
      </c>
      <c r="B694" s="90" t="s">
        <v>4032</v>
      </c>
      <c r="C694" s="89"/>
      <c r="D694" s="84">
        <v>1499.0</v>
      </c>
      <c r="E694" s="83"/>
      <c r="F694" s="84">
        <f t="shared" si="1"/>
        <v>103.431</v>
      </c>
      <c r="G694" s="84"/>
      <c r="H694" s="84">
        <v>1059.0</v>
      </c>
      <c r="I694" s="91">
        <v>0.15</v>
      </c>
      <c r="J694" s="85">
        <f t="shared" si="19"/>
        <v>224.85</v>
      </c>
      <c r="K694" s="85">
        <f t="shared" si="20"/>
        <v>193.8362069</v>
      </c>
      <c r="L694" s="82">
        <v>63.0</v>
      </c>
      <c r="M694" s="85">
        <f t="shared" si="4"/>
        <v>48.719</v>
      </c>
      <c r="N694" s="86">
        <f t="shared" si="21"/>
        <v>0.04600472144</v>
      </c>
      <c r="O694" s="86"/>
      <c r="P694" s="82"/>
    </row>
    <row r="695">
      <c r="A695" s="90" t="s">
        <v>4031</v>
      </c>
      <c r="B695" s="90" t="s">
        <v>4033</v>
      </c>
      <c r="C695" s="89"/>
      <c r="D695" s="84">
        <v>1299.0</v>
      </c>
      <c r="E695" s="83"/>
      <c r="F695" s="84">
        <f t="shared" si="1"/>
        <v>89.631</v>
      </c>
      <c r="G695" s="84"/>
      <c r="H695" s="84">
        <v>943.8</v>
      </c>
      <c r="I695" s="91">
        <v>0.15</v>
      </c>
      <c r="J695" s="85">
        <f t="shared" si="19"/>
        <v>194.85</v>
      </c>
      <c r="K695" s="85">
        <f t="shared" si="20"/>
        <v>167.9741379</v>
      </c>
      <c r="L695" s="82">
        <v>63.0</v>
      </c>
      <c r="M695" s="85">
        <f t="shared" si="4"/>
        <v>7.719</v>
      </c>
      <c r="N695" s="86">
        <f t="shared" si="21"/>
        <v>0.008178639542</v>
      </c>
      <c r="O695" s="86"/>
      <c r="P695" s="82"/>
    </row>
    <row r="696">
      <c r="A696" s="90" t="s">
        <v>4031</v>
      </c>
      <c r="B696" s="90" t="s">
        <v>4034</v>
      </c>
      <c r="C696" s="89"/>
      <c r="D696" s="84">
        <v>1299.0</v>
      </c>
      <c r="E696" s="83"/>
      <c r="F696" s="84">
        <f t="shared" si="1"/>
        <v>89.631</v>
      </c>
      <c r="G696" s="84"/>
      <c r="H696" s="84">
        <v>943.8</v>
      </c>
      <c r="I696" s="91">
        <v>0.15</v>
      </c>
      <c r="J696" s="85">
        <f t="shared" si="19"/>
        <v>194.85</v>
      </c>
      <c r="K696" s="85">
        <f t="shared" si="20"/>
        <v>167.9741379</v>
      </c>
      <c r="L696" s="82">
        <v>63.0</v>
      </c>
      <c r="M696" s="85">
        <f t="shared" si="4"/>
        <v>7.719</v>
      </c>
      <c r="N696" s="86">
        <f t="shared" si="21"/>
        <v>0.008178639542</v>
      </c>
      <c r="O696" s="86"/>
      <c r="P696" s="82"/>
    </row>
    <row r="697">
      <c r="A697" s="90" t="s">
        <v>4035</v>
      </c>
      <c r="B697" s="90" t="s">
        <v>4036</v>
      </c>
      <c r="C697" s="89"/>
      <c r="D697" s="84">
        <v>529.0</v>
      </c>
      <c r="E697" s="83"/>
      <c r="F697" s="84">
        <f t="shared" si="1"/>
        <v>36.501</v>
      </c>
      <c r="G697" s="84"/>
      <c r="H697" s="84">
        <v>350.0</v>
      </c>
      <c r="I697" s="91">
        <v>0.1</v>
      </c>
      <c r="J697" s="85">
        <f t="shared" si="19"/>
        <v>52.9</v>
      </c>
      <c r="K697" s="85">
        <f t="shared" si="20"/>
        <v>45.60344828</v>
      </c>
      <c r="L697" s="82">
        <v>69.0</v>
      </c>
      <c r="M697" s="85">
        <f t="shared" si="4"/>
        <v>20.599</v>
      </c>
      <c r="N697" s="86">
        <f t="shared" si="21"/>
        <v>0.05885428571</v>
      </c>
      <c r="O697" s="86"/>
      <c r="P697" s="82"/>
    </row>
    <row r="698">
      <c r="A698" s="90" t="s">
        <v>4037</v>
      </c>
      <c r="B698" s="90" t="s">
        <v>4038</v>
      </c>
      <c r="C698" s="89"/>
      <c r="D698" s="87"/>
      <c r="E698" s="83"/>
      <c r="F698" s="84">
        <f t="shared" si="1"/>
        <v>0</v>
      </c>
      <c r="G698" s="84"/>
      <c r="H698" s="84">
        <v>320.0</v>
      </c>
      <c r="I698" s="91"/>
      <c r="J698" s="85">
        <f t="shared" si="19"/>
        <v>0</v>
      </c>
      <c r="K698" s="85">
        <f t="shared" si="20"/>
        <v>0</v>
      </c>
      <c r="L698" s="82">
        <v>69.0</v>
      </c>
      <c r="M698" s="85">
        <f t="shared" si="4"/>
        <v>-389</v>
      </c>
      <c r="N698" s="86">
        <f t="shared" si="21"/>
        <v>-1.215625</v>
      </c>
      <c r="O698" s="86"/>
      <c r="P698" s="82"/>
    </row>
    <row r="699">
      <c r="A699" s="90" t="s">
        <v>4039</v>
      </c>
      <c r="B699" s="90" t="s">
        <v>4040</v>
      </c>
      <c r="C699" s="89"/>
      <c r="D699" s="87"/>
      <c r="E699" s="83"/>
      <c r="F699" s="84">
        <f t="shared" si="1"/>
        <v>0</v>
      </c>
      <c r="G699" s="84"/>
      <c r="H699" s="84">
        <v>420.0</v>
      </c>
      <c r="I699" s="91"/>
      <c r="J699" s="85">
        <f t="shared" si="19"/>
        <v>0</v>
      </c>
      <c r="K699" s="85">
        <f t="shared" si="20"/>
        <v>0</v>
      </c>
      <c r="L699" s="82">
        <v>69.0</v>
      </c>
      <c r="M699" s="85">
        <f t="shared" si="4"/>
        <v>-489</v>
      </c>
      <c r="N699" s="86">
        <f t="shared" si="21"/>
        <v>-1.164285714</v>
      </c>
      <c r="O699" s="86"/>
      <c r="P699" s="82"/>
    </row>
    <row r="700">
      <c r="A700" s="90" t="s">
        <v>4041</v>
      </c>
      <c r="B700" s="90" t="s">
        <v>4042</v>
      </c>
      <c r="C700" s="89"/>
      <c r="D700" s="87"/>
      <c r="E700" s="83"/>
      <c r="F700" s="84">
        <f t="shared" si="1"/>
        <v>0</v>
      </c>
      <c r="G700" s="84"/>
      <c r="H700" s="84">
        <v>500.0</v>
      </c>
      <c r="I700" s="91"/>
      <c r="J700" s="85">
        <f t="shared" si="19"/>
        <v>0</v>
      </c>
      <c r="K700" s="85">
        <f t="shared" si="20"/>
        <v>0</v>
      </c>
      <c r="L700" s="82">
        <v>69.0</v>
      </c>
      <c r="M700" s="85">
        <f t="shared" si="4"/>
        <v>-569</v>
      </c>
      <c r="N700" s="86">
        <f t="shared" si="21"/>
        <v>-1.138</v>
      </c>
      <c r="O700" s="86"/>
      <c r="P700" s="82"/>
    </row>
    <row r="701">
      <c r="A701" s="90" t="s">
        <v>4043</v>
      </c>
      <c r="B701" s="90" t="s">
        <v>4044</v>
      </c>
      <c r="C701" s="89"/>
      <c r="D701" s="87"/>
      <c r="E701" s="83"/>
      <c r="F701" s="84">
        <f t="shared" si="1"/>
        <v>0</v>
      </c>
      <c r="G701" s="84"/>
      <c r="H701" s="84">
        <v>583.92</v>
      </c>
      <c r="I701" s="91"/>
      <c r="J701" s="85">
        <f t="shared" si="19"/>
        <v>0</v>
      </c>
      <c r="K701" s="85">
        <f t="shared" si="20"/>
        <v>0</v>
      </c>
      <c r="L701" s="82">
        <v>69.0</v>
      </c>
      <c r="M701" s="85">
        <f t="shared" si="4"/>
        <v>-652.92</v>
      </c>
      <c r="N701" s="86">
        <f t="shared" si="21"/>
        <v>-1.118166872</v>
      </c>
      <c r="O701" s="86"/>
      <c r="P701" s="82"/>
    </row>
    <row r="702">
      <c r="A702" s="90" t="s">
        <v>4045</v>
      </c>
      <c r="B702" s="90" t="s">
        <v>4046</v>
      </c>
      <c r="C702" s="89"/>
      <c r="D702" s="84">
        <v>2499.0</v>
      </c>
      <c r="E702" s="83"/>
      <c r="F702" s="84">
        <f t="shared" si="1"/>
        <v>172.431</v>
      </c>
      <c r="G702" s="84"/>
      <c r="H702" s="84">
        <v>1967.2</v>
      </c>
      <c r="I702" s="91">
        <v>0.1</v>
      </c>
      <c r="J702" s="85">
        <f t="shared" si="19"/>
        <v>249.9</v>
      </c>
      <c r="K702" s="85">
        <f t="shared" si="20"/>
        <v>215.4310345</v>
      </c>
      <c r="L702" s="82">
        <v>79.0</v>
      </c>
      <c r="M702" s="85">
        <f t="shared" si="4"/>
        <v>30.469</v>
      </c>
      <c r="N702" s="86">
        <f t="shared" si="21"/>
        <v>0.01548851159</v>
      </c>
      <c r="O702" s="86"/>
      <c r="P702" s="82"/>
    </row>
    <row r="703">
      <c r="A703" s="90" t="s">
        <v>4045</v>
      </c>
      <c r="B703" s="90" t="s">
        <v>4047</v>
      </c>
      <c r="C703" s="89"/>
      <c r="D703" s="84">
        <v>2499.0</v>
      </c>
      <c r="E703" s="83"/>
      <c r="F703" s="84">
        <f t="shared" si="1"/>
        <v>172.431</v>
      </c>
      <c r="G703" s="84"/>
      <c r="H703" s="84">
        <v>1967.2</v>
      </c>
      <c r="I703" s="91">
        <v>0.1</v>
      </c>
      <c r="J703" s="85">
        <f t="shared" si="19"/>
        <v>249.9</v>
      </c>
      <c r="K703" s="85">
        <f t="shared" si="20"/>
        <v>215.4310345</v>
      </c>
      <c r="L703" s="82">
        <v>79.0</v>
      </c>
      <c r="M703" s="85">
        <f t="shared" si="4"/>
        <v>30.469</v>
      </c>
      <c r="N703" s="86">
        <f t="shared" si="21"/>
        <v>0.01548851159</v>
      </c>
      <c r="O703" s="86"/>
      <c r="P703" s="82"/>
    </row>
    <row r="704">
      <c r="A704" s="90" t="s">
        <v>4048</v>
      </c>
      <c r="B704" s="90" t="s">
        <v>4049</v>
      </c>
      <c r="C704" s="89"/>
      <c r="D704" s="84">
        <v>879.0</v>
      </c>
      <c r="E704" s="83"/>
      <c r="F704" s="84">
        <f t="shared" si="1"/>
        <v>60.651</v>
      </c>
      <c r="G704" s="84"/>
      <c r="H704" s="84">
        <v>620.0</v>
      </c>
      <c r="I704" s="91">
        <v>0.1</v>
      </c>
      <c r="J704" s="85">
        <f t="shared" si="19"/>
        <v>87.9</v>
      </c>
      <c r="K704" s="85">
        <f t="shared" si="20"/>
        <v>75.77586207</v>
      </c>
      <c r="L704" s="82">
        <v>69.0</v>
      </c>
      <c r="M704" s="85">
        <f t="shared" si="4"/>
        <v>41.449</v>
      </c>
      <c r="N704" s="86">
        <f t="shared" si="21"/>
        <v>0.06685322581</v>
      </c>
      <c r="O704" s="86"/>
      <c r="P704" s="82"/>
    </row>
    <row r="705">
      <c r="A705" s="90" t="s">
        <v>4050</v>
      </c>
      <c r="B705" s="90" t="s">
        <v>4051</v>
      </c>
      <c r="C705" s="89"/>
      <c r="D705" s="84">
        <v>789.0</v>
      </c>
      <c r="E705" s="83"/>
      <c r="F705" s="84">
        <f t="shared" si="1"/>
        <v>54.441</v>
      </c>
      <c r="G705" s="84"/>
      <c r="H705" s="84">
        <v>509.22</v>
      </c>
      <c r="I705" s="91">
        <v>0.15</v>
      </c>
      <c r="J705" s="85">
        <f t="shared" si="19"/>
        <v>118.35</v>
      </c>
      <c r="K705" s="85">
        <f t="shared" si="20"/>
        <v>102.0258621</v>
      </c>
      <c r="L705" s="82">
        <v>62.0</v>
      </c>
      <c r="M705" s="85">
        <f t="shared" si="4"/>
        <v>44.989</v>
      </c>
      <c r="N705" s="86">
        <f t="shared" si="21"/>
        <v>0.08834884726</v>
      </c>
      <c r="O705" s="86"/>
      <c r="P705" s="82"/>
    </row>
    <row r="706">
      <c r="A706" s="90" t="s">
        <v>4052</v>
      </c>
      <c r="B706" s="90" t="s">
        <v>4053</v>
      </c>
      <c r="C706" s="89"/>
      <c r="D706" s="84">
        <v>999.0</v>
      </c>
      <c r="E706" s="83"/>
      <c r="F706" s="84">
        <f t="shared" si="1"/>
        <v>68.931</v>
      </c>
      <c r="G706" s="84"/>
      <c r="H706" s="84">
        <v>509.22</v>
      </c>
      <c r="I706" s="91">
        <v>0.15</v>
      </c>
      <c r="J706" s="85">
        <f t="shared" si="19"/>
        <v>149.85</v>
      </c>
      <c r="K706" s="85">
        <f t="shared" si="20"/>
        <v>129.1810345</v>
      </c>
      <c r="L706" s="82">
        <v>62.0</v>
      </c>
      <c r="M706" s="85">
        <f t="shared" si="4"/>
        <v>208.999</v>
      </c>
      <c r="N706" s="86">
        <f t="shared" si="21"/>
        <v>0.4104296768</v>
      </c>
      <c r="O706" s="86"/>
      <c r="P706" s="82"/>
    </row>
    <row r="707">
      <c r="A707" s="90" t="s">
        <v>4054</v>
      </c>
      <c r="B707" s="90" t="s">
        <v>4055</v>
      </c>
      <c r="C707" s="89"/>
      <c r="D707" s="84">
        <v>969.0</v>
      </c>
      <c r="E707" s="83"/>
      <c r="F707" s="84">
        <f t="shared" si="1"/>
        <v>66.861</v>
      </c>
      <c r="G707" s="84"/>
      <c r="H707" s="84">
        <v>703.9</v>
      </c>
      <c r="I707" s="91">
        <v>0.15</v>
      </c>
      <c r="J707" s="85">
        <f t="shared" si="19"/>
        <v>145.35</v>
      </c>
      <c r="K707" s="85">
        <f t="shared" si="20"/>
        <v>125.3017241</v>
      </c>
      <c r="L707" s="82">
        <v>63.0</v>
      </c>
      <c r="M707" s="85">
        <f t="shared" si="4"/>
        <v>-10.111</v>
      </c>
      <c r="N707" s="86">
        <f t="shared" si="21"/>
        <v>-0.01436425629</v>
      </c>
      <c r="O707" s="86"/>
      <c r="P707" s="82"/>
    </row>
    <row r="708">
      <c r="A708" s="90" t="s">
        <v>1538</v>
      </c>
      <c r="B708" s="90" t="s">
        <v>4056</v>
      </c>
      <c r="C708" s="89"/>
      <c r="D708" s="84">
        <v>1599.0</v>
      </c>
      <c r="E708" s="83"/>
      <c r="F708" s="84">
        <f t="shared" si="1"/>
        <v>110.331</v>
      </c>
      <c r="G708" s="84"/>
      <c r="H708" s="84">
        <v>1157.67</v>
      </c>
      <c r="I708" s="91">
        <v>0.15</v>
      </c>
      <c r="J708" s="85">
        <f t="shared" si="19"/>
        <v>239.85</v>
      </c>
      <c r="K708" s="85">
        <f t="shared" si="20"/>
        <v>206.7672414</v>
      </c>
      <c r="L708" s="82">
        <v>83.0</v>
      </c>
      <c r="M708" s="85">
        <f t="shared" si="4"/>
        <v>8.149</v>
      </c>
      <c r="N708" s="86">
        <f t="shared" si="21"/>
        <v>0.00703913896</v>
      </c>
      <c r="O708" s="86"/>
      <c r="P708" s="82"/>
    </row>
    <row r="709">
      <c r="A709" s="90" t="s">
        <v>4057</v>
      </c>
      <c r="B709" s="90" t="s">
        <v>4058</v>
      </c>
      <c r="C709" s="89"/>
      <c r="D709" s="84">
        <v>3199.0</v>
      </c>
      <c r="E709" s="83"/>
      <c r="F709" s="84">
        <f t="shared" si="1"/>
        <v>220.731</v>
      </c>
      <c r="G709" s="84"/>
      <c r="H709" s="84">
        <v>2434.43</v>
      </c>
      <c r="I709" s="91">
        <v>0.15</v>
      </c>
      <c r="J709" s="85">
        <f t="shared" si="19"/>
        <v>479.85</v>
      </c>
      <c r="K709" s="85">
        <f t="shared" si="20"/>
        <v>413.6637931</v>
      </c>
      <c r="L709" s="82">
        <v>129.0</v>
      </c>
      <c r="M709" s="85">
        <f t="shared" si="4"/>
        <v>-65.011</v>
      </c>
      <c r="N709" s="86">
        <f t="shared" si="21"/>
        <v>-0.02670481386</v>
      </c>
      <c r="O709" s="86"/>
      <c r="P709" s="82"/>
    </row>
    <row r="710">
      <c r="A710" s="90" t="s">
        <v>4059</v>
      </c>
      <c r="B710" s="90" t="s">
        <v>4060</v>
      </c>
      <c r="C710" s="89"/>
      <c r="D710" s="84">
        <v>899.0</v>
      </c>
      <c r="E710" s="83"/>
      <c r="F710" s="84">
        <f t="shared" si="1"/>
        <v>62.031</v>
      </c>
      <c r="G710" s="84"/>
      <c r="H710" s="84">
        <v>617.87</v>
      </c>
      <c r="I710" s="91">
        <v>0.15</v>
      </c>
      <c r="J710" s="85">
        <f t="shared" si="19"/>
        <v>134.85</v>
      </c>
      <c r="K710" s="85">
        <f t="shared" si="20"/>
        <v>116.25</v>
      </c>
      <c r="L710" s="84">
        <v>66.0</v>
      </c>
      <c r="M710" s="85">
        <f t="shared" si="4"/>
        <v>18.249</v>
      </c>
      <c r="N710" s="86">
        <f t="shared" si="21"/>
        <v>0.02953533915</v>
      </c>
      <c r="O710" s="86"/>
      <c r="P710" s="82"/>
    </row>
    <row r="711">
      <c r="A711" s="90" t="s">
        <v>4061</v>
      </c>
      <c r="B711" s="90" t="s">
        <v>4062</v>
      </c>
      <c r="C711" s="89"/>
      <c r="D711" s="84">
        <v>999.0</v>
      </c>
      <c r="E711" s="83"/>
      <c r="F711" s="84">
        <f t="shared" si="1"/>
        <v>68.931</v>
      </c>
      <c r="G711" s="84"/>
      <c r="H711" s="84">
        <v>617.87</v>
      </c>
      <c r="I711" s="91">
        <v>0.15</v>
      </c>
      <c r="J711" s="85">
        <f t="shared" si="19"/>
        <v>149.85</v>
      </c>
      <c r="K711" s="85">
        <f t="shared" si="20"/>
        <v>129.1810345</v>
      </c>
      <c r="L711" s="84">
        <v>66.0</v>
      </c>
      <c r="M711" s="85">
        <f t="shared" si="4"/>
        <v>96.349</v>
      </c>
      <c r="N711" s="86">
        <f t="shared" si="21"/>
        <v>0.1559373331</v>
      </c>
      <c r="O711" s="86"/>
      <c r="P711" s="82"/>
    </row>
    <row r="712">
      <c r="A712" s="90" t="s">
        <v>4063</v>
      </c>
      <c r="B712" s="90" t="s">
        <v>4064</v>
      </c>
      <c r="C712" s="89"/>
      <c r="D712" s="84">
        <v>3099.0</v>
      </c>
      <c r="E712" s="83"/>
      <c r="F712" s="84">
        <f t="shared" si="1"/>
        <v>213.831</v>
      </c>
      <c r="G712" s="84"/>
      <c r="H712" s="84">
        <v>2271.86</v>
      </c>
      <c r="I712" s="91">
        <v>0.15</v>
      </c>
      <c r="J712" s="85">
        <f t="shared" si="19"/>
        <v>464.85</v>
      </c>
      <c r="K712" s="85">
        <f t="shared" si="20"/>
        <v>400.7327586</v>
      </c>
      <c r="L712" s="84">
        <v>132.0</v>
      </c>
      <c r="M712" s="85">
        <f t="shared" si="4"/>
        <v>16.459</v>
      </c>
      <c r="N712" s="86">
        <f t="shared" si="21"/>
        <v>0.007244724587</v>
      </c>
      <c r="O712" s="86"/>
      <c r="P712" s="82"/>
    </row>
    <row r="713">
      <c r="A713" s="90" t="s">
        <v>4065</v>
      </c>
      <c r="B713" s="90" t="s">
        <v>4066</v>
      </c>
      <c r="C713" s="89"/>
      <c r="D713" s="84">
        <v>2269.0</v>
      </c>
      <c r="E713" s="83"/>
      <c r="F713" s="84">
        <f t="shared" si="1"/>
        <v>156.561</v>
      </c>
      <c r="G713" s="84"/>
      <c r="H713" s="84">
        <v>1716.3</v>
      </c>
      <c r="I713" s="91">
        <v>0.1</v>
      </c>
      <c r="J713" s="85">
        <f t="shared" si="19"/>
        <v>226.9</v>
      </c>
      <c r="K713" s="85">
        <f t="shared" si="20"/>
        <v>195.6034483</v>
      </c>
      <c r="L713" s="84">
        <v>106.0</v>
      </c>
      <c r="M713" s="85">
        <f t="shared" si="4"/>
        <v>63.239</v>
      </c>
      <c r="N713" s="86">
        <f t="shared" si="21"/>
        <v>0.03684612247</v>
      </c>
      <c r="O713" s="86"/>
      <c r="P713" s="82"/>
    </row>
    <row r="714">
      <c r="A714" s="90" t="s">
        <v>4067</v>
      </c>
      <c r="B714" s="90" t="s">
        <v>4068</v>
      </c>
      <c r="C714" s="89"/>
      <c r="D714" s="84">
        <v>1079.0</v>
      </c>
      <c r="E714" s="83"/>
      <c r="F714" s="84">
        <f t="shared" si="1"/>
        <v>74.451</v>
      </c>
      <c r="G714" s="84"/>
      <c r="H714" s="84">
        <v>777.51</v>
      </c>
      <c r="I714" s="91">
        <v>0.15</v>
      </c>
      <c r="J714" s="85">
        <f t="shared" si="19"/>
        <v>161.85</v>
      </c>
      <c r="K714" s="85">
        <f t="shared" si="20"/>
        <v>139.5258621</v>
      </c>
      <c r="L714" s="84">
        <v>63.0</v>
      </c>
      <c r="M714" s="85">
        <f t="shared" si="4"/>
        <v>2.189</v>
      </c>
      <c r="N714" s="86">
        <f t="shared" si="21"/>
        <v>0.002815397873</v>
      </c>
      <c r="O714" s="86"/>
      <c r="P714" s="82"/>
    </row>
    <row r="715">
      <c r="A715" s="90" t="s">
        <v>4069</v>
      </c>
      <c r="B715" s="90" t="s">
        <v>4070</v>
      </c>
      <c r="C715" s="89"/>
      <c r="D715" s="84">
        <v>1429.0</v>
      </c>
      <c r="E715" s="83"/>
      <c r="F715" s="84">
        <f t="shared" si="1"/>
        <v>98.601</v>
      </c>
      <c r="G715" s="84"/>
      <c r="H715" s="84">
        <v>1426.69</v>
      </c>
      <c r="I715" s="91">
        <v>0.15</v>
      </c>
      <c r="J715" s="85">
        <f t="shared" si="19"/>
        <v>214.35</v>
      </c>
      <c r="K715" s="85">
        <f t="shared" si="20"/>
        <v>184.7844828</v>
      </c>
      <c r="L715" s="84">
        <v>63.0</v>
      </c>
      <c r="M715" s="85">
        <f t="shared" si="4"/>
        <v>-373.641</v>
      </c>
      <c r="N715" s="86">
        <f t="shared" si="21"/>
        <v>-0.2618936139</v>
      </c>
      <c r="O715" s="86"/>
      <c r="P715" s="82"/>
    </row>
    <row r="716">
      <c r="A716" s="90" t="s">
        <v>4069</v>
      </c>
      <c r="B716" s="90" t="s">
        <v>4071</v>
      </c>
      <c r="C716" s="89"/>
      <c r="D716" s="84">
        <v>1919.0</v>
      </c>
      <c r="E716" s="83"/>
      <c r="F716" s="84">
        <f t="shared" si="1"/>
        <v>132.411</v>
      </c>
      <c r="G716" s="84"/>
      <c r="H716" s="84">
        <v>1426.69</v>
      </c>
      <c r="I716" s="91">
        <v>0.15</v>
      </c>
      <c r="J716" s="85">
        <f t="shared" si="19"/>
        <v>287.85</v>
      </c>
      <c r="K716" s="85">
        <f t="shared" si="20"/>
        <v>248.1465517</v>
      </c>
      <c r="L716" s="84">
        <v>63.0</v>
      </c>
      <c r="M716" s="85">
        <f t="shared" si="4"/>
        <v>9.049</v>
      </c>
      <c r="N716" s="86">
        <f t="shared" si="21"/>
        <v>0.006342653274</v>
      </c>
      <c r="O716" s="86"/>
      <c r="P716" s="82"/>
    </row>
    <row r="717">
      <c r="A717" s="90" t="s">
        <v>2337</v>
      </c>
      <c r="B717" s="90" t="s">
        <v>4072</v>
      </c>
      <c r="C717" s="89"/>
      <c r="D717" s="84">
        <v>344.0</v>
      </c>
      <c r="E717" s="83"/>
      <c r="F717" s="84">
        <f t="shared" si="1"/>
        <v>23.736</v>
      </c>
      <c r="G717" s="84"/>
      <c r="H717" s="84">
        <v>218.0</v>
      </c>
      <c r="I717" s="91">
        <v>0.1</v>
      </c>
      <c r="J717" s="85">
        <f t="shared" si="19"/>
        <v>34.4</v>
      </c>
      <c r="K717" s="85">
        <f t="shared" si="20"/>
        <v>29.65517241</v>
      </c>
      <c r="L717" s="84">
        <v>54.0</v>
      </c>
      <c r="M717" s="85">
        <f t="shared" si="4"/>
        <v>13.864</v>
      </c>
      <c r="N717" s="86">
        <f t="shared" si="21"/>
        <v>0.06359633028</v>
      </c>
      <c r="O717" s="86"/>
      <c r="P717" s="82"/>
    </row>
    <row r="718">
      <c r="A718" s="89"/>
      <c r="B718" s="90" t="s">
        <v>4073</v>
      </c>
      <c r="C718" s="89"/>
      <c r="D718" s="84">
        <v>749.0</v>
      </c>
      <c r="E718" s="83"/>
      <c r="F718" s="84">
        <f t="shared" si="1"/>
        <v>51.681</v>
      </c>
      <c r="G718" s="84"/>
      <c r="H718" s="84">
        <v>509.22</v>
      </c>
      <c r="I718" s="91">
        <v>0.15</v>
      </c>
      <c r="J718" s="85">
        <f t="shared" si="19"/>
        <v>112.35</v>
      </c>
      <c r="K718" s="85">
        <f t="shared" si="20"/>
        <v>96.85344828</v>
      </c>
      <c r="L718" s="84">
        <v>63.0</v>
      </c>
      <c r="M718" s="85">
        <f t="shared" si="4"/>
        <v>12.749</v>
      </c>
      <c r="N718" s="86">
        <f t="shared" si="21"/>
        <v>0.02503633007</v>
      </c>
      <c r="O718" s="86"/>
      <c r="P718" s="82"/>
    </row>
    <row r="719">
      <c r="A719" s="90" t="s">
        <v>4074</v>
      </c>
      <c r="B719" s="90" t="s">
        <v>4075</v>
      </c>
      <c r="C719" s="89"/>
      <c r="D719" s="84">
        <v>2699.0</v>
      </c>
      <c r="E719" s="83"/>
      <c r="F719" s="84">
        <f t="shared" si="1"/>
        <v>186.231</v>
      </c>
      <c r="G719" s="84"/>
      <c r="H719" s="84">
        <v>2063.21</v>
      </c>
      <c r="I719" s="91">
        <v>0.1</v>
      </c>
      <c r="J719" s="85">
        <f t="shared" si="19"/>
        <v>269.9</v>
      </c>
      <c r="K719" s="85">
        <f t="shared" si="20"/>
        <v>232.6724138</v>
      </c>
      <c r="L719" s="84">
        <v>63.0</v>
      </c>
      <c r="M719" s="85">
        <f t="shared" si="4"/>
        <v>116.659</v>
      </c>
      <c r="N719" s="86">
        <f t="shared" si="21"/>
        <v>0.05654247508</v>
      </c>
      <c r="O719" s="86"/>
      <c r="P719" s="82"/>
    </row>
    <row r="720">
      <c r="A720" s="89"/>
      <c r="B720" s="90" t="s">
        <v>4076</v>
      </c>
      <c r="C720" s="89"/>
      <c r="D720" s="84">
        <v>1399.0</v>
      </c>
      <c r="E720" s="83"/>
      <c r="F720" s="84">
        <f t="shared" si="1"/>
        <v>96.531</v>
      </c>
      <c r="G720" s="84"/>
      <c r="H720" s="84">
        <v>1020.63</v>
      </c>
      <c r="I720" s="91">
        <v>0.15</v>
      </c>
      <c r="J720" s="85">
        <f t="shared" si="19"/>
        <v>209.85</v>
      </c>
      <c r="K720" s="85">
        <f t="shared" si="20"/>
        <v>180.9051724</v>
      </c>
      <c r="L720" s="84">
        <v>63.0</v>
      </c>
      <c r="M720" s="85">
        <f t="shared" si="4"/>
        <v>8.989</v>
      </c>
      <c r="N720" s="86">
        <f t="shared" si="21"/>
        <v>0.008807305292</v>
      </c>
      <c r="O720" s="86"/>
      <c r="P720" s="82"/>
    </row>
    <row r="721">
      <c r="A721" s="90" t="s">
        <v>4077</v>
      </c>
      <c r="B721" s="90" t="s">
        <v>4078</v>
      </c>
      <c r="C721" s="89"/>
      <c r="D721" s="84">
        <v>8999.0</v>
      </c>
      <c r="E721" s="83"/>
      <c r="F721" s="84">
        <f t="shared" si="1"/>
        <v>620.931</v>
      </c>
      <c r="G721" s="84"/>
      <c r="H721" s="84">
        <v>6518.89</v>
      </c>
      <c r="I721" s="91">
        <v>0.15</v>
      </c>
      <c r="J721" s="85">
        <f t="shared" si="19"/>
        <v>1349.85</v>
      </c>
      <c r="K721" s="85">
        <f t="shared" si="20"/>
        <v>1163.663793</v>
      </c>
      <c r="L721" s="84">
        <v>174.0</v>
      </c>
      <c r="M721" s="85">
        <f t="shared" si="4"/>
        <v>335.329</v>
      </c>
      <c r="N721" s="86">
        <f t="shared" si="21"/>
        <v>0.05143958557</v>
      </c>
      <c r="O721" s="86"/>
      <c r="P721" s="82"/>
    </row>
    <row r="722">
      <c r="A722" s="90" t="s">
        <v>4079</v>
      </c>
      <c r="B722" s="90" t="s">
        <v>4080</v>
      </c>
      <c r="C722" s="89"/>
      <c r="D722" s="84">
        <v>4399.0</v>
      </c>
      <c r="E722" s="83"/>
      <c r="F722" s="84">
        <f t="shared" si="1"/>
        <v>303.531</v>
      </c>
      <c r="G722" s="84"/>
      <c r="H722" s="84">
        <v>2288.41</v>
      </c>
      <c r="I722" s="91">
        <v>0.1</v>
      </c>
      <c r="J722" s="85">
        <f t="shared" si="19"/>
        <v>439.9</v>
      </c>
      <c r="K722" s="85">
        <f t="shared" si="20"/>
        <v>379.2241379</v>
      </c>
      <c r="L722" s="84">
        <v>129.0</v>
      </c>
      <c r="M722" s="85">
        <f t="shared" si="4"/>
        <v>1238.159</v>
      </c>
      <c r="N722" s="86">
        <f t="shared" si="21"/>
        <v>0.541056454</v>
      </c>
      <c r="O722" s="86"/>
      <c r="P722" s="82"/>
    </row>
    <row r="723">
      <c r="A723" s="90" t="s">
        <v>4081</v>
      </c>
      <c r="B723" s="90" t="s">
        <v>3349</v>
      </c>
      <c r="C723" s="89"/>
      <c r="D723" s="84">
        <v>6998.0</v>
      </c>
      <c r="E723" s="83"/>
      <c r="F723" s="84">
        <f t="shared" si="1"/>
        <v>482.862</v>
      </c>
      <c r="G723" s="84"/>
      <c r="H723" s="84">
        <v>6230.0</v>
      </c>
      <c r="I723" s="91">
        <v>0.1</v>
      </c>
      <c r="J723" s="85">
        <f t="shared" si="19"/>
        <v>699.8</v>
      </c>
      <c r="K723" s="85">
        <f t="shared" si="20"/>
        <v>603.2758621</v>
      </c>
      <c r="L723" s="84">
        <v>205.0</v>
      </c>
      <c r="M723" s="85">
        <f t="shared" si="4"/>
        <v>-619.662</v>
      </c>
      <c r="N723" s="86">
        <f t="shared" si="21"/>
        <v>-0.09946420546</v>
      </c>
      <c r="O723" s="86"/>
      <c r="P723" s="82"/>
    </row>
    <row r="724">
      <c r="A724" s="90" t="s">
        <v>4082</v>
      </c>
      <c r="B724" s="90" t="s">
        <v>4083</v>
      </c>
      <c r="C724" s="89"/>
      <c r="D724" s="84">
        <v>2099.0</v>
      </c>
      <c r="E724" s="83"/>
      <c r="F724" s="84">
        <f t="shared" si="1"/>
        <v>144.831</v>
      </c>
      <c r="G724" s="84"/>
      <c r="H724" s="84">
        <v>1590.0</v>
      </c>
      <c r="I724" s="91">
        <v>0.1</v>
      </c>
      <c r="J724" s="85">
        <f t="shared" si="19"/>
        <v>209.9</v>
      </c>
      <c r="K724" s="85">
        <f t="shared" si="20"/>
        <v>180.9482759</v>
      </c>
      <c r="L724" s="84">
        <v>102.0</v>
      </c>
      <c r="M724" s="85">
        <f t="shared" si="4"/>
        <v>52.269</v>
      </c>
      <c r="N724" s="86">
        <f t="shared" si="21"/>
        <v>0.03287358491</v>
      </c>
      <c r="O724" s="86"/>
      <c r="P724" s="82"/>
    </row>
    <row r="725">
      <c r="A725" s="90" t="s">
        <v>4084</v>
      </c>
      <c r="B725" s="90" t="s">
        <v>4085</v>
      </c>
      <c r="C725" s="89"/>
      <c r="D725" s="84">
        <v>2099.0</v>
      </c>
      <c r="E725" s="83"/>
      <c r="F725" s="84">
        <f t="shared" si="1"/>
        <v>144.831</v>
      </c>
      <c r="G725" s="84"/>
      <c r="H725" s="84">
        <v>1600.74</v>
      </c>
      <c r="I725" s="91">
        <v>0.1</v>
      </c>
      <c r="J725" s="85">
        <f t="shared" si="19"/>
        <v>209.9</v>
      </c>
      <c r="K725" s="85">
        <f t="shared" si="20"/>
        <v>180.9482759</v>
      </c>
      <c r="L725" s="84">
        <v>71.0</v>
      </c>
      <c r="M725" s="85">
        <f t="shared" si="4"/>
        <v>72.529</v>
      </c>
      <c r="N725" s="86">
        <f t="shared" si="21"/>
        <v>0.04530966928</v>
      </c>
      <c r="O725" s="86"/>
      <c r="P725" s="82"/>
    </row>
    <row r="726">
      <c r="A726" s="90" t="s">
        <v>4086</v>
      </c>
      <c r="B726" s="90" t="s">
        <v>4087</v>
      </c>
      <c r="C726" s="89"/>
      <c r="D726" s="84">
        <v>799.0</v>
      </c>
      <c r="E726" s="83"/>
      <c r="F726" s="84">
        <f t="shared" si="1"/>
        <v>55.131</v>
      </c>
      <c r="G726" s="84"/>
      <c r="H726" s="84">
        <v>543.84</v>
      </c>
      <c r="I726" s="91">
        <v>0.1</v>
      </c>
      <c r="J726" s="85">
        <f t="shared" si="19"/>
        <v>79.9</v>
      </c>
      <c r="K726" s="85">
        <f t="shared" si="20"/>
        <v>68.87931034</v>
      </c>
      <c r="L726" s="84">
        <v>64.0</v>
      </c>
      <c r="M726" s="85">
        <f t="shared" si="4"/>
        <v>56.129</v>
      </c>
      <c r="N726" s="86">
        <f t="shared" si="21"/>
        <v>0.1032086643</v>
      </c>
      <c r="O726" s="86"/>
      <c r="P726" s="82"/>
    </row>
    <row r="727">
      <c r="A727" s="90" t="s">
        <v>4088</v>
      </c>
      <c r="B727" s="90" t="s">
        <v>4089</v>
      </c>
      <c r="C727" s="89"/>
      <c r="D727" s="84">
        <v>499.0</v>
      </c>
      <c r="E727" s="83"/>
      <c r="F727" s="84">
        <f t="shared" si="1"/>
        <v>34.431</v>
      </c>
      <c r="G727" s="84"/>
      <c r="H727" s="84">
        <v>310.0</v>
      </c>
      <c r="I727" s="91">
        <v>0.15</v>
      </c>
      <c r="J727" s="85">
        <f t="shared" si="19"/>
        <v>74.85</v>
      </c>
      <c r="K727" s="85">
        <f t="shared" si="20"/>
        <v>64.52586207</v>
      </c>
      <c r="L727" s="84">
        <v>69.0</v>
      </c>
      <c r="M727" s="85">
        <f t="shared" si="4"/>
        <v>10.719</v>
      </c>
      <c r="N727" s="86">
        <f t="shared" si="21"/>
        <v>0.03457741935</v>
      </c>
      <c r="O727" s="86"/>
      <c r="P727" s="82"/>
    </row>
    <row r="728">
      <c r="A728" s="90" t="s">
        <v>4090</v>
      </c>
      <c r="B728" s="90" t="s">
        <v>4091</v>
      </c>
      <c r="C728" s="89"/>
      <c r="D728" s="84">
        <v>949.0</v>
      </c>
      <c r="E728" s="83"/>
      <c r="F728" s="84">
        <f t="shared" si="1"/>
        <v>65.481</v>
      </c>
      <c r="G728" s="84"/>
      <c r="H728" s="84">
        <v>593.0</v>
      </c>
      <c r="I728" s="91">
        <v>0.15</v>
      </c>
      <c r="J728" s="85">
        <f t="shared" si="19"/>
        <v>142.35</v>
      </c>
      <c r="K728" s="85">
        <f t="shared" si="20"/>
        <v>122.7155172</v>
      </c>
      <c r="L728" s="84">
        <v>64.0</v>
      </c>
      <c r="M728" s="85">
        <f t="shared" si="4"/>
        <v>84.169</v>
      </c>
      <c r="N728" s="86">
        <f t="shared" si="21"/>
        <v>0.1419376054</v>
      </c>
      <c r="O728" s="86"/>
      <c r="P728" s="82"/>
    </row>
    <row r="729">
      <c r="A729" s="89"/>
      <c r="B729" s="90" t="s">
        <v>4092</v>
      </c>
      <c r="C729" s="89"/>
      <c r="D729" s="84">
        <v>3699.0</v>
      </c>
      <c r="E729" s="83"/>
      <c r="F729" s="84">
        <f t="shared" si="1"/>
        <v>255.231</v>
      </c>
      <c r="G729" s="84"/>
      <c r="H729" s="84">
        <v>2513.86</v>
      </c>
      <c r="I729" s="91">
        <v>0.12</v>
      </c>
      <c r="J729" s="85">
        <f t="shared" si="19"/>
        <v>443.88</v>
      </c>
      <c r="K729" s="85">
        <f t="shared" si="20"/>
        <v>382.6551724</v>
      </c>
      <c r="L729" s="84">
        <v>64.0</v>
      </c>
      <c r="M729" s="85">
        <f t="shared" si="4"/>
        <v>422.029</v>
      </c>
      <c r="N729" s="86">
        <f t="shared" si="21"/>
        <v>0.1678808685</v>
      </c>
      <c r="O729" s="86"/>
      <c r="P729" s="82"/>
    </row>
    <row r="730">
      <c r="A730" s="90" t="s">
        <v>4093</v>
      </c>
      <c r="B730" s="90" t="s">
        <v>4094</v>
      </c>
      <c r="C730" s="89"/>
      <c r="D730" s="84">
        <v>4399.0</v>
      </c>
      <c r="E730" s="83" t="s">
        <v>237</v>
      </c>
      <c r="F730" s="84">
        <f t="shared" si="1"/>
        <v>303.531</v>
      </c>
      <c r="G730" s="84"/>
      <c r="H730" s="84">
        <v>3256.0</v>
      </c>
      <c r="I730" s="91">
        <v>0.15</v>
      </c>
      <c r="J730" s="85">
        <f t="shared" si="19"/>
        <v>659.85</v>
      </c>
      <c r="K730" s="85">
        <f t="shared" si="20"/>
        <v>568.8362069</v>
      </c>
      <c r="L730" s="84">
        <v>190.0</v>
      </c>
      <c r="M730" s="85">
        <f t="shared" si="4"/>
        <v>-10.381</v>
      </c>
      <c r="N730" s="86">
        <f t="shared" si="21"/>
        <v>-0.003188267813</v>
      </c>
      <c r="O730" s="86"/>
      <c r="P730" s="82"/>
    </row>
    <row r="731">
      <c r="A731" s="90" t="s">
        <v>4095</v>
      </c>
      <c r="B731" s="90" t="s">
        <v>4096</v>
      </c>
      <c r="C731" s="89"/>
      <c r="D731" s="84">
        <v>4699.0</v>
      </c>
      <c r="E731" s="83"/>
      <c r="F731" s="84">
        <f t="shared" si="1"/>
        <v>324.231</v>
      </c>
      <c r="G731" s="84"/>
      <c r="H731" s="84">
        <v>3779.0</v>
      </c>
      <c r="I731" s="91">
        <v>0.1</v>
      </c>
      <c r="J731" s="85">
        <f t="shared" si="19"/>
        <v>469.9</v>
      </c>
      <c r="K731" s="85">
        <f t="shared" si="20"/>
        <v>405.0862069</v>
      </c>
      <c r="L731" s="84">
        <v>70.0</v>
      </c>
      <c r="M731" s="85">
        <f t="shared" si="4"/>
        <v>55.869</v>
      </c>
      <c r="N731" s="86">
        <f t="shared" si="21"/>
        <v>0.01478406986</v>
      </c>
      <c r="O731" s="86"/>
      <c r="P731" s="82"/>
    </row>
    <row r="732">
      <c r="A732" s="90" t="s">
        <v>4095</v>
      </c>
      <c r="B732" s="90" t="s">
        <v>4097</v>
      </c>
      <c r="C732" s="89"/>
      <c r="D732" s="84">
        <v>4699.0</v>
      </c>
      <c r="E732" s="83"/>
      <c r="F732" s="84">
        <f t="shared" si="1"/>
        <v>324.231</v>
      </c>
      <c r="G732" s="84"/>
      <c r="H732" s="84">
        <v>3779.0</v>
      </c>
      <c r="I732" s="91">
        <v>0.1</v>
      </c>
      <c r="J732" s="85">
        <f t="shared" si="19"/>
        <v>469.9</v>
      </c>
      <c r="K732" s="85">
        <f t="shared" si="20"/>
        <v>405.0862069</v>
      </c>
      <c r="L732" s="84">
        <v>70.0</v>
      </c>
      <c r="M732" s="85">
        <f t="shared" si="4"/>
        <v>55.869</v>
      </c>
      <c r="N732" s="86">
        <f t="shared" si="21"/>
        <v>0.01478406986</v>
      </c>
      <c r="O732" s="86"/>
      <c r="P732" s="82"/>
    </row>
    <row r="733">
      <c r="A733" s="90" t="s">
        <v>4098</v>
      </c>
      <c r="B733" s="90" t="s">
        <v>4099</v>
      </c>
      <c r="C733" s="89"/>
      <c r="D733" s="84">
        <v>3999.0</v>
      </c>
      <c r="E733" s="83"/>
      <c r="F733" s="84">
        <f t="shared" si="1"/>
        <v>275.931</v>
      </c>
      <c r="G733" s="84"/>
      <c r="H733" s="84">
        <v>3479.0</v>
      </c>
      <c r="I733" s="91">
        <v>0.1</v>
      </c>
      <c r="J733" s="85">
        <f t="shared" si="19"/>
        <v>399.9</v>
      </c>
      <c r="K733" s="85">
        <f t="shared" si="20"/>
        <v>344.7413793</v>
      </c>
      <c r="L733" s="84">
        <v>70.0</v>
      </c>
      <c r="M733" s="85">
        <f t="shared" si="4"/>
        <v>-225.831</v>
      </c>
      <c r="N733" s="86">
        <f t="shared" si="21"/>
        <v>-0.06491261857</v>
      </c>
      <c r="O733" s="86"/>
      <c r="P733" s="82"/>
    </row>
    <row r="734">
      <c r="A734" s="90" t="s">
        <v>4100</v>
      </c>
      <c r="B734" s="90" t="s">
        <v>4101</v>
      </c>
      <c r="C734" s="89"/>
      <c r="D734" s="84">
        <v>4299.0</v>
      </c>
      <c r="E734" s="83"/>
      <c r="F734" s="84">
        <f t="shared" si="1"/>
        <v>296.631</v>
      </c>
      <c r="G734" s="84"/>
      <c r="H734" s="84">
        <v>3479.0</v>
      </c>
      <c r="I734" s="91">
        <v>0.1</v>
      </c>
      <c r="J734" s="85">
        <f t="shared" si="19"/>
        <v>429.9</v>
      </c>
      <c r="K734" s="85">
        <f t="shared" si="20"/>
        <v>370.6034483</v>
      </c>
      <c r="L734" s="84">
        <v>70.0</v>
      </c>
      <c r="M734" s="85">
        <f t="shared" si="4"/>
        <v>23.469</v>
      </c>
      <c r="N734" s="86">
        <f t="shared" si="21"/>
        <v>0.006745903995</v>
      </c>
      <c r="O734" s="86"/>
      <c r="P734" s="82"/>
    </row>
    <row r="735">
      <c r="A735" s="90" t="s">
        <v>4100</v>
      </c>
      <c r="B735" s="90" t="s">
        <v>4102</v>
      </c>
      <c r="C735" s="89"/>
      <c r="D735" s="84">
        <v>1199.0</v>
      </c>
      <c r="E735" s="83"/>
      <c r="F735" s="84">
        <f t="shared" si="1"/>
        <v>82.731</v>
      </c>
      <c r="G735" s="84"/>
      <c r="H735" s="84">
        <v>3479.0</v>
      </c>
      <c r="I735" s="91">
        <v>0.15</v>
      </c>
      <c r="J735" s="85">
        <f t="shared" si="19"/>
        <v>179.85</v>
      </c>
      <c r="K735" s="85">
        <f t="shared" si="20"/>
        <v>155.0431034</v>
      </c>
      <c r="L735" s="84">
        <v>64.0</v>
      </c>
      <c r="M735" s="85">
        <f t="shared" si="4"/>
        <v>-2606.581</v>
      </c>
      <c r="N735" s="86">
        <f t="shared" si="21"/>
        <v>-0.7492328255</v>
      </c>
      <c r="O735" s="86"/>
      <c r="P735" s="82"/>
    </row>
    <row r="736">
      <c r="A736" s="90" t="s">
        <v>4103</v>
      </c>
      <c r="B736" s="90" t="s">
        <v>4104</v>
      </c>
      <c r="C736" s="89"/>
      <c r="D736" s="84">
        <v>739.0</v>
      </c>
      <c r="E736" s="83"/>
      <c r="F736" s="84">
        <f t="shared" si="1"/>
        <v>50.991</v>
      </c>
      <c r="G736" s="84"/>
      <c r="H736" s="84">
        <v>436.14</v>
      </c>
      <c r="I736" s="91">
        <v>0.15</v>
      </c>
      <c r="J736" s="85">
        <f t="shared" si="19"/>
        <v>110.85</v>
      </c>
      <c r="K736" s="85">
        <f t="shared" si="20"/>
        <v>95.56034483</v>
      </c>
      <c r="L736" s="84">
        <v>64.0</v>
      </c>
      <c r="M736" s="85">
        <f t="shared" si="4"/>
        <v>77.019</v>
      </c>
      <c r="N736" s="86">
        <f t="shared" si="21"/>
        <v>0.1765923786</v>
      </c>
      <c r="O736" s="86"/>
      <c r="P736" s="82"/>
    </row>
    <row r="737">
      <c r="A737" s="90" t="s">
        <v>4105</v>
      </c>
      <c r="B737" s="90" t="s">
        <v>4106</v>
      </c>
      <c r="C737" s="89"/>
      <c r="D737" s="84">
        <v>1699.0</v>
      </c>
      <c r="E737" s="83"/>
      <c r="F737" s="84">
        <f t="shared" si="1"/>
        <v>117.231</v>
      </c>
      <c r="G737" s="84"/>
      <c r="H737" s="84">
        <v>1205.03</v>
      </c>
      <c r="I737" s="91">
        <v>0.15</v>
      </c>
      <c r="J737" s="85">
        <f t="shared" si="19"/>
        <v>254.85</v>
      </c>
      <c r="K737" s="85">
        <f t="shared" si="20"/>
        <v>219.6982759</v>
      </c>
      <c r="L737" s="84">
        <v>64.0</v>
      </c>
      <c r="M737" s="85">
        <f t="shared" si="4"/>
        <v>57.889</v>
      </c>
      <c r="N737" s="86">
        <f t="shared" si="21"/>
        <v>0.0480394679</v>
      </c>
      <c r="O737" s="86"/>
      <c r="P737" s="82"/>
    </row>
    <row r="738">
      <c r="A738" s="90" t="s">
        <v>4107</v>
      </c>
      <c r="B738" s="90" t="s">
        <v>4108</v>
      </c>
      <c r="C738" s="89"/>
      <c r="D738" s="84">
        <v>1699.0</v>
      </c>
      <c r="E738" s="83"/>
      <c r="F738" s="84">
        <f t="shared" si="1"/>
        <v>117.231</v>
      </c>
      <c r="G738" s="84"/>
      <c r="H738" s="84">
        <v>1205.03</v>
      </c>
      <c r="I738" s="91">
        <v>0.15</v>
      </c>
      <c r="J738" s="85">
        <f t="shared" si="19"/>
        <v>254.85</v>
      </c>
      <c r="K738" s="85">
        <f t="shared" si="20"/>
        <v>219.6982759</v>
      </c>
      <c r="L738" s="84">
        <v>64.0</v>
      </c>
      <c r="M738" s="85">
        <f t="shared" si="4"/>
        <v>57.889</v>
      </c>
      <c r="N738" s="86">
        <f t="shared" si="21"/>
        <v>0.0480394679</v>
      </c>
      <c r="O738" s="86"/>
      <c r="P738" s="82"/>
    </row>
    <row r="739">
      <c r="A739" s="90" t="s">
        <v>4109</v>
      </c>
      <c r="B739" s="90" t="s">
        <v>4110</v>
      </c>
      <c r="C739" s="89"/>
      <c r="D739" s="84">
        <v>599.0</v>
      </c>
      <c r="E739" s="83"/>
      <c r="F739" s="84">
        <f t="shared" si="1"/>
        <v>41.331</v>
      </c>
      <c r="G739" s="84"/>
      <c r="H739" s="84">
        <v>351.47</v>
      </c>
      <c r="I739" s="91">
        <v>0.1</v>
      </c>
      <c r="J739" s="85">
        <f t="shared" si="19"/>
        <v>59.9</v>
      </c>
      <c r="K739" s="85">
        <f t="shared" si="20"/>
        <v>51.63793103</v>
      </c>
      <c r="L739" s="84">
        <v>62.0</v>
      </c>
      <c r="M739" s="85">
        <f t="shared" si="4"/>
        <v>84.299</v>
      </c>
      <c r="N739" s="86">
        <f t="shared" si="21"/>
        <v>0.2398469286</v>
      </c>
      <c r="O739" s="86"/>
      <c r="P739" s="82"/>
    </row>
    <row r="740">
      <c r="A740" s="90" t="s">
        <v>4111</v>
      </c>
      <c r="B740" s="90" t="s">
        <v>4112</v>
      </c>
      <c r="C740" s="89"/>
      <c r="D740" s="84">
        <v>1145.0</v>
      </c>
      <c r="E740" s="83"/>
      <c r="F740" s="84">
        <f t="shared" si="1"/>
        <v>79.005</v>
      </c>
      <c r="G740" s="84"/>
      <c r="H740" s="84">
        <v>803.35</v>
      </c>
      <c r="I740" s="91">
        <v>0.15</v>
      </c>
      <c r="J740" s="85">
        <f t="shared" si="19"/>
        <v>171.75</v>
      </c>
      <c r="K740" s="85">
        <f t="shared" si="20"/>
        <v>148.0603448</v>
      </c>
      <c r="L740" s="84">
        <v>64.0</v>
      </c>
      <c r="M740" s="85">
        <f t="shared" si="4"/>
        <v>26.895</v>
      </c>
      <c r="N740" s="86">
        <f t="shared" si="21"/>
        <v>0.03347855854</v>
      </c>
      <c r="O740" s="86"/>
      <c r="P740" s="82"/>
    </row>
    <row r="741">
      <c r="A741" s="90" t="s">
        <v>4113</v>
      </c>
      <c r="B741" s="90" t="s">
        <v>4114</v>
      </c>
      <c r="C741" s="89"/>
      <c r="D741" s="84">
        <v>1199.0</v>
      </c>
      <c r="E741" s="83"/>
      <c r="F741" s="84">
        <f t="shared" si="1"/>
        <v>82.731</v>
      </c>
      <c r="G741" s="84"/>
      <c r="H741" s="84">
        <v>903.77</v>
      </c>
      <c r="I741" s="91">
        <v>0.15</v>
      </c>
      <c r="J741" s="85">
        <f t="shared" si="19"/>
        <v>179.85</v>
      </c>
      <c r="K741" s="85">
        <f t="shared" si="20"/>
        <v>155.0431034</v>
      </c>
      <c r="L741" s="84">
        <v>64.0</v>
      </c>
      <c r="M741" s="85">
        <f t="shared" si="4"/>
        <v>-31.351</v>
      </c>
      <c r="N741" s="86">
        <f t="shared" si="21"/>
        <v>-0.03468913551</v>
      </c>
      <c r="O741" s="86"/>
      <c r="P741" s="82"/>
    </row>
    <row r="742">
      <c r="A742" s="90" t="s">
        <v>4113</v>
      </c>
      <c r="B742" s="90" t="s">
        <v>4115</v>
      </c>
      <c r="C742" s="89"/>
      <c r="D742" s="84">
        <v>1199.0</v>
      </c>
      <c r="E742" s="83"/>
      <c r="F742" s="84">
        <f t="shared" si="1"/>
        <v>82.731</v>
      </c>
      <c r="G742" s="84"/>
      <c r="H742" s="84">
        <v>903.77</v>
      </c>
      <c r="I742" s="91">
        <v>0.15</v>
      </c>
      <c r="J742" s="85">
        <f t="shared" si="19"/>
        <v>179.85</v>
      </c>
      <c r="K742" s="85">
        <f t="shared" si="20"/>
        <v>155.0431034</v>
      </c>
      <c r="L742" s="84">
        <v>64.0</v>
      </c>
      <c r="M742" s="85">
        <f t="shared" si="4"/>
        <v>-31.351</v>
      </c>
      <c r="N742" s="86">
        <f t="shared" si="21"/>
        <v>-0.03468913551</v>
      </c>
      <c r="O742" s="86"/>
      <c r="P742" s="82"/>
    </row>
    <row r="743">
      <c r="A743" s="90" t="s">
        <v>4116</v>
      </c>
      <c r="B743" s="90" t="s">
        <v>4117</v>
      </c>
      <c r="C743" s="89"/>
      <c r="D743" s="84">
        <v>999.0</v>
      </c>
      <c r="E743" s="83"/>
      <c r="F743" s="84">
        <f t="shared" si="1"/>
        <v>68.931</v>
      </c>
      <c r="G743" s="84"/>
      <c r="H743" s="84">
        <v>702.94</v>
      </c>
      <c r="I743" s="91">
        <v>0.15</v>
      </c>
      <c r="J743" s="85">
        <f t="shared" si="19"/>
        <v>149.85</v>
      </c>
      <c r="K743" s="85">
        <f t="shared" si="20"/>
        <v>129.1810345</v>
      </c>
      <c r="L743" s="84">
        <v>64.0</v>
      </c>
      <c r="M743" s="85">
        <f t="shared" si="4"/>
        <v>13.279</v>
      </c>
      <c r="N743" s="86">
        <f t="shared" si="21"/>
        <v>0.01889065923</v>
      </c>
      <c r="O743" s="86"/>
      <c r="P743" s="82"/>
    </row>
    <row r="744">
      <c r="A744" s="90" t="s">
        <v>4118</v>
      </c>
      <c r="B744" s="90" t="s">
        <v>4119</v>
      </c>
      <c r="C744" s="89"/>
      <c r="D744" s="84">
        <v>999.0</v>
      </c>
      <c r="E744" s="83"/>
      <c r="F744" s="84">
        <f t="shared" si="1"/>
        <v>68.931</v>
      </c>
      <c r="G744" s="84"/>
      <c r="H744" s="84">
        <v>803.35</v>
      </c>
      <c r="I744" s="91">
        <v>0.15</v>
      </c>
      <c r="J744" s="85">
        <f t="shared" si="19"/>
        <v>149.85</v>
      </c>
      <c r="K744" s="85">
        <f t="shared" si="20"/>
        <v>129.1810345</v>
      </c>
      <c r="L744" s="84">
        <v>64.0</v>
      </c>
      <c r="M744" s="85">
        <f t="shared" si="4"/>
        <v>-87.131</v>
      </c>
      <c r="N744" s="86">
        <f t="shared" si="21"/>
        <v>-0.1084595755</v>
      </c>
      <c r="O744" s="86"/>
      <c r="P744" s="82"/>
    </row>
    <row r="745">
      <c r="A745" s="90" t="s">
        <v>4120</v>
      </c>
      <c r="B745" s="90" t="s">
        <v>4115</v>
      </c>
      <c r="C745" s="89"/>
      <c r="D745" s="84">
        <v>1262.0</v>
      </c>
      <c r="E745" s="83"/>
      <c r="F745" s="84">
        <f t="shared" si="1"/>
        <v>87.078</v>
      </c>
      <c r="G745" s="84"/>
      <c r="H745" s="84">
        <v>903.77</v>
      </c>
      <c r="I745" s="91">
        <v>0.15</v>
      </c>
      <c r="J745" s="85">
        <f t="shared" si="19"/>
        <v>189.3</v>
      </c>
      <c r="K745" s="85">
        <f t="shared" si="20"/>
        <v>163.1896552</v>
      </c>
      <c r="L745" s="84">
        <v>64.0</v>
      </c>
      <c r="M745" s="85">
        <f t="shared" si="4"/>
        <v>17.852</v>
      </c>
      <c r="N745" s="86">
        <f t="shared" si="21"/>
        <v>0.01975281322</v>
      </c>
      <c r="O745" s="86"/>
      <c r="P745" s="82"/>
    </row>
    <row r="746">
      <c r="A746" s="90" t="s">
        <v>4121</v>
      </c>
      <c r="B746" s="90" t="s">
        <v>4122</v>
      </c>
      <c r="C746" s="89"/>
      <c r="D746" s="84">
        <v>699.0</v>
      </c>
      <c r="E746" s="83"/>
      <c r="F746" s="84">
        <f t="shared" si="1"/>
        <v>48.231</v>
      </c>
      <c r="G746" s="84"/>
      <c r="H746" s="84">
        <v>436.14</v>
      </c>
      <c r="I746" s="91">
        <v>0.15</v>
      </c>
      <c r="J746" s="85">
        <f t="shared" si="19"/>
        <v>104.85</v>
      </c>
      <c r="K746" s="85">
        <f t="shared" si="20"/>
        <v>90.38793103</v>
      </c>
      <c r="L746" s="84">
        <v>64.0</v>
      </c>
      <c r="M746" s="85">
        <f t="shared" si="4"/>
        <v>45.779</v>
      </c>
      <c r="N746" s="86">
        <f t="shared" si="21"/>
        <v>0.1049640024</v>
      </c>
      <c r="O746" s="86"/>
      <c r="P746" s="82"/>
    </row>
    <row r="747">
      <c r="A747" s="90" t="s">
        <v>4123</v>
      </c>
      <c r="B747" s="90" t="s">
        <v>4124</v>
      </c>
      <c r="C747" s="90" t="s">
        <v>4125</v>
      </c>
      <c r="D747" s="84">
        <v>849.0</v>
      </c>
      <c r="E747" s="83"/>
      <c r="F747" s="84">
        <f t="shared" si="1"/>
        <v>58.581</v>
      </c>
      <c r="G747" s="84"/>
      <c r="H747" s="84">
        <v>600.0</v>
      </c>
      <c r="I747" s="91">
        <v>0.15</v>
      </c>
      <c r="J747" s="85">
        <f t="shared" si="19"/>
        <v>127.35</v>
      </c>
      <c r="K747" s="85">
        <f t="shared" si="20"/>
        <v>109.7844828</v>
      </c>
      <c r="L747" s="84">
        <v>64.0</v>
      </c>
      <c r="M747" s="85">
        <f t="shared" si="4"/>
        <v>-0.931</v>
      </c>
      <c r="N747" s="86">
        <f t="shared" si="21"/>
        <v>-0.001551666667</v>
      </c>
      <c r="O747" s="86"/>
      <c r="P747" s="82"/>
    </row>
    <row r="748">
      <c r="A748" s="89"/>
      <c r="B748" s="90" t="s">
        <v>4126</v>
      </c>
      <c r="C748" s="89"/>
      <c r="D748" s="84">
        <v>2999.0</v>
      </c>
      <c r="E748" s="83"/>
      <c r="F748" s="84">
        <f t="shared" si="1"/>
        <v>206.931</v>
      </c>
      <c r="G748" s="84"/>
      <c r="H748" s="84">
        <v>2204.85</v>
      </c>
      <c r="I748" s="91">
        <v>0.15</v>
      </c>
      <c r="J748" s="85">
        <f t="shared" si="19"/>
        <v>449.85</v>
      </c>
      <c r="K748" s="85">
        <f t="shared" si="20"/>
        <v>387.8017241</v>
      </c>
      <c r="L748" s="84">
        <v>125.0</v>
      </c>
      <c r="M748" s="85">
        <f t="shared" si="4"/>
        <v>12.369</v>
      </c>
      <c r="N748" s="86">
        <f t="shared" si="21"/>
        <v>0.005609905436</v>
      </c>
      <c r="O748" s="86"/>
      <c r="P748" s="82"/>
    </row>
    <row r="749">
      <c r="A749" s="89"/>
      <c r="B749" s="90" t="s">
        <v>4127</v>
      </c>
      <c r="C749" s="89"/>
      <c r="D749" s="84">
        <v>1099.0</v>
      </c>
      <c r="E749" s="83"/>
      <c r="F749" s="84">
        <f t="shared" si="1"/>
        <v>75.831</v>
      </c>
      <c r="G749" s="84"/>
      <c r="H749" s="84">
        <v>879.85</v>
      </c>
      <c r="I749" s="91">
        <v>0.1</v>
      </c>
      <c r="J749" s="85">
        <f t="shared" si="19"/>
        <v>109.9</v>
      </c>
      <c r="K749" s="85">
        <f t="shared" si="20"/>
        <v>94.74137931</v>
      </c>
      <c r="L749" s="84">
        <v>64.0</v>
      </c>
      <c r="M749" s="85">
        <f t="shared" si="4"/>
        <v>-30.581</v>
      </c>
      <c r="N749" s="86">
        <f t="shared" si="21"/>
        <v>-0.03475706086</v>
      </c>
      <c r="O749" s="86"/>
      <c r="P749" s="82"/>
    </row>
    <row r="750">
      <c r="A750" s="89"/>
      <c r="B750" s="90" t="s">
        <v>4128</v>
      </c>
      <c r="C750" s="89"/>
      <c r="D750" s="87"/>
      <c r="E750" s="83"/>
      <c r="F750" s="84">
        <f t="shared" si="1"/>
        <v>0</v>
      </c>
      <c r="G750" s="84"/>
      <c r="H750" s="84">
        <v>3779.0</v>
      </c>
      <c r="I750" s="93"/>
      <c r="J750" s="87"/>
      <c r="K750" s="87"/>
      <c r="L750" s="87"/>
      <c r="M750" s="85">
        <f t="shared" si="4"/>
        <v>-3779</v>
      </c>
      <c r="N750" s="93"/>
      <c r="O750" s="93"/>
      <c r="P750" s="82"/>
    </row>
    <row r="751">
      <c r="A751" s="89"/>
      <c r="B751" s="90" t="s">
        <v>4129</v>
      </c>
      <c r="C751" s="89"/>
      <c r="D751" s="84">
        <v>649.0</v>
      </c>
      <c r="E751" s="83"/>
      <c r="F751" s="84">
        <f t="shared" si="1"/>
        <v>44.781</v>
      </c>
      <c r="G751" s="84"/>
      <c r="H751" s="84">
        <v>440.0</v>
      </c>
      <c r="I751" s="91">
        <v>0.1</v>
      </c>
      <c r="J751" s="85">
        <f t="shared" ref="J751:J763" si="22">I751*D751</f>
        <v>64.9</v>
      </c>
      <c r="K751" s="85">
        <f t="shared" ref="K751:K763" si="23">J751/1.16</f>
        <v>55.94827586</v>
      </c>
      <c r="L751" s="84">
        <v>71.0</v>
      </c>
      <c r="M751" s="85">
        <f t="shared" si="4"/>
        <v>28.319</v>
      </c>
      <c r="N751" s="86">
        <f t="shared" ref="N751:N763" si="24">M751/H751</f>
        <v>0.06436136364</v>
      </c>
      <c r="O751" s="86"/>
      <c r="P751" s="82"/>
    </row>
    <row r="752">
      <c r="A752" s="90" t="s">
        <v>4130</v>
      </c>
      <c r="B752" s="90" t="s">
        <v>4131</v>
      </c>
      <c r="C752" s="89"/>
      <c r="D752" s="84">
        <v>989.0</v>
      </c>
      <c r="E752" s="83"/>
      <c r="F752" s="84">
        <f t="shared" si="1"/>
        <v>68.241</v>
      </c>
      <c r="G752" s="84"/>
      <c r="H752" s="84">
        <v>807.88</v>
      </c>
      <c r="I752" s="91">
        <v>0.1</v>
      </c>
      <c r="J752" s="85">
        <f t="shared" si="22"/>
        <v>98.9</v>
      </c>
      <c r="K752" s="85">
        <f t="shared" si="23"/>
        <v>85.25862069</v>
      </c>
      <c r="L752" s="84">
        <v>64.0</v>
      </c>
      <c r="M752" s="85">
        <f t="shared" si="4"/>
        <v>-50.021</v>
      </c>
      <c r="N752" s="86">
        <f t="shared" si="24"/>
        <v>-0.06191637372</v>
      </c>
      <c r="O752" s="86"/>
      <c r="P752" s="82"/>
    </row>
    <row r="753">
      <c r="A753" s="90" t="s">
        <v>4130</v>
      </c>
      <c r="B753" s="90" t="s">
        <v>4132</v>
      </c>
      <c r="C753" s="89"/>
      <c r="D753" s="84">
        <v>989.0</v>
      </c>
      <c r="E753" s="83"/>
      <c r="F753" s="84">
        <f t="shared" si="1"/>
        <v>68.241</v>
      </c>
      <c r="G753" s="84"/>
      <c r="H753" s="84">
        <v>807.88</v>
      </c>
      <c r="I753" s="91">
        <v>0.1</v>
      </c>
      <c r="J753" s="85">
        <f t="shared" si="22"/>
        <v>98.9</v>
      </c>
      <c r="K753" s="85">
        <f t="shared" si="23"/>
        <v>85.25862069</v>
      </c>
      <c r="L753" s="84">
        <v>64.0</v>
      </c>
      <c r="M753" s="85">
        <f t="shared" si="4"/>
        <v>-50.021</v>
      </c>
      <c r="N753" s="86">
        <f t="shared" si="24"/>
        <v>-0.06191637372</v>
      </c>
      <c r="O753" s="86"/>
      <c r="P753" s="82"/>
    </row>
    <row r="754">
      <c r="A754" s="90" t="s">
        <v>4133</v>
      </c>
      <c r="B754" s="90" t="s">
        <v>4134</v>
      </c>
      <c r="C754" s="89"/>
      <c r="D754" s="84">
        <v>5399.0</v>
      </c>
      <c r="E754" s="83"/>
      <c r="F754" s="84">
        <f t="shared" si="1"/>
        <v>372.531</v>
      </c>
      <c r="G754" s="84"/>
      <c r="H754" s="84">
        <v>4210.44</v>
      </c>
      <c r="I754" s="91">
        <v>0.1</v>
      </c>
      <c r="J754" s="85">
        <f t="shared" si="22"/>
        <v>539.9</v>
      </c>
      <c r="K754" s="85">
        <f t="shared" si="23"/>
        <v>465.4310345</v>
      </c>
      <c r="L754" s="84">
        <v>174.0</v>
      </c>
      <c r="M754" s="85">
        <f t="shared" si="4"/>
        <v>102.129</v>
      </c>
      <c r="N754" s="86">
        <f t="shared" si="24"/>
        <v>0.02425613475</v>
      </c>
      <c r="O754" s="86"/>
      <c r="P754" s="82"/>
    </row>
    <row r="755">
      <c r="A755" s="89"/>
      <c r="B755" s="90" t="s">
        <v>4135</v>
      </c>
      <c r="C755" s="89"/>
      <c r="D755" s="84">
        <v>259.0</v>
      </c>
      <c r="E755" s="83"/>
      <c r="F755" s="84">
        <f t="shared" si="1"/>
        <v>17.871</v>
      </c>
      <c r="G755" s="84"/>
      <c r="H755" s="84">
        <v>139.0</v>
      </c>
      <c r="I755" s="91">
        <v>0.15</v>
      </c>
      <c r="J755" s="85">
        <f t="shared" si="22"/>
        <v>38.85</v>
      </c>
      <c r="K755" s="85">
        <f t="shared" si="23"/>
        <v>33.49137931</v>
      </c>
      <c r="L755" s="84">
        <v>65.0</v>
      </c>
      <c r="M755" s="85">
        <f t="shared" si="4"/>
        <v>-1.721</v>
      </c>
      <c r="N755" s="86">
        <f t="shared" si="24"/>
        <v>-0.01238129496</v>
      </c>
      <c r="O755" s="86"/>
      <c r="P755" s="82"/>
    </row>
    <row r="756">
      <c r="A756" s="89"/>
      <c r="B756" s="90" t="s">
        <v>4136</v>
      </c>
      <c r="C756" s="89"/>
      <c r="D756" s="84">
        <v>399.0</v>
      </c>
      <c r="E756" s="83"/>
      <c r="F756" s="84">
        <f t="shared" si="1"/>
        <v>27.531</v>
      </c>
      <c r="G756" s="84"/>
      <c r="H756" s="84">
        <v>212.16</v>
      </c>
      <c r="I756" s="91">
        <v>0.15</v>
      </c>
      <c r="J756" s="85">
        <f t="shared" si="22"/>
        <v>59.85</v>
      </c>
      <c r="K756" s="85">
        <f t="shared" si="23"/>
        <v>51.59482759</v>
      </c>
      <c r="L756" s="84">
        <v>65.0</v>
      </c>
      <c r="M756" s="85">
        <f t="shared" si="4"/>
        <v>34.459</v>
      </c>
      <c r="N756" s="86">
        <f t="shared" si="24"/>
        <v>0.1624198718</v>
      </c>
      <c r="O756" s="86"/>
      <c r="P756" s="82"/>
    </row>
    <row r="757">
      <c r="A757" s="90" t="s">
        <v>4137</v>
      </c>
      <c r="B757" s="90" t="s">
        <v>4138</v>
      </c>
      <c r="C757" s="89"/>
      <c r="D757" s="84">
        <v>879.0</v>
      </c>
      <c r="E757" s="83" t="s">
        <v>237</v>
      </c>
      <c r="F757" s="84">
        <f t="shared" si="1"/>
        <v>60.651</v>
      </c>
      <c r="G757" s="84"/>
      <c r="H757" s="84">
        <v>610.0</v>
      </c>
      <c r="I757" s="91">
        <v>0.1</v>
      </c>
      <c r="J757" s="85">
        <f t="shared" si="22"/>
        <v>87.9</v>
      </c>
      <c r="K757" s="85">
        <f t="shared" si="23"/>
        <v>75.77586207</v>
      </c>
      <c r="L757" s="84">
        <v>83.0</v>
      </c>
      <c r="M757" s="85">
        <f t="shared" si="4"/>
        <v>37.449</v>
      </c>
      <c r="N757" s="86">
        <f t="shared" si="24"/>
        <v>0.06139180328</v>
      </c>
      <c r="O757" s="86"/>
      <c r="P757" s="82"/>
    </row>
    <row r="758">
      <c r="A758" s="90" t="s">
        <v>4139</v>
      </c>
      <c r="B758" s="90" t="s">
        <v>4140</v>
      </c>
      <c r="C758" s="89"/>
      <c r="D758" s="84">
        <v>4199.0</v>
      </c>
      <c r="E758" s="83"/>
      <c r="F758" s="84">
        <f t="shared" si="1"/>
        <v>289.731</v>
      </c>
      <c r="G758" s="84"/>
      <c r="H758" s="84">
        <v>3179.73</v>
      </c>
      <c r="I758" s="91">
        <v>0.1</v>
      </c>
      <c r="J758" s="85">
        <f t="shared" si="22"/>
        <v>419.9</v>
      </c>
      <c r="K758" s="85">
        <f t="shared" si="23"/>
        <v>361.9827586</v>
      </c>
      <c r="L758" s="84">
        <v>263.05</v>
      </c>
      <c r="M758" s="85">
        <f t="shared" si="4"/>
        <v>46.589</v>
      </c>
      <c r="N758" s="86">
        <f t="shared" si="24"/>
        <v>0.01465187296</v>
      </c>
      <c r="O758" s="86"/>
      <c r="P758" s="82"/>
    </row>
    <row r="759">
      <c r="A759" s="90" t="s">
        <v>4141</v>
      </c>
      <c r="B759" s="90" t="s">
        <v>4142</v>
      </c>
      <c r="C759" s="89"/>
      <c r="D759" s="84">
        <v>2299.0</v>
      </c>
      <c r="E759" s="83"/>
      <c r="F759" s="84">
        <f t="shared" si="1"/>
        <v>158.631</v>
      </c>
      <c r="G759" s="84"/>
      <c r="H759" s="84">
        <v>1540.61</v>
      </c>
      <c r="I759" s="91">
        <v>0.1</v>
      </c>
      <c r="J759" s="85">
        <f t="shared" si="22"/>
        <v>229.9</v>
      </c>
      <c r="K759" s="85">
        <f t="shared" si="23"/>
        <v>198.1896552</v>
      </c>
      <c r="L759" s="84">
        <v>163.0</v>
      </c>
      <c r="M759" s="85">
        <f t="shared" si="4"/>
        <v>206.859</v>
      </c>
      <c r="N759" s="86">
        <f t="shared" si="24"/>
        <v>0.1342708408</v>
      </c>
      <c r="O759" s="86"/>
      <c r="P759" s="82"/>
    </row>
    <row r="760">
      <c r="A760" s="90" t="s">
        <v>4143</v>
      </c>
      <c r="B760" s="90" t="s">
        <v>4144</v>
      </c>
      <c r="C760" s="89"/>
      <c r="D760" s="84">
        <v>1499.0</v>
      </c>
      <c r="E760" s="83"/>
      <c r="F760" s="84">
        <f t="shared" si="1"/>
        <v>103.431</v>
      </c>
      <c r="G760" s="84"/>
      <c r="H760" s="84">
        <v>1311.11</v>
      </c>
      <c r="I760" s="91">
        <v>0.15</v>
      </c>
      <c r="J760" s="85">
        <f t="shared" si="22"/>
        <v>224.85</v>
      </c>
      <c r="K760" s="85">
        <f t="shared" si="23"/>
        <v>193.8362069</v>
      </c>
      <c r="L760" s="84">
        <v>64.0</v>
      </c>
      <c r="M760" s="85">
        <f t="shared" si="4"/>
        <v>-204.391</v>
      </c>
      <c r="N760" s="86">
        <f t="shared" si="24"/>
        <v>-0.1558915728</v>
      </c>
      <c r="O760" s="86"/>
      <c r="P760" s="82"/>
    </row>
    <row r="761">
      <c r="A761" s="90" t="s">
        <v>4145</v>
      </c>
      <c r="B761" s="90" t="s">
        <v>4146</v>
      </c>
      <c r="C761" s="89"/>
      <c r="D761" s="84">
        <v>499.0</v>
      </c>
      <c r="E761" s="83"/>
      <c r="F761" s="84">
        <f t="shared" si="1"/>
        <v>34.431</v>
      </c>
      <c r="G761" s="84"/>
      <c r="H761" s="84">
        <v>325.13</v>
      </c>
      <c r="I761" s="91">
        <v>0.15</v>
      </c>
      <c r="J761" s="85">
        <f t="shared" si="22"/>
        <v>74.85</v>
      </c>
      <c r="K761" s="85">
        <f t="shared" si="23"/>
        <v>64.52586207</v>
      </c>
      <c r="L761" s="84">
        <v>62.0</v>
      </c>
      <c r="M761" s="85">
        <f t="shared" si="4"/>
        <v>2.589</v>
      </c>
      <c r="N761" s="93">
        <f t="shared" si="24"/>
        <v>0.007962968659</v>
      </c>
      <c r="O761" s="93"/>
      <c r="P761" s="82"/>
    </row>
    <row r="762">
      <c r="A762" s="89"/>
      <c r="B762" s="90" t="s">
        <v>4147</v>
      </c>
      <c r="C762" s="89"/>
      <c r="D762" s="84">
        <v>299.0</v>
      </c>
      <c r="E762" s="83"/>
      <c r="F762" s="84">
        <f t="shared" si="1"/>
        <v>20.631</v>
      </c>
      <c r="G762" s="84"/>
      <c r="H762" s="84">
        <v>129.0</v>
      </c>
      <c r="I762" s="91">
        <v>0.1</v>
      </c>
      <c r="J762" s="85">
        <f t="shared" si="22"/>
        <v>29.9</v>
      </c>
      <c r="K762" s="85">
        <f t="shared" si="23"/>
        <v>25.77586207</v>
      </c>
      <c r="L762" s="84">
        <v>53.0</v>
      </c>
      <c r="M762" s="85">
        <f t="shared" si="4"/>
        <v>66.469</v>
      </c>
      <c r="N762" s="93">
        <f t="shared" si="24"/>
        <v>0.5152635659</v>
      </c>
      <c r="O762" s="93"/>
      <c r="P762" s="82"/>
    </row>
    <row r="763">
      <c r="A763" s="89"/>
      <c r="B763" s="90" t="s">
        <v>4148</v>
      </c>
      <c r="C763" s="89"/>
      <c r="D763" s="84">
        <v>2199.0</v>
      </c>
      <c r="E763" s="83"/>
      <c r="F763" s="84">
        <f t="shared" si="1"/>
        <v>151.731</v>
      </c>
      <c r="G763" s="84"/>
      <c r="H763" s="84">
        <v>1738.69</v>
      </c>
      <c r="I763" s="91">
        <v>0.1</v>
      </c>
      <c r="J763" s="85">
        <f t="shared" si="22"/>
        <v>219.9</v>
      </c>
      <c r="K763" s="85">
        <f t="shared" si="23"/>
        <v>189.5689655</v>
      </c>
      <c r="L763" s="84">
        <v>66.0</v>
      </c>
      <c r="M763" s="85">
        <f t="shared" si="4"/>
        <v>22.679</v>
      </c>
      <c r="N763" s="93">
        <f t="shared" si="24"/>
        <v>0.01304372832</v>
      </c>
      <c r="O763" s="93"/>
      <c r="P763" s="82"/>
    </row>
    <row r="764">
      <c r="A764" s="89"/>
      <c r="B764" s="90" t="s">
        <v>4149</v>
      </c>
      <c r="C764" s="89"/>
      <c r="D764" s="87"/>
      <c r="E764" s="83"/>
      <c r="F764" s="84">
        <f t="shared" si="1"/>
        <v>0</v>
      </c>
      <c r="G764" s="84"/>
      <c r="H764" s="84">
        <v>4780.0</v>
      </c>
      <c r="I764" s="93"/>
      <c r="J764" s="87"/>
      <c r="K764" s="87"/>
      <c r="L764" s="87"/>
      <c r="M764" s="85">
        <f t="shared" si="4"/>
        <v>-4780</v>
      </c>
      <c r="N764" s="93"/>
      <c r="O764" s="93"/>
      <c r="P764" s="82"/>
    </row>
    <row r="765">
      <c r="A765" s="90" t="s">
        <v>4150</v>
      </c>
      <c r="B765" s="90" t="s">
        <v>4151</v>
      </c>
      <c r="C765" s="89"/>
      <c r="D765" s="84">
        <v>1899.0</v>
      </c>
      <c r="E765" s="83"/>
      <c r="F765" s="84">
        <f t="shared" si="1"/>
        <v>131.031</v>
      </c>
      <c r="G765" s="84"/>
      <c r="H765" s="84">
        <v>1479.0</v>
      </c>
      <c r="I765" s="91">
        <v>0.1</v>
      </c>
      <c r="J765" s="85">
        <f t="shared" ref="J765:J789" si="25">I765*D765</f>
        <v>189.9</v>
      </c>
      <c r="K765" s="85">
        <f t="shared" ref="K765:K789" si="26">J765/1.16</f>
        <v>163.7068966</v>
      </c>
      <c r="L765" s="84">
        <v>66.0</v>
      </c>
      <c r="M765" s="85">
        <f t="shared" si="4"/>
        <v>33.069</v>
      </c>
      <c r="N765" s="93">
        <f t="shared" ref="N765:N789" si="27">M765/H765</f>
        <v>0.02235902637</v>
      </c>
      <c r="O765" s="93"/>
      <c r="P765" s="82"/>
    </row>
    <row r="766">
      <c r="A766" s="89"/>
      <c r="B766" s="90" t="s">
        <v>4152</v>
      </c>
      <c r="C766" s="89"/>
      <c r="D766" s="84">
        <v>1349.0</v>
      </c>
      <c r="E766" s="83"/>
      <c r="F766" s="84">
        <f t="shared" si="1"/>
        <v>93.081</v>
      </c>
      <c r="G766" s="84"/>
      <c r="H766" s="84">
        <v>950.01</v>
      </c>
      <c r="I766" s="91">
        <v>0.1</v>
      </c>
      <c r="J766" s="85">
        <f t="shared" si="25"/>
        <v>134.9</v>
      </c>
      <c r="K766" s="85">
        <f t="shared" si="26"/>
        <v>116.2931034</v>
      </c>
      <c r="L766" s="84">
        <v>148.0</v>
      </c>
      <c r="M766" s="85">
        <f t="shared" si="4"/>
        <v>23.009</v>
      </c>
      <c r="N766" s="93">
        <f t="shared" si="27"/>
        <v>0.02421974506</v>
      </c>
      <c r="O766" s="93"/>
      <c r="P766" s="82"/>
    </row>
    <row r="767">
      <c r="A767" s="90" t="s">
        <v>4153</v>
      </c>
      <c r="B767" s="90" t="s">
        <v>4154</v>
      </c>
      <c r="C767" s="89"/>
      <c r="D767" s="84">
        <v>1799.0</v>
      </c>
      <c r="E767" s="83"/>
      <c r="F767" s="84">
        <f t="shared" si="1"/>
        <v>124.131</v>
      </c>
      <c r="G767" s="84"/>
      <c r="H767" s="84">
        <v>1364.55</v>
      </c>
      <c r="I767" s="91">
        <v>0.1</v>
      </c>
      <c r="J767" s="85">
        <f t="shared" si="25"/>
        <v>179.9</v>
      </c>
      <c r="K767" s="85">
        <f t="shared" si="26"/>
        <v>155.0862069</v>
      </c>
      <c r="L767" s="84">
        <v>66.0</v>
      </c>
      <c r="M767" s="85">
        <f t="shared" si="4"/>
        <v>64.419</v>
      </c>
      <c r="N767" s="93">
        <f t="shared" si="27"/>
        <v>0.04720896999</v>
      </c>
      <c r="O767" s="93"/>
      <c r="P767" s="82"/>
    </row>
    <row r="768">
      <c r="A768" s="90" t="s">
        <v>4155</v>
      </c>
      <c r="B768" s="90" t="s">
        <v>4156</v>
      </c>
      <c r="C768" s="89"/>
      <c r="D768" s="84">
        <v>8899.0</v>
      </c>
      <c r="E768" s="83"/>
      <c r="F768" s="84">
        <f t="shared" si="1"/>
        <v>614.031</v>
      </c>
      <c r="G768" s="84"/>
      <c r="H768" s="84">
        <v>6518.89</v>
      </c>
      <c r="I768" s="91">
        <v>0.15</v>
      </c>
      <c r="J768" s="85">
        <f t="shared" si="25"/>
        <v>1334.85</v>
      </c>
      <c r="K768" s="85">
        <f t="shared" si="26"/>
        <v>1150.732759</v>
      </c>
      <c r="L768" s="84">
        <v>174.0</v>
      </c>
      <c r="M768" s="85">
        <f t="shared" si="4"/>
        <v>257.229</v>
      </c>
      <c r="N768" s="93">
        <f t="shared" si="27"/>
        <v>0.03945901833</v>
      </c>
      <c r="O768" s="93"/>
      <c r="P768" s="82"/>
    </row>
    <row r="769">
      <c r="A769" s="90" t="s">
        <v>4157</v>
      </c>
      <c r="B769" s="90" t="s">
        <v>4158</v>
      </c>
      <c r="C769" s="89"/>
      <c r="D769" s="84">
        <v>949.0</v>
      </c>
      <c r="E769" s="83"/>
      <c r="F769" s="84">
        <f t="shared" si="1"/>
        <v>65.481</v>
      </c>
      <c r="G769" s="84"/>
      <c r="H769" s="84">
        <v>660.26</v>
      </c>
      <c r="I769" s="91">
        <v>0.1</v>
      </c>
      <c r="J769" s="85">
        <f t="shared" si="25"/>
        <v>94.9</v>
      </c>
      <c r="K769" s="85">
        <f t="shared" si="26"/>
        <v>81.81034483</v>
      </c>
      <c r="L769" s="84">
        <v>79.0</v>
      </c>
      <c r="M769" s="85">
        <f t="shared" si="4"/>
        <v>49.359</v>
      </c>
      <c r="N769" s="93">
        <f t="shared" si="27"/>
        <v>0.07475691394</v>
      </c>
      <c r="O769" s="93"/>
      <c r="P769" s="82"/>
    </row>
    <row r="770">
      <c r="A770" s="90" t="s">
        <v>4159</v>
      </c>
      <c r="B770" s="90" t="s">
        <v>4160</v>
      </c>
      <c r="C770" s="89"/>
      <c r="D770" s="84">
        <v>1299.0</v>
      </c>
      <c r="E770" s="83"/>
      <c r="F770" s="84">
        <f t="shared" si="1"/>
        <v>89.631</v>
      </c>
      <c r="G770" s="84"/>
      <c r="H770" s="84">
        <v>931.73</v>
      </c>
      <c r="I770" s="91">
        <v>0.15</v>
      </c>
      <c r="J770" s="85">
        <f t="shared" si="25"/>
        <v>194.85</v>
      </c>
      <c r="K770" s="85">
        <f t="shared" si="26"/>
        <v>167.9741379</v>
      </c>
      <c r="L770" s="84">
        <v>63.0</v>
      </c>
      <c r="M770" s="85">
        <f t="shared" si="4"/>
        <v>19.789</v>
      </c>
      <c r="N770" s="93">
        <f t="shared" si="27"/>
        <v>0.02123898554</v>
      </c>
      <c r="O770" s="93"/>
      <c r="P770" s="82"/>
    </row>
    <row r="771">
      <c r="A771" s="90" t="s">
        <v>4161</v>
      </c>
      <c r="B771" s="90" t="s">
        <v>4162</v>
      </c>
      <c r="C771" s="89"/>
      <c r="D771" s="84">
        <v>1299.0</v>
      </c>
      <c r="E771" s="83"/>
      <c r="F771" s="84">
        <f t="shared" si="1"/>
        <v>89.631</v>
      </c>
      <c r="G771" s="84"/>
      <c r="H771" s="84">
        <v>931.73</v>
      </c>
      <c r="I771" s="91">
        <v>0.15</v>
      </c>
      <c r="J771" s="85">
        <f t="shared" si="25"/>
        <v>194.85</v>
      </c>
      <c r="K771" s="85">
        <f t="shared" si="26"/>
        <v>167.9741379</v>
      </c>
      <c r="L771" s="84">
        <v>63.0</v>
      </c>
      <c r="M771" s="85">
        <f t="shared" si="4"/>
        <v>19.789</v>
      </c>
      <c r="N771" s="93">
        <f t="shared" si="27"/>
        <v>0.02123898554</v>
      </c>
      <c r="O771" s="93"/>
      <c r="P771" s="82"/>
    </row>
    <row r="772">
      <c r="A772" s="90" t="s">
        <v>4163</v>
      </c>
      <c r="B772" s="90" t="s">
        <v>4164</v>
      </c>
      <c r="C772" s="89"/>
      <c r="D772" s="84">
        <v>949.0</v>
      </c>
      <c r="E772" s="83"/>
      <c r="F772" s="84">
        <f t="shared" si="1"/>
        <v>65.481</v>
      </c>
      <c r="G772" s="84"/>
      <c r="H772" s="84">
        <v>597.38</v>
      </c>
      <c r="I772" s="91">
        <v>0.15</v>
      </c>
      <c r="J772" s="85">
        <f t="shared" si="25"/>
        <v>142.35</v>
      </c>
      <c r="K772" s="85">
        <f t="shared" si="26"/>
        <v>122.7155172</v>
      </c>
      <c r="L772" s="84">
        <v>63.0</v>
      </c>
      <c r="M772" s="85">
        <f t="shared" si="4"/>
        <v>80.789</v>
      </c>
      <c r="N772" s="93">
        <f t="shared" si="27"/>
        <v>0.1352388764</v>
      </c>
      <c r="O772" s="93"/>
      <c r="P772" s="82"/>
    </row>
    <row r="773">
      <c r="A773" s="90" t="s">
        <v>4165</v>
      </c>
      <c r="B773" s="90" t="s">
        <v>4166</v>
      </c>
      <c r="C773" s="89"/>
      <c r="D773" s="84">
        <v>499.0</v>
      </c>
      <c r="E773" s="83"/>
      <c r="F773" s="84">
        <f t="shared" si="1"/>
        <v>34.431</v>
      </c>
      <c r="G773" s="84"/>
      <c r="H773" s="84">
        <v>285.32</v>
      </c>
      <c r="I773" s="91">
        <v>0.15</v>
      </c>
      <c r="J773" s="85">
        <f t="shared" si="25"/>
        <v>74.85</v>
      </c>
      <c r="K773" s="85">
        <f t="shared" si="26"/>
        <v>64.52586207</v>
      </c>
      <c r="L773" s="84">
        <v>63.0</v>
      </c>
      <c r="M773" s="85">
        <f t="shared" si="4"/>
        <v>41.399</v>
      </c>
      <c r="N773" s="93">
        <f t="shared" si="27"/>
        <v>0.1450967335</v>
      </c>
      <c r="O773" s="93"/>
      <c r="P773" s="82"/>
    </row>
    <row r="774">
      <c r="A774" s="90" t="s">
        <v>4167</v>
      </c>
      <c r="B774" s="90" t="s">
        <v>4168</v>
      </c>
      <c r="C774" s="89"/>
      <c r="D774" s="84">
        <v>299.0</v>
      </c>
      <c r="E774" s="83"/>
      <c r="F774" s="84">
        <f t="shared" si="1"/>
        <v>20.631</v>
      </c>
      <c r="G774" s="84"/>
      <c r="H774" s="84">
        <v>70.0</v>
      </c>
      <c r="I774" s="91">
        <v>0.15</v>
      </c>
      <c r="J774" s="85">
        <f t="shared" si="25"/>
        <v>44.85</v>
      </c>
      <c r="K774" s="85">
        <f t="shared" si="26"/>
        <v>38.6637931</v>
      </c>
      <c r="L774" s="84">
        <v>68.0</v>
      </c>
      <c r="M774" s="85">
        <f t="shared" si="4"/>
        <v>95.519</v>
      </c>
      <c r="N774" s="93">
        <f t="shared" si="27"/>
        <v>1.364557143</v>
      </c>
      <c r="O774" s="93"/>
      <c r="P774" s="82"/>
    </row>
    <row r="775">
      <c r="A775" s="90" t="s">
        <v>4169</v>
      </c>
      <c r="B775" s="90" t="s">
        <v>4170</v>
      </c>
      <c r="C775" s="89"/>
      <c r="D775" s="84">
        <v>999.0</v>
      </c>
      <c r="E775" s="83"/>
      <c r="F775" s="84">
        <f t="shared" si="1"/>
        <v>68.931</v>
      </c>
      <c r="G775" s="84"/>
      <c r="H775" s="84">
        <v>766.94</v>
      </c>
      <c r="I775" s="91">
        <v>0.15</v>
      </c>
      <c r="J775" s="85">
        <f t="shared" si="25"/>
        <v>149.85</v>
      </c>
      <c r="K775" s="85">
        <f t="shared" si="26"/>
        <v>129.1810345</v>
      </c>
      <c r="L775" s="84">
        <v>63.0</v>
      </c>
      <c r="M775" s="85">
        <f t="shared" si="4"/>
        <v>-49.721</v>
      </c>
      <c r="N775" s="93">
        <f t="shared" si="27"/>
        <v>-0.06483036483</v>
      </c>
      <c r="O775" s="93"/>
      <c r="P775" s="82"/>
    </row>
    <row r="776">
      <c r="A776" s="89"/>
      <c r="B776" s="90" t="s">
        <v>4171</v>
      </c>
      <c r="C776" s="89"/>
      <c r="D776" s="84">
        <v>4199.0</v>
      </c>
      <c r="E776" s="83"/>
      <c r="F776" s="84">
        <f t="shared" si="1"/>
        <v>289.731</v>
      </c>
      <c r="G776" s="84"/>
      <c r="H776" s="84">
        <v>3305.02</v>
      </c>
      <c r="I776" s="91">
        <v>0.1</v>
      </c>
      <c r="J776" s="85">
        <f t="shared" si="25"/>
        <v>419.9</v>
      </c>
      <c r="K776" s="85">
        <f t="shared" si="26"/>
        <v>361.9827586</v>
      </c>
      <c r="L776" s="84">
        <v>64.0</v>
      </c>
      <c r="M776" s="85">
        <f t="shared" si="4"/>
        <v>120.349</v>
      </c>
      <c r="N776" s="93">
        <f t="shared" si="27"/>
        <v>0.03641400052</v>
      </c>
      <c r="O776" s="93"/>
      <c r="P776" s="82"/>
    </row>
    <row r="777">
      <c r="A777" s="89"/>
      <c r="B777" s="90" t="s">
        <v>4172</v>
      </c>
      <c r="C777" s="89"/>
      <c r="D777" s="84">
        <v>1359.0</v>
      </c>
      <c r="E777" s="83"/>
      <c r="F777" s="84">
        <f t="shared" si="1"/>
        <v>93.771</v>
      </c>
      <c r="G777" s="84"/>
      <c r="H777" s="84">
        <v>970.85</v>
      </c>
      <c r="I777" s="91">
        <v>0.15</v>
      </c>
      <c r="J777" s="85">
        <f t="shared" si="25"/>
        <v>203.85</v>
      </c>
      <c r="K777" s="85">
        <f t="shared" si="26"/>
        <v>175.7327586</v>
      </c>
      <c r="L777" s="84">
        <v>64.0</v>
      </c>
      <c r="M777" s="85">
        <f t="shared" si="4"/>
        <v>26.529</v>
      </c>
      <c r="N777" s="93">
        <f t="shared" si="27"/>
        <v>0.02732553948</v>
      </c>
      <c r="O777" s="93"/>
      <c r="P777" s="82"/>
    </row>
    <row r="778">
      <c r="A778" s="90" t="s">
        <v>4173</v>
      </c>
      <c r="B778" s="90" t="s">
        <v>4174</v>
      </c>
      <c r="C778" s="89"/>
      <c r="D778" s="84">
        <v>1578.0</v>
      </c>
      <c r="E778" s="83" t="s">
        <v>4175</v>
      </c>
      <c r="F778" s="84">
        <f t="shared" si="1"/>
        <v>108.882</v>
      </c>
      <c r="G778" s="84"/>
      <c r="H778" s="84">
        <v>899.69</v>
      </c>
      <c r="I778" s="91">
        <v>0.15</v>
      </c>
      <c r="J778" s="85">
        <f t="shared" si="25"/>
        <v>236.7</v>
      </c>
      <c r="K778" s="85">
        <f t="shared" si="26"/>
        <v>204.0517241</v>
      </c>
      <c r="L778" s="84">
        <v>63.0</v>
      </c>
      <c r="M778" s="85">
        <f t="shared" si="4"/>
        <v>269.728</v>
      </c>
      <c r="N778" s="93">
        <f t="shared" si="27"/>
        <v>0.2998010426</v>
      </c>
      <c r="O778" s="93"/>
      <c r="P778" s="82"/>
    </row>
    <row r="779">
      <c r="A779" s="89"/>
      <c r="B779" s="90" t="s">
        <v>4176</v>
      </c>
      <c r="C779" s="89"/>
      <c r="D779" s="84">
        <v>1299.0</v>
      </c>
      <c r="E779" s="83"/>
      <c r="F779" s="84">
        <f t="shared" si="1"/>
        <v>89.631</v>
      </c>
      <c r="G779" s="84"/>
      <c r="H779" s="84">
        <v>991.51</v>
      </c>
      <c r="I779" s="91">
        <v>0.15</v>
      </c>
      <c r="J779" s="85">
        <f t="shared" si="25"/>
        <v>194.85</v>
      </c>
      <c r="K779" s="85">
        <f t="shared" si="26"/>
        <v>167.9741379</v>
      </c>
      <c r="L779" s="84">
        <v>64.0</v>
      </c>
      <c r="M779" s="85">
        <f t="shared" si="4"/>
        <v>-40.991</v>
      </c>
      <c r="N779" s="93">
        <f t="shared" si="27"/>
        <v>-0.04134199353</v>
      </c>
      <c r="O779" s="93"/>
      <c r="P779" s="82"/>
    </row>
    <row r="780">
      <c r="A780" s="89"/>
      <c r="B780" s="90" t="s">
        <v>4177</v>
      </c>
      <c r="C780" s="89"/>
      <c r="D780" s="84">
        <v>1359.0</v>
      </c>
      <c r="E780" s="83"/>
      <c r="F780" s="84">
        <f t="shared" si="1"/>
        <v>93.771</v>
      </c>
      <c r="G780" s="84"/>
      <c r="H780" s="84">
        <v>991.51</v>
      </c>
      <c r="I780" s="91">
        <v>0.15</v>
      </c>
      <c r="J780" s="85">
        <f t="shared" si="25"/>
        <v>203.85</v>
      </c>
      <c r="K780" s="85">
        <f t="shared" si="26"/>
        <v>175.7327586</v>
      </c>
      <c r="L780" s="84">
        <v>64.0</v>
      </c>
      <c r="M780" s="85">
        <f t="shared" si="4"/>
        <v>5.869</v>
      </c>
      <c r="N780" s="93">
        <f t="shared" si="27"/>
        <v>0.00591925447</v>
      </c>
      <c r="O780" s="93"/>
      <c r="P780" s="82"/>
    </row>
    <row r="781">
      <c r="A781" s="89"/>
      <c r="B781" s="90" t="s">
        <v>4178</v>
      </c>
      <c r="C781" s="89"/>
      <c r="D781" s="84">
        <v>1359.0</v>
      </c>
      <c r="E781" s="83"/>
      <c r="F781" s="84">
        <f t="shared" si="1"/>
        <v>93.771</v>
      </c>
      <c r="G781" s="84"/>
      <c r="H781" s="84">
        <v>970.85</v>
      </c>
      <c r="I781" s="91">
        <v>0.15</v>
      </c>
      <c r="J781" s="85">
        <f t="shared" si="25"/>
        <v>203.85</v>
      </c>
      <c r="K781" s="85">
        <f t="shared" si="26"/>
        <v>175.7327586</v>
      </c>
      <c r="L781" s="84">
        <v>64.0</v>
      </c>
      <c r="M781" s="85">
        <f t="shared" si="4"/>
        <v>26.529</v>
      </c>
      <c r="N781" s="93">
        <f t="shared" si="27"/>
        <v>0.02732553948</v>
      </c>
      <c r="O781" s="93"/>
      <c r="P781" s="82"/>
    </row>
    <row r="782">
      <c r="A782" s="89"/>
      <c r="B782" s="90" t="s">
        <v>4179</v>
      </c>
      <c r="C782" s="89"/>
      <c r="D782" s="84">
        <v>829.0</v>
      </c>
      <c r="E782" s="83"/>
      <c r="F782" s="84">
        <f t="shared" si="1"/>
        <v>57.201</v>
      </c>
      <c r="G782" s="84"/>
      <c r="H782" s="84">
        <v>611.71</v>
      </c>
      <c r="I782" s="91">
        <v>0.1</v>
      </c>
      <c r="J782" s="85">
        <f t="shared" si="25"/>
        <v>82.9</v>
      </c>
      <c r="K782" s="85">
        <f t="shared" si="26"/>
        <v>71.46551724</v>
      </c>
      <c r="L782" s="84">
        <v>70.0</v>
      </c>
      <c r="M782" s="85">
        <f t="shared" si="4"/>
        <v>7.189</v>
      </c>
      <c r="N782" s="93">
        <f t="shared" si="27"/>
        <v>0.01175230093</v>
      </c>
      <c r="O782" s="93"/>
      <c r="P782" s="82"/>
    </row>
    <row r="783">
      <c r="A783" s="90" t="s">
        <v>4180</v>
      </c>
      <c r="B783" s="90" t="s">
        <v>4181</v>
      </c>
      <c r="C783" s="89"/>
      <c r="D783" s="84">
        <v>1399.0</v>
      </c>
      <c r="E783" s="83"/>
      <c r="F783" s="84">
        <f t="shared" si="1"/>
        <v>96.531</v>
      </c>
      <c r="G783" s="84"/>
      <c r="H783" s="84">
        <v>970.85</v>
      </c>
      <c r="I783" s="91">
        <v>0.1</v>
      </c>
      <c r="J783" s="85">
        <f t="shared" si="25"/>
        <v>139.9</v>
      </c>
      <c r="K783" s="85">
        <f t="shared" si="26"/>
        <v>120.6034483</v>
      </c>
      <c r="L783" s="84">
        <v>70.0</v>
      </c>
      <c r="M783" s="85">
        <f t="shared" si="4"/>
        <v>121.719</v>
      </c>
      <c r="N783" s="93">
        <f t="shared" si="27"/>
        <v>0.1253736417</v>
      </c>
      <c r="O783" s="93"/>
      <c r="P783" s="82"/>
    </row>
    <row r="784">
      <c r="A784" s="90" t="s">
        <v>4182</v>
      </c>
      <c r="B784" s="90" t="s">
        <v>4183</v>
      </c>
      <c r="C784" s="89"/>
      <c r="D784" s="84">
        <v>1229.0</v>
      </c>
      <c r="E784" s="83"/>
      <c r="F784" s="84">
        <f t="shared" si="1"/>
        <v>84.801</v>
      </c>
      <c r="G784" s="84"/>
      <c r="H784" s="84">
        <v>800.0</v>
      </c>
      <c r="I784" s="91">
        <v>0.15</v>
      </c>
      <c r="J784" s="85">
        <f t="shared" si="25"/>
        <v>184.35</v>
      </c>
      <c r="K784" s="85">
        <f t="shared" si="26"/>
        <v>158.9224138</v>
      </c>
      <c r="L784" s="84">
        <v>77.0</v>
      </c>
      <c r="M784" s="85">
        <f t="shared" si="4"/>
        <v>82.849</v>
      </c>
      <c r="N784" s="93">
        <f t="shared" si="27"/>
        <v>0.10356125</v>
      </c>
      <c r="O784" s="93"/>
      <c r="P784" s="82"/>
    </row>
    <row r="785">
      <c r="A785" s="90" t="s">
        <v>4163</v>
      </c>
      <c r="B785" s="90" t="s">
        <v>4184</v>
      </c>
      <c r="C785" s="89"/>
      <c r="D785" s="84">
        <v>1249.0</v>
      </c>
      <c r="E785" s="83"/>
      <c r="F785" s="84">
        <f t="shared" si="1"/>
        <v>86.181</v>
      </c>
      <c r="G785" s="84"/>
      <c r="H785" s="84">
        <v>931.73</v>
      </c>
      <c r="I785" s="91">
        <v>0.1</v>
      </c>
      <c r="J785" s="85">
        <f t="shared" si="25"/>
        <v>124.9</v>
      </c>
      <c r="K785" s="85">
        <f t="shared" si="26"/>
        <v>107.6724138</v>
      </c>
      <c r="L785" s="84">
        <v>77.0</v>
      </c>
      <c r="M785" s="85">
        <f t="shared" si="4"/>
        <v>29.189</v>
      </c>
      <c r="N785" s="93">
        <f t="shared" si="27"/>
        <v>0.03132774516</v>
      </c>
      <c r="O785" s="93"/>
      <c r="P785" s="82"/>
    </row>
    <row r="786">
      <c r="A786" s="90" t="s">
        <v>4185</v>
      </c>
      <c r="B786" s="90" t="s">
        <v>4186</v>
      </c>
      <c r="C786" s="89"/>
      <c r="D786" s="84">
        <v>2399.0</v>
      </c>
      <c r="E786" s="83"/>
      <c r="F786" s="84">
        <f t="shared" si="1"/>
        <v>165.531</v>
      </c>
      <c r="G786" s="84"/>
      <c r="H786" s="84">
        <v>1807.78</v>
      </c>
      <c r="I786" s="91">
        <v>0.13</v>
      </c>
      <c r="J786" s="85">
        <f t="shared" si="25"/>
        <v>311.87</v>
      </c>
      <c r="K786" s="85">
        <f t="shared" si="26"/>
        <v>268.8534483</v>
      </c>
      <c r="L786" s="84">
        <v>77.0</v>
      </c>
      <c r="M786" s="85">
        <f t="shared" si="4"/>
        <v>36.819</v>
      </c>
      <c r="N786" s="93">
        <f t="shared" si="27"/>
        <v>0.02036696943</v>
      </c>
      <c r="O786" s="93"/>
      <c r="P786" s="82"/>
    </row>
    <row r="787">
      <c r="A787" s="89"/>
      <c r="B787" s="90" t="s">
        <v>4187</v>
      </c>
      <c r="C787" s="89"/>
      <c r="D787" s="84">
        <v>279.0</v>
      </c>
      <c r="E787" s="83"/>
      <c r="F787" s="84">
        <f t="shared" si="1"/>
        <v>19.251</v>
      </c>
      <c r="G787" s="84"/>
      <c r="H787" s="84">
        <v>145.0</v>
      </c>
      <c r="I787" s="91">
        <v>0.15</v>
      </c>
      <c r="J787" s="85">
        <f t="shared" si="25"/>
        <v>41.85</v>
      </c>
      <c r="K787" s="85">
        <f t="shared" si="26"/>
        <v>36.07758621</v>
      </c>
      <c r="L787" s="84">
        <v>50.0</v>
      </c>
      <c r="M787" s="85">
        <f t="shared" si="4"/>
        <v>22.899</v>
      </c>
      <c r="N787" s="93">
        <f t="shared" si="27"/>
        <v>0.1579241379</v>
      </c>
      <c r="O787" s="93"/>
      <c r="P787" s="82"/>
    </row>
    <row r="788">
      <c r="A788" s="89"/>
      <c r="B788" s="90" t="s">
        <v>4188</v>
      </c>
      <c r="C788" s="89"/>
      <c r="D788" s="84">
        <v>1429.0</v>
      </c>
      <c r="E788" s="83"/>
      <c r="F788" s="84">
        <f t="shared" si="1"/>
        <v>98.601</v>
      </c>
      <c r="G788" s="84"/>
      <c r="H788" s="84">
        <v>1519.32</v>
      </c>
      <c r="I788" s="91">
        <v>0.15</v>
      </c>
      <c r="J788" s="85">
        <f t="shared" si="25"/>
        <v>214.35</v>
      </c>
      <c r="K788" s="85">
        <f t="shared" si="26"/>
        <v>184.7844828</v>
      </c>
      <c r="L788" s="84">
        <v>129.0</v>
      </c>
      <c r="M788" s="85">
        <f t="shared" si="4"/>
        <v>-532.271</v>
      </c>
      <c r="N788" s="93">
        <f t="shared" si="27"/>
        <v>-0.3503350183</v>
      </c>
      <c r="O788" s="93"/>
      <c r="P788" s="82"/>
    </row>
    <row r="789">
      <c r="A789" s="89"/>
      <c r="B789" s="90" t="s">
        <v>4189</v>
      </c>
      <c r="C789" s="89"/>
      <c r="D789" s="84">
        <v>739.0</v>
      </c>
      <c r="E789" s="83"/>
      <c r="F789" s="84">
        <f t="shared" si="1"/>
        <v>50.991</v>
      </c>
      <c r="G789" s="84"/>
      <c r="H789" s="84">
        <v>470.0</v>
      </c>
      <c r="I789" s="91">
        <v>0.15</v>
      </c>
      <c r="J789" s="85">
        <f t="shared" si="25"/>
        <v>110.85</v>
      </c>
      <c r="K789" s="85">
        <f t="shared" si="26"/>
        <v>95.56034483</v>
      </c>
      <c r="L789" s="84">
        <v>102.0</v>
      </c>
      <c r="M789" s="85">
        <f t="shared" si="4"/>
        <v>5.159</v>
      </c>
      <c r="N789" s="93">
        <f t="shared" si="27"/>
        <v>0.01097659574</v>
      </c>
      <c r="O789" s="93"/>
      <c r="P789" s="82"/>
    </row>
    <row r="790">
      <c r="A790" s="89"/>
      <c r="B790" s="90" t="s">
        <v>4190</v>
      </c>
      <c r="C790" s="89"/>
      <c r="D790" s="87"/>
      <c r="E790" s="83"/>
      <c r="F790" s="84">
        <f t="shared" si="1"/>
        <v>0</v>
      </c>
      <c r="G790" s="84"/>
      <c r="H790" s="84">
        <v>13.0</v>
      </c>
      <c r="I790" s="93"/>
      <c r="J790" s="87"/>
      <c r="K790" s="87"/>
      <c r="L790" s="87"/>
      <c r="M790" s="85">
        <f t="shared" si="4"/>
        <v>-13</v>
      </c>
      <c r="N790" s="93"/>
      <c r="O790" s="93"/>
      <c r="P790" s="82"/>
    </row>
    <row r="791">
      <c r="A791" s="90" t="s">
        <v>4191</v>
      </c>
      <c r="B791" s="90" t="s">
        <v>4192</v>
      </c>
      <c r="C791" s="89"/>
      <c r="D791" s="84">
        <v>1999.0</v>
      </c>
      <c r="E791" s="83" t="s">
        <v>237</v>
      </c>
      <c r="F791" s="84">
        <f t="shared" si="1"/>
        <v>137.931</v>
      </c>
      <c r="G791" s="84"/>
      <c r="H791" s="84">
        <v>1788.88</v>
      </c>
      <c r="I791" s="91">
        <v>0.15</v>
      </c>
      <c r="J791" s="85">
        <f t="shared" ref="J791:J792" si="28">I791*D791</f>
        <v>299.85</v>
      </c>
      <c r="K791" s="85">
        <f t="shared" ref="K791:K792" si="29">J791/1.16</f>
        <v>258.4913793</v>
      </c>
      <c r="L791" s="84">
        <v>129.0</v>
      </c>
      <c r="M791" s="85">
        <f t="shared" si="4"/>
        <v>-356.661</v>
      </c>
      <c r="N791" s="93">
        <f t="shared" ref="N791:N792" si="30">M791/H791</f>
        <v>-0.199376705</v>
      </c>
      <c r="O791" s="93"/>
      <c r="P791" s="82"/>
    </row>
    <row r="792">
      <c r="A792" s="89"/>
      <c r="B792" s="90" t="s">
        <v>4193</v>
      </c>
      <c r="C792" s="89"/>
      <c r="D792" s="84">
        <v>989.0</v>
      </c>
      <c r="E792" s="83"/>
      <c r="F792" s="84">
        <f t="shared" si="1"/>
        <v>68.241</v>
      </c>
      <c r="G792" s="84"/>
      <c r="H792" s="84">
        <v>749.0</v>
      </c>
      <c r="I792" s="91">
        <v>0.15</v>
      </c>
      <c r="J792" s="85">
        <f t="shared" si="28"/>
        <v>148.35</v>
      </c>
      <c r="K792" s="85">
        <f t="shared" si="29"/>
        <v>127.887931</v>
      </c>
      <c r="L792" s="84">
        <v>129.0</v>
      </c>
      <c r="M792" s="85">
        <f t="shared" si="4"/>
        <v>-105.591</v>
      </c>
      <c r="N792" s="93">
        <f t="shared" si="30"/>
        <v>-0.140975968</v>
      </c>
      <c r="O792" s="93"/>
      <c r="P792" s="82"/>
    </row>
    <row r="793">
      <c r="A793" s="89"/>
      <c r="B793" s="90" t="s">
        <v>4194</v>
      </c>
      <c r="C793" s="89"/>
      <c r="D793" s="87"/>
      <c r="E793" s="83"/>
      <c r="F793" s="84">
        <f t="shared" si="1"/>
        <v>0</v>
      </c>
      <c r="G793" s="84"/>
      <c r="H793" s="84">
        <v>230.0</v>
      </c>
      <c r="I793" s="93"/>
      <c r="J793" s="87"/>
      <c r="K793" s="87"/>
      <c r="L793" s="87"/>
      <c r="M793" s="85">
        <f t="shared" si="4"/>
        <v>-230</v>
      </c>
      <c r="N793" s="93"/>
      <c r="O793" s="93"/>
      <c r="P793" s="82"/>
    </row>
    <row r="794">
      <c r="A794" s="89"/>
      <c r="B794" s="90" t="s">
        <v>4195</v>
      </c>
      <c r="C794" s="89"/>
      <c r="D794" s="84">
        <v>1649.0</v>
      </c>
      <c r="E794" s="83"/>
      <c r="F794" s="84">
        <f t="shared" si="1"/>
        <v>113.781</v>
      </c>
      <c r="G794" s="84"/>
      <c r="H794" s="84">
        <v>1276.5</v>
      </c>
      <c r="I794" s="91">
        <v>0.1</v>
      </c>
      <c r="J794" s="85">
        <f>I794*D794</f>
        <v>164.9</v>
      </c>
      <c r="K794" s="85">
        <f>J794/1.16</f>
        <v>142.1551724</v>
      </c>
      <c r="L794" s="84">
        <v>72.0</v>
      </c>
      <c r="M794" s="85">
        <f t="shared" si="4"/>
        <v>21.819</v>
      </c>
      <c r="N794" s="93">
        <f>M794/H794</f>
        <v>0.01709283196</v>
      </c>
      <c r="O794" s="93"/>
      <c r="P794" s="82"/>
    </row>
    <row r="795">
      <c r="A795" s="89"/>
      <c r="B795" s="90" t="s">
        <v>4196</v>
      </c>
      <c r="C795" s="89"/>
      <c r="D795" s="87"/>
      <c r="E795" s="83"/>
      <c r="F795" s="84">
        <f t="shared" si="1"/>
        <v>0</v>
      </c>
      <c r="G795" s="84"/>
      <c r="H795" s="84">
        <v>7136.09</v>
      </c>
      <c r="I795" s="93"/>
      <c r="J795" s="87"/>
      <c r="K795" s="87"/>
      <c r="L795" s="87"/>
      <c r="M795" s="85">
        <f t="shared" si="4"/>
        <v>-7136.09</v>
      </c>
      <c r="N795" s="93"/>
      <c r="O795" s="93"/>
      <c r="P795" s="82"/>
    </row>
    <row r="796">
      <c r="A796" s="90" t="s">
        <v>4197</v>
      </c>
      <c r="B796" s="90" t="s">
        <v>4198</v>
      </c>
      <c r="C796" s="89"/>
      <c r="D796" s="84">
        <v>2499.0</v>
      </c>
      <c r="E796" s="83" t="s">
        <v>237</v>
      </c>
      <c r="F796" s="84">
        <f t="shared" si="1"/>
        <v>172.431</v>
      </c>
      <c r="G796" s="84"/>
      <c r="H796" s="84">
        <v>1837.89</v>
      </c>
      <c r="I796" s="91">
        <v>0.15</v>
      </c>
      <c r="J796" s="85">
        <f>I796*D796</f>
        <v>374.85</v>
      </c>
      <c r="K796" s="85">
        <f>J796/1.16</f>
        <v>323.1465517</v>
      </c>
      <c r="L796" s="84">
        <v>85.0</v>
      </c>
      <c r="M796" s="85">
        <f t="shared" si="4"/>
        <v>28.829</v>
      </c>
      <c r="N796" s="93">
        <f>M796/H796</f>
        <v>0.01568592244</v>
      </c>
      <c r="O796" s="93"/>
      <c r="P796" s="82"/>
    </row>
    <row r="797">
      <c r="A797" s="89"/>
      <c r="B797" s="90" t="s">
        <v>4199</v>
      </c>
      <c r="C797" s="89"/>
      <c r="D797" s="87"/>
      <c r="E797" s="83"/>
      <c r="F797" s="84">
        <f t="shared" si="1"/>
        <v>0</v>
      </c>
      <c r="G797" s="84"/>
      <c r="H797" s="84">
        <v>49.0</v>
      </c>
      <c r="I797" s="93"/>
      <c r="J797" s="87"/>
      <c r="K797" s="87"/>
      <c r="L797" s="87"/>
      <c r="M797" s="85">
        <f t="shared" si="4"/>
        <v>-49</v>
      </c>
      <c r="N797" s="93"/>
      <c r="O797" s="93"/>
      <c r="P797" s="82"/>
    </row>
    <row r="798">
      <c r="A798" s="90" t="s">
        <v>4200</v>
      </c>
      <c r="B798" s="90" t="s">
        <v>4201</v>
      </c>
      <c r="C798" s="89"/>
      <c r="D798" s="84">
        <v>999.0</v>
      </c>
      <c r="E798" s="83"/>
      <c r="F798" s="84">
        <f t="shared" si="1"/>
        <v>68.931</v>
      </c>
      <c r="G798" s="84"/>
      <c r="H798" s="84">
        <v>745.99</v>
      </c>
      <c r="I798" s="91">
        <v>0.1</v>
      </c>
      <c r="J798" s="85">
        <f t="shared" ref="J798:J808" si="31">I798*D798</f>
        <v>99.9</v>
      </c>
      <c r="K798" s="85">
        <f t="shared" ref="K798:K808" si="32">J798/1.16</f>
        <v>86.12068966</v>
      </c>
      <c r="L798" s="84">
        <v>75.0</v>
      </c>
      <c r="M798" s="85">
        <f t="shared" si="4"/>
        <v>9.179</v>
      </c>
      <c r="N798" s="93">
        <f t="shared" ref="N798:N808" si="33">M798/H798</f>
        <v>0.01230445448</v>
      </c>
      <c r="O798" s="93"/>
      <c r="P798" s="82"/>
    </row>
    <row r="799">
      <c r="A799" s="90" t="s">
        <v>4202</v>
      </c>
      <c r="B799" s="90" t="s">
        <v>4203</v>
      </c>
      <c r="C799" s="89"/>
      <c r="D799" s="84">
        <v>749.0</v>
      </c>
      <c r="E799" s="83"/>
      <c r="F799" s="84">
        <f t="shared" si="1"/>
        <v>51.681</v>
      </c>
      <c r="G799" s="84"/>
      <c r="H799" s="84">
        <v>547.82</v>
      </c>
      <c r="I799" s="91">
        <v>0.15</v>
      </c>
      <c r="J799" s="85">
        <f t="shared" si="31"/>
        <v>112.35</v>
      </c>
      <c r="K799" s="85">
        <f t="shared" si="32"/>
        <v>96.85344828</v>
      </c>
      <c r="L799" s="84">
        <v>65.0</v>
      </c>
      <c r="M799" s="85">
        <f t="shared" si="4"/>
        <v>-27.851</v>
      </c>
      <c r="N799" s="93">
        <f t="shared" si="33"/>
        <v>-0.05083969187</v>
      </c>
      <c r="O799" s="93"/>
      <c r="P799" s="82"/>
    </row>
    <row r="800">
      <c r="A800" s="90" t="s">
        <v>4204</v>
      </c>
      <c r="B800" s="90" t="s">
        <v>4205</v>
      </c>
      <c r="C800" s="89"/>
      <c r="D800" s="84">
        <v>1499.0</v>
      </c>
      <c r="E800" s="83"/>
      <c r="F800" s="84">
        <f t="shared" si="1"/>
        <v>103.431</v>
      </c>
      <c r="G800" s="84"/>
      <c r="H800" s="84">
        <v>1600.0</v>
      </c>
      <c r="I800" s="91">
        <v>0.15</v>
      </c>
      <c r="J800" s="85">
        <f t="shared" si="31"/>
        <v>224.85</v>
      </c>
      <c r="K800" s="85">
        <f t="shared" si="32"/>
        <v>193.8362069</v>
      </c>
      <c r="L800" s="84">
        <v>65.0</v>
      </c>
      <c r="M800" s="85">
        <f t="shared" si="4"/>
        <v>-494.281</v>
      </c>
      <c r="N800" s="93">
        <f t="shared" si="33"/>
        <v>-0.308925625</v>
      </c>
      <c r="O800" s="93"/>
      <c r="P800" s="82"/>
    </row>
    <row r="801">
      <c r="A801" s="90" t="s">
        <v>4206</v>
      </c>
      <c r="B801" s="90" t="s">
        <v>4207</v>
      </c>
      <c r="C801" s="89"/>
      <c r="D801" s="84">
        <v>739.0</v>
      </c>
      <c r="E801" s="83"/>
      <c r="F801" s="84">
        <f t="shared" si="1"/>
        <v>50.991</v>
      </c>
      <c r="G801" s="84"/>
      <c r="H801" s="84">
        <v>470.0</v>
      </c>
      <c r="I801" s="91">
        <v>0.15</v>
      </c>
      <c r="J801" s="85">
        <f t="shared" si="31"/>
        <v>110.85</v>
      </c>
      <c r="K801" s="85">
        <f t="shared" si="32"/>
        <v>95.56034483</v>
      </c>
      <c r="L801" s="84">
        <v>86.0</v>
      </c>
      <c r="M801" s="85">
        <f t="shared" si="4"/>
        <v>21.159</v>
      </c>
      <c r="N801" s="93">
        <f t="shared" si="33"/>
        <v>0.04501914894</v>
      </c>
      <c r="O801" s="93"/>
      <c r="P801" s="82"/>
    </row>
    <row r="802">
      <c r="A802" s="89"/>
      <c r="B802" s="90" t="s">
        <v>4208</v>
      </c>
      <c r="C802" s="89"/>
      <c r="D802" s="84">
        <v>259.0</v>
      </c>
      <c r="E802" s="83"/>
      <c r="F802" s="84">
        <f t="shared" si="1"/>
        <v>17.871</v>
      </c>
      <c r="G802" s="84"/>
      <c r="H802" s="84">
        <v>140.0</v>
      </c>
      <c r="I802" s="91">
        <v>0.15</v>
      </c>
      <c r="J802" s="85">
        <f t="shared" si="31"/>
        <v>38.85</v>
      </c>
      <c r="K802" s="85">
        <f t="shared" si="32"/>
        <v>33.49137931</v>
      </c>
      <c r="L802" s="84">
        <v>63.0</v>
      </c>
      <c r="M802" s="85">
        <f t="shared" si="4"/>
        <v>-0.721</v>
      </c>
      <c r="N802" s="93">
        <f t="shared" si="33"/>
        <v>-0.00515</v>
      </c>
      <c r="O802" s="93"/>
      <c r="P802" s="82"/>
    </row>
    <row r="803">
      <c r="A803" s="90" t="s">
        <v>4209</v>
      </c>
      <c r="B803" s="90" t="s">
        <v>4210</v>
      </c>
      <c r="C803" s="89"/>
      <c r="D803" s="84">
        <v>1199.0</v>
      </c>
      <c r="E803" s="83"/>
      <c r="F803" s="84">
        <f t="shared" si="1"/>
        <v>82.731</v>
      </c>
      <c r="G803" s="84"/>
      <c r="H803" s="84">
        <v>800.0</v>
      </c>
      <c r="I803" s="91">
        <v>0.15</v>
      </c>
      <c r="J803" s="85">
        <f t="shared" si="31"/>
        <v>179.85</v>
      </c>
      <c r="K803" s="85">
        <f t="shared" si="32"/>
        <v>155.0431034</v>
      </c>
      <c r="L803" s="84">
        <v>121.0</v>
      </c>
      <c r="M803" s="85">
        <f t="shared" si="4"/>
        <v>15.419</v>
      </c>
      <c r="N803" s="93">
        <f t="shared" si="33"/>
        <v>0.01927375</v>
      </c>
      <c r="O803" s="93"/>
      <c r="P803" s="82"/>
    </row>
    <row r="804">
      <c r="A804" s="90" t="s">
        <v>4211</v>
      </c>
      <c r="B804" s="90" t="s">
        <v>4212</v>
      </c>
      <c r="C804" s="89"/>
      <c r="D804" s="84">
        <v>699.0</v>
      </c>
      <c r="E804" s="83"/>
      <c r="F804" s="84">
        <f t="shared" si="1"/>
        <v>48.231</v>
      </c>
      <c r="G804" s="84"/>
      <c r="H804" s="84">
        <v>450.0</v>
      </c>
      <c r="I804" s="91">
        <v>0.15</v>
      </c>
      <c r="J804" s="85">
        <f t="shared" si="31"/>
        <v>104.85</v>
      </c>
      <c r="K804" s="85">
        <f t="shared" si="32"/>
        <v>90.38793103</v>
      </c>
      <c r="L804" s="84">
        <v>94.0</v>
      </c>
      <c r="M804" s="85">
        <f t="shared" si="4"/>
        <v>1.919</v>
      </c>
      <c r="N804" s="93">
        <f t="shared" si="33"/>
        <v>0.004264444444</v>
      </c>
      <c r="O804" s="93"/>
      <c r="P804" s="82"/>
    </row>
    <row r="805">
      <c r="A805" s="89"/>
      <c r="B805" s="90" t="s">
        <v>4213</v>
      </c>
      <c r="C805" s="89"/>
      <c r="D805" s="84">
        <v>1549.0</v>
      </c>
      <c r="E805" s="83"/>
      <c r="F805" s="84">
        <f t="shared" si="1"/>
        <v>106.881</v>
      </c>
      <c r="G805" s="84"/>
      <c r="H805" s="84">
        <v>1439.99</v>
      </c>
      <c r="I805" s="91">
        <v>0.15</v>
      </c>
      <c r="J805" s="85">
        <f t="shared" si="31"/>
        <v>232.35</v>
      </c>
      <c r="K805" s="85">
        <f t="shared" si="32"/>
        <v>200.3017241</v>
      </c>
      <c r="L805" s="84">
        <v>94.0</v>
      </c>
      <c r="M805" s="85">
        <f t="shared" si="4"/>
        <v>-324.221</v>
      </c>
      <c r="N805" s="93">
        <f t="shared" si="33"/>
        <v>-0.2251550358</v>
      </c>
      <c r="O805" s="93"/>
      <c r="P805" s="82"/>
    </row>
    <row r="806">
      <c r="A806" s="90" t="s">
        <v>4214</v>
      </c>
      <c r="B806" s="90" t="s">
        <v>4215</v>
      </c>
      <c r="C806" s="89"/>
      <c r="D806" s="84">
        <v>4579.0</v>
      </c>
      <c r="E806" s="83" t="s">
        <v>237</v>
      </c>
      <c r="F806" s="84">
        <f t="shared" si="1"/>
        <v>315.951</v>
      </c>
      <c r="G806" s="84"/>
      <c r="H806" s="84">
        <v>2606.26</v>
      </c>
      <c r="I806" s="91">
        <v>0.15</v>
      </c>
      <c r="J806" s="85">
        <f t="shared" si="31"/>
        <v>686.85</v>
      </c>
      <c r="K806" s="85">
        <f t="shared" si="32"/>
        <v>592.112069</v>
      </c>
      <c r="L806" s="84">
        <v>149.0</v>
      </c>
      <c r="M806" s="85">
        <f t="shared" si="4"/>
        <v>820.939</v>
      </c>
      <c r="N806" s="93">
        <f t="shared" si="33"/>
        <v>0.3149873765</v>
      </c>
      <c r="O806" s="93"/>
      <c r="P806" s="82"/>
    </row>
    <row r="807">
      <c r="A807" s="90" t="s">
        <v>4216</v>
      </c>
      <c r="B807" s="90" t="s">
        <v>4217</v>
      </c>
      <c r="C807" s="89"/>
      <c r="D807" s="84">
        <v>1799.0</v>
      </c>
      <c r="E807" s="83" t="s">
        <v>237</v>
      </c>
      <c r="F807" s="84">
        <f t="shared" si="1"/>
        <v>124.131</v>
      </c>
      <c r="G807" s="84"/>
      <c r="H807" s="84">
        <v>1300.0</v>
      </c>
      <c r="I807" s="91">
        <v>0.15</v>
      </c>
      <c r="J807" s="85">
        <f t="shared" si="31"/>
        <v>269.85</v>
      </c>
      <c r="K807" s="85">
        <f t="shared" si="32"/>
        <v>232.6293103</v>
      </c>
      <c r="L807" s="84">
        <v>106.0</v>
      </c>
      <c r="M807" s="85">
        <f t="shared" si="4"/>
        <v>-0.981</v>
      </c>
      <c r="N807" s="93">
        <f t="shared" si="33"/>
        <v>-0.0007546153846</v>
      </c>
      <c r="O807" s="93"/>
      <c r="P807" s="82"/>
    </row>
    <row r="808">
      <c r="A808" s="90" t="s">
        <v>4218</v>
      </c>
      <c r="B808" s="90" t="s">
        <v>4219</v>
      </c>
      <c r="C808" s="89"/>
      <c r="D808" s="84">
        <v>1599.0</v>
      </c>
      <c r="E808" s="83"/>
      <c r="F808" s="84">
        <f t="shared" si="1"/>
        <v>110.331</v>
      </c>
      <c r="G808" s="84"/>
      <c r="H808" s="84">
        <v>1120.0</v>
      </c>
      <c r="I808" s="91">
        <v>0.15</v>
      </c>
      <c r="J808" s="85">
        <f t="shared" si="31"/>
        <v>239.85</v>
      </c>
      <c r="K808" s="85">
        <f t="shared" si="32"/>
        <v>206.7672414</v>
      </c>
      <c r="L808" s="84">
        <v>91.61</v>
      </c>
      <c r="M808" s="85">
        <f t="shared" si="4"/>
        <v>37.209</v>
      </c>
      <c r="N808" s="93">
        <f t="shared" si="33"/>
        <v>0.03322232143</v>
      </c>
      <c r="O808" s="93"/>
      <c r="P808" s="82"/>
    </row>
    <row r="809">
      <c r="A809" s="90" t="s">
        <v>4220</v>
      </c>
      <c r="B809" s="90" t="s">
        <v>4221</v>
      </c>
      <c r="C809" s="89"/>
      <c r="D809" s="87"/>
      <c r="E809" s="83"/>
      <c r="F809" s="84">
        <f t="shared" si="1"/>
        <v>0</v>
      </c>
      <c r="G809" s="84"/>
      <c r="H809" s="84">
        <v>970.85</v>
      </c>
      <c r="I809" s="93"/>
      <c r="J809" s="87"/>
      <c r="K809" s="87"/>
      <c r="L809" s="87"/>
      <c r="M809" s="85">
        <f t="shared" si="4"/>
        <v>-970.85</v>
      </c>
      <c r="N809" s="93"/>
      <c r="O809" s="93"/>
      <c r="P809" s="82"/>
    </row>
    <row r="810">
      <c r="A810" s="90" t="s">
        <v>4222</v>
      </c>
      <c r="B810" s="90" t="s">
        <v>4223</v>
      </c>
      <c r="C810" s="89"/>
      <c r="D810" s="84">
        <v>1399.0</v>
      </c>
      <c r="E810" s="83"/>
      <c r="F810" s="84">
        <f t="shared" si="1"/>
        <v>96.531</v>
      </c>
      <c r="G810" s="84"/>
      <c r="H810" s="84">
        <v>970.85</v>
      </c>
      <c r="I810" s="91">
        <v>0.15</v>
      </c>
      <c r="J810" s="85">
        <f>I810*D810</f>
        <v>209.85</v>
      </c>
      <c r="K810" s="85">
        <f>J810/1.16</f>
        <v>180.9051724</v>
      </c>
      <c r="L810" s="84">
        <v>91.61</v>
      </c>
      <c r="M810" s="85">
        <f t="shared" si="4"/>
        <v>30.159</v>
      </c>
      <c r="N810" s="93">
        <f>M810/H810</f>
        <v>0.03106453108</v>
      </c>
      <c r="O810" s="93"/>
      <c r="P810" s="82"/>
    </row>
    <row r="811">
      <c r="A811" s="89"/>
      <c r="B811" s="90" t="s">
        <v>4224</v>
      </c>
      <c r="C811" s="89"/>
      <c r="D811" s="87"/>
      <c r="E811" s="83"/>
      <c r="F811" s="84">
        <f t="shared" si="1"/>
        <v>0</v>
      </c>
      <c r="G811" s="84"/>
      <c r="H811" s="84">
        <v>3305.02</v>
      </c>
      <c r="I811" s="93"/>
      <c r="J811" s="87"/>
      <c r="K811" s="87"/>
      <c r="L811" s="87"/>
      <c r="M811" s="85">
        <f t="shared" si="4"/>
        <v>-3305.02</v>
      </c>
      <c r="N811" s="93"/>
      <c r="O811" s="93"/>
      <c r="P811" s="82"/>
    </row>
    <row r="812">
      <c r="A812" s="89"/>
      <c r="B812" s="90" t="s">
        <v>4225</v>
      </c>
      <c r="C812" s="89"/>
      <c r="D812" s="87"/>
      <c r="E812" s="83"/>
      <c r="F812" s="84">
        <f t="shared" si="1"/>
        <v>0</v>
      </c>
      <c r="G812" s="84"/>
      <c r="H812" s="84">
        <v>70.0</v>
      </c>
      <c r="I812" s="93"/>
      <c r="J812" s="87"/>
      <c r="K812" s="87"/>
      <c r="L812" s="87"/>
      <c r="M812" s="85">
        <f t="shared" si="4"/>
        <v>-70</v>
      </c>
      <c r="N812" s="93"/>
      <c r="O812" s="93"/>
      <c r="P812" s="82"/>
    </row>
    <row r="813">
      <c r="A813" s="89"/>
      <c r="B813" s="90" t="s">
        <v>4226</v>
      </c>
      <c r="C813" s="89"/>
      <c r="D813" s="84">
        <v>199.0</v>
      </c>
      <c r="E813" s="83"/>
      <c r="F813" s="84">
        <f t="shared" si="1"/>
        <v>13.731</v>
      </c>
      <c r="G813" s="84"/>
      <c r="H813" s="84">
        <v>140.0</v>
      </c>
      <c r="I813" s="91">
        <v>0.15</v>
      </c>
      <c r="J813" s="85">
        <f t="shared" ref="J813:J846" si="34">I813*D813</f>
        <v>29.85</v>
      </c>
      <c r="K813" s="85">
        <f t="shared" ref="K813:K846" si="35">J813/1.16</f>
        <v>25.73275862</v>
      </c>
      <c r="L813" s="84">
        <v>63.0</v>
      </c>
      <c r="M813" s="85">
        <f t="shared" si="4"/>
        <v>-47.581</v>
      </c>
      <c r="N813" s="93">
        <f t="shared" ref="N813:N846" si="36">M813/H813</f>
        <v>-0.3398642857</v>
      </c>
      <c r="O813" s="93"/>
      <c r="P813" s="82"/>
    </row>
    <row r="814">
      <c r="A814" s="89"/>
      <c r="B814" s="90" t="s">
        <v>4227</v>
      </c>
      <c r="C814" s="89"/>
      <c r="D814" s="84">
        <v>259.0</v>
      </c>
      <c r="E814" s="83"/>
      <c r="F814" s="84">
        <f t="shared" si="1"/>
        <v>17.871</v>
      </c>
      <c r="G814" s="84"/>
      <c r="H814" s="84">
        <v>140.0</v>
      </c>
      <c r="I814" s="91">
        <v>0.15</v>
      </c>
      <c r="J814" s="85">
        <f t="shared" si="34"/>
        <v>38.85</v>
      </c>
      <c r="K814" s="85">
        <f t="shared" si="35"/>
        <v>33.49137931</v>
      </c>
      <c r="L814" s="84">
        <v>63.0</v>
      </c>
      <c r="M814" s="85">
        <f t="shared" si="4"/>
        <v>-0.721</v>
      </c>
      <c r="N814" s="93">
        <f t="shared" si="36"/>
        <v>-0.00515</v>
      </c>
      <c r="O814" s="93"/>
      <c r="P814" s="82"/>
    </row>
    <row r="815">
      <c r="A815" s="89"/>
      <c r="B815" s="90" t="s">
        <v>4228</v>
      </c>
      <c r="C815" s="89"/>
      <c r="D815" s="84">
        <v>1329.0</v>
      </c>
      <c r="E815" s="83"/>
      <c r="F815" s="84">
        <f t="shared" si="1"/>
        <v>91.701</v>
      </c>
      <c r="G815" s="84"/>
      <c r="H815" s="84">
        <v>991.51</v>
      </c>
      <c r="I815" s="91">
        <v>0.15</v>
      </c>
      <c r="J815" s="85">
        <f t="shared" si="34"/>
        <v>199.35</v>
      </c>
      <c r="K815" s="85">
        <f t="shared" si="35"/>
        <v>171.8534483</v>
      </c>
      <c r="L815" s="84">
        <v>63.0</v>
      </c>
      <c r="M815" s="85">
        <f t="shared" si="4"/>
        <v>-16.561</v>
      </c>
      <c r="N815" s="93">
        <f t="shared" si="36"/>
        <v>-0.01670280683</v>
      </c>
      <c r="O815" s="93"/>
      <c r="P815" s="82"/>
    </row>
    <row r="816">
      <c r="A816" s="89"/>
      <c r="B816" s="90" t="s">
        <v>4229</v>
      </c>
      <c r="C816" s="89"/>
      <c r="D816" s="84">
        <v>1549.0</v>
      </c>
      <c r="E816" s="83"/>
      <c r="F816" s="84">
        <f t="shared" si="1"/>
        <v>106.881</v>
      </c>
      <c r="G816" s="84"/>
      <c r="H816" s="84">
        <v>1142.65</v>
      </c>
      <c r="I816" s="91">
        <v>0.15</v>
      </c>
      <c r="J816" s="85">
        <f t="shared" si="34"/>
        <v>232.35</v>
      </c>
      <c r="K816" s="85">
        <f t="shared" si="35"/>
        <v>200.3017241</v>
      </c>
      <c r="L816" s="84">
        <v>106.0</v>
      </c>
      <c r="M816" s="85">
        <f t="shared" si="4"/>
        <v>-38.881</v>
      </c>
      <c r="N816" s="93">
        <f t="shared" si="36"/>
        <v>-0.0340270424</v>
      </c>
      <c r="O816" s="93"/>
      <c r="P816" s="82"/>
    </row>
    <row r="817">
      <c r="A817" s="89"/>
      <c r="B817" s="90" t="s">
        <v>4230</v>
      </c>
      <c r="C817" s="89"/>
      <c r="D817" s="84">
        <v>2499.0</v>
      </c>
      <c r="E817" s="83"/>
      <c r="F817" s="84">
        <f t="shared" si="1"/>
        <v>172.431</v>
      </c>
      <c r="G817" s="84"/>
      <c r="H817" s="84">
        <v>1667.66</v>
      </c>
      <c r="I817" s="91">
        <v>0.15</v>
      </c>
      <c r="J817" s="85">
        <f t="shared" si="34"/>
        <v>374.85</v>
      </c>
      <c r="K817" s="85">
        <f t="shared" si="35"/>
        <v>323.1465517</v>
      </c>
      <c r="L817" s="84">
        <v>117.0</v>
      </c>
      <c r="M817" s="85">
        <f t="shared" si="4"/>
        <v>167.059</v>
      </c>
      <c r="N817" s="93">
        <f t="shared" si="36"/>
        <v>0.1001756953</v>
      </c>
      <c r="O817" s="93"/>
      <c r="P817" s="82"/>
    </row>
    <row r="818">
      <c r="A818" s="89"/>
      <c r="B818" s="90" t="s">
        <v>4231</v>
      </c>
      <c r="C818" s="89"/>
      <c r="D818" s="84">
        <v>4099.0</v>
      </c>
      <c r="E818" s="83"/>
      <c r="F818" s="84">
        <f t="shared" si="1"/>
        <v>282.831</v>
      </c>
      <c r="G818" s="84"/>
      <c r="H818" s="84">
        <v>3316.27</v>
      </c>
      <c r="I818" s="91">
        <v>0.15</v>
      </c>
      <c r="J818" s="85">
        <f t="shared" si="34"/>
        <v>614.85</v>
      </c>
      <c r="K818" s="85">
        <f t="shared" si="35"/>
        <v>530.0431034</v>
      </c>
      <c r="L818" s="84">
        <v>163.0</v>
      </c>
      <c r="M818" s="85">
        <f t="shared" si="4"/>
        <v>-277.951</v>
      </c>
      <c r="N818" s="93">
        <f t="shared" si="36"/>
        <v>-0.08381434564</v>
      </c>
      <c r="O818" s="93"/>
      <c r="P818" s="82"/>
    </row>
    <row r="819">
      <c r="A819" s="89"/>
      <c r="B819" s="90" t="s">
        <v>4232</v>
      </c>
      <c r="C819" s="89"/>
      <c r="D819" s="84">
        <v>1549.0</v>
      </c>
      <c r="E819" s="83"/>
      <c r="F819" s="84">
        <f t="shared" si="1"/>
        <v>106.881</v>
      </c>
      <c r="G819" s="84"/>
      <c r="H819" s="84">
        <v>1439.99</v>
      </c>
      <c r="I819" s="91">
        <v>0.15</v>
      </c>
      <c r="J819" s="85">
        <f t="shared" si="34"/>
        <v>232.35</v>
      </c>
      <c r="K819" s="85">
        <f t="shared" si="35"/>
        <v>200.3017241</v>
      </c>
      <c r="L819" s="84">
        <v>95.0</v>
      </c>
      <c r="M819" s="85">
        <f t="shared" si="4"/>
        <v>-325.221</v>
      </c>
      <c r="N819" s="93">
        <f t="shared" si="36"/>
        <v>-0.2258494851</v>
      </c>
      <c r="O819" s="93"/>
      <c r="P819" s="82"/>
    </row>
    <row r="820">
      <c r="A820" s="89"/>
      <c r="B820" s="90" t="s">
        <v>4233</v>
      </c>
      <c r="C820" s="89"/>
      <c r="D820" s="84">
        <v>11399.0</v>
      </c>
      <c r="E820" s="83"/>
      <c r="F820" s="84">
        <f t="shared" si="1"/>
        <v>786.531</v>
      </c>
      <c r="G820" s="84"/>
      <c r="H820" s="84">
        <v>9791.99</v>
      </c>
      <c r="I820" s="91">
        <v>0.15</v>
      </c>
      <c r="J820" s="85">
        <f t="shared" si="34"/>
        <v>1709.85</v>
      </c>
      <c r="K820" s="85">
        <f t="shared" si="35"/>
        <v>1474.008621</v>
      </c>
      <c r="L820" s="84">
        <v>91.61</v>
      </c>
      <c r="M820" s="85">
        <f t="shared" si="4"/>
        <v>-980.981</v>
      </c>
      <c r="N820" s="93">
        <f t="shared" si="36"/>
        <v>-0.1001819855</v>
      </c>
      <c r="O820" s="93"/>
      <c r="P820" s="82"/>
    </row>
    <row r="821">
      <c r="A821" s="89"/>
      <c r="B821" s="90" t="s">
        <v>4234</v>
      </c>
      <c r="C821" s="89"/>
      <c r="D821" s="84">
        <v>3699.0</v>
      </c>
      <c r="E821" s="83"/>
      <c r="F821" s="84">
        <f t="shared" si="1"/>
        <v>255.231</v>
      </c>
      <c r="G821" s="84"/>
      <c r="H821" s="84">
        <v>3039.92</v>
      </c>
      <c r="I821" s="91">
        <v>0.15</v>
      </c>
      <c r="J821" s="85">
        <f t="shared" si="34"/>
        <v>554.85</v>
      </c>
      <c r="K821" s="85">
        <f t="shared" si="35"/>
        <v>478.3189655</v>
      </c>
      <c r="L821" s="84">
        <v>137.0</v>
      </c>
      <c r="M821" s="85">
        <f t="shared" si="4"/>
        <v>-288.001</v>
      </c>
      <c r="N821" s="93">
        <f t="shared" si="36"/>
        <v>-0.0947396642</v>
      </c>
      <c r="O821" s="93"/>
      <c r="P821" s="82"/>
    </row>
    <row r="822">
      <c r="A822" s="89"/>
      <c r="B822" s="90" t="s">
        <v>4235</v>
      </c>
      <c r="C822" s="89"/>
      <c r="D822" s="84">
        <v>1289.0</v>
      </c>
      <c r="E822" s="83"/>
      <c r="F822" s="84">
        <f t="shared" si="1"/>
        <v>88.941</v>
      </c>
      <c r="G822" s="84"/>
      <c r="H822" s="84">
        <v>1105.42</v>
      </c>
      <c r="I822" s="91">
        <v>0.15</v>
      </c>
      <c r="J822" s="85">
        <f t="shared" si="34"/>
        <v>193.35</v>
      </c>
      <c r="K822" s="85">
        <f t="shared" si="35"/>
        <v>166.6810345</v>
      </c>
      <c r="L822" s="84">
        <v>89.0</v>
      </c>
      <c r="M822" s="85">
        <f t="shared" si="4"/>
        <v>-187.711</v>
      </c>
      <c r="N822" s="93">
        <f t="shared" si="36"/>
        <v>-0.1698096651</v>
      </c>
      <c r="O822" s="93"/>
      <c r="P822" s="82"/>
    </row>
    <row r="823">
      <c r="A823" s="89"/>
      <c r="B823" s="90" t="s">
        <v>4236</v>
      </c>
      <c r="C823" s="89"/>
      <c r="D823" s="84">
        <v>4499.0</v>
      </c>
      <c r="E823" s="83"/>
      <c r="F823" s="84">
        <f t="shared" si="1"/>
        <v>310.431</v>
      </c>
      <c r="G823" s="84"/>
      <c r="H823" s="84">
        <v>2850.0</v>
      </c>
      <c r="I823" s="91">
        <v>0.15</v>
      </c>
      <c r="J823" s="85">
        <f t="shared" si="34"/>
        <v>674.85</v>
      </c>
      <c r="K823" s="85">
        <f t="shared" si="35"/>
        <v>581.7672414</v>
      </c>
      <c r="L823" s="84">
        <v>178.0</v>
      </c>
      <c r="M823" s="85">
        <f t="shared" si="4"/>
        <v>485.719</v>
      </c>
      <c r="N823" s="93">
        <f t="shared" si="36"/>
        <v>0.1704277193</v>
      </c>
      <c r="O823" s="93"/>
      <c r="P823" s="82"/>
    </row>
    <row r="824">
      <c r="A824" s="89"/>
      <c r="B824" s="90" t="s">
        <v>4237</v>
      </c>
      <c r="C824" s="89"/>
      <c r="D824" s="84">
        <v>549.0</v>
      </c>
      <c r="E824" s="83"/>
      <c r="F824" s="84">
        <f t="shared" si="1"/>
        <v>37.881</v>
      </c>
      <c r="G824" s="84"/>
      <c r="H824" s="84">
        <v>360.0</v>
      </c>
      <c r="I824" s="91">
        <v>0.15</v>
      </c>
      <c r="J824" s="85">
        <f t="shared" si="34"/>
        <v>82.35</v>
      </c>
      <c r="K824" s="85">
        <f t="shared" si="35"/>
        <v>70.99137931</v>
      </c>
      <c r="L824" s="84">
        <v>83.0</v>
      </c>
      <c r="M824" s="85">
        <f t="shared" si="4"/>
        <v>-14.231</v>
      </c>
      <c r="N824" s="93">
        <f t="shared" si="36"/>
        <v>-0.03953055556</v>
      </c>
      <c r="O824" s="93"/>
      <c r="P824" s="82"/>
    </row>
    <row r="825">
      <c r="A825" s="89"/>
      <c r="B825" s="90" t="s">
        <v>4238</v>
      </c>
      <c r="C825" s="89"/>
      <c r="D825" s="84">
        <v>1649.0</v>
      </c>
      <c r="E825" s="83"/>
      <c r="F825" s="84">
        <f t="shared" si="1"/>
        <v>113.781</v>
      </c>
      <c r="G825" s="84"/>
      <c r="H825" s="84">
        <v>1319.57</v>
      </c>
      <c r="I825" s="91">
        <v>0.1</v>
      </c>
      <c r="J825" s="85">
        <f t="shared" si="34"/>
        <v>164.9</v>
      </c>
      <c r="K825" s="85">
        <f t="shared" si="35"/>
        <v>142.1551724</v>
      </c>
      <c r="L825" s="84">
        <v>64.0</v>
      </c>
      <c r="M825" s="85">
        <f t="shared" si="4"/>
        <v>-13.251</v>
      </c>
      <c r="N825" s="93">
        <f t="shared" si="36"/>
        <v>-0.01004190759</v>
      </c>
      <c r="O825" s="93"/>
      <c r="P825" s="82"/>
    </row>
    <row r="826">
      <c r="A826" s="89"/>
      <c r="B826" s="90" t="s">
        <v>4238</v>
      </c>
      <c r="C826" s="89"/>
      <c r="D826" s="84">
        <v>999.0</v>
      </c>
      <c r="E826" s="83"/>
      <c r="F826" s="84">
        <f t="shared" si="1"/>
        <v>68.931</v>
      </c>
      <c r="G826" s="84"/>
      <c r="H826" s="84">
        <v>700.0</v>
      </c>
      <c r="I826" s="91">
        <v>0.15</v>
      </c>
      <c r="J826" s="85">
        <f t="shared" si="34"/>
        <v>149.85</v>
      </c>
      <c r="K826" s="85">
        <f t="shared" si="35"/>
        <v>129.1810345</v>
      </c>
      <c r="L826" s="84">
        <v>71.0</v>
      </c>
      <c r="M826" s="85">
        <f t="shared" si="4"/>
        <v>9.219</v>
      </c>
      <c r="N826" s="93">
        <f t="shared" si="36"/>
        <v>0.01317</v>
      </c>
      <c r="O826" s="93"/>
      <c r="P826" s="82"/>
    </row>
    <row r="827">
      <c r="A827" s="90" t="s">
        <v>4239</v>
      </c>
      <c r="B827" s="90" t="s">
        <v>4240</v>
      </c>
      <c r="C827" s="89"/>
      <c r="D827" s="84">
        <v>789.0</v>
      </c>
      <c r="E827" s="83"/>
      <c r="F827" s="84">
        <f t="shared" si="1"/>
        <v>54.441</v>
      </c>
      <c r="G827" s="84"/>
      <c r="H827" s="84">
        <v>638.63</v>
      </c>
      <c r="I827" s="91">
        <v>0.1</v>
      </c>
      <c r="J827" s="85">
        <f t="shared" si="34"/>
        <v>78.9</v>
      </c>
      <c r="K827" s="85">
        <f t="shared" si="35"/>
        <v>68.01724138</v>
      </c>
      <c r="L827" s="84">
        <v>61.0</v>
      </c>
      <c r="M827" s="85">
        <f t="shared" si="4"/>
        <v>-43.971</v>
      </c>
      <c r="N827" s="93">
        <f t="shared" si="36"/>
        <v>-0.06885207397</v>
      </c>
      <c r="O827" s="93"/>
      <c r="P827" s="82"/>
    </row>
    <row r="828">
      <c r="A828" s="90" t="s">
        <v>4241</v>
      </c>
      <c r="B828" s="90" t="s">
        <v>4242</v>
      </c>
      <c r="C828" s="89"/>
      <c r="D828" s="84">
        <v>848.0</v>
      </c>
      <c r="E828" s="83"/>
      <c r="F828" s="84">
        <f t="shared" si="1"/>
        <v>58.512</v>
      </c>
      <c r="G828" s="84"/>
      <c r="H828" s="84">
        <v>700.0</v>
      </c>
      <c r="I828" s="91">
        <v>0.1</v>
      </c>
      <c r="J828" s="85">
        <f t="shared" si="34"/>
        <v>84.8</v>
      </c>
      <c r="K828" s="85">
        <f t="shared" si="35"/>
        <v>73.10344828</v>
      </c>
      <c r="L828" s="84">
        <v>61.0</v>
      </c>
      <c r="M828" s="85">
        <f t="shared" si="4"/>
        <v>-56.312</v>
      </c>
      <c r="N828" s="93">
        <f t="shared" si="36"/>
        <v>-0.08044571429</v>
      </c>
      <c r="O828" s="93"/>
      <c r="P828" s="82"/>
    </row>
    <row r="829">
      <c r="A829" s="90" t="s">
        <v>4243</v>
      </c>
      <c r="B829" s="90" t="s">
        <v>4244</v>
      </c>
      <c r="C829" s="89"/>
      <c r="D829" s="84">
        <v>879.0</v>
      </c>
      <c r="E829" s="83"/>
      <c r="F829" s="84">
        <f t="shared" si="1"/>
        <v>60.651</v>
      </c>
      <c r="G829" s="84"/>
      <c r="H829" s="84">
        <v>700.0</v>
      </c>
      <c r="I829" s="91">
        <v>0.1</v>
      </c>
      <c r="J829" s="85">
        <f t="shared" si="34"/>
        <v>87.9</v>
      </c>
      <c r="K829" s="85">
        <f t="shared" si="35"/>
        <v>75.77586207</v>
      </c>
      <c r="L829" s="84">
        <v>61.0</v>
      </c>
      <c r="M829" s="85">
        <f t="shared" si="4"/>
        <v>-30.551</v>
      </c>
      <c r="N829" s="93">
        <f t="shared" si="36"/>
        <v>-0.04364428571</v>
      </c>
      <c r="O829" s="93"/>
      <c r="P829" s="82"/>
    </row>
    <row r="830">
      <c r="A830" s="90" t="s">
        <v>4245</v>
      </c>
      <c r="B830" s="90" t="s">
        <v>4246</v>
      </c>
      <c r="C830" s="89"/>
      <c r="D830" s="84">
        <v>1650.0</v>
      </c>
      <c r="E830" s="83"/>
      <c r="F830" s="84">
        <f t="shared" si="1"/>
        <v>113.85</v>
      </c>
      <c r="G830" s="84"/>
      <c r="H830" s="84">
        <v>1214.8</v>
      </c>
      <c r="I830" s="91">
        <v>0.15</v>
      </c>
      <c r="J830" s="85">
        <f t="shared" si="34"/>
        <v>247.5</v>
      </c>
      <c r="K830" s="85">
        <f t="shared" si="35"/>
        <v>213.362069</v>
      </c>
      <c r="L830" s="84">
        <v>63.0</v>
      </c>
      <c r="M830" s="85">
        <f t="shared" si="4"/>
        <v>10.85</v>
      </c>
      <c r="N830" s="93">
        <f t="shared" si="36"/>
        <v>0.00893151136</v>
      </c>
      <c r="O830" s="93"/>
      <c r="P830" s="82"/>
    </row>
    <row r="831">
      <c r="A831" s="90" t="s">
        <v>4245</v>
      </c>
      <c r="B831" s="90" t="s">
        <v>4247</v>
      </c>
      <c r="C831" s="89"/>
      <c r="D831" s="84">
        <v>1699.0</v>
      </c>
      <c r="E831" s="83"/>
      <c r="F831" s="84">
        <f t="shared" si="1"/>
        <v>117.231</v>
      </c>
      <c r="G831" s="84"/>
      <c r="H831" s="84">
        <v>1214.8</v>
      </c>
      <c r="I831" s="91">
        <v>0.15</v>
      </c>
      <c r="J831" s="85">
        <f t="shared" si="34"/>
        <v>254.85</v>
      </c>
      <c r="K831" s="85">
        <f t="shared" si="35"/>
        <v>219.6982759</v>
      </c>
      <c r="L831" s="84">
        <v>63.0</v>
      </c>
      <c r="M831" s="85">
        <f t="shared" si="4"/>
        <v>49.119</v>
      </c>
      <c r="N831" s="93">
        <f t="shared" si="36"/>
        <v>0.04043381627</v>
      </c>
      <c r="O831" s="93"/>
      <c r="P831" s="82"/>
    </row>
    <row r="832">
      <c r="A832" s="90" t="s">
        <v>4245</v>
      </c>
      <c r="B832" s="90" t="s">
        <v>4248</v>
      </c>
      <c r="C832" s="89"/>
      <c r="D832" s="84">
        <v>1699.0</v>
      </c>
      <c r="E832" s="83"/>
      <c r="F832" s="84">
        <f t="shared" si="1"/>
        <v>117.231</v>
      </c>
      <c r="G832" s="84"/>
      <c r="H832" s="84">
        <v>1214.8</v>
      </c>
      <c r="I832" s="91">
        <v>0.15</v>
      </c>
      <c r="J832" s="85">
        <f t="shared" si="34"/>
        <v>254.85</v>
      </c>
      <c r="K832" s="85">
        <f t="shared" si="35"/>
        <v>219.6982759</v>
      </c>
      <c r="L832" s="84">
        <v>63.0</v>
      </c>
      <c r="M832" s="85">
        <f t="shared" si="4"/>
        <v>49.119</v>
      </c>
      <c r="N832" s="93">
        <f t="shared" si="36"/>
        <v>0.04043381627</v>
      </c>
      <c r="O832" s="93"/>
      <c r="P832" s="82"/>
    </row>
    <row r="833">
      <c r="A833" s="90" t="s">
        <v>4249</v>
      </c>
      <c r="B833" s="90" t="s">
        <v>4250</v>
      </c>
      <c r="C833" s="89"/>
      <c r="D833" s="84">
        <v>1599.0</v>
      </c>
      <c r="E833" s="83" t="s">
        <v>237</v>
      </c>
      <c r="F833" s="84">
        <f t="shared" si="1"/>
        <v>110.331</v>
      </c>
      <c r="G833" s="84"/>
      <c r="H833" s="84">
        <v>1142.64</v>
      </c>
      <c r="I833" s="91">
        <v>0.15</v>
      </c>
      <c r="J833" s="85">
        <f t="shared" si="34"/>
        <v>239.85</v>
      </c>
      <c r="K833" s="85">
        <f t="shared" si="35"/>
        <v>206.7672414</v>
      </c>
      <c r="L833" s="84">
        <v>103.0</v>
      </c>
      <c r="M833" s="85">
        <f t="shared" si="4"/>
        <v>3.179</v>
      </c>
      <c r="N833" s="93">
        <f t="shared" si="36"/>
        <v>0.002782153609</v>
      </c>
      <c r="O833" s="93"/>
      <c r="P833" s="82"/>
    </row>
    <row r="834">
      <c r="A834" s="90" t="s">
        <v>4251</v>
      </c>
      <c r="B834" s="90" t="s">
        <v>4252</v>
      </c>
      <c r="C834" s="89"/>
      <c r="D834" s="84">
        <v>3399.0</v>
      </c>
      <c r="E834" s="83"/>
      <c r="F834" s="84">
        <f t="shared" si="1"/>
        <v>234.531</v>
      </c>
      <c r="G834" s="84"/>
      <c r="H834" s="84">
        <v>2469.2</v>
      </c>
      <c r="I834" s="91">
        <v>0.15</v>
      </c>
      <c r="J834" s="85">
        <f t="shared" si="34"/>
        <v>509.85</v>
      </c>
      <c r="K834" s="85">
        <f t="shared" si="35"/>
        <v>439.5258621</v>
      </c>
      <c r="L834" s="84">
        <v>107.0</v>
      </c>
      <c r="M834" s="85">
        <f t="shared" si="4"/>
        <v>78.419</v>
      </c>
      <c r="N834" s="93">
        <f t="shared" si="36"/>
        <v>0.03175886927</v>
      </c>
      <c r="O834" s="93"/>
      <c r="P834" s="82"/>
    </row>
    <row r="835">
      <c r="A835" s="89"/>
      <c r="B835" s="90" t="s">
        <v>4253</v>
      </c>
      <c r="C835" s="89"/>
      <c r="D835" s="84">
        <v>5299.0</v>
      </c>
      <c r="E835" s="83"/>
      <c r="F835" s="84">
        <f t="shared" si="1"/>
        <v>365.631</v>
      </c>
      <c r="G835" s="84"/>
      <c r="H835" s="84">
        <v>4421.7</v>
      </c>
      <c r="I835" s="91">
        <v>0.15</v>
      </c>
      <c r="J835" s="85">
        <f t="shared" si="34"/>
        <v>794.85</v>
      </c>
      <c r="K835" s="85">
        <f t="shared" si="35"/>
        <v>685.2155172</v>
      </c>
      <c r="L835" s="84">
        <v>69.0</v>
      </c>
      <c r="M835" s="85">
        <f t="shared" si="4"/>
        <v>-352.181</v>
      </c>
      <c r="N835" s="93">
        <f t="shared" si="36"/>
        <v>-0.0796483253</v>
      </c>
      <c r="O835" s="93"/>
      <c r="P835" s="82"/>
    </row>
    <row r="836">
      <c r="A836" s="89"/>
      <c r="B836" s="90" t="s">
        <v>4254</v>
      </c>
      <c r="C836" s="89"/>
      <c r="D836" s="84">
        <v>4099.0</v>
      </c>
      <c r="E836" s="83"/>
      <c r="F836" s="84">
        <f t="shared" si="1"/>
        <v>282.831</v>
      </c>
      <c r="G836" s="84"/>
      <c r="H836" s="84">
        <v>3868.99</v>
      </c>
      <c r="I836" s="91">
        <v>0.15</v>
      </c>
      <c r="J836" s="85">
        <f t="shared" si="34"/>
        <v>614.85</v>
      </c>
      <c r="K836" s="85">
        <f t="shared" si="35"/>
        <v>530.0431034</v>
      </c>
      <c r="L836" s="84">
        <v>69.0</v>
      </c>
      <c r="M836" s="85">
        <f t="shared" si="4"/>
        <v>-736.671</v>
      </c>
      <c r="N836" s="93">
        <f t="shared" si="36"/>
        <v>-0.1904039556</v>
      </c>
      <c r="O836" s="93"/>
      <c r="P836" s="82"/>
    </row>
    <row r="837">
      <c r="A837" s="89"/>
      <c r="B837" s="90" t="s">
        <v>4255</v>
      </c>
      <c r="C837" s="89"/>
      <c r="D837" s="84">
        <v>5739.0</v>
      </c>
      <c r="E837" s="83"/>
      <c r="F837" s="84">
        <f t="shared" si="1"/>
        <v>395.991</v>
      </c>
      <c r="G837" s="84"/>
      <c r="H837" s="84">
        <v>4421.7</v>
      </c>
      <c r="I837" s="91">
        <v>0.15</v>
      </c>
      <c r="J837" s="85">
        <f t="shared" si="34"/>
        <v>860.85</v>
      </c>
      <c r="K837" s="85">
        <f t="shared" si="35"/>
        <v>742.112069</v>
      </c>
      <c r="L837" s="84">
        <v>82.0</v>
      </c>
      <c r="M837" s="85">
        <f t="shared" si="4"/>
        <v>-21.541</v>
      </c>
      <c r="N837" s="93">
        <f t="shared" si="36"/>
        <v>-0.004871655698</v>
      </c>
      <c r="O837" s="93"/>
      <c r="P837" s="82"/>
    </row>
    <row r="838">
      <c r="A838" s="89"/>
      <c r="B838" s="90" t="s">
        <v>4256</v>
      </c>
      <c r="C838" s="89"/>
      <c r="D838" s="84">
        <v>5959.0</v>
      </c>
      <c r="E838" s="83"/>
      <c r="F838" s="84">
        <f t="shared" si="1"/>
        <v>411.171</v>
      </c>
      <c r="G838" s="84"/>
      <c r="H838" s="84">
        <v>4620.0</v>
      </c>
      <c r="I838" s="91">
        <v>0.1</v>
      </c>
      <c r="J838" s="85">
        <f t="shared" si="34"/>
        <v>595.9</v>
      </c>
      <c r="K838" s="85">
        <f t="shared" si="35"/>
        <v>513.7068966</v>
      </c>
      <c r="L838" s="84">
        <v>220.0</v>
      </c>
      <c r="M838" s="85">
        <f t="shared" si="4"/>
        <v>111.929</v>
      </c>
      <c r="N838" s="93">
        <f t="shared" si="36"/>
        <v>0.02422705628</v>
      </c>
      <c r="O838" s="93"/>
      <c r="P838" s="82"/>
    </row>
    <row r="839">
      <c r="A839" s="89"/>
      <c r="B839" s="90" t="s">
        <v>4257</v>
      </c>
      <c r="C839" s="89"/>
      <c r="D839" s="84">
        <v>2499.0</v>
      </c>
      <c r="E839" s="83"/>
      <c r="F839" s="84">
        <f t="shared" si="1"/>
        <v>172.431</v>
      </c>
      <c r="G839" s="84"/>
      <c r="H839" s="84">
        <v>1950.0</v>
      </c>
      <c r="I839" s="91">
        <v>0.1</v>
      </c>
      <c r="J839" s="85">
        <f t="shared" si="34"/>
        <v>249.9</v>
      </c>
      <c r="K839" s="85">
        <f t="shared" si="35"/>
        <v>215.4310345</v>
      </c>
      <c r="L839" s="84">
        <v>75.0</v>
      </c>
      <c r="M839" s="85">
        <f t="shared" si="4"/>
        <v>51.669</v>
      </c>
      <c r="N839" s="93">
        <f t="shared" si="36"/>
        <v>0.02649692308</v>
      </c>
      <c r="O839" s="93"/>
      <c r="P839" s="82"/>
    </row>
    <row r="840">
      <c r="A840" s="89"/>
      <c r="B840" s="90" t="s">
        <v>4258</v>
      </c>
      <c r="C840" s="90" t="s">
        <v>4259</v>
      </c>
      <c r="D840" s="84">
        <v>4299.0</v>
      </c>
      <c r="E840" s="83"/>
      <c r="F840" s="84">
        <f t="shared" si="1"/>
        <v>296.631</v>
      </c>
      <c r="G840" s="84"/>
      <c r="H840" s="84">
        <v>3390.0</v>
      </c>
      <c r="I840" s="91">
        <v>0.1</v>
      </c>
      <c r="J840" s="85">
        <f t="shared" si="34"/>
        <v>429.9</v>
      </c>
      <c r="K840" s="85">
        <f t="shared" si="35"/>
        <v>370.6034483</v>
      </c>
      <c r="L840" s="84">
        <v>86.0</v>
      </c>
      <c r="M840" s="85">
        <f t="shared" si="4"/>
        <v>96.469</v>
      </c>
      <c r="N840" s="93">
        <f t="shared" si="36"/>
        <v>0.02845693215</v>
      </c>
      <c r="O840" s="93"/>
      <c r="P840" s="82"/>
    </row>
    <row r="841">
      <c r="A841" s="90" t="s">
        <v>4260</v>
      </c>
      <c r="B841" s="90" t="s">
        <v>4261</v>
      </c>
      <c r="C841" s="89"/>
      <c r="D841" s="84">
        <v>929.0</v>
      </c>
      <c r="E841" s="83"/>
      <c r="F841" s="84">
        <f t="shared" si="1"/>
        <v>64.101</v>
      </c>
      <c r="G841" s="84"/>
      <c r="H841" s="84">
        <v>640.0</v>
      </c>
      <c r="I841" s="91">
        <v>0.1</v>
      </c>
      <c r="J841" s="85">
        <f t="shared" si="34"/>
        <v>92.9</v>
      </c>
      <c r="K841" s="85">
        <f t="shared" si="35"/>
        <v>80.0862069</v>
      </c>
      <c r="L841" s="84">
        <v>70.0</v>
      </c>
      <c r="M841" s="85">
        <f t="shared" si="4"/>
        <v>61.999</v>
      </c>
      <c r="N841" s="93">
        <f t="shared" si="36"/>
        <v>0.0968734375</v>
      </c>
      <c r="O841" s="93"/>
      <c r="P841" s="82"/>
    </row>
    <row r="842">
      <c r="A842" s="90" t="s">
        <v>4262</v>
      </c>
      <c r="B842" s="90" t="s">
        <v>4263</v>
      </c>
      <c r="C842" s="89"/>
      <c r="D842" s="84">
        <v>4999.0</v>
      </c>
      <c r="E842" s="83" t="s">
        <v>237</v>
      </c>
      <c r="F842" s="84">
        <f t="shared" si="1"/>
        <v>344.931</v>
      </c>
      <c r="G842" s="84"/>
      <c r="H842" s="84">
        <v>3441.95</v>
      </c>
      <c r="I842" s="91">
        <v>0.15</v>
      </c>
      <c r="J842" s="85">
        <f t="shared" si="34"/>
        <v>749.85</v>
      </c>
      <c r="K842" s="85">
        <f t="shared" si="35"/>
        <v>646.4224138</v>
      </c>
      <c r="L842" s="84">
        <v>128.0</v>
      </c>
      <c r="M842" s="85">
        <f t="shared" si="4"/>
        <v>334.269</v>
      </c>
      <c r="N842" s="93">
        <f t="shared" si="36"/>
        <v>0.09711616961</v>
      </c>
      <c r="O842" s="93"/>
      <c r="P842" s="82"/>
    </row>
    <row r="843">
      <c r="A843" s="90" t="s">
        <v>4264</v>
      </c>
      <c r="B843" s="90" t="s">
        <v>4265</v>
      </c>
      <c r="C843" s="90" t="s">
        <v>4266</v>
      </c>
      <c r="D843" s="84">
        <v>4699.0</v>
      </c>
      <c r="E843" s="83" t="s">
        <v>237</v>
      </c>
      <c r="F843" s="84">
        <f t="shared" si="1"/>
        <v>324.231</v>
      </c>
      <c r="G843" s="84"/>
      <c r="H843" s="84">
        <v>3335.34</v>
      </c>
      <c r="I843" s="91">
        <v>0.15</v>
      </c>
      <c r="J843" s="85">
        <f t="shared" si="34"/>
        <v>704.85</v>
      </c>
      <c r="K843" s="85">
        <f t="shared" si="35"/>
        <v>607.6293103</v>
      </c>
      <c r="L843" s="84">
        <v>83.0</v>
      </c>
      <c r="M843" s="85">
        <f t="shared" si="4"/>
        <v>251.579</v>
      </c>
      <c r="N843" s="93">
        <f t="shared" si="36"/>
        <v>0.07542829217</v>
      </c>
      <c r="O843" s="93"/>
      <c r="P843" s="82"/>
    </row>
    <row r="844">
      <c r="A844" s="90" t="s">
        <v>4267</v>
      </c>
      <c r="B844" s="90" t="s">
        <v>4268</v>
      </c>
      <c r="C844" s="89"/>
      <c r="D844" s="84">
        <v>3699.0</v>
      </c>
      <c r="E844" s="83"/>
      <c r="F844" s="84">
        <f t="shared" si="1"/>
        <v>255.231</v>
      </c>
      <c r="G844" s="84"/>
      <c r="H844" s="84">
        <v>2591.35</v>
      </c>
      <c r="I844" s="91">
        <v>0.15</v>
      </c>
      <c r="J844" s="85">
        <f t="shared" si="34"/>
        <v>554.85</v>
      </c>
      <c r="K844" s="85">
        <f t="shared" si="35"/>
        <v>478.3189655</v>
      </c>
      <c r="L844" s="84">
        <v>132.0</v>
      </c>
      <c r="M844" s="85">
        <f t="shared" si="4"/>
        <v>165.569</v>
      </c>
      <c r="N844" s="93">
        <f t="shared" si="36"/>
        <v>0.06389295155</v>
      </c>
      <c r="O844" s="93"/>
      <c r="P844" s="82"/>
    </row>
    <row r="845">
      <c r="A845" s="90" t="s">
        <v>4269</v>
      </c>
      <c r="B845" s="90" t="s">
        <v>4270</v>
      </c>
      <c r="C845" s="89"/>
      <c r="D845" s="84">
        <v>1899.0</v>
      </c>
      <c r="E845" s="83"/>
      <c r="F845" s="84">
        <f t="shared" si="1"/>
        <v>131.031</v>
      </c>
      <c r="G845" s="84"/>
      <c r="H845" s="84">
        <v>1300.0</v>
      </c>
      <c r="I845" s="91">
        <v>0.15</v>
      </c>
      <c r="J845" s="85">
        <f t="shared" si="34"/>
        <v>284.85</v>
      </c>
      <c r="K845" s="85">
        <f t="shared" si="35"/>
        <v>245.5603448</v>
      </c>
      <c r="L845" s="84">
        <v>132.0</v>
      </c>
      <c r="M845" s="85">
        <f t="shared" si="4"/>
        <v>51.119</v>
      </c>
      <c r="N845" s="93">
        <f t="shared" si="36"/>
        <v>0.03932230769</v>
      </c>
      <c r="O845" s="93"/>
      <c r="P845" s="82"/>
    </row>
    <row r="846">
      <c r="A846" s="89"/>
      <c r="B846" s="90" t="s">
        <v>4271</v>
      </c>
      <c r="C846" s="89"/>
      <c r="D846" s="84">
        <v>999.0</v>
      </c>
      <c r="E846" s="83"/>
      <c r="F846" s="84">
        <f t="shared" si="1"/>
        <v>68.931</v>
      </c>
      <c r="G846" s="84"/>
      <c r="H846" s="84">
        <v>700.0</v>
      </c>
      <c r="I846" s="91">
        <v>0.15</v>
      </c>
      <c r="J846" s="85">
        <f t="shared" si="34"/>
        <v>149.85</v>
      </c>
      <c r="K846" s="85">
        <f t="shared" si="35"/>
        <v>129.1810345</v>
      </c>
      <c r="L846" s="84">
        <v>71.0</v>
      </c>
      <c r="M846" s="85">
        <f t="shared" si="4"/>
        <v>9.219</v>
      </c>
      <c r="N846" s="93">
        <f t="shared" si="36"/>
        <v>0.01317</v>
      </c>
      <c r="O846" s="93"/>
      <c r="P846" s="82"/>
    </row>
    <row r="847">
      <c r="A847" s="89"/>
      <c r="B847" s="90" t="s">
        <v>4272</v>
      </c>
      <c r="C847" s="89"/>
      <c r="D847" s="87"/>
      <c r="E847" s="83"/>
      <c r="F847" s="84">
        <f t="shared" si="1"/>
        <v>0</v>
      </c>
      <c r="G847" s="84"/>
      <c r="H847" s="84">
        <v>1270.2</v>
      </c>
      <c r="I847" s="93"/>
      <c r="J847" s="87"/>
      <c r="K847" s="87"/>
      <c r="L847" s="87"/>
      <c r="M847" s="85">
        <f t="shared" si="4"/>
        <v>-1270.2</v>
      </c>
      <c r="N847" s="93"/>
      <c r="O847" s="93"/>
      <c r="P847" s="82"/>
    </row>
    <row r="848">
      <c r="A848" s="89"/>
      <c r="B848" s="90" t="s">
        <v>4273</v>
      </c>
      <c r="C848" s="89"/>
      <c r="D848" s="84">
        <v>649.0</v>
      </c>
      <c r="E848" s="83"/>
      <c r="F848" s="84">
        <f t="shared" si="1"/>
        <v>44.781</v>
      </c>
      <c r="G848" s="84"/>
      <c r="H848" s="84">
        <v>436.61</v>
      </c>
      <c r="I848" s="91">
        <v>0.15</v>
      </c>
      <c r="J848" s="85">
        <f t="shared" ref="J848:J850" si="37">I848*D848</f>
        <v>97.35</v>
      </c>
      <c r="K848" s="85">
        <f t="shared" ref="K848:K850" si="38">J848/1.16</f>
        <v>83.92241379</v>
      </c>
      <c r="L848" s="84">
        <v>63.0</v>
      </c>
      <c r="M848" s="85">
        <f t="shared" si="4"/>
        <v>7.259</v>
      </c>
      <c r="N848" s="93">
        <f t="shared" ref="N848:N850" si="39">M848/H848</f>
        <v>0.01662582167</v>
      </c>
      <c r="O848" s="93"/>
      <c r="P848" s="82"/>
    </row>
    <row r="849">
      <c r="A849" s="89"/>
      <c r="B849" s="90" t="s">
        <v>4274</v>
      </c>
      <c r="C849" s="89"/>
      <c r="D849" s="84">
        <v>399.0</v>
      </c>
      <c r="E849" s="83"/>
      <c r="F849" s="84">
        <f t="shared" si="1"/>
        <v>27.531</v>
      </c>
      <c r="G849" s="84"/>
      <c r="H849" s="84">
        <v>250.0</v>
      </c>
      <c r="I849" s="91">
        <v>0.15</v>
      </c>
      <c r="J849" s="85">
        <f t="shared" si="37"/>
        <v>59.85</v>
      </c>
      <c r="K849" s="85">
        <f t="shared" si="38"/>
        <v>51.59482759</v>
      </c>
      <c r="L849" s="84">
        <v>63.0</v>
      </c>
      <c r="M849" s="85">
        <f t="shared" si="4"/>
        <v>-1.381</v>
      </c>
      <c r="N849" s="93">
        <f t="shared" si="39"/>
        <v>-0.005524</v>
      </c>
      <c r="O849" s="93"/>
      <c r="P849" s="82"/>
    </row>
    <row r="850">
      <c r="A850" s="89"/>
      <c r="B850" s="90" t="s">
        <v>4275</v>
      </c>
      <c r="C850" s="90" t="s">
        <v>4276</v>
      </c>
      <c r="D850" s="84">
        <v>499.0</v>
      </c>
      <c r="E850" s="83" t="s">
        <v>237</v>
      </c>
      <c r="F850" s="84">
        <f t="shared" si="1"/>
        <v>34.431</v>
      </c>
      <c r="G850" s="84"/>
      <c r="H850" s="84">
        <v>260.0</v>
      </c>
      <c r="I850" s="91">
        <v>0.15</v>
      </c>
      <c r="J850" s="85">
        <f t="shared" si="37"/>
        <v>74.85</v>
      </c>
      <c r="K850" s="85">
        <f t="shared" si="38"/>
        <v>64.52586207</v>
      </c>
      <c r="L850" s="84">
        <v>63.0</v>
      </c>
      <c r="M850" s="85">
        <f t="shared" si="4"/>
        <v>66.719</v>
      </c>
      <c r="N850" s="93">
        <f t="shared" si="39"/>
        <v>0.2566115385</v>
      </c>
      <c r="O850" s="93"/>
      <c r="P850" s="82"/>
    </row>
    <row r="851">
      <c r="A851" s="89"/>
      <c r="B851" s="90" t="s">
        <v>4277</v>
      </c>
      <c r="C851" s="89"/>
      <c r="D851" s="87"/>
      <c r="E851" s="83"/>
      <c r="F851" s="84">
        <f t="shared" si="1"/>
        <v>0</v>
      </c>
      <c r="G851" s="84"/>
      <c r="H851" s="84">
        <v>2999.0</v>
      </c>
      <c r="I851" s="93"/>
      <c r="J851" s="87"/>
      <c r="K851" s="87"/>
      <c r="L851" s="87"/>
      <c r="M851" s="85">
        <f t="shared" si="4"/>
        <v>-2999</v>
      </c>
      <c r="N851" s="93"/>
      <c r="O851" s="93"/>
      <c r="P851" s="82"/>
    </row>
    <row r="852">
      <c r="A852" s="89"/>
      <c r="B852" s="90" t="s">
        <v>4278</v>
      </c>
      <c r="C852" s="89"/>
      <c r="D852" s="87"/>
      <c r="E852" s="83"/>
      <c r="F852" s="84">
        <f t="shared" si="1"/>
        <v>0</v>
      </c>
      <c r="G852" s="84"/>
      <c r="H852" s="84">
        <v>2999.0</v>
      </c>
      <c r="I852" s="93"/>
      <c r="J852" s="87"/>
      <c r="K852" s="87"/>
      <c r="L852" s="87"/>
      <c r="M852" s="85">
        <f t="shared" si="4"/>
        <v>-2999</v>
      </c>
      <c r="N852" s="93"/>
      <c r="O852" s="93"/>
      <c r="P852" s="82"/>
    </row>
    <row r="853">
      <c r="A853" s="89"/>
      <c r="B853" s="90" t="s">
        <v>4279</v>
      </c>
      <c r="C853" s="90" t="s">
        <v>4280</v>
      </c>
      <c r="D853" s="84">
        <v>1149.0</v>
      </c>
      <c r="E853" s="83"/>
      <c r="F853" s="84">
        <f t="shared" si="1"/>
        <v>79.281</v>
      </c>
      <c r="G853" s="84"/>
      <c r="H853" s="84">
        <v>850.0</v>
      </c>
      <c r="I853" s="91">
        <v>0.1</v>
      </c>
      <c r="J853" s="85">
        <f t="shared" ref="J853:J863" si="40">I853*D853</f>
        <v>114.9</v>
      </c>
      <c r="K853" s="85">
        <f t="shared" ref="K853:K863" si="41">J853/1.16</f>
        <v>99.05172414</v>
      </c>
      <c r="L853" s="84">
        <v>75.0</v>
      </c>
      <c r="M853" s="85">
        <f t="shared" si="4"/>
        <v>29.819</v>
      </c>
      <c r="N853" s="93">
        <f t="shared" ref="N853:N942" si="42">M853/H853</f>
        <v>0.03508117647</v>
      </c>
      <c r="O853" s="93"/>
      <c r="P853" s="82"/>
    </row>
    <row r="854">
      <c r="A854" s="89"/>
      <c r="B854" s="90" t="s">
        <v>4281</v>
      </c>
      <c r="C854" s="89"/>
      <c r="D854" s="84">
        <v>699.0</v>
      </c>
      <c r="E854" s="83" t="s">
        <v>237</v>
      </c>
      <c r="F854" s="84">
        <f t="shared" si="1"/>
        <v>48.231</v>
      </c>
      <c r="G854" s="84"/>
      <c r="H854" s="84">
        <v>437.31</v>
      </c>
      <c r="I854" s="91">
        <v>0.1</v>
      </c>
      <c r="J854" s="85">
        <f t="shared" si="40"/>
        <v>69.9</v>
      </c>
      <c r="K854" s="85">
        <f t="shared" si="41"/>
        <v>60.25862069</v>
      </c>
      <c r="L854" s="84">
        <v>63.0</v>
      </c>
      <c r="M854" s="85">
        <f t="shared" si="4"/>
        <v>80.559</v>
      </c>
      <c r="N854" s="93">
        <f t="shared" si="42"/>
        <v>0.184214859</v>
      </c>
      <c r="O854" s="93"/>
      <c r="P854" s="82"/>
    </row>
    <row r="855">
      <c r="A855" s="89"/>
      <c r="B855" s="90" t="s">
        <v>4282</v>
      </c>
      <c r="C855" s="90" t="s">
        <v>4283</v>
      </c>
      <c r="D855" s="84">
        <v>679.0</v>
      </c>
      <c r="E855" s="83" t="s">
        <v>237</v>
      </c>
      <c r="F855" s="84">
        <f t="shared" si="1"/>
        <v>46.851</v>
      </c>
      <c r="G855" s="84"/>
      <c r="H855" s="84">
        <v>427.71</v>
      </c>
      <c r="I855" s="91">
        <v>0.15</v>
      </c>
      <c r="J855" s="85">
        <f t="shared" si="40"/>
        <v>101.85</v>
      </c>
      <c r="K855" s="85">
        <f t="shared" si="41"/>
        <v>87.80172414</v>
      </c>
      <c r="L855" s="84">
        <v>63.0</v>
      </c>
      <c r="M855" s="85">
        <f t="shared" si="4"/>
        <v>39.589</v>
      </c>
      <c r="N855" s="93">
        <f t="shared" si="42"/>
        <v>0.0925603797</v>
      </c>
      <c r="O855" s="93"/>
      <c r="P855" s="82"/>
    </row>
    <row r="856">
      <c r="A856" s="89"/>
      <c r="B856" s="90" t="s">
        <v>4284</v>
      </c>
      <c r="C856" s="90" t="s">
        <v>4285</v>
      </c>
      <c r="D856" s="84">
        <v>512.0</v>
      </c>
      <c r="E856" s="83"/>
      <c r="F856" s="84">
        <f t="shared" si="1"/>
        <v>35.328</v>
      </c>
      <c r="G856" s="84"/>
      <c r="H856" s="84">
        <v>340.91</v>
      </c>
      <c r="I856" s="91">
        <v>0.15</v>
      </c>
      <c r="J856" s="85">
        <f t="shared" si="40"/>
        <v>76.8</v>
      </c>
      <c r="K856" s="85">
        <f t="shared" si="41"/>
        <v>66.20689655</v>
      </c>
      <c r="L856" s="84">
        <v>62.0</v>
      </c>
      <c r="M856" s="85">
        <f t="shared" si="4"/>
        <v>-3.038</v>
      </c>
      <c r="N856" s="93">
        <f t="shared" si="42"/>
        <v>-0.008911442903</v>
      </c>
      <c r="O856" s="93"/>
      <c r="P856" s="82"/>
    </row>
    <row r="857">
      <c r="A857" s="89"/>
      <c r="B857" s="90" t="s">
        <v>4286</v>
      </c>
      <c r="C857" s="90" t="s">
        <v>4287</v>
      </c>
      <c r="D857" s="84">
        <v>2499.0</v>
      </c>
      <c r="E857" s="83"/>
      <c r="F857" s="84">
        <f t="shared" si="1"/>
        <v>172.431</v>
      </c>
      <c r="G857" s="84"/>
      <c r="H857" s="84">
        <v>1825.23</v>
      </c>
      <c r="I857" s="91">
        <v>0.15</v>
      </c>
      <c r="J857" s="85">
        <f t="shared" si="40"/>
        <v>374.85</v>
      </c>
      <c r="K857" s="85">
        <f t="shared" si="41"/>
        <v>323.1465517</v>
      </c>
      <c r="L857" s="84">
        <v>72.0</v>
      </c>
      <c r="M857" s="85">
        <f t="shared" si="4"/>
        <v>54.489</v>
      </c>
      <c r="N857" s="93">
        <f t="shared" si="42"/>
        <v>0.02985322398</v>
      </c>
      <c r="O857" s="93"/>
      <c r="P857" s="82"/>
    </row>
    <row r="858">
      <c r="A858" s="89"/>
      <c r="B858" s="90" t="s">
        <v>4288</v>
      </c>
      <c r="C858" s="89"/>
      <c r="D858" s="84">
        <v>869.0</v>
      </c>
      <c r="E858" s="83"/>
      <c r="F858" s="84">
        <f t="shared" si="1"/>
        <v>59.961</v>
      </c>
      <c r="G858" s="84"/>
      <c r="H858" s="84">
        <v>618.96</v>
      </c>
      <c r="I858" s="91">
        <v>0.15</v>
      </c>
      <c r="J858" s="85">
        <f t="shared" si="40"/>
        <v>130.35</v>
      </c>
      <c r="K858" s="85">
        <f t="shared" si="41"/>
        <v>112.3706897</v>
      </c>
      <c r="L858" s="84">
        <v>64.0</v>
      </c>
      <c r="M858" s="85">
        <f t="shared" si="4"/>
        <v>-4.271</v>
      </c>
      <c r="N858" s="93">
        <f t="shared" si="42"/>
        <v>-0.006900284348</v>
      </c>
      <c r="O858" s="93"/>
      <c r="P858" s="82"/>
    </row>
    <row r="859">
      <c r="A859" s="89"/>
      <c r="B859" s="90" t="s">
        <v>4289</v>
      </c>
      <c r="C859" s="89"/>
      <c r="D859" s="84">
        <v>819.0</v>
      </c>
      <c r="E859" s="83"/>
      <c r="F859" s="84">
        <f t="shared" si="1"/>
        <v>56.511</v>
      </c>
      <c r="G859" s="84"/>
      <c r="H859" s="84">
        <v>545.53</v>
      </c>
      <c r="I859" s="91">
        <v>0.15</v>
      </c>
      <c r="J859" s="85">
        <f t="shared" si="40"/>
        <v>122.85</v>
      </c>
      <c r="K859" s="85">
        <f t="shared" si="41"/>
        <v>105.9051724</v>
      </c>
      <c r="L859" s="84">
        <v>64.0</v>
      </c>
      <c r="M859" s="85">
        <f t="shared" si="4"/>
        <v>30.109</v>
      </c>
      <c r="N859" s="93">
        <f t="shared" si="42"/>
        <v>0.05519219841</v>
      </c>
      <c r="O859" s="93"/>
      <c r="P859" s="82"/>
    </row>
    <row r="860">
      <c r="A860" s="90" t="s">
        <v>4290</v>
      </c>
      <c r="B860" s="90" t="s">
        <v>4291</v>
      </c>
      <c r="C860" s="89"/>
      <c r="D860" s="84">
        <v>1549.0</v>
      </c>
      <c r="E860" s="83" t="s">
        <v>237</v>
      </c>
      <c r="F860" s="84">
        <f t="shared" si="1"/>
        <v>106.881</v>
      </c>
      <c r="G860" s="84"/>
      <c r="H860" s="84">
        <v>1021.52</v>
      </c>
      <c r="I860" s="91">
        <v>0.15</v>
      </c>
      <c r="J860" s="85">
        <f t="shared" si="40"/>
        <v>232.35</v>
      </c>
      <c r="K860" s="85">
        <f t="shared" si="41"/>
        <v>200.3017241</v>
      </c>
      <c r="L860" s="84">
        <v>62.0</v>
      </c>
      <c r="M860" s="85">
        <f t="shared" si="4"/>
        <v>126.249</v>
      </c>
      <c r="N860" s="93">
        <f t="shared" si="42"/>
        <v>0.123589357</v>
      </c>
      <c r="O860" s="93"/>
      <c r="P860" s="82"/>
    </row>
    <row r="861">
      <c r="A861" s="89"/>
      <c r="B861" s="90" t="s">
        <v>4292</v>
      </c>
      <c r="C861" s="89"/>
      <c r="D861" s="84">
        <v>1849.0</v>
      </c>
      <c r="E861" s="83"/>
      <c r="F861" s="84">
        <f t="shared" si="1"/>
        <v>127.581</v>
      </c>
      <c r="G861" s="84"/>
      <c r="H861" s="84">
        <v>1317.72</v>
      </c>
      <c r="I861" s="91">
        <v>0.15</v>
      </c>
      <c r="J861" s="85">
        <f t="shared" si="40"/>
        <v>277.35</v>
      </c>
      <c r="K861" s="85">
        <f t="shared" si="41"/>
        <v>239.0948276</v>
      </c>
      <c r="L861" s="84">
        <v>98.0</v>
      </c>
      <c r="M861" s="85">
        <f t="shared" si="4"/>
        <v>28.349</v>
      </c>
      <c r="N861" s="93">
        <f t="shared" si="42"/>
        <v>0.02151367514</v>
      </c>
      <c r="O861" s="93"/>
      <c r="P861" s="82"/>
    </row>
    <row r="862">
      <c r="A862" s="89"/>
      <c r="B862" s="90" t="s">
        <v>4293</v>
      </c>
      <c r="C862" s="89"/>
      <c r="D862" s="84">
        <v>399.0</v>
      </c>
      <c r="E862" s="83"/>
      <c r="F862" s="84">
        <f t="shared" si="1"/>
        <v>27.531</v>
      </c>
      <c r="G862" s="84"/>
      <c r="H862" s="84">
        <v>250.0</v>
      </c>
      <c r="I862" s="91">
        <v>0.15</v>
      </c>
      <c r="J862" s="85">
        <f t="shared" si="40"/>
        <v>59.85</v>
      </c>
      <c r="K862" s="85">
        <f t="shared" si="41"/>
        <v>51.59482759</v>
      </c>
      <c r="L862" s="84">
        <v>63.0</v>
      </c>
      <c r="M862" s="85">
        <f t="shared" si="4"/>
        <v>-1.381</v>
      </c>
      <c r="N862" s="93">
        <f t="shared" si="42"/>
        <v>-0.005524</v>
      </c>
      <c r="O862" s="93"/>
      <c r="P862" s="82"/>
    </row>
    <row r="863">
      <c r="A863" s="89"/>
      <c r="B863" s="90" t="s">
        <v>4294</v>
      </c>
      <c r="C863" s="89"/>
      <c r="D863" s="84"/>
      <c r="E863" s="83"/>
      <c r="F863" s="84">
        <f t="shared" si="1"/>
        <v>0</v>
      </c>
      <c r="G863" s="84"/>
      <c r="H863" s="84">
        <v>250.0</v>
      </c>
      <c r="I863" s="91">
        <v>0.15</v>
      </c>
      <c r="J863" s="85">
        <f t="shared" si="40"/>
        <v>0</v>
      </c>
      <c r="K863" s="85">
        <f t="shared" si="41"/>
        <v>0</v>
      </c>
      <c r="L863" s="84">
        <v>63.0</v>
      </c>
      <c r="M863" s="85">
        <f t="shared" si="4"/>
        <v>-313</v>
      </c>
      <c r="N863" s="93">
        <f t="shared" si="42"/>
        <v>-1.252</v>
      </c>
      <c r="O863" s="93"/>
      <c r="P863" s="82"/>
    </row>
    <row r="864">
      <c r="A864" s="90" t="s">
        <v>4295</v>
      </c>
      <c r="B864" s="90" t="s">
        <v>4296</v>
      </c>
      <c r="C864" s="89"/>
      <c r="D864" s="84"/>
      <c r="E864" s="83"/>
      <c r="F864" s="84">
        <f t="shared" si="1"/>
        <v>0</v>
      </c>
      <c r="G864" s="84"/>
      <c r="H864" s="84">
        <v>250.0</v>
      </c>
      <c r="I864" s="91"/>
      <c r="J864" s="85"/>
      <c r="K864" s="85"/>
      <c r="L864" s="84"/>
      <c r="M864" s="85">
        <f t="shared" si="4"/>
        <v>-250</v>
      </c>
      <c r="N864" s="93">
        <f t="shared" si="42"/>
        <v>-1</v>
      </c>
      <c r="O864" s="93"/>
      <c r="P864" s="82"/>
    </row>
    <row r="865">
      <c r="A865" s="89"/>
      <c r="B865" s="90" t="s">
        <v>4297</v>
      </c>
      <c r="C865" s="89"/>
      <c r="D865" s="84">
        <v>1159.0</v>
      </c>
      <c r="E865" s="83"/>
      <c r="F865" s="84">
        <f t="shared" si="1"/>
        <v>79.971</v>
      </c>
      <c r="G865" s="84"/>
      <c r="H865" s="84">
        <v>845.29</v>
      </c>
      <c r="I865" s="91">
        <v>0.15</v>
      </c>
      <c r="J865" s="85">
        <f t="shared" ref="J865:J942" si="43">I865*D865</f>
        <v>173.85</v>
      </c>
      <c r="K865" s="85">
        <f t="shared" ref="K865:K942" si="44">J865/1.16</f>
        <v>149.8706897</v>
      </c>
      <c r="L865" s="84">
        <v>63.0</v>
      </c>
      <c r="M865" s="85">
        <f t="shared" si="4"/>
        <v>-3.111</v>
      </c>
      <c r="N865" s="93">
        <f t="shared" si="42"/>
        <v>-0.003680393711</v>
      </c>
      <c r="O865" s="93"/>
      <c r="P865" s="82"/>
    </row>
    <row r="866">
      <c r="A866" s="90" t="s">
        <v>4298</v>
      </c>
      <c r="B866" s="90" t="s">
        <v>4299</v>
      </c>
      <c r="C866" s="89"/>
      <c r="D866" s="84">
        <v>899.0</v>
      </c>
      <c r="E866" s="83" t="s">
        <v>237</v>
      </c>
      <c r="F866" s="84">
        <f t="shared" si="1"/>
        <v>62.031</v>
      </c>
      <c r="G866" s="84"/>
      <c r="H866" s="84">
        <v>555.6</v>
      </c>
      <c r="I866" s="91">
        <v>0.15</v>
      </c>
      <c r="J866" s="85">
        <f t="shared" si="43"/>
        <v>134.85</v>
      </c>
      <c r="K866" s="85">
        <f t="shared" si="44"/>
        <v>116.25</v>
      </c>
      <c r="L866" s="84">
        <v>62.0</v>
      </c>
      <c r="M866" s="85">
        <f t="shared" si="4"/>
        <v>84.519</v>
      </c>
      <c r="N866" s="93">
        <f t="shared" si="42"/>
        <v>0.1521220302</v>
      </c>
      <c r="O866" s="93"/>
      <c r="P866" s="82"/>
    </row>
    <row r="867">
      <c r="A867" s="89"/>
      <c r="B867" s="90" t="s">
        <v>4300</v>
      </c>
      <c r="C867" s="89"/>
      <c r="D867" s="84">
        <v>939.0</v>
      </c>
      <c r="E867" s="83" t="s">
        <v>237</v>
      </c>
      <c r="F867" s="84">
        <f t="shared" si="1"/>
        <v>64.791</v>
      </c>
      <c r="G867" s="84"/>
      <c r="H867" s="84">
        <v>582.92</v>
      </c>
      <c r="I867" s="91">
        <v>0.15</v>
      </c>
      <c r="J867" s="85">
        <f t="shared" si="43"/>
        <v>140.85</v>
      </c>
      <c r="K867" s="85">
        <f t="shared" si="44"/>
        <v>121.4224138</v>
      </c>
      <c r="L867" s="84">
        <v>63.0</v>
      </c>
      <c r="M867" s="85">
        <f t="shared" si="4"/>
        <v>87.439</v>
      </c>
      <c r="N867" s="93">
        <f t="shared" si="42"/>
        <v>0.1500017155</v>
      </c>
      <c r="O867" s="93"/>
      <c r="P867" s="82"/>
    </row>
    <row r="868">
      <c r="A868" s="90" t="s">
        <v>4301</v>
      </c>
      <c r="B868" s="90" t="s">
        <v>4302</v>
      </c>
      <c r="C868" s="89"/>
      <c r="D868" s="84">
        <v>949.0</v>
      </c>
      <c r="E868" s="83" t="s">
        <v>237</v>
      </c>
      <c r="F868" s="84">
        <f t="shared" si="1"/>
        <v>65.481</v>
      </c>
      <c r="G868" s="84"/>
      <c r="H868" s="84">
        <v>582.92</v>
      </c>
      <c r="I868" s="91">
        <v>0.15</v>
      </c>
      <c r="J868" s="85">
        <f t="shared" si="43"/>
        <v>142.35</v>
      </c>
      <c r="K868" s="85">
        <f t="shared" si="44"/>
        <v>122.7155172</v>
      </c>
      <c r="L868" s="84">
        <v>63.0</v>
      </c>
      <c r="M868" s="85">
        <f t="shared" si="4"/>
        <v>95.249</v>
      </c>
      <c r="N868" s="93">
        <f t="shared" si="42"/>
        <v>0.1633997804</v>
      </c>
      <c r="O868" s="93"/>
      <c r="P868" s="82"/>
    </row>
    <row r="869">
      <c r="A869" s="90" t="s">
        <v>4303</v>
      </c>
      <c r="B869" s="90" t="s">
        <v>4304</v>
      </c>
      <c r="C869" s="89"/>
      <c r="D869" s="100">
        <v>1619.0</v>
      </c>
      <c r="E869" s="83" t="s">
        <v>237</v>
      </c>
      <c r="F869" s="84">
        <f t="shared" si="1"/>
        <v>111.711</v>
      </c>
      <c r="G869" s="84"/>
      <c r="H869" s="84">
        <v>896.34</v>
      </c>
      <c r="I869" s="91">
        <v>0.15</v>
      </c>
      <c r="J869" s="85">
        <f t="shared" si="43"/>
        <v>242.85</v>
      </c>
      <c r="K869" s="85">
        <f t="shared" si="44"/>
        <v>209.3534483</v>
      </c>
      <c r="L869" s="84">
        <v>97.0</v>
      </c>
      <c r="M869" s="85">
        <f t="shared" si="4"/>
        <v>271.099</v>
      </c>
      <c r="N869" s="93">
        <f t="shared" si="42"/>
        <v>0.3024510788</v>
      </c>
      <c r="O869" s="93"/>
      <c r="P869" s="82"/>
    </row>
    <row r="870">
      <c r="A870" s="90" t="s">
        <v>4305</v>
      </c>
      <c r="B870" s="90" t="s">
        <v>4306</v>
      </c>
      <c r="C870" s="89"/>
      <c r="D870" s="84">
        <v>448.0</v>
      </c>
      <c r="E870" s="83" t="s">
        <v>237</v>
      </c>
      <c r="F870" s="84">
        <f t="shared" si="1"/>
        <v>30.912</v>
      </c>
      <c r="G870" s="84"/>
      <c r="H870" s="84">
        <v>206.47</v>
      </c>
      <c r="I870" s="91">
        <v>0.15</v>
      </c>
      <c r="J870" s="85">
        <f t="shared" si="43"/>
        <v>67.2</v>
      </c>
      <c r="K870" s="85">
        <f t="shared" si="44"/>
        <v>57.93103448</v>
      </c>
      <c r="L870" s="84">
        <v>77.0</v>
      </c>
      <c r="M870" s="85">
        <f t="shared" si="4"/>
        <v>66.418</v>
      </c>
      <c r="N870" s="93">
        <f t="shared" si="42"/>
        <v>0.3216835376</v>
      </c>
      <c r="O870" s="93"/>
      <c r="P870" s="82"/>
    </row>
    <row r="871">
      <c r="A871" s="90" t="s">
        <v>4307</v>
      </c>
      <c r="B871" s="90" t="s">
        <v>4308</v>
      </c>
      <c r="C871" s="89"/>
      <c r="D871" s="84">
        <v>2799.0</v>
      </c>
      <c r="E871" s="83" t="s">
        <v>237</v>
      </c>
      <c r="F871" s="84">
        <f t="shared" si="1"/>
        <v>193.131</v>
      </c>
      <c r="G871" s="84"/>
      <c r="H871" s="84">
        <v>1820.0</v>
      </c>
      <c r="I871" s="91">
        <v>0.15</v>
      </c>
      <c r="J871" s="85">
        <f t="shared" si="43"/>
        <v>419.85</v>
      </c>
      <c r="K871" s="85">
        <f t="shared" si="44"/>
        <v>361.9396552</v>
      </c>
      <c r="L871" s="84">
        <v>114.0</v>
      </c>
      <c r="M871" s="85">
        <f t="shared" si="4"/>
        <v>252.019</v>
      </c>
      <c r="N871" s="93">
        <f t="shared" si="42"/>
        <v>0.138471978</v>
      </c>
      <c r="O871" s="93"/>
      <c r="P871" s="82"/>
    </row>
    <row r="872">
      <c r="A872" s="90" t="s">
        <v>4309</v>
      </c>
      <c r="B872" s="90" t="s">
        <v>4310</v>
      </c>
      <c r="C872" s="89"/>
      <c r="D872" s="84">
        <v>1849.0</v>
      </c>
      <c r="E872" s="83" t="s">
        <v>237</v>
      </c>
      <c r="F872" s="84">
        <f t="shared" si="1"/>
        <v>127.581</v>
      </c>
      <c r="G872" s="84"/>
      <c r="H872" s="84">
        <v>1289.0</v>
      </c>
      <c r="I872" s="91">
        <v>0.15</v>
      </c>
      <c r="J872" s="85">
        <f t="shared" si="43"/>
        <v>277.35</v>
      </c>
      <c r="K872" s="85">
        <f t="shared" si="44"/>
        <v>239.0948276</v>
      </c>
      <c r="L872" s="84">
        <v>108.0</v>
      </c>
      <c r="M872" s="85">
        <f t="shared" si="4"/>
        <v>47.069</v>
      </c>
      <c r="N872" s="93">
        <f t="shared" si="42"/>
        <v>0.0365159038</v>
      </c>
      <c r="O872" s="93"/>
      <c r="P872" s="82"/>
    </row>
    <row r="873">
      <c r="A873" s="90" t="s">
        <v>4311</v>
      </c>
      <c r="B873" s="90" t="s">
        <v>4312</v>
      </c>
      <c r="C873" s="89"/>
      <c r="D873" s="84">
        <v>4449.0</v>
      </c>
      <c r="E873" s="83" t="s">
        <v>237</v>
      </c>
      <c r="F873" s="84">
        <f t="shared" si="1"/>
        <v>306.981</v>
      </c>
      <c r="G873" s="84"/>
      <c r="H873" s="84">
        <v>2998.6</v>
      </c>
      <c r="I873" s="91">
        <v>0.15</v>
      </c>
      <c r="J873" s="85">
        <f t="shared" si="43"/>
        <v>667.35</v>
      </c>
      <c r="K873" s="85">
        <f t="shared" si="44"/>
        <v>575.3017241</v>
      </c>
      <c r="L873" s="84">
        <v>132.0</v>
      </c>
      <c r="M873" s="85">
        <f t="shared" si="4"/>
        <v>344.069</v>
      </c>
      <c r="N873" s="93">
        <f t="shared" si="42"/>
        <v>0.1147432135</v>
      </c>
      <c r="O873" s="93"/>
      <c r="P873" s="82"/>
    </row>
    <row r="874">
      <c r="A874" s="89"/>
      <c r="B874" s="90" t="s">
        <v>4313</v>
      </c>
      <c r="C874" s="89"/>
      <c r="D874" s="84">
        <v>3999.0</v>
      </c>
      <c r="E874" s="83" t="s">
        <v>237</v>
      </c>
      <c r="F874" s="84">
        <f t="shared" si="1"/>
        <v>275.931</v>
      </c>
      <c r="G874" s="84"/>
      <c r="H874" s="84">
        <v>2558.0</v>
      </c>
      <c r="I874" s="91">
        <v>0.15</v>
      </c>
      <c r="J874" s="85">
        <f t="shared" si="43"/>
        <v>599.85</v>
      </c>
      <c r="K874" s="85">
        <f t="shared" si="44"/>
        <v>517.112069</v>
      </c>
      <c r="L874" s="84">
        <v>140.0</v>
      </c>
      <c r="M874" s="85">
        <f t="shared" si="4"/>
        <v>425.219</v>
      </c>
      <c r="N874" s="93">
        <f t="shared" si="42"/>
        <v>0.1662310399</v>
      </c>
      <c r="O874" s="93"/>
      <c r="P874" s="82"/>
    </row>
    <row r="875">
      <c r="A875" s="89"/>
      <c r="B875" s="90" t="s">
        <v>4314</v>
      </c>
      <c r="C875" s="89"/>
      <c r="D875" s="84">
        <v>4799.0</v>
      </c>
      <c r="E875" s="83"/>
      <c r="F875" s="84">
        <f t="shared" si="1"/>
        <v>331.131</v>
      </c>
      <c r="G875" s="84"/>
      <c r="H875" s="84">
        <v>3576.01</v>
      </c>
      <c r="I875" s="91">
        <v>0.15</v>
      </c>
      <c r="J875" s="85">
        <f t="shared" si="43"/>
        <v>719.85</v>
      </c>
      <c r="K875" s="85">
        <f t="shared" si="44"/>
        <v>620.5603448</v>
      </c>
      <c r="L875" s="84">
        <v>129.0</v>
      </c>
      <c r="M875" s="85">
        <f t="shared" si="4"/>
        <v>43.009</v>
      </c>
      <c r="N875" s="93">
        <f t="shared" si="42"/>
        <v>0.01202709165</v>
      </c>
      <c r="O875" s="93"/>
      <c r="P875" s="82"/>
    </row>
    <row r="876">
      <c r="A876" s="89"/>
      <c r="B876" s="90" t="s">
        <v>4315</v>
      </c>
      <c r="C876" s="89"/>
      <c r="D876" s="84">
        <v>2599.0</v>
      </c>
      <c r="E876" s="83" t="s">
        <v>237</v>
      </c>
      <c r="F876" s="84">
        <f t="shared" si="1"/>
        <v>179.331</v>
      </c>
      <c r="G876" s="84"/>
      <c r="H876" s="84">
        <v>1624.97</v>
      </c>
      <c r="I876" s="91">
        <v>0.15</v>
      </c>
      <c r="J876" s="85">
        <f t="shared" si="43"/>
        <v>389.85</v>
      </c>
      <c r="K876" s="85">
        <f t="shared" si="44"/>
        <v>336.0775862</v>
      </c>
      <c r="L876" s="84">
        <v>182.0</v>
      </c>
      <c r="M876" s="85">
        <f t="shared" si="4"/>
        <v>222.849</v>
      </c>
      <c r="N876" s="93">
        <f t="shared" si="42"/>
        <v>0.137140378</v>
      </c>
      <c r="O876" s="93"/>
      <c r="P876" s="82"/>
    </row>
    <row r="877">
      <c r="A877" s="90" t="s">
        <v>4316</v>
      </c>
      <c r="B877" s="90" t="s">
        <v>4317</v>
      </c>
      <c r="C877" s="89"/>
      <c r="D877" s="84">
        <v>1999.0</v>
      </c>
      <c r="E877" s="83" t="s">
        <v>237</v>
      </c>
      <c r="F877" s="84">
        <f t="shared" si="1"/>
        <v>137.931</v>
      </c>
      <c r="G877" s="84"/>
      <c r="H877" s="84">
        <v>1300.49</v>
      </c>
      <c r="I877" s="91">
        <v>0.15</v>
      </c>
      <c r="J877" s="85">
        <f t="shared" si="43"/>
        <v>299.85</v>
      </c>
      <c r="K877" s="85">
        <f t="shared" si="44"/>
        <v>258.4913793</v>
      </c>
      <c r="L877" s="84">
        <v>136.0</v>
      </c>
      <c r="M877" s="85">
        <f t="shared" si="4"/>
        <v>124.729</v>
      </c>
      <c r="N877" s="93">
        <f t="shared" si="42"/>
        <v>0.09590923421</v>
      </c>
      <c r="O877" s="93"/>
      <c r="P877" s="82"/>
    </row>
    <row r="878">
      <c r="A878" s="90" t="s">
        <v>4318</v>
      </c>
      <c r="B878" s="90" t="s">
        <v>4319</v>
      </c>
      <c r="C878" s="89"/>
      <c r="D878" s="84">
        <v>2939.0</v>
      </c>
      <c r="E878" s="83" t="s">
        <v>237</v>
      </c>
      <c r="F878" s="84">
        <f t="shared" si="1"/>
        <v>202.791</v>
      </c>
      <c r="G878" s="84"/>
      <c r="H878" s="84">
        <v>1885.07</v>
      </c>
      <c r="I878" s="91">
        <v>0.15</v>
      </c>
      <c r="J878" s="85">
        <f t="shared" si="43"/>
        <v>440.85</v>
      </c>
      <c r="K878" s="85">
        <f t="shared" si="44"/>
        <v>380.0431034</v>
      </c>
      <c r="L878" s="84">
        <v>180.0</v>
      </c>
      <c r="M878" s="85">
        <f t="shared" si="4"/>
        <v>230.289</v>
      </c>
      <c r="N878" s="93">
        <f t="shared" si="42"/>
        <v>0.1221646941</v>
      </c>
      <c r="O878" s="93"/>
      <c r="P878" s="82"/>
    </row>
    <row r="879">
      <c r="A879" s="90" t="s">
        <v>4320</v>
      </c>
      <c r="B879" s="90" t="s">
        <v>4321</v>
      </c>
      <c r="C879" s="89"/>
      <c r="D879" s="84">
        <v>9499.0</v>
      </c>
      <c r="E879" s="83" t="s">
        <v>237</v>
      </c>
      <c r="F879" s="84">
        <f t="shared" si="1"/>
        <v>655.431</v>
      </c>
      <c r="G879" s="84"/>
      <c r="H879" s="84">
        <v>5947.38</v>
      </c>
      <c r="I879" s="91">
        <v>0.15</v>
      </c>
      <c r="J879" s="85">
        <f t="shared" si="43"/>
        <v>1424.85</v>
      </c>
      <c r="K879" s="85">
        <f t="shared" si="44"/>
        <v>1228.318966</v>
      </c>
      <c r="L879" s="84">
        <v>188.0</v>
      </c>
      <c r="M879" s="85">
        <f t="shared" si="4"/>
        <v>1283.339</v>
      </c>
      <c r="N879" s="93">
        <f t="shared" si="42"/>
        <v>0.2157822436</v>
      </c>
      <c r="O879" s="93"/>
      <c r="P879" s="82"/>
    </row>
    <row r="880">
      <c r="A880" s="89"/>
      <c r="B880" s="90" t="s">
        <v>4322</v>
      </c>
      <c r="C880" s="89"/>
      <c r="D880" s="84">
        <v>7700.0</v>
      </c>
      <c r="E880" s="83"/>
      <c r="F880" s="84">
        <f t="shared" si="1"/>
        <v>531.3</v>
      </c>
      <c r="G880" s="84"/>
      <c r="H880" s="84">
        <v>5947.38</v>
      </c>
      <c r="I880" s="91">
        <v>0.15</v>
      </c>
      <c r="J880" s="85">
        <f t="shared" si="43"/>
        <v>1155</v>
      </c>
      <c r="K880" s="85">
        <f t="shared" si="44"/>
        <v>995.6896552</v>
      </c>
      <c r="L880" s="84">
        <v>197.0</v>
      </c>
      <c r="M880" s="85">
        <f t="shared" si="4"/>
        <v>-130.68</v>
      </c>
      <c r="N880" s="93">
        <f t="shared" si="42"/>
        <v>-0.02197270058</v>
      </c>
      <c r="O880" s="93"/>
      <c r="P880" s="82"/>
    </row>
    <row r="881">
      <c r="A881" s="90" t="s">
        <v>4323</v>
      </c>
      <c r="B881" s="90" t="s">
        <v>4324</v>
      </c>
      <c r="C881" s="89"/>
      <c r="D881" s="84">
        <v>2999.0</v>
      </c>
      <c r="E881" s="83" t="s">
        <v>237</v>
      </c>
      <c r="F881" s="84">
        <f t="shared" si="1"/>
        <v>206.931</v>
      </c>
      <c r="G881" s="84"/>
      <c r="H881" s="84">
        <v>1885.07</v>
      </c>
      <c r="I881" s="91">
        <v>0.15</v>
      </c>
      <c r="J881" s="85">
        <f t="shared" si="43"/>
        <v>449.85</v>
      </c>
      <c r="K881" s="85">
        <f t="shared" si="44"/>
        <v>387.8017241</v>
      </c>
      <c r="L881" s="84">
        <v>111.0</v>
      </c>
      <c r="M881" s="85">
        <f t="shared" si="4"/>
        <v>346.149</v>
      </c>
      <c r="N881" s="93">
        <f t="shared" si="42"/>
        <v>0.1836266027</v>
      </c>
      <c r="O881" s="93"/>
      <c r="P881" s="82"/>
    </row>
    <row r="882">
      <c r="A882" s="90" t="s">
        <v>4325</v>
      </c>
      <c r="B882" s="90" t="s">
        <v>4326</v>
      </c>
      <c r="C882" s="89"/>
      <c r="D882" s="84">
        <v>989.0</v>
      </c>
      <c r="E882" s="83" t="s">
        <v>237</v>
      </c>
      <c r="F882" s="84">
        <f t="shared" si="1"/>
        <v>68.241</v>
      </c>
      <c r="G882" s="84"/>
      <c r="H882" s="84">
        <v>580.0</v>
      </c>
      <c r="I882" s="91">
        <v>0.15</v>
      </c>
      <c r="J882" s="85">
        <f t="shared" si="43"/>
        <v>148.35</v>
      </c>
      <c r="K882" s="85">
        <f t="shared" si="44"/>
        <v>127.887931</v>
      </c>
      <c r="L882" s="84">
        <v>96.0</v>
      </c>
      <c r="M882" s="85">
        <f t="shared" si="4"/>
        <v>96.409</v>
      </c>
      <c r="N882" s="93">
        <f t="shared" si="42"/>
        <v>0.1662224138</v>
      </c>
      <c r="O882" s="93"/>
      <c r="P882" s="82"/>
    </row>
    <row r="883">
      <c r="A883" s="90" t="s">
        <v>4327</v>
      </c>
      <c r="B883" s="90" t="s">
        <v>4328</v>
      </c>
      <c r="C883" s="89"/>
      <c r="D883" s="84">
        <v>6899.0</v>
      </c>
      <c r="E883" s="83" t="s">
        <v>237</v>
      </c>
      <c r="F883" s="84">
        <f t="shared" si="1"/>
        <v>476.031</v>
      </c>
      <c r="G883" s="84"/>
      <c r="H883" s="84">
        <v>4673.0</v>
      </c>
      <c r="I883" s="91">
        <v>0.1</v>
      </c>
      <c r="J883" s="85">
        <f t="shared" si="43"/>
        <v>689.9</v>
      </c>
      <c r="K883" s="85">
        <f t="shared" si="44"/>
        <v>594.7413793</v>
      </c>
      <c r="L883" s="84">
        <v>183.0</v>
      </c>
      <c r="M883" s="85">
        <f t="shared" si="4"/>
        <v>877.069</v>
      </c>
      <c r="N883" s="93">
        <f t="shared" si="42"/>
        <v>0.1876886368</v>
      </c>
      <c r="O883" s="93"/>
      <c r="P883" s="82"/>
    </row>
    <row r="884">
      <c r="A884" s="90" t="s">
        <v>4329</v>
      </c>
      <c r="B884" s="90" t="s">
        <v>4330</v>
      </c>
      <c r="C884" s="89"/>
      <c r="D884" s="84">
        <v>2799.0</v>
      </c>
      <c r="E884" s="83" t="s">
        <v>237</v>
      </c>
      <c r="F884" s="84">
        <f t="shared" si="1"/>
        <v>193.131</v>
      </c>
      <c r="G884" s="84"/>
      <c r="H884" s="84">
        <v>1799.4</v>
      </c>
      <c r="I884" s="91">
        <v>0.15</v>
      </c>
      <c r="J884" s="85">
        <f t="shared" si="43"/>
        <v>419.85</v>
      </c>
      <c r="K884" s="85">
        <f t="shared" si="44"/>
        <v>361.9396552</v>
      </c>
      <c r="L884" s="84">
        <v>79.0</v>
      </c>
      <c r="M884" s="85">
        <f t="shared" si="4"/>
        <v>307.619</v>
      </c>
      <c r="N884" s="93">
        <f t="shared" si="42"/>
        <v>0.1709564299</v>
      </c>
      <c r="O884" s="93"/>
      <c r="P884" s="82"/>
    </row>
    <row r="885">
      <c r="A885" s="90" t="s">
        <v>4331</v>
      </c>
      <c r="B885" s="90" t="s">
        <v>4332</v>
      </c>
      <c r="C885" s="89"/>
      <c r="D885" s="84">
        <v>2299.0</v>
      </c>
      <c r="E885" s="83" t="s">
        <v>237</v>
      </c>
      <c r="F885" s="84">
        <f t="shared" si="1"/>
        <v>158.631</v>
      </c>
      <c r="G885" s="84"/>
      <c r="H885" s="84">
        <v>1489.0</v>
      </c>
      <c r="I885" s="91">
        <v>0.15</v>
      </c>
      <c r="J885" s="85">
        <f t="shared" si="43"/>
        <v>344.85</v>
      </c>
      <c r="K885" s="85">
        <f t="shared" si="44"/>
        <v>297.2844828</v>
      </c>
      <c r="L885" s="84">
        <v>111.0</v>
      </c>
      <c r="M885" s="85">
        <f t="shared" si="4"/>
        <v>195.519</v>
      </c>
      <c r="N885" s="93">
        <f t="shared" si="42"/>
        <v>0.1313089322</v>
      </c>
      <c r="O885" s="93"/>
      <c r="P885" s="82"/>
    </row>
    <row r="886">
      <c r="A886" s="89"/>
      <c r="B886" s="90" t="s">
        <v>4333</v>
      </c>
      <c r="C886" s="89"/>
      <c r="D886" s="84">
        <v>3239.0</v>
      </c>
      <c r="E886" s="83"/>
      <c r="F886" s="84">
        <f t="shared" si="1"/>
        <v>223.491</v>
      </c>
      <c r="G886" s="84"/>
      <c r="H886" s="84">
        <v>2300.0</v>
      </c>
      <c r="I886" s="91">
        <v>0.15</v>
      </c>
      <c r="J886" s="85">
        <f t="shared" si="43"/>
        <v>485.85</v>
      </c>
      <c r="K886" s="85">
        <f t="shared" si="44"/>
        <v>418.8362069</v>
      </c>
      <c r="L886" s="84">
        <v>114.0</v>
      </c>
      <c r="M886" s="85">
        <f t="shared" si="4"/>
        <v>115.659</v>
      </c>
      <c r="N886" s="93">
        <f t="shared" si="42"/>
        <v>0.05028652174</v>
      </c>
      <c r="O886" s="93"/>
      <c r="P886" s="82"/>
    </row>
    <row r="887">
      <c r="A887" s="90" t="s">
        <v>4334</v>
      </c>
      <c r="B887" s="90" t="s">
        <v>4335</v>
      </c>
      <c r="C887" s="89"/>
      <c r="D887" s="84">
        <v>2399.0</v>
      </c>
      <c r="E887" s="83" t="s">
        <v>237</v>
      </c>
      <c r="F887" s="84">
        <f t="shared" si="1"/>
        <v>165.531</v>
      </c>
      <c r="G887" s="84"/>
      <c r="H887" s="84">
        <v>1629.12</v>
      </c>
      <c r="I887" s="91">
        <v>0.15</v>
      </c>
      <c r="J887" s="85">
        <f t="shared" si="43"/>
        <v>359.85</v>
      </c>
      <c r="K887" s="85">
        <f t="shared" si="44"/>
        <v>310.2155172</v>
      </c>
      <c r="L887" s="84">
        <v>104.0</v>
      </c>
      <c r="M887" s="85">
        <f t="shared" si="4"/>
        <v>140.499</v>
      </c>
      <c r="N887" s="93">
        <f t="shared" si="42"/>
        <v>0.08624226576</v>
      </c>
      <c r="O887" s="93"/>
      <c r="P887" s="82"/>
    </row>
    <row r="888">
      <c r="A888" s="89"/>
      <c r="B888" s="90" t="s">
        <v>4336</v>
      </c>
      <c r="C888" s="89"/>
      <c r="D888" s="84">
        <v>949.0</v>
      </c>
      <c r="E888" s="83"/>
      <c r="F888" s="84">
        <f t="shared" si="1"/>
        <v>65.481</v>
      </c>
      <c r="G888" s="84"/>
      <c r="H888" s="84">
        <v>575.0</v>
      </c>
      <c r="I888" s="91">
        <v>0.15</v>
      </c>
      <c r="J888" s="85">
        <f t="shared" si="43"/>
        <v>142.35</v>
      </c>
      <c r="K888" s="85">
        <f t="shared" si="44"/>
        <v>122.7155172</v>
      </c>
      <c r="L888" s="84">
        <v>167.0</v>
      </c>
      <c r="M888" s="85">
        <f t="shared" si="4"/>
        <v>-0.831</v>
      </c>
      <c r="N888" s="93">
        <f t="shared" si="42"/>
        <v>-0.001445217391</v>
      </c>
      <c r="O888" s="93"/>
      <c r="P888" s="82"/>
    </row>
    <row r="889">
      <c r="A889" s="90" t="s">
        <v>4337</v>
      </c>
      <c r="B889" s="90" t="s">
        <v>4338</v>
      </c>
      <c r="C889" s="89"/>
      <c r="D889" s="84">
        <v>1339.0</v>
      </c>
      <c r="E889" s="83" t="s">
        <v>237</v>
      </c>
      <c r="F889" s="84">
        <f t="shared" si="1"/>
        <v>92.391</v>
      </c>
      <c r="G889" s="84"/>
      <c r="H889" s="84">
        <v>860.0</v>
      </c>
      <c r="I889" s="91">
        <v>0.15</v>
      </c>
      <c r="J889" s="85">
        <f t="shared" si="43"/>
        <v>200.85</v>
      </c>
      <c r="K889" s="85">
        <f t="shared" si="44"/>
        <v>173.1465517</v>
      </c>
      <c r="L889" s="84">
        <v>72.0</v>
      </c>
      <c r="M889" s="85">
        <f t="shared" si="4"/>
        <v>113.759</v>
      </c>
      <c r="N889" s="93">
        <f t="shared" si="42"/>
        <v>0.132277907</v>
      </c>
      <c r="O889" s="93"/>
      <c r="P889" s="82"/>
    </row>
    <row r="890">
      <c r="A890" s="90" t="s">
        <v>4339</v>
      </c>
      <c r="B890" s="90" t="s">
        <v>4340</v>
      </c>
      <c r="C890" s="89"/>
      <c r="D890" s="84">
        <v>4899.0</v>
      </c>
      <c r="E890" s="83" t="s">
        <v>237</v>
      </c>
      <c r="F890" s="84">
        <f t="shared" si="1"/>
        <v>338.031</v>
      </c>
      <c r="G890" s="84"/>
      <c r="H890" s="84">
        <v>3479.0</v>
      </c>
      <c r="I890" s="91">
        <v>0.15</v>
      </c>
      <c r="J890" s="85">
        <f t="shared" si="43"/>
        <v>734.85</v>
      </c>
      <c r="K890" s="85">
        <f t="shared" si="44"/>
        <v>633.4913793</v>
      </c>
      <c r="L890" s="84">
        <v>153.0</v>
      </c>
      <c r="M890" s="85">
        <f t="shared" si="4"/>
        <v>194.119</v>
      </c>
      <c r="N890" s="93">
        <f t="shared" si="42"/>
        <v>0.05579735556</v>
      </c>
      <c r="O890" s="93"/>
      <c r="P890" s="82"/>
    </row>
    <row r="891">
      <c r="A891" s="89"/>
      <c r="B891" s="90" t="s">
        <v>4341</v>
      </c>
      <c r="C891" s="89"/>
      <c r="D891" s="84">
        <v>1899.0</v>
      </c>
      <c r="E891" s="83"/>
      <c r="F891" s="84">
        <f t="shared" si="1"/>
        <v>131.031</v>
      </c>
      <c r="G891" s="84"/>
      <c r="H891" s="84">
        <v>1314.6</v>
      </c>
      <c r="I891" s="91">
        <v>0.15</v>
      </c>
      <c r="J891" s="85">
        <f t="shared" si="43"/>
        <v>284.85</v>
      </c>
      <c r="K891" s="85">
        <f t="shared" si="44"/>
        <v>245.5603448</v>
      </c>
      <c r="L891" s="84">
        <v>67.0</v>
      </c>
      <c r="M891" s="85">
        <f t="shared" si="4"/>
        <v>101.519</v>
      </c>
      <c r="N891" s="93">
        <f t="shared" si="42"/>
        <v>0.07722425072</v>
      </c>
      <c r="O891" s="93"/>
      <c r="P891" s="82"/>
    </row>
    <row r="892">
      <c r="A892" s="89"/>
      <c r="B892" s="90" t="s">
        <v>4342</v>
      </c>
      <c r="C892" s="89"/>
      <c r="D892" s="84">
        <v>1899.0</v>
      </c>
      <c r="E892" s="83"/>
      <c r="F892" s="84">
        <f t="shared" si="1"/>
        <v>131.031</v>
      </c>
      <c r="G892" s="84"/>
      <c r="H892" s="84">
        <v>1314.6</v>
      </c>
      <c r="I892" s="91">
        <v>0.15</v>
      </c>
      <c r="J892" s="85">
        <f t="shared" si="43"/>
        <v>284.85</v>
      </c>
      <c r="K892" s="85">
        <f t="shared" si="44"/>
        <v>245.5603448</v>
      </c>
      <c r="L892" s="84">
        <v>67.0</v>
      </c>
      <c r="M892" s="85">
        <f t="shared" si="4"/>
        <v>101.519</v>
      </c>
      <c r="N892" s="93">
        <f t="shared" si="42"/>
        <v>0.07722425072</v>
      </c>
      <c r="O892" s="93"/>
      <c r="P892" s="82"/>
    </row>
    <row r="893">
      <c r="A893" s="89"/>
      <c r="B893" s="90" t="s">
        <v>4343</v>
      </c>
      <c r="C893" s="89"/>
      <c r="D893" s="84">
        <v>1899.0</v>
      </c>
      <c r="E893" s="83"/>
      <c r="F893" s="84">
        <f t="shared" si="1"/>
        <v>131.031</v>
      </c>
      <c r="G893" s="84"/>
      <c r="H893" s="84">
        <v>1165.56</v>
      </c>
      <c r="I893" s="91">
        <v>0.15</v>
      </c>
      <c r="J893" s="85">
        <f t="shared" si="43"/>
        <v>284.85</v>
      </c>
      <c r="K893" s="85">
        <f t="shared" si="44"/>
        <v>245.5603448</v>
      </c>
      <c r="L893" s="84">
        <v>67.0</v>
      </c>
      <c r="M893" s="85">
        <f t="shared" si="4"/>
        <v>250.559</v>
      </c>
      <c r="N893" s="93">
        <f t="shared" si="42"/>
        <v>0.2149687704</v>
      </c>
      <c r="O893" s="93"/>
      <c r="P893" s="82"/>
    </row>
    <row r="894">
      <c r="A894" s="90" t="s">
        <v>4344</v>
      </c>
      <c r="B894" s="90" t="s">
        <v>4345</v>
      </c>
      <c r="C894" s="89"/>
      <c r="D894" s="84">
        <v>1449.0</v>
      </c>
      <c r="E894" s="83" t="s">
        <v>237</v>
      </c>
      <c r="F894" s="84">
        <f t="shared" si="1"/>
        <v>99.981</v>
      </c>
      <c r="G894" s="84"/>
      <c r="H894" s="84">
        <v>951.73</v>
      </c>
      <c r="I894" s="91">
        <v>0.15</v>
      </c>
      <c r="J894" s="85">
        <f t="shared" si="43"/>
        <v>217.35</v>
      </c>
      <c r="K894" s="85">
        <f t="shared" si="44"/>
        <v>187.3706897</v>
      </c>
      <c r="L894" s="84">
        <v>63.0</v>
      </c>
      <c r="M894" s="85">
        <f t="shared" si="4"/>
        <v>116.939</v>
      </c>
      <c r="N894" s="93">
        <f t="shared" si="42"/>
        <v>0.1228699316</v>
      </c>
      <c r="O894" s="93"/>
      <c r="P894" s="82"/>
    </row>
    <row r="895">
      <c r="A895" s="90" t="s">
        <v>4346</v>
      </c>
      <c r="B895" s="90" t="s">
        <v>4347</v>
      </c>
      <c r="C895" s="89"/>
      <c r="D895" s="84">
        <v>919.0</v>
      </c>
      <c r="E895" s="83" t="s">
        <v>237</v>
      </c>
      <c r="F895" s="84">
        <f t="shared" si="1"/>
        <v>63.411</v>
      </c>
      <c r="G895" s="84"/>
      <c r="H895" s="84">
        <v>620.0</v>
      </c>
      <c r="I895" s="91">
        <v>0.1</v>
      </c>
      <c r="J895" s="85">
        <f t="shared" si="43"/>
        <v>91.9</v>
      </c>
      <c r="K895" s="85">
        <f t="shared" si="44"/>
        <v>79.22413793</v>
      </c>
      <c r="L895" s="84">
        <v>71.0</v>
      </c>
      <c r="M895" s="85">
        <f t="shared" si="4"/>
        <v>72.689</v>
      </c>
      <c r="N895" s="93">
        <f t="shared" si="42"/>
        <v>0.1172403226</v>
      </c>
      <c r="O895" s="93"/>
      <c r="P895" s="82"/>
    </row>
    <row r="896">
      <c r="A896" s="90" t="s">
        <v>4348</v>
      </c>
      <c r="B896" s="90" t="s">
        <v>4349</v>
      </c>
      <c r="C896" s="89"/>
      <c r="D896" s="84">
        <v>919.0</v>
      </c>
      <c r="E896" s="83" t="s">
        <v>237</v>
      </c>
      <c r="F896" s="84">
        <f t="shared" si="1"/>
        <v>63.411</v>
      </c>
      <c r="G896" s="84"/>
      <c r="H896" s="84">
        <v>620.0</v>
      </c>
      <c r="I896" s="91">
        <v>0.1</v>
      </c>
      <c r="J896" s="85">
        <f t="shared" si="43"/>
        <v>91.9</v>
      </c>
      <c r="K896" s="85">
        <f t="shared" si="44"/>
        <v>79.22413793</v>
      </c>
      <c r="L896" s="84">
        <v>70.0</v>
      </c>
      <c r="M896" s="85">
        <f t="shared" si="4"/>
        <v>73.689</v>
      </c>
      <c r="N896" s="93">
        <f t="shared" si="42"/>
        <v>0.1188532258</v>
      </c>
      <c r="O896" s="93"/>
      <c r="P896" s="82"/>
    </row>
    <row r="897">
      <c r="A897" s="89"/>
      <c r="B897" s="90" t="s">
        <v>4350</v>
      </c>
      <c r="C897" s="89"/>
      <c r="D897" s="84">
        <v>1799.0</v>
      </c>
      <c r="E897" s="83"/>
      <c r="F897" s="84">
        <f t="shared" si="1"/>
        <v>124.131</v>
      </c>
      <c r="G897" s="84"/>
      <c r="H897" s="84">
        <v>1155.21</v>
      </c>
      <c r="I897" s="91">
        <v>0.1</v>
      </c>
      <c r="J897" s="85">
        <f t="shared" si="43"/>
        <v>179.9</v>
      </c>
      <c r="K897" s="85">
        <f t="shared" si="44"/>
        <v>155.0862069</v>
      </c>
      <c r="L897" s="84">
        <v>113.0</v>
      </c>
      <c r="M897" s="85">
        <f t="shared" si="4"/>
        <v>226.759</v>
      </c>
      <c r="N897" s="93">
        <f t="shared" si="42"/>
        <v>0.196292449</v>
      </c>
      <c r="O897" s="93"/>
      <c r="P897" s="82"/>
    </row>
    <row r="898">
      <c r="A898" s="90" t="s">
        <v>4351</v>
      </c>
      <c r="B898" s="90" t="s">
        <v>4352</v>
      </c>
      <c r="C898" s="89"/>
      <c r="D898" s="84">
        <v>4859.0</v>
      </c>
      <c r="E898" s="83" t="s">
        <v>237</v>
      </c>
      <c r="F898" s="84">
        <f t="shared" si="1"/>
        <v>335.271</v>
      </c>
      <c r="G898" s="84"/>
      <c r="H898" s="84">
        <v>3359.39</v>
      </c>
      <c r="I898" s="91">
        <v>0.15</v>
      </c>
      <c r="J898" s="85">
        <f t="shared" si="43"/>
        <v>728.85</v>
      </c>
      <c r="K898" s="85">
        <f t="shared" si="44"/>
        <v>628.3189655</v>
      </c>
      <c r="L898" s="84">
        <v>121.0</v>
      </c>
      <c r="M898" s="85">
        <f t="shared" si="4"/>
        <v>314.489</v>
      </c>
      <c r="N898" s="93">
        <f t="shared" si="42"/>
        <v>0.09361491223</v>
      </c>
      <c r="O898" s="93"/>
      <c r="P898" s="82"/>
    </row>
    <row r="899">
      <c r="A899" s="89"/>
      <c r="B899" s="90" t="s">
        <v>4353</v>
      </c>
      <c r="C899" s="89"/>
      <c r="D899" s="84">
        <v>1899.0</v>
      </c>
      <c r="E899" s="83"/>
      <c r="F899" s="84">
        <f t="shared" si="1"/>
        <v>131.031</v>
      </c>
      <c r="G899" s="84"/>
      <c r="H899" s="84">
        <v>1349.0</v>
      </c>
      <c r="I899" s="91">
        <v>0.15</v>
      </c>
      <c r="J899" s="85">
        <f t="shared" si="43"/>
        <v>284.85</v>
      </c>
      <c r="K899" s="85">
        <f t="shared" si="44"/>
        <v>245.5603448</v>
      </c>
      <c r="L899" s="84">
        <v>125.0</v>
      </c>
      <c r="M899" s="85">
        <f t="shared" si="4"/>
        <v>9.119</v>
      </c>
      <c r="N899" s="93">
        <f t="shared" si="42"/>
        <v>0.00675982209</v>
      </c>
      <c r="O899" s="93"/>
      <c r="P899" s="82"/>
    </row>
    <row r="900">
      <c r="A900" s="89"/>
      <c r="B900" s="90" t="s">
        <v>4354</v>
      </c>
      <c r="C900" s="89"/>
      <c r="D900" s="84">
        <v>2499.0</v>
      </c>
      <c r="E900" s="83"/>
      <c r="F900" s="84">
        <f t="shared" si="1"/>
        <v>172.431</v>
      </c>
      <c r="G900" s="84"/>
      <c r="H900" s="84">
        <v>1576.29</v>
      </c>
      <c r="I900" s="91">
        <v>0.15</v>
      </c>
      <c r="J900" s="85">
        <f t="shared" si="43"/>
        <v>374.85</v>
      </c>
      <c r="K900" s="85">
        <f t="shared" si="44"/>
        <v>323.1465517</v>
      </c>
      <c r="L900" s="84">
        <v>121.0</v>
      </c>
      <c r="M900" s="85">
        <f t="shared" si="4"/>
        <v>254.429</v>
      </c>
      <c r="N900" s="93">
        <f t="shared" si="42"/>
        <v>0.1614100197</v>
      </c>
      <c r="O900" s="93"/>
      <c r="P900" s="82"/>
    </row>
    <row r="901">
      <c r="A901" s="90" t="s">
        <v>4355</v>
      </c>
      <c r="B901" s="90" t="s">
        <v>4356</v>
      </c>
      <c r="C901" s="89"/>
      <c r="D901" s="84">
        <v>2999.0</v>
      </c>
      <c r="E901" s="83" t="s">
        <v>237</v>
      </c>
      <c r="F901" s="84">
        <f t="shared" si="1"/>
        <v>206.931</v>
      </c>
      <c r="G901" s="84"/>
      <c r="H901" s="84">
        <v>1290.0</v>
      </c>
      <c r="I901" s="91">
        <v>0.15</v>
      </c>
      <c r="J901" s="85">
        <f t="shared" si="43"/>
        <v>449.85</v>
      </c>
      <c r="K901" s="85">
        <f t="shared" si="44"/>
        <v>387.8017241</v>
      </c>
      <c r="L901" s="84">
        <v>125.0</v>
      </c>
      <c r="M901" s="85">
        <f t="shared" si="4"/>
        <v>927.219</v>
      </c>
      <c r="N901" s="93">
        <f t="shared" si="42"/>
        <v>0.7187744186</v>
      </c>
      <c r="O901" s="93"/>
      <c r="P901" s="82"/>
    </row>
    <row r="902">
      <c r="A902" s="89"/>
      <c r="B902" s="90"/>
      <c r="C902" s="89"/>
      <c r="D902" s="84">
        <v>1599.0</v>
      </c>
      <c r="E902" s="83"/>
      <c r="F902" s="84">
        <f t="shared" si="1"/>
        <v>110.331</v>
      </c>
      <c r="G902" s="84"/>
      <c r="H902" s="84">
        <v>1113.6</v>
      </c>
      <c r="I902" s="91">
        <v>0.15</v>
      </c>
      <c r="J902" s="85">
        <f t="shared" si="43"/>
        <v>239.85</v>
      </c>
      <c r="K902" s="85">
        <f t="shared" si="44"/>
        <v>206.7672414</v>
      </c>
      <c r="L902" s="84">
        <v>110.0</v>
      </c>
      <c r="M902" s="85">
        <f t="shared" si="4"/>
        <v>25.219</v>
      </c>
      <c r="N902" s="93">
        <f t="shared" si="42"/>
        <v>0.02264637213</v>
      </c>
      <c r="O902" s="93"/>
      <c r="P902" s="82"/>
    </row>
    <row r="903">
      <c r="A903" s="90" t="s">
        <v>4357</v>
      </c>
      <c r="B903" s="90" t="s">
        <v>4358</v>
      </c>
      <c r="C903" s="89"/>
      <c r="D903" s="84">
        <v>6999.0</v>
      </c>
      <c r="E903" s="83" t="s">
        <v>237</v>
      </c>
      <c r="F903" s="84">
        <f t="shared" si="1"/>
        <v>482.931</v>
      </c>
      <c r="G903" s="84"/>
      <c r="H903" s="84">
        <v>3082.77</v>
      </c>
      <c r="I903" s="91">
        <v>0.15</v>
      </c>
      <c r="J903" s="85">
        <f t="shared" si="43"/>
        <v>1049.85</v>
      </c>
      <c r="K903" s="85">
        <f t="shared" si="44"/>
        <v>905.0431034</v>
      </c>
      <c r="L903" s="84">
        <v>167.0</v>
      </c>
      <c r="M903" s="85">
        <f t="shared" si="4"/>
        <v>2216.449</v>
      </c>
      <c r="N903" s="93">
        <f t="shared" si="42"/>
        <v>0.7189796839</v>
      </c>
      <c r="O903" s="93"/>
      <c r="P903" s="82"/>
    </row>
    <row r="904">
      <c r="A904" s="90" t="s">
        <v>4359</v>
      </c>
      <c r="B904" s="90" t="s">
        <v>4360</v>
      </c>
      <c r="C904" s="89"/>
      <c r="D904" s="84">
        <v>1649.0</v>
      </c>
      <c r="E904" s="83" t="s">
        <v>237</v>
      </c>
      <c r="F904" s="84">
        <f t="shared" si="1"/>
        <v>113.781</v>
      </c>
      <c r="G904" s="84"/>
      <c r="H904" s="84">
        <v>1068.02</v>
      </c>
      <c r="I904" s="91">
        <v>0.15</v>
      </c>
      <c r="J904" s="85">
        <f t="shared" si="43"/>
        <v>247.35</v>
      </c>
      <c r="K904" s="85">
        <f t="shared" si="44"/>
        <v>213.2327586</v>
      </c>
      <c r="L904" s="84">
        <v>104.0</v>
      </c>
      <c r="M904" s="85">
        <f t="shared" si="4"/>
        <v>115.849</v>
      </c>
      <c r="N904" s="93">
        <f t="shared" si="42"/>
        <v>0.1084708152</v>
      </c>
      <c r="O904" s="93"/>
      <c r="P904" s="82"/>
    </row>
    <row r="905">
      <c r="A905" s="90" t="s">
        <v>4361</v>
      </c>
      <c r="B905" s="90" t="s">
        <v>4362</v>
      </c>
      <c r="C905" s="89"/>
      <c r="D905" s="84">
        <v>9299.0</v>
      </c>
      <c r="E905" s="83"/>
      <c r="F905" s="84">
        <f t="shared" si="1"/>
        <v>641.631</v>
      </c>
      <c r="G905" s="84"/>
      <c r="H905" s="84">
        <v>7223.88</v>
      </c>
      <c r="I905" s="91">
        <v>0.1</v>
      </c>
      <c r="J905" s="85">
        <f t="shared" si="43"/>
        <v>929.9</v>
      </c>
      <c r="K905" s="85">
        <f t="shared" si="44"/>
        <v>801.637931</v>
      </c>
      <c r="L905" s="84">
        <v>266.0</v>
      </c>
      <c r="M905" s="85">
        <f t="shared" si="4"/>
        <v>237.589</v>
      </c>
      <c r="N905" s="93">
        <f t="shared" si="42"/>
        <v>0.03288938908</v>
      </c>
      <c r="O905" s="93"/>
      <c r="P905" s="82"/>
    </row>
    <row r="906">
      <c r="A906" s="90" t="s">
        <v>4363</v>
      </c>
      <c r="B906" s="90" t="s">
        <v>4364</v>
      </c>
      <c r="C906" s="89"/>
      <c r="D906" s="84">
        <v>3599.0</v>
      </c>
      <c r="E906" s="83" t="s">
        <v>237</v>
      </c>
      <c r="F906" s="84">
        <f t="shared" si="1"/>
        <v>248.331</v>
      </c>
      <c r="G906" s="84"/>
      <c r="H906" s="84">
        <v>1980.97</v>
      </c>
      <c r="I906" s="91">
        <v>0.15</v>
      </c>
      <c r="J906" s="85">
        <f t="shared" si="43"/>
        <v>539.85</v>
      </c>
      <c r="K906" s="85">
        <f t="shared" si="44"/>
        <v>465.387931</v>
      </c>
      <c r="L906" s="84">
        <v>121.0</v>
      </c>
      <c r="M906" s="85">
        <f t="shared" si="4"/>
        <v>708.849</v>
      </c>
      <c r="N906" s="93">
        <f t="shared" si="42"/>
        <v>0.3578292453</v>
      </c>
      <c r="O906" s="93"/>
      <c r="P906" s="82"/>
    </row>
    <row r="907">
      <c r="A907" s="89"/>
      <c r="B907" s="90" t="s">
        <v>4365</v>
      </c>
      <c r="C907" s="89"/>
      <c r="D907" s="84">
        <v>3188.0</v>
      </c>
      <c r="E907" s="83"/>
      <c r="F907" s="84">
        <f t="shared" si="1"/>
        <v>219.972</v>
      </c>
      <c r="G907" s="84"/>
      <c r="H907" s="84">
        <v>1947.0</v>
      </c>
      <c r="I907" s="91">
        <v>0.15</v>
      </c>
      <c r="J907" s="85">
        <f t="shared" si="43"/>
        <v>478.2</v>
      </c>
      <c r="K907" s="85">
        <f t="shared" si="44"/>
        <v>412.2413793</v>
      </c>
      <c r="L907" s="84">
        <v>136.0</v>
      </c>
      <c r="M907" s="85">
        <f t="shared" si="4"/>
        <v>406.828</v>
      </c>
      <c r="N907" s="93">
        <f t="shared" si="42"/>
        <v>0.208951207</v>
      </c>
      <c r="O907" s="93"/>
      <c r="P907" s="82"/>
    </row>
    <row r="908">
      <c r="A908" s="89"/>
      <c r="B908" s="90" t="s">
        <v>4366</v>
      </c>
      <c r="C908" s="89"/>
      <c r="D908" s="84">
        <v>2999.0</v>
      </c>
      <c r="E908" s="83"/>
      <c r="F908" s="84">
        <f t="shared" si="1"/>
        <v>206.931</v>
      </c>
      <c r="G908" s="84"/>
      <c r="H908" s="84">
        <v>1780.0</v>
      </c>
      <c r="I908" s="91">
        <v>0.15</v>
      </c>
      <c r="J908" s="85">
        <f t="shared" si="43"/>
        <v>449.85</v>
      </c>
      <c r="K908" s="85">
        <f t="shared" si="44"/>
        <v>387.8017241</v>
      </c>
      <c r="L908" s="84">
        <v>168.0</v>
      </c>
      <c r="M908" s="85">
        <f t="shared" si="4"/>
        <v>394.219</v>
      </c>
      <c r="N908" s="93">
        <f t="shared" si="42"/>
        <v>0.2214713483</v>
      </c>
      <c r="O908" s="93"/>
      <c r="P908" s="82"/>
    </row>
    <row r="909">
      <c r="A909" s="89"/>
      <c r="B909" s="90" t="s">
        <v>4367</v>
      </c>
      <c r="C909" s="89"/>
      <c r="D909" s="84">
        <v>1699.0</v>
      </c>
      <c r="E909" s="83"/>
      <c r="F909" s="84">
        <f t="shared" si="1"/>
        <v>117.231</v>
      </c>
      <c r="G909" s="84"/>
      <c r="H909" s="84">
        <v>1181.95</v>
      </c>
      <c r="I909" s="91">
        <v>0.15</v>
      </c>
      <c r="J909" s="85">
        <f t="shared" si="43"/>
        <v>254.85</v>
      </c>
      <c r="K909" s="85">
        <f t="shared" si="44"/>
        <v>219.6982759</v>
      </c>
      <c r="L909" s="84">
        <v>83.0</v>
      </c>
      <c r="M909" s="85">
        <f t="shared" si="4"/>
        <v>61.969</v>
      </c>
      <c r="N909" s="93">
        <f t="shared" si="42"/>
        <v>0.05242945979</v>
      </c>
      <c r="O909" s="93"/>
      <c r="P909" s="82"/>
    </row>
    <row r="910">
      <c r="A910" s="89"/>
      <c r="B910" s="90" t="s">
        <v>4368</v>
      </c>
      <c r="C910" s="89"/>
      <c r="D910" s="84">
        <v>1499.0</v>
      </c>
      <c r="E910" s="83"/>
      <c r="F910" s="84">
        <f t="shared" si="1"/>
        <v>103.431</v>
      </c>
      <c r="G910" s="84"/>
      <c r="H910" s="84">
        <v>936.0</v>
      </c>
      <c r="I910" s="91">
        <v>0.15</v>
      </c>
      <c r="J910" s="85">
        <f t="shared" si="43"/>
        <v>224.85</v>
      </c>
      <c r="K910" s="85">
        <f t="shared" si="44"/>
        <v>193.8362069</v>
      </c>
      <c r="L910" s="84">
        <v>110.0</v>
      </c>
      <c r="M910" s="85">
        <f t="shared" si="4"/>
        <v>124.719</v>
      </c>
      <c r="N910" s="93">
        <f t="shared" si="42"/>
        <v>0.1332467949</v>
      </c>
      <c r="O910" s="93"/>
      <c r="P910" s="82"/>
    </row>
    <row r="911">
      <c r="A911" s="89"/>
      <c r="B911" s="90" t="s">
        <v>4286</v>
      </c>
      <c r="C911" s="89"/>
      <c r="D911" s="84">
        <v>2299.0</v>
      </c>
      <c r="E911" s="83"/>
      <c r="F911" s="84">
        <f t="shared" si="1"/>
        <v>158.631</v>
      </c>
      <c r="G911" s="84"/>
      <c r="H911" s="84">
        <v>1789.0</v>
      </c>
      <c r="I911" s="91">
        <v>0.1</v>
      </c>
      <c r="J911" s="85">
        <f t="shared" si="43"/>
        <v>229.9</v>
      </c>
      <c r="K911" s="85">
        <f t="shared" si="44"/>
        <v>198.1896552</v>
      </c>
      <c r="L911" s="84">
        <v>72.0</v>
      </c>
      <c r="M911" s="85">
        <f t="shared" si="4"/>
        <v>49.469</v>
      </c>
      <c r="N911" s="93">
        <f t="shared" si="42"/>
        <v>0.02765176076</v>
      </c>
      <c r="O911" s="93"/>
      <c r="P911" s="82"/>
    </row>
    <row r="912">
      <c r="A912" s="89"/>
      <c r="B912" s="90" t="s">
        <v>4369</v>
      </c>
      <c r="C912" s="89"/>
      <c r="D912" s="84">
        <v>699.0</v>
      </c>
      <c r="E912" s="83" t="s">
        <v>237</v>
      </c>
      <c r="F912" s="84">
        <f t="shared" si="1"/>
        <v>48.231</v>
      </c>
      <c r="G912" s="84"/>
      <c r="H912" s="84">
        <v>399.88</v>
      </c>
      <c r="I912" s="91">
        <v>0.15</v>
      </c>
      <c r="J912" s="85">
        <f t="shared" si="43"/>
        <v>104.85</v>
      </c>
      <c r="K912" s="85">
        <f t="shared" si="44"/>
        <v>90.38793103</v>
      </c>
      <c r="L912" s="84">
        <v>66.0</v>
      </c>
      <c r="M912" s="85">
        <f t="shared" si="4"/>
        <v>80.039</v>
      </c>
      <c r="N912" s="93">
        <f t="shared" si="42"/>
        <v>0.2001575473</v>
      </c>
      <c r="O912" s="93"/>
      <c r="P912" s="82"/>
    </row>
    <row r="913">
      <c r="A913" s="90" t="s">
        <v>4370</v>
      </c>
      <c r="B913" s="90" t="s">
        <v>4371</v>
      </c>
      <c r="C913" s="89"/>
      <c r="D913" s="84">
        <v>839.0</v>
      </c>
      <c r="E913" s="83" t="s">
        <v>237</v>
      </c>
      <c r="F913" s="84">
        <f t="shared" si="1"/>
        <v>57.891</v>
      </c>
      <c r="G913" s="84"/>
      <c r="H913" s="84">
        <v>532.0</v>
      </c>
      <c r="I913" s="91">
        <v>0.15</v>
      </c>
      <c r="J913" s="85">
        <f t="shared" si="43"/>
        <v>125.85</v>
      </c>
      <c r="K913" s="85">
        <f t="shared" si="44"/>
        <v>108.4913793</v>
      </c>
      <c r="L913" s="84">
        <v>69.0</v>
      </c>
      <c r="M913" s="85">
        <f t="shared" si="4"/>
        <v>54.259</v>
      </c>
      <c r="N913" s="93">
        <f t="shared" si="42"/>
        <v>0.1019906015</v>
      </c>
      <c r="O913" s="93"/>
      <c r="P913" s="82"/>
    </row>
    <row r="914">
      <c r="A914" s="89"/>
      <c r="B914" s="90" t="s">
        <v>4372</v>
      </c>
      <c r="C914" s="89"/>
      <c r="D914" s="84">
        <v>4999.0</v>
      </c>
      <c r="E914" s="83"/>
      <c r="F914" s="84">
        <f t="shared" si="1"/>
        <v>344.931</v>
      </c>
      <c r="G914" s="84"/>
      <c r="H914" s="84">
        <v>3974.18</v>
      </c>
      <c r="I914" s="91">
        <v>0.1</v>
      </c>
      <c r="J914" s="85">
        <f t="shared" si="43"/>
        <v>499.9</v>
      </c>
      <c r="K914" s="85">
        <f t="shared" si="44"/>
        <v>430.9482759</v>
      </c>
      <c r="L914" s="84">
        <v>98.0</v>
      </c>
      <c r="M914" s="85">
        <f t="shared" si="4"/>
        <v>81.989</v>
      </c>
      <c r="N914" s="93">
        <f t="shared" si="42"/>
        <v>0.02063041936</v>
      </c>
      <c r="O914" s="93"/>
      <c r="P914" s="82"/>
    </row>
    <row r="915">
      <c r="A915" s="90" t="s">
        <v>4373</v>
      </c>
      <c r="B915" s="90" t="s">
        <v>4374</v>
      </c>
      <c r="C915" s="89"/>
      <c r="D915" s="84">
        <v>589.0</v>
      </c>
      <c r="E915" s="83" t="s">
        <v>237</v>
      </c>
      <c r="F915" s="84">
        <f t="shared" si="1"/>
        <v>40.641</v>
      </c>
      <c r="G915" s="84"/>
      <c r="H915" s="84">
        <v>359.0</v>
      </c>
      <c r="I915" s="91">
        <v>0.15</v>
      </c>
      <c r="J915" s="85">
        <f t="shared" si="43"/>
        <v>88.35</v>
      </c>
      <c r="K915" s="85">
        <f t="shared" si="44"/>
        <v>76.1637931</v>
      </c>
      <c r="L915" s="84">
        <v>62.0</v>
      </c>
      <c r="M915" s="85">
        <f t="shared" si="4"/>
        <v>39.009</v>
      </c>
      <c r="N915" s="93">
        <f t="shared" si="42"/>
        <v>0.1086601671</v>
      </c>
      <c r="O915" s="93"/>
      <c r="P915" s="82"/>
    </row>
    <row r="916">
      <c r="A916" s="90" t="s">
        <v>4375</v>
      </c>
      <c r="B916" s="90" t="s">
        <v>4376</v>
      </c>
      <c r="C916" s="89"/>
      <c r="D916" s="84">
        <v>589.0</v>
      </c>
      <c r="E916" s="83" t="s">
        <v>237</v>
      </c>
      <c r="F916" s="84">
        <f t="shared" si="1"/>
        <v>40.641</v>
      </c>
      <c r="G916" s="84"/>
      <c r="H916" s="84">
        <v>359.0</v>
      </c>
      <c r="I916" s="91">
        <v>0.15</v>
      </c>
      <c r="J916" s="85">
        <f t="shared" si="43"/>
        <v>88.35</v>
      </c>
      <c r="K916" s="85">
        <f t="shared" si="44"/>
        <v>76.1637931</v>
      </c>
      <c r="L916" s="84">
        <v>62.0</v>
      </c>
      <c r="M916" s="85">
        <f t="shared" si="4"/>
        <v>39.009</v>
      </c>
      <c r="N916" s="93">
        <f t="shared" si="42"/>
        <v>0.1086601671</v>
      </c>
      <c r="O916" s="93"/>
      <c r="P916" s="82"/>
    </row>
    <row r="917">
      <c r="A917" s="90" t="s">
        <v>4377</v>
      </c>
      <c r="B917" s="90" t="s">
        <v>4378</v>
      </c>
      <c r="C917" s="89"/>
      <c r="D917" s="84">
        <v>1179.0</v>
      </c>
      <c r="E917" s="83" t="s">
        <v>237</v>
      </c>
      <c r="F917" s="84">
        <f t="shared" si="1"/>
        <v>81.351</v>
      </c>
      <c r="G917" s="84"/>
      <c r="H917" s="84">
        <v>775.75</v>
      </c>
      <c r="I917" s="91">
        <v>0.15</v>
      </c>
      <c r="J917" s="85">
        <f t="shared" si="43"/>
        <v>176.85</v>
      </c>
      <c r="K917" s="85">
        <f t="shared" si="44"/>
        <v>152.4568966</v>
      </c>
      <c r="L917" s="84">
        <v>63.0</v>
      </c>
      <c r="M917" s="85">
        <f t="shared" si="4"/>
        <v>82.049</v>
      </c>
      <c r="N917" s="93">
        <f t="shared" si="42"/>
        <v>0.1057673219</v>
      </c>
      <c r="O917" s="93"/>
      <c r="P917" s="82"/>
    </row>
    <row r="918">
      <c r="A918" s="90" t="s">
        <v>4379</v>
      </c>
      <c r="B918" s="90" t="s">
        <v>4380</v>
      </c>
      <c r="C918" s="89"/>
      <c r="D918" s="84">
        <v>1779.0</v>
      </c>
      <c r="E918" s="83" t="s">
        <v>237</v>
      </c>
      <c r="F918" s="84">
        <f t="shared" si="1"/>
        <v>122.751</v>
      </c>
      <c r="G918" s="84"/>
      <c r="H918" s="84">
        <v>1203.69</v>
      </c>
      <c r="I918" s="91">
        <v>0.15</v>
      </c>
      <c r="J918" s="85">
        <f t="shared" si="43"/>
        <v>266.85</v>
      </c>
      <c r="K918" s="85">
        <f t="shared" si="44"/>
        <v>230.0431034</v>
      </c>
      <c r="L918" s="84">
        <v>63.0</v>
      </c>
      <c r="M918" s="85">
        <f t="shared" si="4"/>
        <v>122.709</v>
      </c>
      <c r="N918" s="93">
        <f t="shared" si="42"/>
        <v>0.1019440221</v>
      </c>
      <c r="O918" s="93"/>
      <c r="P918" s="82"/>
    </row>
    <row r="919">
      <c r="A919" s="90" t="s">
        <v>4381</v>
      </c>
      <c r="B919" s="90" t="s">
        <v>4382</v>
      </c>
      <c r="C919" s="89"/>
      <c r="D919" s="84">
        <v>1779.0</v>
      </c>
      <c r="E919" s="83" t="s">
        <v>237</v>
      </c>
      <c r="F919" s="84">
        <f t="shared" si="1"/>
        <v>122.751</v>
      </c>
      <c r="G919" s="84"/>
      <c r="H919" s="84">
        <v>1203.69</v>
      </c>
      <c r="I919" s="91">
        <v>0.15</v>
      </c>
      <c r="J919" s="85">
        <f t="shared" si="43"/>
        <v>266.85</v>
      </c>
      <c r="K919" s="85">
        <f t="shared" si="44"/>
        <v>230.0431034</v>
      </c>
      <c r="L919" s="84">
        <v>63.0</v>
      </c>
      <c r="M919" s="85">
        <f t="shared" si="4"/>
        <v>122.709</v>
      </c>
      <c r="N919" s="93">
        <f t="shared" si="42"/>
        <v>0.1019440221</v>
      </c>
      <c r="O919" s="93"/>
      <c r="P919" s="82"/>
    </row>
    <row r="920">
      <c r="A920" s="90" t="s">
        <v>4383</v>
      </c>
      <c r="B920" s="90" t="s">
        <v>4384</v>
      </c>
      <c r="C920" s="89"/>
      <c r="D920" s="84">
        <v>1199.0</v>
      </c>
      <c r="E920" s="83" t="s">
        <v>237</v>
      </c>
      <c r="F920" s="84">
        <f t="shared" si="1"/>
        <v>82.731</v>
      </c>
      <c r="G920" s="84"/>
      <c r="H920" s="84">
        <v>758.63</v>
      </c>
      <c r="I920" s="91">
        <v>0.15</v>
      </c>
      <c r="J920" s="85">
        <f t="shared" si="43"/>
        <v>179.85</v>
      </c>
      <c r="K920" s="85">
        <f t="shared" si="44"/>
        <v>155.0431034</v>
      </c>
      <c r="L920" s="84">
        <v>62.0</v>
      </c>
      <c r="M920" s="85">
        <f t="shared" si="4"/>
        <v>115.789</v>
      </c>
      <c r="N920" s="93">
        <f t="shared" si="42"/>
        <v>0.1526290814</v>
      </c>
      <c r="O920" s="93"/>
      <c r="P920" s="82"/>
    </row>
    <row r="921">
      <c r="A921" s="90" t="s">
        <v>4385</v>
      </c>
      <c r="B921" s="90" t="s">
        <v>4386</v>
      </c>
      <c r="C921" s="89"/>
      <c r="D921" s="84">
        <v>5299.0</v>
      </c>
      <c r="E921" s="83" t="s">
        <v>237</v>
      </c>
      <c r="F921" s="84">
        <f t="shared" si="1"/>
        <v>365.631</v>
      </c>
      <c r="G921" s="84"/>
      <c r="H921" s="84">
        <v>3622.17</v>
      </c>
      <c r="I921" s="91">
        <v>0.1</v>
      </c>
      <c r="J921" s="85">
        <f t="shared" si="43"/>
        <v>529.9</v>
      </c>
      <c r="K921" s="85">
        <f t="shared" si="44"/>
        <v>456.8103448</v>
      </c>
      <c r="L921" s="84">
        <v>148.0</v>
      </c>
      <c r="M921" s="85">
        <f t="shared" si="4"/>
        <v>633.299</v>
      </c>
      <c r="N921" s="93">
        <f t="shared" si="42"/>
        <v>0.1748396679</v>
      </c>
      <c r="O921" s="93"/>
      <c r="P921" s="82"/>
    </row>
    <row r="922">
      <c r="A922" s="90" t="s">
        <v>4387</v>
      </c>
      <c r="B922" s="90" t="s">
        <v>4388</v>
      </c>
      <c r="C922" s="89"/>
      <c r="D922" s="84">
        <v>5199.0</v>
      </c>
      <c r="E922" s="83" t="s">
        <v>237</v>
      </c>
      <c r="F922" s="84">
        <f t="shared" si="1"/>
        <v>358.731</v>
      </c>
      <c r="G922" s="84"/>
      <c r="H922" s="84">
        <v>3512.64</v>
      </c>
      <c r="I922" s="91">
        <v>0.15</v>
      </c>
      <c r="J922" s="85">
        <f t="shared" si="43"/>
        <v>779.85</v>
      </c>
      <c r="K922" s="85">
        <f t="shared" si="44"/>
        <v>672.2844828</v>
      </c>
      <c r="L922" s="84">
        <v>132.0</v>
      </c>
      <c r="M922" s="85">
        <f t="shared" si="4"/>
        <v>415.779</v>
      </c>
      <c r="N922" s="93">
        <f t="shared" si="42"/>
        <v>0.1183665277</v>
      </c>
      <c r="O922" s="93"/>
      <c r="P922" s="82"/>
    </row>
    <row r="923">
      <c r="A923" s="90" t="s">
        <v>4389</v>
      </c>
      <c r="B923" s="90" t="s">
        <v>4390</v>
      </c>
      <c r="C923" s="89"/>
      <c r="D923" s="84">
        <v>4999.0</v>
      </c>
      <c r="E923" s="83" t="s">
        <v>237</v>
      </c>
      <c r="F923" s="84">
        <f t="shared" si="1"/>
        <v>344.931</v>
      </c>
      <c r="G923" s="84"/>
      <c r="H923" s="84">
        <v>3335.34</v>
      </c>
      <c r="I923" s="91">
        <v>0.15</v>
      </c>
      <c r="J923" s="85">
        <f t="shared" si="43"/>
        <v>749.85</v>
      </c>
      <c r="K923" s="85">
        <f t="shared" si="44"/>
        <v>646.4224138</v>
      </c>
      <c r="L923" s="84">
        <v>82.91</v>
      </c>
      <c r="M923" s="85">
        <f t="shared" si="4"/>
        <v>485.969</v>
      </c>
      <c r="N923" s="93">
        <f t="shared" si="42"/>
        <v>0.1457029868</v>
      </c>
      <c r="O923" s="93"/>
      <c r="P923" s="82"/>
    </row>
    <row r="924">
      <c r="A924" s="90" t="s">
        <v>4391</v>
      </c>
      <c r="B924" s="90" t="s">
        <v>4392</v>
      </c>
      <c r="C924" s="89"/>
      <c r="D924" s="84">
        <v>999.0</v>
      </c>
      <c r="E924" s="83" t="s">
        <v>237</v>
      </c>
      <c r="F924" s="84">
        <f t="shared" si="1"/>
        <v>68.931</v>
      </c>
      <c r="G924" s="84"/>
      <c r="H924" s="84">
        <v>601.31</v>
      </c>
      <c r="I924" s="91">
        <v>0.15</v>
      </c>
      <c r="J924" s="85">
        <f t="shared" si="43"/>
        <v>149.85</v>
      </c>
      <c r="K924" s="85">
        <f t="shared" si="44"/>
        <v>129.1810345</v>
      </c>
      <c r="L924" s="84">
        <v>70.0</v>
      </c>
      <c r="M924" s="85">
        <f t="shared" si="4"/>
        <v>108.909</v>
      </c>
      <c r="N924" s="93">
        <f t="shared" si="42"/>
        <v>0.1811195556</v>
      </c>
      <c r="O924" s="93"/>
      <c r="P924" s="82"/>
    </row>
    <row r="925">
      <c r="A925" s="90" t="s">
        <v>4391</v>
      </c>
      <c r="B925" s="90" t="s">
        <v>4393</v>
      </c>
      <c r="C925" s="89"/>
      <c r="D925" s="84">
        <v>999.0</v>
      </c>
      <c r="E925" s="83" t="s">
        <v>237</v>
      </c>
      <c r="F925" s="84">
        <f t="shared" si="1"/>
        <v>68.931</v>
      </c>
      <c r="G925" s="84"/>
      <c r="H925" s="84">
        <v>601.31</v>
      </c>
      <c r="I925" s="91">
        <v>0.15</v>
      </c>
      <c r="J925" s="85">
        <f t="shared" si="43"/>
        <v>149.85</v>
      </c>
      <c r="K925" s="85">
        <f t="shared" si="44"/>
        <v>129.1810345</v>
      </c>
      <c r="L925" s="84">
        <v>70.0</v>
      </c>
      <c r="M925" s="85">
        <f t="shared" si="4"/>
        <v>108.909</v>
      </c>
      <c r="N925" s="93">
        <f t="shared" si="42"/>
        <v>0.1811195556</v>
      </c>
      <c r="O925" s="93"/>
      <c r="P925" s="82"/>
    </row>
    <row r="926">
      <c r="A926" s="90" t="s">
        <v>4394</v>
      </c>
      <c r="B926" s="90" t="s">
        <v>4395</v>
      </c>
      <c r="C926" s="89"/>
      <c r="D926" s="84">
        <v>699.0</v>
      </c>
      <c r="E926" s="83" t="s">
        <v>237</v>
      </c>
      <c r="F926" s="84">
        <f t="shared" si="1"/>
        <v>48.231</v>
      </c>
      <c r="G926" s="84"/>
      <c r="H926" s="84">
        <v>432.37</v>
      </c>
      <c r="I926" s="91">
        <v>0.15</v>
      </c>
      <c r="J926" s="85">
        <f t="shared" si="43"/>
        <v>104.85</v>
      </c>
      <c r="K926" s="85">
        <f t="shared" si="44"/>
        <v>90.38793103</v>
      </c>
      <c r="L926" s="84">
        <v>66.0</v>
      </c>
      <c r="M926" s="85">
        <f t="shared" si="4"/>
        <v>47.549</v>
      </c>
      <c r="N926" s="93">
        <f t="shared" si="42"/>
        <v>0.1099729398</v>
      </c>
      <c r="O926" s="93"/>
      <c r="P926" s="82"/>
    </row>
    <row r="927">
      <c r="A927" s="90" t="s">
        <v>4396</v>
      </c>
      <c r="B927" s="90" t="s">
        <v>4397</v>
      </c>
      <c r="C927" s="89"/>
      <c r="D927" s="84">
        <v>4599.0</v>
      </c>
      <c r="E927" s="83" t="s">
        <v>237</v>
      </c>
      <c r="F927" s="84">
        <f t="shared" si="1"/>
        <v>317.331</v>
      </c>
      <c r="G927" s="84"/>
      <c r="H927" s="84">
        <v>3206.97</v>
      </c>
      <c r="I927" s="91">
        <v>0.1</v>
      </c>
      <c r="J927" s="85">
        <f t="shared" si="43"/>
        <v>459.9</v>
      </c>
      <c r="K927" s="85">
        <f t="shared" si="44"/>
        <v>396.4655172</v>
      </c>
      <c r="L927" s="84">
        <v>99.27</v>
      </c>
      <c r="M927" s="85">
        <f t="shared" si="4"/>
        <v>515.529</v>
      </c>
      <c r="N927" s="93">
        <f t="shared" si="42"/>
        <v>0.1607526731</v>
      </c>
      <c r="O927" s="93"/>
      <c r="P927" s="82"/>
    </row>
    <row r="928">
      <c r="A928" s="90" t="s">
        <v>4398</v>
      </c>
      <c r="B928" s="90" t="s">
        <v>4399</v>
      </c>
      <c r="C928" s="89"/>
      <c r="D928" s="84">
        <v>1049.0</v>
      </c>
      <c r="E928" s="83" t="s">
        <v>237</v>
      </c>
      <c r="F928" s="84">
        <f t="shared" si="1"/>
        <v>72.381</v>
      </c>
      <c r="G928" s="84"/>
      <c r="H928" s="84">
        <v>730.7</v>
      </c>
      <c r="I928" s="91">
        <v>0.15</v>
      </c>
      <c r="J928" s="85">
        <f t="shared" si="43"/>
        <v>157.35</v>
      </c>
      <c r="K928" s="85">
        <f t="shared" si="44"/>
        <v>135.6465517</v>
      </c>
      <c r="L928" s="84">
        <v>69.42</v>
      </c>
      <c r="M928" s="85">
        <f t="shared" si="4"/>
        <v>19.149</v>
      </c>
      <c r="N928" s="93">
        <f t="shared" si="42"/>
        <v>0.02620637745</v>
      </c>
      <c r="O928" s="93"/>
      <c r="P928" s="82"/>
    </row>
    <row r="929">
      <c r="A929" s="90" t="s">
        <v>4400</v>
      </c>
      <c r="B929" s="90" t="s">
        <v>4401</v>
      </c>
      <c r="C929" s="89"/>
      <c r="D929" s="84">
        <v>1399.0</v>
      </c>
      <c r="E929" s="83" t="s">
        <v>237</v>
      </c>
      <c r="F929" s="84">
        <f t="shared" si="1"/>
        <v>96.531</v>
      </c>
      <c r="G929" s="84"/>
      <c r="H929" s="84">
        <v>878.81</v>
      </c>
      <c r="I929" s="91">
        <v>0.15</v>
      </c>
      <c r="J929" s="85">
        <f t="shared" si="43"/>
        <v>209.85</v>
      </c>
      <c r="K929" s="85">
        <f t="shared" si="44"/>
        <v>180.9051724</v>
      </c>
      <c r="L929" s="84">
        <v>75.95</v>
      </c>
      <c r="M929" s="85">
        <f t="shared" si="4"/>
        <v>137.859</v>
      </c>
      <c r="N929" s="93">
        <f t="shared" si="42"/>
        <v>0.1568700857</v>
      </c>
      <c r="O929" s="93"/>
      <c r="P929" s="82"/>
    </row>
    <row r="930">
      <c r="A930" s="90" t="s">
        <v>4402</v>
      </c>
      <c r="B930" s="90" t="s">
        <v>4403</v>
      </c>
      <c r="C930" s="89"/>
      <c r="D930" s="84">
        <v>494.0</v>
      </c>
      <c r="E930" s="83" t="s">
        <v>237</v>
      </c>
      <c r="F930" s="84">
        <f t="shared" si="1"/>
        <v>34.086</v>
      </c>
      <c r="G930" s="84"/>
      <c r="H930" s="84">
        <v>270.0</v>
      </c>
      <c r="I930" s="91">
        <v>0.15</v>
      </c>
      <c r="J930" s="85">
        <f t="shared" si="43"/>
        <v>74.1</v>
      </c>
      <c r="K930" s="85">
        <f t="shared" si="44"/>
        <v>63.87931034</v>
      </c>
      <c r="L930" s="84">
        <v>77.0</v>
      </c>
      <c r="M930" s="85">
        <f t="shared" si="4"/>
        <v>38.814</v>
      </c>
      <c r="N930" s="93">
        <f t="shared" si="42"/>
        <v>0.1437555556</v>
      </c>
      <c r="O930" s="93"/>
      <c r="P930" s="82"/>
    </row>
    <row r="931">
      <c r="A931" s="90" t="s">
        <v>4404</v>
      </c>
      <c r="B931" s="90" t="s">
        <v>4405</v>
      </c>
      <c r="C931" s="89"/>
      <c r="D931" s="84">
        <v>8999.0</v>
      </c>
      <c r="E931" s="83" t="s">
        <v>237</v>
      </c>
      <c r="F931" s="84">
        <f t="shared" si="1"/>
        <v>620.931</v>
      </c>
      <c r="G931" s="84"/>
      <c r="H931" s="84">
        <v>6400.0</v>
      </c>
      <c r="I931" s="91">
        <v>0.15</v>
      </c>
      <c r="J931" s="85">
        <f t="shared" si="43"/>
        <v>1349.85</v>
      </c>
      <c r="K931" s="85">
        <f t="shared" si="44"/>
        <v>1163.663793</v>
      </c>
      <c r="L931" s="84">
        <v>312.84</v>
      </c>
      <c r="M931" s="85">
        <f t="shared" si="4"/>
        <v>315.379</v>
      </c>
      <c r="N931" s="93">
        <f t="shared" si="42"/>
        <v>0.04927796875</v>
      </c>
      <c r="O931" s="93"/>
      <c r="P931" s="82"/>
    </row>
    <row r="932">
      <c r="A932" s="90" t="s">
        <v>4406</v>
      </c>
      <c r="B932" s="90" t="s">
        <v>4407</v>
      </c>
      <c r="C932" s="89"/>
      <c r="D932" s="84">
        <v>10999.0</v>
      </c>
      <c r="E932" s="83" t="s">
        <v>237</v>
      </c>
      <c r="F932" s="84">
        <f t="shared" si="1"/>
        <v>758.931</v>
      </c>
      <c r="G932" s="84"/>
      <c r="H932" s="84">
        <v>8400.0</v>
      </c>
      <c r="I932" s="91">
        <v>0.1</v>
      </c>
      <c r="J932" s="85">
        <f t="shared" si="43"/>
        <v>1099.9</v>
      </c>
      <c r="K932" s="85">
        <f t="shared" si="44"/>
        <v>948.1896552</v>
      </c>
      <c r="L932" s="84">
        <v>412.42</v>
      </c>
      <c r="M932" s="85">
        <f t="shared" si="4"/>
        <v>327.749</v>
      </c>
      <c r="N932" s="93">
        <f t="shared" si="42"/>
        <v>0.0390177381</v>
      </c>
      <c r="O932" s="93"/>
      <c r="P932" s="82"/>
    </row>
    <row r="933">
      <c r="A933" s="90" t="s">
        <v>4408</v>
      </c>
      <c r="B933" s="90" t="s">
        <v>4409</v>
      </c>
      <c r="C933" s="89"/>
      <c r="D933" s="84">
        <v>14299.0</v>
      </c>
      <c r="E933" s="83" t="s">
        <v>237</v>
      </c>
      <c r="F933" s="84">
        <f t="shared" si="1"/>
        <v>986.631</v>
      </c>
      <c r="G933" s="84"/>
      <c r="H933" s="84">
        <v>11100.0</v>
      </c>
      <c r="I933" s="91">
        <v>0.1</v>
      </c>
      <c r="J933" s="85">
        <f t="shared" si="43"/>
        <v>1429.9</v>
      </c>
      <c r="K933" s="85">
        <f t="shared" si="44"/>
        <v>1232.672414</v>
      </c>
      <c r="L933" s="84">
        <v>619.24</v>
      </c>
      <c r="M933" s="85">
        <f t="shared" si="4"/>
        <v>163.229</v>
      </c>
      <c r="N933" s="93">
        <f t="shared" si="42"/>
        <v>0.01470531532</v>
      </c>
      <c r="O933" s="93"/>
      <c r="P933" s="82"/>
    </row>
    <row r="934">
      <c r="A934" s="90" t="s">
        <v>4410</v>
      </c>
      <c r="B934" s="90" t="s">
        <v>4411</v>
      </c>
      <c r="C934" s="89"/>
      <c r="D934" s="84">
        <v>699.0</v>
      </c>
      <c r="E934" s="83" t="s">
        <v>237</v>
      </c>
      <c r="F934" s="84">
        <f t="shared" si="1"/>
        <v>48.231</v>
      </c>
      <c r="G934" s="84"/>
      <c r="H934" s="84">
        <v>399.88</v>
      </c>
      <c r="I934" s="91">
        <v>0.15</v>
      </c>
      <c r="J934" s="85">
        <f t="shared" si="43"/>
        <v>104.85</v>
      </c>
      <c r="K934" s="85">
        <f t="shared" si="44"/>
        <v>90.38793103</v>
      </c>
      <c r="L934" s="84">
        <v>66.04</v>
      </c>
      <c r="M934" s="85">
        <f t="shared" si="4"/>
        <v>79.999</v>
      </c>
      <c r="N934" s="93">
        <f t="shared" si="42"/>
        <v>0.2000575173</v>
      </c>
      <c r="O934" s="93"/>
      <c r="P934" s="82"/>
    </row>
    <row r="935">
      <c r="A935" s="90" t="s">
        <v>4412</v>
      </c>
      <c r="B935" s="90" t="s">
        <v>4413</v>
      </c>
      <c r="C935" s="89"/>
      <c r="D935" s="84">
        <v>1649.0</v>
      </c>
      <c r="E935" s="83" t="s">
        <v>237</v>
      </c>
      <c r="F935" s="84">
        <f t="shared" si="1"/>
        <v>113.781</v>
      </c>
      <c r="G935" s="84"/>
      <c r="H935" s="84">
        <v>1102.0</v>
      </c>
      <c r="I935" s="91">
        <v>0.15</v>
      </c>
      <c r="J935" s="85">
        <f t="shared" si="43"/>
        <v>247.35</v>
      </c>
      <c r="K935" s="85">
        <f t="shared" si="44"/>
        <v>213.2327586</v>
      </c>
      <c r="L935" s="84">
        <v>66.0</v>
      </c>
      <c r="M935" s="85">
        <f t="shared" si="4"/>
        <v>119.869</v>
      </c>
      <c r="N935" s="93">
        <f t="shared" si="42"/>
        <v>0.1087740472</v>
      </c>
      <c r="O935" s="93"/>
      <c r="P935" s="82"/>
    </row>
    <row r="936">
      <c r="A936" s="89"/>
      <c r="B936" s="90" t="s">
        <v>4414</v>
      </c>
      <c r="C936" s="89"/>
      <c r="D936" s="84">
        <v>899.0</v>
      </c>
      <c r="E936" s="83" t="s">
        <v>237</v>
      </c>
      <c r="F936" s="84">
        <f t="shared" si="1"/>
        <v>62.031</v>
      </c>
      <c r="G936" s="84"/>
      <c r="H936" s="84">
        <v>1102.0</v>
      </c>
      <c r="I936" s="91">
        <v>0.15</v>
      </c>
      <c r="J936" s="85">
        <f t="shared" si="43"/>
        <v>134.85</v>
      </c>
      <c r="K936" s="85">
        <f t="shared" si="44"/>
        <v>116.25</v>
      </c>
      <c r="L936" s="84">
        <v>64.0</v>
      </c>
      <c r="M936" s="85">
        <f t="shared" si="4"/>
        <v>-463.881</v>
      </c>
      <c r="N936" s="93">
        <f t="shared" si="42"/>
        <v>-0.4209446461</v>
      </c>
      <c r="O936" s="93"/>
      <c r="P936" s="82"/>
    </row>
    <row r="937">
      <c r="A937" s="90" t="s">
        <v>4415</v>
      </c>
      <c r="B937" s="90" t="s">
        <v>4416</v>
      </c>
      <c r="C937" s="89"/>
      <c r="D937" s="84">
        <v>1649.0</v>
      </c>
      <c r="E937" s="83" t="s">
        <v>237</v>
      </c>
      <c r="F937" s="84">
        <f t="shared" si="1"/>
        <v>113.781</v>
      </c>
      <c r="G937" s="84"/>
      <c r="H937" s="84">
        <v>1102.0</v>
      </c>
      <c r="I937" s="91">
        <v>0.15</v>
      </c>
      <c r="J937" s="85">
        <f t="shared" si="43"/>
        <v>247.35</v>
      </c>
      <c r="K937" s="85">
        <f t="shared" si="44"/>
        <v>213.2327586</v>
      </c>
      <c r="L937" s="84">
        <v>64.0</v>
      </c>
      <c r="M937" s="85">
        <f t="shared" si="4"/>
        <v>121.869</v>
      </c>
      <c r="N937" s="93">
        <f t="shared" si="42"/>
        <v>0.1105889292</v>
      </c>
      <c r="O937" s="93"/>
      <c r="P937" s="82"/>
    </row>
    <row r="938">
      <c r="A938" s="90" t="s">
        <v>4417</v>
      </c>
      <c r="B938" s="90" t="s">
        <v>4418</v>
      </c>
      <c r="C938" s="89"/>
      <c r="D938" s="84">
        <v>1648.0</v>
      </c>
      <c r="E938" s="83" t="s">
        <v>237</v>
      </c>
      <c r="F938" s="84">
        <f t="shared" si="1"/>
        <v>113.712</v>
      </c>
      <c r="G938" s="84"/>
      <c r="H938" s="84">
        <v>1102.0</v>
      </c>
      <c r="I938" s="91">
        <v>0.15</v>
      </c>
      <c r="J938" s="85">
        <f t="shared" si="43"/>
        <v>247.2</v>
      </c>
      <c r="K938" s="85">
        <f t="shared" si="44"/>
        <v>213.1034483</v>
      </c>
      <c r="L938" s="84">
        <v>66.0</v>
      </c>
      <c r="M938" s="85">
        <f t="shared" si="4"/>
        <v>119.088</v>
      </c>
      <c r="N938" s="93">
        <f t="shared" si="42"/>
        <v>0.1080653358</v>
      </c>
      <c r="O938" s="93"/>
      <c r="P938" s="82"/>
    </row>
    <row r="939">
      <c r="A939" s="90" t="s">
        <v>4419</v>
      </c>
      <c r="B939" s="90" t="s">
        <v>4420</v>
      </c>
      <c r="C939" s="89"/>
      <c r="D939" s="84">
        <v>1499.0</v>
      </c>
      <c r="E939" s="83" t="s">
        <v>237</v>
      </c>
      <c r="F939" s="84">
        <f t="shared" si="1"/>
        <v>103.431</v>
      </c>
      <c r="G939" s="84"/>
      <c r="H939" s="84">
        <v>864.2</v>
      </c>
      <c r="I939" s="91">
        <v>0.15</v>
      </c>
      <c r="J939" s="85">
        <f t="shared" si="43"/>
        <v>224.85</v>
      </c>
      <c r="K939" s="85">
        <f t="shared" si="44"/>
        <v>193.8362069</v>
      </c>
      <c r="L939" s="84">
        <v>64.0</v>
      </c>
      <c r="M939" s="85">
        <f t="shared" si="4"/>
        <v>242.519</v>
      </c>
      <c r="N939" s="93">
        <f t="shared" si="42"/>
        <v>0.2806283268</v>
      </c>
      <c r="O939" s="93"/>
      <c r="P939" s="82"/>
    </row>
    <row r="940">
      <c r="A940" s="90" t="s">
        <v>4421</v>
      </c>
      <c r="B940" s="90" t="s">
        <v>4422</v>
      </c>
      <c r="C940" s="89"/>
      <c r="D940" s="84">
        <v>1399.0</v>
      </c>
      <c r="E940" s="83" t="s">
        <v>237</v>
      </c>
      <c r="F940" s="84">
        <f t="shared" si="1"/>
        <v>96.531</v>
      </c>
      <c r="G940" s="84"/>
      <c r="H940" s="84">
        <v>864.2</v>
      </c>
      <c r="I940" s="91">
        <v>0.15</v>
      </c>
      <c r="J940" s="85">
        <f t="shared" si="43"/>
        <v>209.85</v>
      </c>
      <c r="K940" s="85">
        <f t="shared" si="44"/>
        <v>180.9051724</v>
      </c>
      <c r="L940" s="84">
        <v>64.0</v>
      </c>
      <c r="M940" s="85">
        <f t="shared" si="4"/>
        <v>164.419</v>
      </c>
      <c r="N940" s="93">
        <f t="shared" si="42"/>
        <v>0.1902557278</v>
      </c>
      <c r="O940" s="93"/>
      <c r="P940" s="82"/>
    </row>
    <row r="941">
      <c r="A941" s="90" t="s">
        <v>4423</v>
      </c>
      <c r="B941" s="90" t="s">
        <v>4424</v>
      </c>
      <c r="C941" s="89"/>
      <c r="D941" s="84">
        <v>1379.0</v>
      </c>
      <c r="E941" s="83" t="s">
        <v>237</v>
      </c>
      <c r="F941" s="84">
        <f t="shared" si="1"/>
        <v>95.151</v>
      </c>
      <c r="G941" s="84"/>
      <c r="H941" s="84">
        <v>864.2</v>
      </c>
      <c r="I941" s="91">
        <v>0.15</v>
      </c>
      <c r="J941" s="85">
        <f t="shared" si="43"/>
        <v>206.85</v>
      </c>
      <c r="K941" s="85">
        <f t="shared" si="44"/>
        <v>178.3189655</v>
      </c>
      <c r="L941" s="84">
        <v>64.0</v>
      </c>
      <c r="M941" s="85">
        <f t="shared" si="4"/>
        <v>148.799</v>
      </c>
      <c r="N941" s="93">
        <f t="shared" si="42"/>
        <v>0.1721812081</v>
      </c>
      <c r="O941" s="93"/>
      <c r="P941" s="82"/>
    </row>
    <row r="942">
      <c r="A942" s="90" t="s">
        <v>4425</v>
      </c>
      <c r="B942" s="90" t="s">
        <v>4426</v>
      </c>
      <c r="C942" s="89"/>
      <c r="D942" s="84">
        <v>1269.0</v>
      </c>
      <c r="E942" s="83" t="s">
        <v>237</v>
      </c>
      <c r="F942" s="84">
        <f t="shared" si="1"/>
        <v>87.561</v>
      </c>
      <c r="G942" s="84"/>
      <c r="H942" s="84">
        <v>803.35</v>
      </c>
      <c r="I942" s="91">
        <v>0.15</v>
      </c>
      <c r="J942" s="85">
        <f t="shared" si="43"/>
        <v>190.35</v>
      </c>
      <c r="K942" s="85">
        <f t="shared" si="44"/>
        <v>164.0948276</v>
      </c>
      <c r="L942" s="84">
        <v>64.0</v>
      </c>
      <c r="M942" s="85">
        <f t="shared" si="4"/>
        <v>123.739</v>
      </c>
      <c r="N942" s="86">
        <f t="shared" si="42"/>
        <v>0.1540287546</v>
      </c>
      <c r="O942" s="86"/>
      <c r="P942" s="82"/>
    </row>
    <row r="943">
      <c r="A943" s="89"/>
      <c r="B943" s="90" t="s">
        <v>4427</v>
      </c>
      <c r="C943" s="89"/>
      <c r="D943" s="84"/>
      <c r="E943" s="83"/>
      <c r="F943" s="84">
        <f t="shared" si="1"/>
        <v>0</v>
      </c>
      <c r="G943" s="84"/>
      <c r="H943" s="84">
        <v>1262.4</v>
      </c>
      <c r="I943" s="91"/>
      <c r="J943" s="85"/>
      <c r="K943" s="85"/>
      <c r="L943" s="84"/>
      <c r="M943" s="85"/>
      <c r="N943" s="93"/>
      <c r="O943" s="93"/>
      <c r="P943" s="82"/>
    </row>
    <row r="944">
      <c r="A944" s="89"/>
      <c r="B944" s="90" t="s">
        <v>4428</v>
      </c>
      <c r="C944" s="89"/>
      <c r="D944" s="84"/>
      <c r="E944" s="83"/>
      <c r="F944" s="84">
        <f t="shared" si="1"/>
        <v>0</v>
      </c>
      <c r="G944" s="84"/>
      <c r="H944" s="84">
        <v>1292.59</v>
      </c>
      <c r="I944" s="91"/>
      <c r="J944" s="85"/>
      <c r="K944" s="85"/>
      <c r="L944" s="84"/>
      <c r="M944" s="85"/>
      <c r="N944" s="93"/>
      <c r="O944" s="93"/>
      <c r="P944" s="82"/>
    </row>
    <row r="945">
      <c r="A945" s="89"/>
      <c r="B945" s="90" t="s">
        <v>4429</v>
      </c>
      <c r="C945" s="89"/>
      <c r="D945" s="84"/>
      <c r="E945" s="83"/>
      <c r="F945" s="84">
        <f t="shared" si="1"/>
        <v>0</v>
      </c>
      <c r="G945" s="84"/>
      <c r="H945" s="84">
        <v>1102.0</v>
      </c>
      <c r="I945" s="91"/>
      <c r="J945" s="85"/>
      <c r="K945" s="85"/>
      <c r="L945" s="84"/>
      <c r="M945" s="85"/>
      <c r="N945" s="93"/>
      <c r="O945" s="93"/>
      <c r="P945" s="82"/>
    </row>
    <row r="946">
      <c r="A946" s="90" t="s">
        <v>4430</v>
      </c>
      <c r="B946" s="90" t="s">
        <v>4431</v>
      </c>
      <c r="C946" s="89"/>
      <c r="D946" s="84">
        <v>2499.0</v>
      </c>
      <c r="E946" s="83" t="s">
        <v>237</v>
      </c>
      <c r="F946" s="84">
        <f t="shared" si="1"/>
        <v>172.431</v>
      </c>
      <c r="G946" s="84"/>
      <c r="H946" s="84">
        <v>1502.2</v>
      </c>
      <c r="I946" s="91">
        <v>0.15</v>
      </c>
      <c r="J946" s="85">
        <f t="shared" ref="J946:J947" si="45">I946*D946</f>
        <v>374.85</v>
      </c>
      <c r="K946" s="85">
        <f t="shared" ref="K946:K947" si="46">J946/1.16</f>
        <v>323.1465517</v>
      </c>
      <c r="L946" s="84">
        <v>83.0</v>
      </c>
      <c r="M946" s="85">
        <f t="shared" ref="M946:M947" si="47">D946-H946-J946-L946-F946-G946</f>
        <v>366.519</v>
      </c>
      <c r="N946" s="93">
        <f t="shared" ref="N946:N947" si="48">M946/H946</f>
        <v>0.2439881507</v>
      </c>
      <c r="O946" s="93"/>
      <c r="P946" s="82"/>
    </row>
    <row r="947">
      <c r="A947" s="90" t="s">
        <v>4432</v>
      </c>
      <c r="B947" s="90" t="s">
        <v>4433</v>
      </c>
      <c r="C947" s="89"/>
      <c r="D947" s="84">
        <v>1669.0</v>
      </c>
      <c r="E947" s="83" t="s">
        <v>237</v>
      </c>
      <c r="F947" s="84">
        <f t="shared" si="1"/>
        <v>115.161</v>
      </c>
      <c r="G947" s="84"/>
      <c r="H947" s="84">
        <v>1044.0</v>
      </c>
      <c r="I947" s="91">
        <v>0.15</v>
      </c>
      <c r="J947" s="85">
        <f t="shared" si="45"/>
        <v>250.35</v>
      </c>
      <c r="K947" s="85">
        <f t="shared" si="46"/>
        <v>215.8189655</v>
      </c>
      <c r="L947" s="84">
        <v>86.0</v>
      </c>
      <c r="M947" s="85">
        <f t="shared" si="47"/>
        <v>173.489</v>
      </c>
      <c r="N947" s="93">
        <f t="shared" si="48"/>
        <v>0.1661772031</v>
      </c>
      <c r="O947" s="93"/>
      <c r="P947" s="82"/>
    </row>
    <row r="948">
      <c r="A948" s="89"/>
      <c r="B948" s="90" t="s">
        <v>4434</v>
      </c>
      <c r="C948" s="89"/>
      <c r="D948" s="84"/>
      <c r="E948" s="83"/>
      <c r="F948" s="84">
        <f t="shared" si="1"/>
        <v>0</v>
      </c>
      <c r="G948" s="84"/>
      <c r="H948" s="84">
        <v>1270.2</v>
      </c>
      <c r="I948" s="91"/>
      <c r="J948" s="85"/>
      <c r="K948" s="85"/>
      <c r="L948" s="84"/>
      <c r="M948" s="85"/>
      <c r="N948" s="93"/>
      <c r="O948" s="93"/>
      <c r="P948" s="82"/>
    </row>
    <row r="949">
      <c r="A949" s="90" t="s">
        <v>4435</v>
      </c>
      <c r="B949" s="90" t="s">
        <v>4436</v>
      </c>
      <c r="C949" s="89"/>
      <c r="D949" s="84">
        <v>3299.0</v>
      </c>
      <c r="E949" s="83" t="s">
        <v>237</v>
      </c>
      <c r="F949" s="84">
        <f t="shared" si="1"/>
        <v>227.631</v>
      </c>
      <c r="G949" s="84"/>
      <c r="H949" s="84">
        <v>2256.2</v>
      </c>
      <c r="I949" s="91">
        <v>0.15</v>
      </c>
      <c r="J949" s="85">
        <f t="shared" ref="J949:J967" si="49">I949*D949</f>
        <v>494.85</v>
      </c>
      <c r="K949" s="85">
        <f t="shared" ref="K949:K967" si="50">J949/1.16</f>
        <v>426.5948276</v>
      </c>
      <c r="L949" s="84">
        <v>90.0</v>
      </c>
      <c r="M949" s="85">
        <f t="shared" ref="M949:M967" si="51">D949-H949-J949-L949-F949-G949</f>
        <v>230.319</v>
      </c>
      <c r="N949" s="93">
        <f t="shared" ref="N949:N967" si="52">M949/H949</f>
        <v>0.1020827054</v>
      </c>
      <c r="O949" s="93"/>
      <c r="P949" s="82"/>
    </row>
    <row r="950">
      <c r="A950" s="90" t="s">
        <v>4437</v>
      </c>
      <c r="B950" s="90" t="s">
        <v>4438</v>
      </c>
      <c r="C950" s="89"/>
      <c r="D950" s="84">
        <v>3299.0</v>
      </c>
      <c r="E950" s="83" t="s">
        <v>237</v>
      </c>
      <c r="F950" s="84">
        <f t="shared" si="1"/>
        <v>227.631</v>
      </c>
      <c r="G950" s="84"/>
      <c r="H950" s="84">
        <v>2256.2</v>
      </c>
      <c r="I950" s="91">
        <v>0.15</v>
      </c>
      <c r="J950" s="85">
        <f t="shared" si="49"/>
        <v>494.85</v>
      </c>
      <c r="K950" s="85">
        <f t="shared" si="50"/>
        <v>426.5948276</v>
      </c>
      <c r="L950" s="84">
        <v>93.0</v>
      </c>
      <c r="M950" s="85">
        <f t="shared" si="51"/>
        <v>227.319</v>
      </c>
      <c r="N950" s="93">
        <f t="shared" si="52"/>
        <v>0.1007530361</v>
      </c>
      <c r="O950" s="93"/>
      <c r="P950" s="82"/>
    </row>
    <row r="951">
      <c r="A951" s="90" t="s">
        <v>4439</v>
      </c>
      <c r="B951" s="90" t="s">
        <v>4440</v>
      </c>
      <c r="C951" s="89"/>
      <c r="D951" s="84">
        <v>11299.0</v>
      </c>
      <c r="E951" s="83" t="s">
        <v>4175</v>
      </c>
      <c r="F951" s="84">
        <f t="shared" si="1"/>
        <v>779.631</v>
      </c>
      <c r="G951" s="84"/>
      <c r="H951" s="84">
        <v>7474.09</v>
      </c>
      <c r="I951" s="91">
        <v>0.15</v>
      </c>
      <c r="J951" s="85">
        <f t="shared" si="49"/>
        <v>1694.85</v>
      </c>
      <c r="K951" s="85">
        <f t="shared" si="50"/>
        <v>1461.077586</v>
      </c>
      <c r="L951" s="84">
        <v>64.0</v>
      </c>
      <c r="M951" s="85">
        <f t="shared" si="51"/>
        <v>1286.429</v>
      </c>
      <c r="N951" s="93">
        <f t="shared" si="52"/>
        <v>0.1721184786</v>
      </c>
      <c r="O951" s="93"/>
      <c r="P951" s="82"/>
    </row>
    <row r="952">
      <c r="A952" s="90" t="s">
        <v>4441</v>
      </c>
      <c r="B952" s="90" t="s">
        <v>4442</v>
      </c>
      <c r="C952" s="89"/>
      <c r="D952" s="84">
        <v>2499.0</v>
      </c>
      <c r="E952" s="83" t="s">
        <v>4175</v>
      </c>
      <c r="F952" s="84">
        <f t="shared" si="1"/>
        <v>172.431</v>
      </c>
      <c r="G952" s="84"/>
      <c r="H952" s="84">
        <v>1580.23</v>
      </c>
      <c r="I952" s="91">
        <v>0.15</v>
      </c>
      <c r="J952" s="85">
        <f t="shared" si="49"/>
        <v>374.85</v>
      </c>
      <c r="K952" s="85">
        <f t="shared" si="50"/>
        <v>323.1465517</v>
      </c>
      <c r="L952" s="84">
        <v>110.0</v>
      </c>
      <c r="M952" s="85">
        <f t="shared" si="51"/>
        <v>261.489</v>
      </c>
      <c r="N952" s="93">
        <f t="shared" si="52"/>
        <v>0.1654752789</v>
      </c>
      <c r="O952" s="93"/>
      <c r="P952" s="82"/>
    </row>
    <row r="953">
      <c r="A953" s="90" t="s">
        <v>4443</v>
      </c>
      <c r="B953" s="90" t="s">
        <v>4444</v>
      </c>
      <c r="C953" s="89"/>
      <c r="D953" s="84">
        <v>5159.0</v>
      </c>
      <c r="E953" s="83" t="s">
        <v>237</v>
      </c>
      <c r="F953" s="84">
        <f t="shared" si="1"/>
        <v>355.971</v>
      </c>
      <c r="G953" s="84"/>
      <c r="H953" s="84">
        <v>3512.64</v>
      </c>
      <c r="I953" s="91">
        <v>0.15</v>
      </c>
      <c r="J953" s="85">
        <f t="shared" si="49"/>
        <v>773.85</v>
      </c>
      <c r="K953" s="85">
        <f t="shared" si="50"/>
        <v>667.112069</v>
      </c>
      <c r="L953" s="84">
        <v>128.0</v>
      </c>
      <c r="M953" s="85">
        <f t="shared" si="51"/>
        <v>388.539</v>
      </c>
      <c r="N953" s="93">
        <f t="shared" si="52"/>
        <v>0.1106116767</v>
      </c>
      <c r="O953" s="93"/>
      <c r="P953" s="82"/>
    </row>
    <row r="954">
      <c r="A954" s="90" t="s">
        <v>4445</v>
      </c>
      <c r="B954" s="90" t="s">
        <v>4446</v>
      </c>
      <c r="C954" s="89"/>
      <c r="D954" s="84">
        <v>429.99</v>
      </c>
      <c r="E954" s="83" t="s">
        <v>237</v>
      </c>
      <c r="F954" s="84">
        <f t="shared" si="1"/>
        <v>29.66931</v>
      </c>
      <c r="G954" s="84"/>
      <c r="H954" s="84">
        <v>276.75</v>
      </c>
      <c r="I954" s="91">
        <v>0.1</v>
      </c>
      <c r="J954" s="85">
        <f t="shared" si="49"/>
        <v>42.999</v>
      </c>
      <c r="K954" s="85">
        <f t="shared" si="50"/>
        <v>37.06810345</v>
      </c>
      <c r="L954" s="84">
        <v>50.0</v>
      </c>
      <c r="M954" s="85">
        <f t="shared" si="51"/>
        <v>30.57169</v>
      </c>
      <c r="N954" s="93">
        <f t="shared" si="52"/>
        <v>0.1104668112</v>
      </c>
      <c r="O954" s="93"/>
      <c r="P954" s="82"/>
    </row>
    <row r="955">
      <c r="A955" s="90" t="s">
        <v>4447</v>
      </c>
      <c r="B955" s="90" t="s">
        <v>4448</v>
      </c>
      <c r="C955" s="89"/>
      <c r="D955" s="84">
        <v>699.0</v>
      </c>
      <c r="E955" s="83" t="s">
        <v>4175</v>
      </c>
      <c r="F955" s="84">
        <f t="shared" si="1"/>
        <v>48.231</v>
      </c>
      <c r="G955" s="84"/>
      <c r="H955" s="84">
        <v>416.99</v>
      </c>
      <c r="I955" s="91">
        <v>0.15</v>
      </c>
      <c r="J955" s="85">
        <f t="shared" si="49"/>
        <v>104.85</v>
      </c>
      <c r="K955" s="85">
        <f t="shared" si="50"/>
        <v>90.38793103</v>
      </c>
      <c r="L955" s="84">
        <v>64.0</v>
      </c>
      <c r="M955" s="85">
        <f t="shared" si="51"/>
        <v>64.929</v>
      </c>
      <c r="N955" s="93">
        <f t="shared" si="52"/>
        <v>0.15570877</v>
      </c>
      <c r="O955" s="93"/>
      <c r="P955" s="82"/>
    </row>
    <row r="956">
      <c r="A956" s="90" t="s">
        <v>4449</v>
      </c>
      <c r="B956" s="90" t="s">
        <v>4450</v>
      </c>
      <c r="C956" s="89"/>
      <c r="D956" s="84">
        <v>2159.0</v>
      </c>
      <c r="E956" s="83" t="s">
        <v>237</v>
      </c>
      <c r="F956" s="84">
        <f t="shared" si="1"/>
        <v>148.971</v>
      </c>
      <c r="G956" s="84"/>
      <c r="H956" s="84">
        <v>1550.0</v>
      </c>
      <c r="I956" s="91">
        <v>0.1</v>
      </c>
      <c r="J956" s="85">
        <f t="shared" si="49"/>
        <v>215.9</v>
      </c>
      <c r="K956" s="85">
        <f t="shared" si="50"/>
        <v>186.1206897</v>
      </c>
      <c r="L956" s="84">
        <v>78.0</v>
      </c>
      <c r="M956" s="85">
        <f t="shared" si="51"/>
        <v>166.129</v>
      </c>
      <c r="N956" s="93">
        <f t="shared" si="52"/>
        <v>0.10718</v>
      </c>
      <c r="O956" s="93"/>
      <c r="P956" s="82"/>
    </row>
    <row r="957">
      <c r="A957" s="90" t="s">
        <v>4451</v>
      </c>
      <c r="B957" s="90" t="s">
        <v>4452</v>
      </c>
      <c r="C957" s="89"/>
      <c r="D957" s="84">
        <v>2099.0</v>
      </c>
      <c r="E957" s="83" t="s">
        <v>237</v>
      </c>
      <c r="F957" s="84">
        <f t="shared" si="1"/>
        <v>144.831</v>
      </c>
      <c r="G957" s="84"/>
      <c r="H957" s="84">
        <v>1411.67</v>
      </c>
      <c r="I957" s="91">
        <v>0.15</v>
      </c>
      <c r="J957" s="85">
        <f t="shared" si="49"/>
        <v>314.85</v>
      </c>
      <c r="K957" s="85">
        <f t="shared" si="50"/>
        <v>271.4224138</v>
      </c>
      <c r="L957" s="84">
        <v>75.0</v>
      </c>
      <c r="M957" s="85">
        <f t="shared" si="51"/>
        <v>152.649</v>
      </c>
      <c r="N957" s="93">
        <f t="shared" si="52"/>
        <v>0.108133629</v>
      </c>
      <c r="O957" s="93"/>
      <c r="P957" s="82"/>
    </row>
    <row r="958">
      <c r="A958" s="90" t="s">
        <v>4453</v>
      </c>
      <c r="B958" s="90" t="s">
        <v>4454</v>
      </c>
      <c r="C958" s="89"/>
      <c r="D958" s="84">
        <v>2799.0</v>
      </c>
      <c r="E958" s="83" t="s">
        <v>237</v>
      </c>
      <c r="F958" s="84">
        <f t="shared" si="1"/>
        <v>193.131</v>
      </c>
      <c r="G958" s="84"/>
      <c r="H958" s="84">
        <v>1689.0</v>
      </c>
      <c r="I958" s="91">
        <v>0.15</v>
      </c>
      <c r="J958" s="85">
        <f t="shared" si="49"/>
        <v>419.85</v>
      </c>
      <c r="K958" s="85">
        <f t="shared" si="50"/>
        <v>361.9396552</v>
      </c>
      <c r="L958" s="84">
        <v>163.0</v>
      </c>
      <c r="M958" s="85">
        <f t="shared" si="51"/>
        <v>334.019</v>
      </c>
      <c r="N958" s="93">
        <f t="shared" si="52"/>
        <v>0.1977613973</v>
      </c>
      <c r="O958" s="93"/>
      <c r="P958" s="82"/>
    </row>
    <row r="959">
      <c r="A959" s="90" t="s">
        <v>4455</v>
      </c>
      <c r="B959" s="90" t="s">
        <v>4456</v>
      </c>
      <c r="C959" s="89"/>
      <c r="D959" s="84">
        <v>999.0</v>
      </c>
      <c r="E959" s="83" t="s">
        <v>237</v>
      </c>
      <c r="F959" s="84">
        <f t="shared" si="1"/>
        <v>68.931</v>
      </c>
      <c r="G959" s="84"/>
      <c r="H959" s="84">
        <v>580.0</v>
      </c>
      <c r="I959" s="91">
        <v>0.15</v>
      </c>
      <c r="J959" s="85">
        <f t="shared" si="49"/>
        <v>149.85</v>
      </c>
      <c r="K959" s="85">
        <f t="shared" si="50"/>
        <v>129.1810345</v>
      </c>
      <c r="L959" s="84">
        <v>97.0</v>
      </c>
      <c r="M959" s="85">
        <f t="shared" si="51"/>
        <v>103.219</v>
      </c>
      <c r="N959" s="93">
        <f t="shared" si="52"/>
        <v>0.1779637931</v>
      </c>
      <c r="O959" s="93"/>
      <c r="P959" s="82"/>
    </row>
    <row r="960">
      <c r="A960" s="90" t="s">
        <v>4457</v>
      </c>
      <c r="B960" s="90" t="s">
        <v>4458</v>
      </c>
      <c r="C960" s="89"/>
      <c r="D960" s="84">
        <v>3299.0</v>
      </c>
      <c r="E960" s="83" t="s">
        <v>237</v>
      </c>
      <c r="F960" s="84">
        <f t="shared" si="1"/>
        <v>227.631</v>
      </c>
      <c r="G960" s="84"/>
      <c r="H960" s="84">
        <v>2350.0</v>
      </c>
      <c r="I960" s="91">
        <v>0.1</v>
      </c>
      <c r="J960" s="85">
        <f t="shared" si="49"/>
        <v>329.9</v>
      </c>
      <c r="K960" s="85">
        <f t="shared" si="50"/>
        <v>284.3965517</v>
      </c>
      <c r="L960" s="84">
        <v>128.0</v>
      </c>
      <c r="M960" s="85">
        <f t="shared" si="51"/>
        <v>263.469</v>
      </c>
      <c r="N960" s="93">
        <f t="shared" si="52"/>
        <v>0.1121144681</v>
      </c>
      <c r="O960" s="93"/>
      <c r="P960" s="82"/>
    </row>
    <row r="961">
      <c r="A961" s="90" t="s">
        <v>4459</v>
      </c>
      <c r="B961" s="90" t="s">
        <v>4460</v>
      </c>
      <c r="C961" s="89"/>
      <c r="D961" s="84">
        <v>4399.0</v>
      </c>
      <c r="E961" s="83" t="s">
        <v>237</v>
      </c>
      <c r="F961" s="84">
        <f t="shared" si="1"/>
        <v>303.531</v>
      </c>
      <c r="G961" s="84"/>
      <c r="H961" s="84">
        <v>2993.03</v>
      </c>
      <c r="I961" s="91">
        <v>0.15</v>
      </c>
      <c r="J961" s="85">
        <f t="shared" si="49"/>
        <v>659.85</v>
      </c>
      <c r="K961" s="85">
        <f t="shared" si="50"/>
        <v>568.8362069</v>
      </c>
      <c r="L961" s="84">
        <v>169.0</v>
      </c>
      <c r="M961" s="85">
        <f t="shared" si="51"/>
        <v>273.589</v>
      </c>
      <c r="N961" s="93">
        <f t="shared" si="52"/>
        <v>0.09140870623</v>
      </c>
      <c r="O961" s="93"/>
      <c r="P961" s="82"/>
    </row>
    <row r="962">
      <c r="A962" s="90" t="s">
        <v>4461</v>
      </c>
      <c r="B962" s="90" t="s">
        <v>4462</v>
      </c>
      <c r="C962" s="89"/>
      <c r="D962" s="84">
        <v>3999.0</v>
      </c>
      <c r="E962" s="83"/>
      <c r="F962" s="84">
        <f t="shared" si="1"/>
        <v>275.931</v>
      </c>
      <c r="G962" s="84"/>
      <c r="H962" s="84">
        <v>1905.21</v>
      </c>
      <c r="I962" s="91">
        <v>0.15</v>
      </c>
      <c r="J962" s="85">
        <f t="shared" si="49"/>
        <v>599.85</v>
      </c>
      <c r="K962" s="85">
        <f t="shared" si="50"/>
        <v>517.112069</v>
      </c>
      <c r="L962" s="84">
        <v>208.0</v>
      </c>
      <c r="M962" s="85">
        <f t="shared" si="51"/>
        <v>1010.009</v>
      </c>
      <c r="N962" s="93">
        <f t="shared" si="52"/>
        <v>0.5301300119</v>
      </c>
      <c r="O962" s="93"/>
      <c r="P962" s="82"/>
    </row>
    <row r="963">
      <c r="A963" s="90" t="s">
        <v>4463</v>
      </c>
      <c r="B963" s="90" t="s">
        <v>4464</v>
      </c>
      <c r="C963" s="89"/>
      <c r="D963" s="84">
        <v>2199.0</v>
      </c>
      <c r="E963" s="83" t="s">
        <v>4175</v>
      </c>
      <c r="F963" s="84">
        <f t="shared" si="1"/>
        <v>151.731</v>
      </c>
      <c r="G963" s="84"/>
      <c r="H963" s="84">
        <v>1290.0</v>
      </c>
      <c r="I963" s="91">
        <v>0.15</v>
      </c>
      <c r="J963" s="85">
        <f t="shared" si="49"/>
        <v>329.85</v>
      </c>
      <c r="K963" s="85">
        <f t="shared" si="50"/>
        <v>284.3534483</v>
      </c>
      <c r="L963" s="84">
        <v>124.0</v>
      </c>
      <c r="M963" s="85">
        <f t="shared" si="51"/>
        <v>303.419</v>
      </c>
      <c r="N963" s="93">
        <f t="shared" si="52"/>
        <v>0.2352085271</v>
      </c>
      <c r="O963" s="93"/>
      <c r="P963" s="82"/>
    </row>
    <row r="964">
      <c r="A964" s="90" t="s">
        <v>4465</v>
      </c>
      <c r="B964" s="90" t="s">
        <v>4466</v>
      </c>
      <c r="C964" s="89"/>
      <c r="D964" s="84">
        <v>1921.0</v>
      </c>
      <c r="E964" s="83" t="s">
        <v>237</v>
      </c>
      <c r="F964" s="84">
        <f t="shared" si="1"/>
        <v>132.549</v>
      </c>
      <c r="G964" s="84"/>
      <c r="H964" s="84">
        <v>1290.0</v>
      </c>
      <c r="I964" s="91">
        <v>0.15</v>
      </c>
      <c r="J964" s="85">
        <f t="shared" si="49"/>
        <v>288.15</v>
      </c>
      <c r="K964" s="85">
        <f t="shared" si="50"/>
        <v>248.4051724</v>
      </c>
      <c r="L964" s="84">
        <v>111.0</v>
      </c>
      <c r="M964" s="85">
        <f t="shared" si="51"/>
        <v>99.301</v>
      </c>
      <c r="N964" s="93">
        <f t="shared" si="52"/>
        <v>0.07697751938</v>
      </c>
      <c r="O964" s="93"/>
      <c r="P964" s="82"/>
    </row>
    <row r="965">
      <c r="A965" s="90" t="s">
        <v>4467</v>
      </c>
      <c r="B965" s="90" t="s">
        <v>4468</v>
      </c>
      <c r="C965" s="89"/>
      <c r="D965" s="84">
        <v>2099.0</v>
      </c>
      <c r="E965" s="83" t="s">
        <v>4175</v>
      </c>
      <c r="F965" s="84">
        <f t="shared" si="1"/>
        <v>144.831</v>
      </c>
      <c r="G965" s="84"/>
      <c r="H965" s="84">
        <v>1318.83</v>
      </c>
      <c r="I965" s="91">
        <v>0.15</v>
      </c>
      <c r="J965" s="85">
        <f t="shared" si="49"/>
        <v>314.85</v>
      </c>
      <c r="K965" s="85">
        <f t="shared" si="50"/>
        <v>271.4224138</v>
      </c>
      <c r="L965" s="84">
        <v>152.0</v>
      </c>
      <c r="M965" s="85">
        <f t="shared" si="51"/>
        <v>168.489</v>
      </c>
      <c r="N965" s="93">
        <f t="shared" si="52"/>
        <v>0.1277564205</v>
      </c>
      <c r="O965" s="93"/>
      <c r="P965" s="82"/>
    </row>
    <row r="966">
      <c r="A966" s="90" t="s">
        <v>4469</v>
      </c>
      <c r="B966" s="90" t="s">
        <v>4470</v>
      </c>
      <c r="C966" s="90" t="s">
        <v>4471</v>
      </c>
      <c r="D966" s="84">
        <v>759.0</v>
      </c>
      <c r="E966" s="83" t="s">
        <v>237</v>
      </c>
      <c r="F966" s="84">
        <f t="shared" si="1"/>
        <v>52.371</v>
      </c>
      <c r="G966" s="84"/>
      <c r="H966" s="84">
        <v>500.0</v>
      </c>
      <c r="I966" s="91">
        <v>0.1</v>
      </c>
      <c r="J966" s="85">
        <f t="shared" si="49"/>
        <v>75.9</v>
      </c>
      <c r="K966" s="85">
        <f t="shared" si="50"/>
        <v>65.43103448</v>
      </c>
      <c r="L966" s="84">
        <v>67.0</v>
      </c>
      <c r="M966" s="85">
        <f t="shared" si="51"/>
        <v>63.729</v>
      </c>
      <c r="N966" s="93">
        <f t="shared" si="52"/>
        <v>0.127458</v>
      </c>
      <c r="O966" s="87">
        <f t="shared" ref="O966:O969" si="53">D966-F966-G966-J966-L966</f>
        <v>563.729</v>
      </c>
      <c r="P966" s="82" t="s">
        <v>4472</v>
      </c>
    </row>
    <row r="967">
      <c r="A967" s="101" t="s">
        <v>4473</v>
      </c>
      <c r="B967" s="102" t="s">
        <v>4474</v>
      </c>
      <c r="C967" s="89"/>
      <c r="D967" s="84">
        <v>5599.0</v>
      </c>
      <c r="E967" s="83" t="s">
        <v>237</v>
      </c>
      <c r="F967" s="84">
        <f t="shared" si="1"/>
        <v>386.331</v>
      </c>
      <c r="G967" s="84"/>
      <c r="H967" s="62">
        <v>3700.0</v>
      </c>
      <c r="I967" s="91">
        <v>0.15</v>
      </c>
      <c r="J967" s="85">
        <f t="shared" si="49"/>
        <v>839.85</v>
      </c>
      <c r="K967" s="85">
        <f t="shared" si="50"/>
        <v>724.0086207</v>
      </c>
      <c r="L967" s="84">
        <v>167.0</v>
      </c>
      <c r="M967" s="85">
        <f t="shared" si="51"/>
        <v>505.819</v>
      </c>
      <c r="N967" s="93">
        <f t="shared" si="52"/>
        <v>0.1367078378</v>
      </c>
      <c r="O967" s="87">
        <f t="shared" si="53"/>
        <v>4205.819</v>
      </c>
      <c r="P967" s="82"/>
    </row>
    <row r="968">
      <c r="A968" s="101" t="s">
        <v>4475</v>
      </c>
      <c r="B968" s="102" t="s">
        <v>4476</v>
      </c>
      <c r="C968" s="89"/>
      <c r="D968" s="84"/>
      <c r="E968" s="83" t="s">
        <v>4175</v>
      </c>
      <c r="F968" s="84">
        <f t="shared" si="1"/>
        <v>0</v>
      </c>
      <c r="G968" s="84"/>
      <c r="H968" s="103">
        <v>738.2828</v>
      </c>
      <c r="I968" s="91"/>
      <c r="J968" s="85"/>
      <c r="K968" s="85"/>
      <c r="L968" s="84"/>
      <c r="M968" s="85"/>
      <c r="N968" s="93"/>
      <c r="O968" s="87">
        <f t="shared" si="53"/>
        <v>0</v>
      </c>
      <c r="P968" s="82"/>
    </row>
    <row r="969">
      <c r="A969" s="101" t="s">
        <v>4477</v>
      </c>
      <c r="B969" s="102" t="s">
        <v>4478</v>
      </c>
      <c r="C969" s="89"/>
      <c r="D969" s="84">
        <v>16299.0</v>
      </c>
      <c r="E969" s="83" t="s">
        <v>237</v>
      </c>
      <c r="F969" s="84">
        <f t="shared" si="1"/>
        <v>1124.631</v>
      </c>
      <c r="G969" s="84"/>
      <c r="H969" s="62">
        <v>11749.02</v>
      </c>
      <c r="I969" s="91">
        <v>0.1</v>
      </c>
      <c r="J969" s="85">
        <f>I969*D969</f>
        <v>1629.9</v>
      </c>
      <c r="K969" s="85">
        <f>J969/1.16</f>
        <v>1405.086207</v>
      </c>
      <c r="L969" s="84">
        <v>400.9</v>
      </c>
      <c r="M969" s="85">
        <f>D969-H969-J969-L969-F969-G969</f>
        <v>1394.549</v>
      </c>
      <c r="N969" s="93">
        <f>M969/H969</f>
        <v>0.1186949209</v>
      </c>
      <c r="O969" s="87">
        <f t="shared" si="53"/>
        <v>13143.569</v>
      </c>
      <c r="P969" s="82" t="s">
        <v>4472</v>
      </c>
    </row>
    <row r="970">
      <c r="A970" s="101" t="s">
        <v>4479</v>
      </c>
      <c r="B970" s="102" t="s">
        <v>4480</v>
      </c>
      <c r="C970" s="89"/>
      <c r="D970" s="84"/>
      <c r="E970" s="83" t="s">
        <v>4175</v>
      </c>
      <c r="F970" s="84">
        <f t="shared" si="1"/>
        <v>0</v>
      </c>
      <c r="G970" s="84"/>
      <c r="H970" s="84">
        <v>530.0</v>
      </c>
      <c r="I970" s="91"/>
      <c r="J970" s="85"/>
      <c r="K970" s="85"/>
      <c r="L970" s="84"/>
      <c r="M970" s="85"/>
      <c r="N970" s="93"/>
      <c r="O970" s="93"/>
      <c r="P970" s="82"/>
    </row>
    <row r="971">
      <c r="A971" s="101" t="s">
        <v>4481</v>
      </c>
      <c r="B971" s="102" t="s">
        <v>4482</v>
      </c>
      <c r="C971" s="89"/>
      <c r="D971" s="84"/>
      <c r="E971" s="83" t="s">
        <v>4175</v>
      </c>
      <c r="F971" s="84">
        <f t="shared" si="1"/>
        <v>0</v>
      </c>
      <c r="G971" s="84"/>
      <c r="H971" s="62">
        <v>1120.0</v>
      </c>
      <c r="I971" s="91"/>
      <c r="J971" s="85"/>
      <c r="K971" s="85"/>
      <c r="L971" s="84"/>
      <c r="M971" s="85"/>
      <c r="N971" s="93"/>
      <c r="O971" s="93"/>
      <c r="P971" s="82"/>
    </row>
    <row r="972">
      <c r="A972" s="101" t="s">
        <v>4483</v>
      </c>
      <c r="B972" s="102" t="s">
        <v>4484</v>
      </c>
      <c r="C972" s="89"/>
      <c r="D972" s="84">
        <v>2699.0</v>
      </c>
      <c r="E972" s="83" t="s">
        <v>237</v>
      </c>
      <c r="F972" s="84">
        <f t="shared" si="1"/>
        <v>186.231</v>
      </c>
      <c r="G972" s="84"/>
      <c r="H972" s="62">
        <v>1730.0</v>
      </c>
      <c r="I972" s="91">
        <v>0.15</v>
      </c>
      <c r="J972" s="85">
        <f t="shared" ref="J972:J973" si="54">I972*D972</f>
        <v>404.85</v>
      </c>
      <c r="K972" s="85">
        <f t="shared" ref="K972:K973" si="55">J972/1.16</f>
        <v>349.0086207</v>
      </c>
      <c r="L972" s="84">
        <v>111.0</v>
      </c>
      <c r="M972" s="85">
        <f t="shared" ref="M972:M973" si="56">D972-H972-J972-L972-F972-G972</f>
        <v>266.919</v>
      </c>
      <c r="N972" s="93">
        <f t="shared" ref="N972:N973" si="57">M972/H972</f>
        <v>0.1542884393</v>
      </c>
      <c r="O972" s="93"/>
      <c r="P972" s="82"/>
    </row>
    <row r="973">
      <c r="A973" s="101" t="s">
        <v>4485</v>
      </c>
      <c r="B973" s="102" t="s">
        <v>4486</v>
      </c>
      <c r="C973" s="89"/>
      <c r="D973" s="84">
        <v>11135.0</v>
      </c>
      <c r="E973" s="83" t="s">
        <v>237</v>
      </c>
      <c r="F973" s="84">
        <f t="shared" si="1"/>
        <v>768.315</v>
      </c>
      <c r="G973" s="84"/>
      <c r="H973" s="62">
        <v>8140.82</v>
      </c>
      <c r="I973" s="91">
        <v>0.1</v>
      </c>
      <c r="J973" s="85">
        <f t="shared" si="54"/>
        <v>1113.5</v>
      </c>
      <c r="K973" s="85">
        <f t="shared" si="55"/>
        <v>959.9137931</v>
      </c>
      <c r="L973" s="84">
        <v>341.0</v>
      </c>
      <c r="M973" s="85">
        <f t="shared" si="56"/>
        <v>771.365</v>
      </c>
      <c r="N973" s="93">
        <f t="shared" si="57"/>
        <v>0.0947527399</v>
      </c>
      <c r="O973" s="93"/>
      <c r="P973" s="82"/>
    </row>
    <row r="974">
      <c r="A974" s="101" t="s">
        <v>4487</v>
      </c>
      <c r="B974" s="102" t="s">
        <v>4488</v>
      </c>
      <c r="C974" s="89"/>
      <c r="D974" s="84"/>
      <c r="E974" s="83" t="s">
        <v>4175</v>
      </c>
      <c r="F974" s="84">
        <f t="shared" si="1"/>
        <v>0</v>
      </c>
      <c r="G974" s="84"/>
      <c r="H974" s="104"/>
      <c r="I974" s="91"/>
      <c r="J974" s="85"/>
      <c r="K974" s="85"/>
      <c r="L974" s="84"/>
      <c r="M974" s="85"/>
      <c r="N974" s="93"/>
      <c r="O974" s="93"/>
      <c r="P974" s="82"/>
    </row>
    <row r="975">
      <c r="A975" s="101" t="s">
        <v>4489</v>
      </c>
      <c r="B975" s="102" t="s">
        <v>4490</v>
      </c>
      <c r="C975" s="89"/>
      <c r="D975" s="84"/>
      <c r="E975" s="83" t="s">
        <v>4175</v>
      </c>
      <c r="F975" s="84">
        <f t="shared" si="1"/>
        <v>0</v>
      </c>
      <c r="G975" s="84"/>
      <c r="H975" s="84"/>
      <c r="I975" s="91"/>
      <c r="J975" s="85"/>
      <c r="K975" s="85"/>
      <c r="L975" s="84"/>
      <c r="M975" s="85"/>
      <c r="N975" s="93"/>
      <c r="O975" s="93"/>
      <c r="P975" s="82"/>
    </row>
    <row r="976">
      <c r="A976" s="101" t="s">
        <v>4491</v>
      </c>
      <c r="B976" s="102" t="s">
        <v>4492</v>
      </c>
      <c r="C976" s="89"/>
      <c r="D976" s="84"/>
      <c r="E976" s="83" t="s">
        <v>4175</v>
      </c>
      <c r="F976" s="84">
        <f t="shared" si="1"/>
        <v>0</v>
      </c>
      <c r="G976" s="84"/>
      <c r="H976" s="84"/>
      <c r="I976" s="91"/>
      <c r="J976" s="85"/>
      <c r="K976" s="85"/>
      <c r="L976" s="84"/>
      <c r="M976" s="85"/>
      <c r="N976" s="93"/>
      <c r="O976" s="93"/>
      <c r="P976" s="82"/>
    </row>
    <row r="977">
      <c r="A977" s="90" t="s">
        <v>4493</v>
      </c>
      <c r="B977" s="90" t="s">
        <v>4494</v>
      </c>
      <c r="C977" s="89"/>
      <c r="D977" s="84">
        <v>699.0</v>
      </c>
      <c r="E977" s="83" t="s">
        <v>237</v>
      </c>
      <c r="F977" s="84">
        <f t="shared" si="1"/>
        <v>48.231</v>
      </c>
      <c r="G977" s="84"/>
      <c r="H977" s="62">
        <v>432.37</v>
      </c>
      <c r="I977" s="91">
        <v>0.15</v>
      </c>
      <c r="J977" s="85">
        <f t="shared" ref="J977:J1001" si="58">I977*D977</f>
        <v>104.85</v>
      </c>
      <c r="K977" s="85">
        <f t="shared" ref="K977:K1001" si="59">J977/1.16</f>
        <v>90.38793103</v>
      </c>
      <c r="L977" s="84">
        <v>65.0</v>
      </c>
      <c r="M977" s="85">
        <f t="shared" ref="M977:M1001" si="60">D977-H977-J977-L977-F977-G977</f>
        <v>48.549</v>
      </c>
      <c r="N977" s="93">
        <f t="shared" ref="N977:N1001" si="61">M977/H977</f>
        <v>0.1122857738</v>
      </c>
      <c r="O977" s="93"/>
      <c r="P977" s="82"/>
    </row>
    <row r="978">
      <c r="A978" s="90" t="s">
        <v>4495</v>
      </c>
      <c r="B978" s="90" t="s">
        <v>4496</v>
      </c>
      <c r="C978" s="89"/>
      <c r="D978" s="84">
        <v>699.0</v>
      </c>
      <c r="E978" s="83" t="s">
        <v>237</v>
      </c>
      <c r="F978" s="84">
        <f t="shared" si="1"/>
        <v>48.231</v>
      </c>
      <c r="G978" s="84"/>
      <c r="H978" s="62">
        <v>432.37</v>
      </c>
      <c r="I978" s="91">
        <v>0.15</v>
      </c>
      <c r="J978" s="85">
        <f t="shared" si="58"/>
        <v>104.85</v>
      </c>
      <c r="K978" s="85">
        <f t="shared" si="59"/>
        <v>90.38793103</v>
      </c>
      <c r="L978" s="84">
        <v>65.0</v>
      </c>
      <c r="M978" s="85">
        <f t="shared" si="60"/>
        <v>48.549</v>
      </c>
      <c r="N978" s="93">
        <f t="shared" si="61"/>
        <v>0.1122857738</v>
      </c>
      <c r="O978" s="93"/>
      <c r="P978" s="82"/>
    </row>
    <row r="979">
      <c r="A979" s="90" t="s">
        <v>4497</v>
      </c>
      <c r="B979" s="90" t="s">
        <v>4498</v>
      </c>
      <c r="C979" s="89"/>
      <c r="D979" s="84">
        <v>10999.0</v>
      </c>
      <c r="E979" s="83" t="s">
        <v>237</v>
      </c>
      <c r="F979" s="84">
        <f t="shared" si="1"/>
        <v>758.931</v>
      </c>
      <c r="G979" s="84"/>
      <c r="H979" s="62">
        <v>8399.0</v>
      </c>
      <c r="I979" s="91">
        <v>0.1</v>
      </c>
      <c r="J979" s="85">
        <f t="shared" si="58"/>
        <v>1099.9</v>
      </c>
      <c r="K979" s="85">
        <f t="shared" si="59"/>
        <v>948.1896552</v>
      </c>
      <c r="L979" s="84">
        <v>68.0</v>
      </c>
      <c r="M979" s="85">
        <f t="shared" si="60"/>
        <v>673.169</v>
      </c>
      <c r="N979" s="93">
        <f t="shared" si="61"/>
        <v>0.08014870818</v>
      </c>
      <c r="O979" s="93"/>
      <c r="P979" s="82"/>
    </row>
    <row r="980">
      <c r="A980" s="90" t="s">
        <v>4499</v>
      </c>
      <c r="B980" s="90" t="s">
        <v>4500</v>
      </c>
      <c r="C980" s="89"/>
      <c r="D980" s="84">
        <v>9999.0</v>
      </c>
      <c r="E980" s="83" t="s">
        <v>237</v>
      </c>
      <c r="F980" s="84">
        <f t="shared" si="1"/>
        <v>689.931</v>
      </c>
      <c r="G980" s="84"/>
      <c r="H980" s="84">
        <v>7699.0</v>
      </c>
      <c r="I980" s="91">
        <v>0.1</v>
      </c>
      <c r="J980" s="85">
        <f t="shared" si="58"/>
        <v>999.9</v>
      </c>
      <c r="K980" s="85">
        <f t="shared" si="59"/>
        <v>861.9827586</v>
      </c>
      <c r="L980" s="84">
        <v>68.0</v>
      </c>
      <c r="M980" s="85">
        <f t="shared" si="60"/>
        <v>542.169</v>
      </c>
      <c r="N980" s="93">
        <f t="shared" si="61"/>
        <v>0.07042070399</v>
      </c>
      <c r="O980" s="93"/>
      <c r="P980" s="82"/>
    </row>
    <row r="981">
      <c r="A981" s="90" t="s">
        <v>4501</v>
      </c>
      <c r="B981" s="90" t="s">
        <v>4502</v>
      </c>
      <c r="C981" s="89"/>
      <c r="D981" s="84">
        <v>7999.0</v>
      </c>
      <c r="E981" s="83" t="s">
        <v>237</v>
      </c>
      <c r="F981" s="84">
        <f t="shared" si="1"/>
        <v>551.931</v>
      </c>
      <c r="G981" s="84"/>
      <c r="H981" s="84">
        <v>6099.0</v>
      </c>
      <c r="I981" s="91">
        <v>0.1</v>
      </c>
      <c r="J981" s="85">
        <f t="shared" si="58"/>
        <v>799.9</v>
      </c>
      <c r="K981" s="85">
        <f t="shared" si="59"/>
        <v>689.5689655</v>
      </c>
      <c r="L981" s="84">
        <v>68.0</v>
      </c>
      <c r="M981" s="85">
        <f t="shared" si="60"/>
        <v>480.169</v>
      </c>
      <c r="N981" s="93">
        <f t="shared" si="61"/>
        <v>0.07872913592</v>
      </c>
      <c r="O981" s="93"/>
      <c r="P981" s="82"/>
    </row>
    <row r="982">
      <c r="A982" s="90" t="s">
        <v>4503</v>
      </c>
      <c r="B982" s="90" t="s">
        <v>4504</v>
      </c>
      <c r="C982" s="89"/>
      <c r="D982" s="84">
        <v>7399.0</v>
      </c>
      <c r="E982" s="83" t="s">
        <v>237</v>
      </c>
      <c r="F982" s="84">
        <f t="shared" si="1"/>
        <v>510.531</v>
      </c>
      <c r="G982" s="84"/>
      <c r="H982" s="84">
        <v>5499.0</v>
      </c>
      <c r="I982" s="91">
        <v>0.1</v>
      </c>
      <c r="J982" s="85">
        <f t="shared" si="58"/>
        <v>739.9</v>
      </c>
      <c r="K982" s="85">
        <f t="shared" si="59"/>
        <v>637.8448276</v>
      </c>
      <c r="L982" s="84">
        <v>68.0</v>
      </c>
      <c r="M982" s="85">
        <f t="shared" si="60"/>
        <v>581.569</v>
      </c>
      <c r="N982" s="93">
        <f t="shared" si="61"/>
        <v>0.1057590471</v>
      </c>
      <c r="O982" s="93"/>
      <c r="P982" s="82"/>
    </row>
    <row r="983">
      <c r="A983" s="90" t="s">
        <v>4505</v>
      </c>
      <c r="B983" s="90" t="s">
        <v>4506</v>
      </c>
      <c r="C983" s="89"/>
      <c r="D983" s="84">
        <v>929.0</v>
      </c>
      <c r="E983" s="83" t="s">
        <v>237</v>
      </c>
      <c r="F983" s="84">
        <f t="shared" si="1"/>
        <v>64.101</v>
      </c>
      <c r="G983" s="84"/>
      <c r="H983" s="84">
        <v>597.82</v>
      </c>
      <c r="I983" s="91">
        <v>0.15</v>
      </c>
      <c r="J983" s="85">
        <f t="shared" si="58"/>
        <v>139.35</v>
      </c>
      <c r="K983" s="85">
        <f t="shared" si="59"/>
        <v>120.1293103</v>
      </c>
      <c r="L983" s="84">
        <v>62.0</v>
      </c>
      <c r="M983" s="85">
        <f t="shared" si="60"/>
        <v>65.729</v>
      </c>
      <c r="N983" s="93">
        <f t="shared" si="61"/>
        <v>0.1099478104</v>
      </c>
      <c r="O983" s="93"/>
      <c r="P983" s="82"/>
    </row>
    <row r="984">
      <c r="A984" s="90" t="s">
        <v>4507</v>
      </c>
      <c r="B984" s="90" t="s">
        <v>4508</v>
      </c>
      <c r="C984" s="89"/>
      <c r="D984" s="84">
        <v>849.0</v>
      </c>
      <c r="E984" s="83" t="s">
        <v>237</v>
      </c>
      <c r="F984" s="84">
        <f t="shared" si="1"/>
        <v>58.581</v>
      </c>
      <c r="G984" s="84"/>
      <c r="H984" s="84">
        <v>549.25</v>
      </c>
      <c r="I984" s="91">
        <v>0.15</v>
      </c>
      <c r="J984" s="85">
        <f t="shared" si="58"/>
        <v>127.35</v>
      </c>
      <c r="K984" s="85">
        <f t="shared" si="59"/>
        <v>109.7844828</v>
      </c>
      <c r="L984" s="84">
        <v>62.0</v>
      </c>
      <c r="M984" s="85">
        <f t="shared" si="60"/>
        <v>51.819</v>
      </c>
      <c r="N984" s="93">
        <f t="shared" si="61"/>
        <v>0.09434501593</v>
      </c>
      <c r="O984" s="93"/>
      <c r="P984" s="82"/>
    </row>
    <row r="985">
      <c r="A985" s="90" t="s">
        <v>4509</v>
      </c>
      <c r="B985" s="90" t="s">
        <v>4510</v>
      </c>
      <c r="C985" s="89"/>
      <c r="D985" s="84">
        <v>1419.0</v>
      </c>
      <c r="E985" s="83" t="s">
        <v>237</v>
      </c>
      <c r="F985" s="84">
        <f t="shared" si="1"/>
        <v>97.911</v>
      </c>
      <c r="G985" s="84"/>
      <c r="H985" s="84">
        <v>950.83</v>
      </c>
      <c r="I985" s="91">
        <v>0.15</v>
      </c>
      <c r="J985" s="85">
        <f t="shared" si="58"/>
        <v>212.85</v>
      </c>
      <c r="K985" s="85">
        <f t="shared" si="59"/>
        <v>183.4913793</v>
      </c>
      <c r="L985" s="84">
        <v>63.0</v>
      </c>
      <c r="M985" s="85">
        <f t="shared" si="60"/>
        <v>94.409</v>
      </c>
      <c r="N985" s="93">
        <f t="shared" si="61"/>
        <v>0.09929114563</v>
      </c>
      <c r="O985" s="93"/>
      <c r="P985" s="82"/>
    </row>
    <row r="986">
      <c r="A986" s="90" t="s">
        <v>4511</v>
      </c>
      <c r="B986" s="90" t="s">
        <v>4512</v>
      </c>
      <c r="C986" s="89"/>
      <c r="D986" s="84">
        <v>399.0</v>
      </c>
      <c r="E986" s="83" t="s">
        <v>237</v>
      </c>
      <c r="F986" s="84">
        <f t="shared" si="1"/>
        <v>27.531</v>
      </c>
      <c r="G986" s="84"/>
      <c r="H986" s="84">
        <v>235.0</v>
      </c>
      <c r="I986" s="91">
        <v>0.1</v>
      </c>
      <c r="J986" s="85">
        <f t="shared" si="58"/>
        <v>39.9</v>
      </c>
      <c r="K986" s="85">
        <f t="shared" si="59"/>
        <v>34.39655172</v>
      </c>
      <c r="L986" s="84">
        <v>68.0</v>
      </c>
      <c r="M986" s="85">
        <f t="shared" si="60"/>
        <v>28.569</v>
      </c>
      <c r="N986" s="93">
        <f t="shared" si="61"/>
        <v>0.1215702128</v>
      </c>
      <c r="O986" s="93"/>
      <c r="P986" s="82"/>
    </row>
    <row r="987">
      <c r="A987" s="90" t="s">
        <v>4513</v>
      </c>
      <c r="B987" s="90" t="s">
        <v>4514</v>
      </c>
      <c r="C987" s="89"/>
      <c r="D987" s="84">
        <v>7599.0</v>
      </c>
      <c r="E987" s="83" t="s">
        <v>4175</v>
      </c>
      <c r="F987" s="84">
        <f t="shared" si="1"/>
        <v>524.331</v>
      </c>
      <c r="G987" s="84"/>
      <c r="H987" s="84">
        <v>6099.0</v>
      </c>
      <c r="I987" s="91">
        <v>0.1</v>
      </c>
      <c r="J987" s="85">
        <f t="shared" si="58"/>
        <v>759.9</v>
      </c>
      <c r="K987" s="85">
        <f t="shared" si="59"/>
        <v>655.0862069</v>
      </c>
      <c r="L987" s="84">
        <v>68.0</v>
      </c>
      <c r="M987" s="85">
        <f t="shared" si="60"/>
        <v>147.769</v>
      </c>
      <c r="N987" s="93">
        <f t="shared" si="61"/>
        <v>0.0242283981</v>
      </c>
      <c r="O987" s="93"/>
      <c r="P987" s="82"/>
    </row>
    <row r="988">
      <c r="A988" s="90" t="s">
        <v>4515</v>
      </c>
      <c r="B988" s="90" t="s">
        <v>4516</v>
      </c>
      <c r="C988" s="89"/>
      <c r="D988" s="84">
        <v>1099.0</v>
      </c>
      <c r="E988" s="83" t="s">
        <v>237</v>
      </c>
      <c r="F988" s="84">
        <f t="shared" si="1"/>
        <v>75.831</v>
      </c>
      <c r="G988" s="84"/>
      <c r="H988" s="84">
        <v>774.19</v>
      </c>
      <c r="I988" s="91">
        <v>0.1</v>
      </c>
      <c r="J988" s="85">
        <f t="shared" si="58"/>
        <v>109.9</v>
      </c>
      <c r="K988" s="85">
        <f t="shared" si="59"/>
        <v>94.74137931</v>
      </c>
      <c r="L988" s="84">
        <v>64.0</v>
      </c>
      <c r="M988" s="85">
        <f t="shared" si="60"/>
        <v>75.079</v>
      </c>
      <c r="N988" s="93">
        <f t="shared" si="61"/>
        <v>0.09697748615</v>
      </c>
      <c r="O988" s="93"/>
      <c r="P988" s="82"/>
    </row>
    <row r="989">
      <c r="A989" s="90" t="s">
        <v>4517</v>
      </c>
      <c r="B989" s="90" t="s">
        <v>4518</v>
      </c>
      <c r="C989" s="89"/>
      <c r="D989" s="84">
        <v>4999.0</v>
      </c>
      <c r="E989" s="83" t="s">
        <v>237</v>
      </c>
      <c r="F989" s="84">
        <f t="shared" si="1"/>
        <v>344.931</v>
      </c>
      <c r="G989" s="84"/>
      <c r="H989" s="84">
        <v>3594.69</v>
      </c>
      <c r="I989" s="91">
        <v>0.1</v>
      </c>
      <c r="J989" s="85">
        <f t="shared" si="58"/>
        <v>499.9</v>
      </c>
      <c r="K989" s="85">
        <f t="shared" si="59"/>
        <v>430.9482759</v>
      </c>
      <c r="L989" s="84">
        <v>84.0</v>
      </c>
      <c r="M989" s="85">
        <f t="shared" si="60"/>
        <v>475.479</v>
      </c>
      <c r="N989" s="93">
        <f t="shared" si="61"/>
        <v>0.1322726021</v>
      </c>
      <c r="O989" s="93"/>
      <c r="P989" s="82"/>
    </row>
    <row r="990">
      <c r="A990" s="90" t="s">
        <v>4519</v>
      </c>
      <c r="B990" s="90" t="s">
        <v>4520</v>
      </c>
      <c r="C990" s="89"/>
      <c r="D990" s="84">
        <v>4599.0</v>
      </c>
      <c r="E990" s="83" t="s">
        <v>237</v>
      </c>
      <c r="F990" s="84">
        <f t="shared" si="1"/>
        <v>317.331</v>
      </c>
      <c r="G990" s="84"/>
      <c r="H990" s="84">
        <v>3418.42</v>
      </c>
      <c r="I990" s="91">
        <v>0.1</v>
      </c>
      <c r="J990" s="85">
        <f t="shared" si="58"/>
        <v>459.9</v>
      </c>
      <c r="K990" s="85">
        <f t="shared" si="59"/>
        <v>396.4655172</v>
      </c>
      <c r="L990" s="84">
        <v>63.0</v>
      </c>
      <c r="M990" s="85">
        <f t="shared" si="60"/>
        <v>340.349</v>
      </c>
      <c r="N990" s="93">
        <f t="shared" si="61"/>
        <v>0.09956324852</v>
      </c>
      <c r="O990" s="93"/>
      <c r="P990" s="82"/>
    </row>
    <row r="991">
      <c r="A991" s="90" t="s">
        <v>4521</v>
      </c>
      <c r="B991" s="90" t="s">
        <v>4522</v>
      </c>
      <c r="C991" s="89"/>
      <c r="D991" s="84">
        <v>3749.0</v>
      </c>
      <c r="E991" s="83" t="s">
        <v>237</v>
      </c>
      <c r="F991" s="84">
        <f t="shared" si="1"/>
        <v>258.681</v>
      </c>
      <c r="G991" s="84"/>
      <c r="H991" s="84">
        <v>2682.28</v>
      </c>
      <c r="I991" s="91">
        <v>0.12</v>
      </c>
      <c r="J991" s="85">
        <f t="shared" si="58"/>
        <v>449.88</v>
      </c>
      <c r="K991" s="85">
        <f t="shared" si="59"/>
        <v>387.8275862</v>
      </c>
      <c r="L991" s="84">
        <v>80.0</v>
      </c>
      <c r="M991" s="85">
        <f t="shared" si="60"/>
        <v>278.159</v>
      </c>
      <c r="N991" s="93">
        <f t="shared" si="61"/>
        <v>0.1037024472</v>
      </c>
      <c r="O991" s="93"/>
      <c r="P991" s="82"/>
    </row>
    <row r="992">
      <c r="A992" s="90" t="s">
        <v>4523</v>
      </c>
      <c r="B992" s="90" t="s">
        <v>4524</v>
      </c>
      <c r="C992" s="89"/>
      <c r="D992" s="84">
        <v>5899.0</v>
      </c>
      <c r="E992" s="83" t="s">
        <v>237</v>
      </c>
      <c r="F992" s="84">
        <f t="shared" si="1"/>
        <v>407.031</v>
      </c>
      <c r="G992" s="84"/>
      <c r="H992" s="84">
        <v>4242.34</v>
      </c>
      <c r="I992" s="91">
        <v>0.12</v>
      </c>
      <c r="J992" s="85">
        <f t="shared" si="58"/>
        <v>707.88</v>
      </c>
      <c r="K992" s="85">
        <f t="shared" si="59"/>
        <v>610.2413793</v>
      </c>
      <c r="L992" s="84">
        <v>103.0</v>
      </c>
      <c r="M992" s="85">
        <f t="shared" si="60"/>
        <v>438.749</v>
      </c>
      <c r="N992" s="93">
        <f t="shared" si="61"/>
        <v>0.1034214608</v>
      </c>
      <c r="O992" s="93"/>
      <c r="P992" s="82"/>
    </row>
    <row r="993">
      <c r="A993" s="90" t="s">
        <v>4525</v>
      </c>
      <c r="B993" s="90" t="s">
        <v>4526</v>
      </c>
      <c r="C993" s="89"/>
      <c r="D993" s="84">
        <v>3699.0</v>
      </c>
      <c r="E993" s="83" t="s">
        <v>237</v>
      </c>
      <c r="F993" s="84">
        <f t="shared" si="1"/>
        <v>255.231</v>
      </c>
      <c r="G993" s="84"/>
      <c r="H993" s="84">
        <v>2654.84</v>
      </c>
      <c r="I993" s="105">
        <v>0.12</v>
      </c>
      <c r="J993" s="85">
        <f t="shared" si="58"/>
        <v>443.88</v>
      </c>
      <c r="K993" s="85">
        <f t="shared" si="59"/>
        <v>382.6551724</v>
      </c>
      <c r="L993" s="84">
        <v>77.0</v>
      </c>
      <c r="M993" s="85">
        <f t="shared" si="60"/>
        <v>268.049</v>
      </c>
      <c r="N993" s="93">
        <f t="shared" si="61"/>
        <v>0.1009661599</v>
      </c>
      <c r="O993" s="93"/>
      <c r="P993" s="82"/>
    </row>
    <row r="994">
      <c r="A994" s="90" t="s">
        <v>4527</v>
      </c>
      <c r="B994" s="90" t="s">
        <v>4528</v>
      </c>
      <c r="C994" s="89"/>
      <c r="D994" s="84">
        <v>999.0</v>
      </c>
      <c r="E994" s="83" t="s">
        <v>237</v>
      </c>
      <c r="F994" s="84">
        <f t="shared" si="1"/>
        <v>68.931</v>
      </c>
      <c r="G994" s="84"/>
      <c r="H994" s="84">
        <v>487.45</v>
      </c>
      <c r="I994" s="91">
        <v>0.1</v>
      </c>
      <c r="J994" s="85">
        <f t="shared" si="58"/>
        <v>99.9</v>
      </c>
      <c r="K994" s="85">
        <f t="shared" si="59"/>
        <v>86.12068966</v>
      </c>
      <c r="L994" s="84">
        <v>77.0</v>
      </c>
      <c r="M994" s="85">
        <f t="shared" si="60"/>
        <v>265.719</v>
      </c>
      <c r="N994" s="93">
        <f t="shared" si="61"/>
        <v>0.5451205252</v>
      </c>
      <c r="O994" s="93"/>
      <c r="P994" s="82"/>
    </row>
    <row r="995">
      <c r="A995" s="106" t="s">
        <v>4529</v>
      </c>
      <c r="B995" s="106" t="s">
        <v>4530</v>
      </c>
      <c r="C995" s="107"/>
      <c r="D995" s="108">
        <v>5849.0</v>
      </c>
      <c r="E995" s="109" t="s">
        <v>237</v>
      </c>
      <c r="F995" s="108">
        <f t="shared" si="1"/>
        <v>403.581</v>
      </c>
      <c r="G995" s="108"/>
      <c r="H995" s="108">
        <v>4242.34</v>
      </c>
      <c r="I995" s="105">
        <v>0.12</v>
      </c>
      <c r="J995" s="110">
        <f t="shared" si="58"/>
        <v>701.88</v>
      </c>
      <c r="K995" s="110">
        <f t="shared" si="59"/>
        <v>605.0689655</v>
      </c>
      <c r="L995" s="108">
        <v>87.7</v>
      </c>
      <c r="M995" s="110">
        <f t="shared" si="60"/>
        <v>413.499</v>
      </c>
      <c r="N995" s="111">
        <f t="shared" si="61"/>
        <v>0.0974695569</v>
      </c>
      <c r="O995" s="111"/>
      <c r="P995" s="112"/>
    </row>
    <row r="996">
      <c r="A996" s="90" t="s">
        <v>4531</v>
      </c>
      <c r="B996" s="90" t="s">
        <v>4532</v>
      </c>
      <c r="C996" s="89"/>
      <c r="D996" s="84">
        <v>1199.0</v>
      </c>
      <c r="E996" s="83" t="s">
        <v>237</v>
      </c>
      <c r="F996" s="84">
        <f t="shared" si="1"/>
        <v>82.731</v>
      </c>
      <c r="G996" s="84"/>
      <c r="H996" s="84">
        <v>856.02</v>
      </c>
      <c r="I996" s="105">
        <v>0.1</v>
      </c>
      <c r="J996" s="110">
        <f t="shared" si="58"/>
        <v>119.9</v>
      </c>
      <c r="K996" s="110">
        <f t="shared" si="59"/>
        <v>103.362069</v>
      </c>
      <c r="L996" s="108">
        <v>67.0</v>
      </c>
      <c r="M996" s="110">
        <f t="shared" si="60"/>
        <v>73.349</v>
      </c>
      <c r="N996" s="111">
        <f t="shared" si="61"/>
        <v>0.0856860821</v>
      </c>
      <c r="O996" s="93"/>
      <c r="P996" s="82"/>
    </row>
    <row r="997">
      <c r="A997" s="90" t="s">
        <v>4533</v>
      </c>
      <c r="B997" s="90" t="s">
        <v>4534</v>
      </c>
      <c r="C997" s="89"/>
      <c r="D997" s="84">
        <v>1199.0</v>
      </c>
      <c r="E997" s="83" t="s">
        <v>237</v>
      </c>
      <c r="F997" s="84">
        <f t="shared" si="1"/>
        <v>82.731</v>
      </c>
      <c r="G997" s="84"/>
      <c r="H997" s="84">
        <v>856.02</v>
      </c>
      <c r="I997" s="105">
        <v>0.1</v>
      </c>
      <c r="J997" s="110">
        <f t="shared" si="58"/>
        <v>119.9</v>
      </c>
      <c r="K997" s="110">
        <f t="shared" si="59"/>
        <v>103.362069</v>
      </c>
      <c r="L997" s="108">
        <v>67.0</v>
      </c>
      <c r="M997" s="110">
        <f t="shared" si="60"/>
        <v>73.349</v>
      </c>
      <c r="N997" s="111">
        <f t="shared" si="61"/>
        <v>0.0856860821</v>
      </c>
      <c r="O997" s="93"/>
      <c r="P997" s="82"/>
    </row>
    <row r="998">
      <c r="A998" s="90" t="s">
        <v>4535</v>
      </c>
      <c r="B998" s="90" t="s">
        <v>4536</v>
      </c>
      <c r="C998" s="89"/>
      <c r="D998" s="84">
        <v>1199.0</v>
      </c>
      <c r="E998" s="83" t="s">
        <v>237</v>
      </c>
      <c r="F998" s="84">
        <f t="shared" si="1"/>
        <v>82.731</v>
      </c>
      <c r="G998" s="84"/>
      <c r="H998" s="84">
        <v>856.02</v>
      </c>
      <c r="I998" s="105">
        <v>0.1</v>
      </c>
      <c r="J998" s="110">
        <f t="shared" si="58"/>
        <v>119.9</v>
      </c>
      <c r="K998" s="110">
        <f t="shared" si="59"/>
        <v>103.362069</v>
      </c>
      <c r="L998" s="108">
        <v>67.0</v>
      </c>
      <c r="M998" s="110">
        <f t="shared" si="60"/>
        <v>73.349</v>
      </c>
      <c r="N998" s="111">
        <f t="shared" si="61"/>
        <v>0.0856860821</v>
      </c>
      <c r="O998" s="93"/>
      <c r="P998" s="82"/>
    </row>
    <row r="999">
      <c r="A999" s="90" t="s">
        <v>4537</v>
      </c>
      <c r="B999" s="90" t="s">
        <v>4538</v>
      </c>
      <c r="C999" s="89"/>
      <c r="D999" s="84">
        <v>1219.0</v>
      </c>
      <c r="E999" s="83" t="s">
        <v>237</v>
      </c>
      <c r="F999" s="84">
        <f t="shared" si="1"/>
        <v>84.111</v>
      </c>
      <c r="G999" s="84"/>
      <c r="H999" s="84">
        <v>856.02</v>
      </c>
      <c r="I999" s="105">
        <v>0.1</v>
      </c>
      <c r="J999" s="110">
        <f t="shared" si="58"/>
        <v>121.9</v>
      </c>
      <c r="K999" s="110">
        <f t="shared" si="59"/>
        <v>105.0862069</v>
      </c>
      <c r="L999" s="84">
        <v>67.0</v>
      </c>
      <c r="M999" s="110">
        <f t="shared" si="60"/>
        <v>89.969</v>
      </c>
      <c r="N999" s="111">
        <f t="shared" si="61"/>
        <v>0.1051015163</v>
      </c>
      <c r="O999" s="93"/>
      <c r="P999" s="82"/>
    </row>
    <row r="1000">
      <c r="A1000" s="90" t="s">
        <v>4539</v>
      </c>
      <c r="B1000" s="90" t="s">
        <v>4540</v>
      </c>
      <c r="C1000" s="89"/>
      <c r="D1000" s="84">
        <v>859.0</v>
      </c>
      <c r="E1000" s="83" t="s">
        <v>237</v>
      </c>
      <c r="F1000" s="84">
        <f t="shared" si="1"/>
        <v>59.271</v>
      </c>
      <c r="G1000" s="84"/>
      <c r="H1000" s="84">
        <v>587.43</v>
      </c>
      <c r="I1000" s="105">
        <v>0.1</v>
      </c>
      <c r="J1000" s="110">
        <f t="shared" si="58"/>
        <v>85.9</v>
      </c>
      <c r="K1000" s="110">
        <f t="shared" si="59"/>
        <v>74.05172414</v>
      </c>
      <c r="L1000" s="108">
        <v>67.0</v>
      </c>
      <c r="M1000" s="110">
        <f t="shared" si="60"/>
        <v>59.399</v>
      </c>
      <c r="N1000" s="111">
        <f t="shared" si="61"/>
        <v>0.1011167288</v>
      </c>
      <c r="O1000" s="93"/>
      <c r="P1000" s="82"/>
    </row>
    <row r="1001">
      <c r="A1001" s="90" t="s">
        <v>4541</v>
      </c>
      <c r="B1001" s="90" t="s">
        <v>4542</v>
      </c>
      <c r="C1001" s="89"/>
      <c r="D1001" s="84">
        <v>15999.0</v>
      </c>
      <c r="E1001" s="83" t="s">
        <v>237</v>
      </c>
      <c r="F1001" s="84">
        <f t="shared" si="1"/>
        <v>1103.931</v>
      </c>
      <c r="G1001" s="84"/>
      <c r="H1001" s="84">
        <v>11474.79</v>
      </c>
      <c r="I1001" s="105">
        <v>0.1</v>
      </c>
      <c r="J1001" s="110">
        <f t="shared" si="58"/>
        <v>1599.9</v>
      </c>
      <c r="K1001" s="110">
        <f t="shared" si="59"/>
        <v>1379.224138</v>
      </c>
      <c r="L1001" s="108">
        <v>341.0</v>
      </c>
      <c r="M1001" s="110">
        <f t="shared" si="60"/>
        <v>1479.379</v>
      </c>
      <c r="N1001" s="111">
        <f t="shared" si="61"/>
        <v>0.1289242766</v>
      </c>
      <c r="O1001" s="93"/>
      <c r="P1001" s="82"/>
    </row>
    <row r="1002">
      <c r="A1002" s="90" t="s">
        <v>4197</v>
      </c>
      <c r="B1002" s="90" t="s">
        <v>4198</v>
      </c>
      <c r="C1002" s="89"/>
      <c r="D1002" s="84">
        <v>1199.0</v>
      </c>
      <c r="E1002" s="83" t="s">
        <v>237</v>
      </c>
      <c r="F1002" s="84">
        <f t="shared" si="1"/>
        <v>82.731</v>
      </c>
      <c r="G1002" s="84"/>
      <c r="H1002" s="84"/>
      <c r="I1002" s="91"/>
      <c r="J1002" s="82">
        <v>900.0</v>
      </c>
      <c r="K1002" s="85"/>
      <c r="L1002" s="84"/>
      <c r="M1002" s="85"/>
      <c r="N1002" s="93"/>
      <c r="O1002" s="93"/>
      <c r="P1002" s="82"/>
    </row>
    <row r="1003">
      <c r="A1003" s="90" t="s">
        <v>4543</v>
      </c>
      <c r="B1003" s="113" t="s">
        <v>4544</v>
      </c>
      <c r="C1003" s="89"/>
      <c r="D1003" s="84">
        <v>4199.0</v>
      </c>
      <c r="E1003" s="83" t="s">
        <v>237</v>
      </c>
      <c r="F1003" s="84">
        <f t="shared" si="1"/>
        <v>289.731</v>
      </c>
      <c r="G1003" s="84"/>
      <c r="H1003" s="66">
        <v>3418.4237839999996</v>
      </c>
      <c r="I1003" s="105">
        <v>0.1</v>
      </c>
      <c r="J1003" s="110">
        <f t="shared" ref="J1003:J1075" si="62">I1003*D1003</f>
        <v>419.9</v>
      </c>
      <c r="K1003" s="110">
        <f t="shared" ref="K1003:K1075" si="63">J1003/1.16</f>
        <v>361.9827586</v>
      </c>
      <c r="L1003" s="108">
        <v>63.0</v>
      </c>
      <c r="M1003" s="110">
        <f t="shared" ref="M1003:M1075" si="64">D1003-H1003-J1003-L1003-F1003-G1003</f>
        <v>7.945216</v>
      </c>
      <c r="N1003" s="111">
        <f t="shared" ref="N1003:N1075" si="65">M1003/H1003</f>
        <v>0.00232423377</v>
      </c>
      <c r="O1003" s="93"/>
      <c r="P1003" s="82"/>
    </row>
    <row r="1004">
      <c r="A1004" s="90" t="s">
        <v>4519</v>
      </c>
      <c r="B1004" s="90" t="s">
        <v>4520</v>
      </c>
      <c r="C1004" s="89"/>
      <c r="D1004" s="84">
        <v>4599.0</v>
      </c>
      <c r="E1004" s="83" t="s">
        <v>237</v>
      </c>
      <c r="F1004" s="84">
        <f t="shared" si="1"/>
        <v>317.331</v>
      </c>
      <c r="G1004" s="84"/>
      <c r="H1004" s="66">
        <v>3418.4237839999996</v>
      </c>
      <c r="I1004" s="105">
        <v>0.1</v>
      </c>
      <c r="J1004" s="110">
        <f t="shared" si="62"/>
        <v>459.9</v>
      </c>
      <c r="K1004" s="110">
        <f t="shared" si="63"/>
        <v>396.4655172</v>
      </c>
      <c r="L1004" s="108">
        <v>63.0</v>
      </c>
      <c r="M1004" s="110">
        <f t="shared" si="64"/>
        <v>340.345216</v>
      </c>
      <c r="N1004" s="111">
        <f t="shared" si="65"/>
        <v>0.09956203136</v>
      </c>
      <c r="O1004" s="93"/>
      <c r="P1004" s="82"/>
    </row>
    <row r="1005">
      <c r="A1005" s="90" t="s">
        <v>4545</v>
      </c>
      <c r="B1005" s="90" t="s">
        <v>4546</v>
      </c>
      <c r="C1005" s="89"/>
      <c r="D1005" s="84">
        <v>18399.0</v>
      </c>
      <c r="E1005" s="83" t="s">
        <v>237</v>
      </c>
      <c r="F1005" s="84">
        <f t="shared" si="1"/>
        <v>1269.531</v>
      </c>
      <c r="G1005" s="84"/>
      <c r="H1005" s="84">
        <v>13740.36</v>
      </c>
      <c r="I1005" s="105">
        <v>0.1</v>
      </c>
      <c r="J1005" s="110">
        <f t="shared" si="62"/>
        <v>1839.9</v>
      </c>
      <c r="K1005" s="110">
        <f t="shared" si="63"/>
        <v>1586.12069</v>
      </c>
      <c r="L1005" s="84">
        <v>71.0</v>
      </c>
      <c r="M1005" s="110">
        <f t="shared" si="64"/>
        <v>1478.209</v>
      </c>
      <c r="N1005" s="111">
        <f t="shared" si="65"/>
        <v>0.1075815335</v>
      </c>
      <c r="O1005" s="93"/>
      <c r="P1005" s="82"/>
    </row>
    <row r="1006">
      <c r="A1006" s="90" t="s">
        <v>4547</v>
      </c>
      <c r="B1006" s="90" t="s">
        <v>4548</v>
      </c>
      <c r="C1006" s="89"/>
      <c r="D1006" s="84">
        <v>399.0</v>
      </c>
      <c r="E1006" s="83" t="s">
        <v>237</v>
      </c>
      <c r="F1006" s="84">
        <f t="shared" si="1"/>
        <v>27.531</v>
      </c>
      <c r="G1006" s="84"/>
      <c r="H1006" s="84">
        <v>226.48</v>
      </c>
      <c r="I1006" s="105">
        <v>0.15</v>
      </c>
      <c r="J1006" s="110">
        <f t="shared" si="62"/>
        <v>59.85</v>
      </c>
      <c r="K1006" s="110">
        <f t="shared" si="63"/>
        <v>51.59482759</v>
      </c>
      <c r="L1006" s="84">
        <v>51.0</v>
      </c>
      <c r="M1006" s="110">
        <f t="shared" si="64"/>
        <v>34.139</v>
      </c>
      <c r="N1006" s="111">
        <f t="shared" si="65"/>
        <v>0.150737372</v>
      </c>
      <c r="O1006" s="93"/>
      <c r="P1006" s="82"/>
    </row>
    <row r="1007">
      <c r="A1007" s="90" t="s">
        <v>4549</v>
      </c>
      <c r="B1007" s="90" t="s">
        <v>4550</v>
      </c>
      <c r="C1007" s="89"/>
      <c r="D1007" s="84">
        <v>369.0</v>
      </c>
      <c r="E1007" s="83" t="s">
        <v>237</v>
      </c>
      <c r="F1007" s="84">
        <f t="shared" si="1"/>
        <v>25.461</v>
      </c>
      <c r="G1007" s="84"/>
      <c r="H1007" s="84">
        <v>220.01</v>
      </c>
      <c r="I1007" s="105">
        <v>0.1</v>
      </c>
      <c r="J1007" s="110">
        <f t="shared" si="62"/>
        <v>36.9</v>
      </c>
      <c r="K1007" s="110">
        <f t="shared" si="63"/>
        <v>31.81034483</v>
      </c>
      <c r="L1007" s="84">
        <v>64.0</v>
      </c>
      <c r="M1007" s="110">
        <f t="shared" si="64"/>
        <v>22.629</v>
      </c>
      <c r="N1007" s="111">
        <f t="shared" si="65"/>
        <v>0.1028544157</v>
      </c>
      <c r="O1007" s="93"/>
      <c r="P1007" s="82"/>
    </row>
    <row r="1008">
      <c r="A1008" s="90" t="s">
        <v>4551</v>
      </c>
      <c r="B1008" s="90" t="s">
        <v>4552</v>
      </c>
      <c r="C1008" s="89"/>
      <c r="D1008" s="84">
        <v>1629.0</v>
      </c>
      <c r="E1008" s="83" t="s">
        <v>237</v>
      </c>
      <c r="F1008" s="84">
        <f t="shared" si="1"/>
        <v>112.401</v>
      </c>
      <c r="G1008" s="84"/>
      <c r="H1008" s="84">
        <v>1067.79</v>
      </c>
      <c r="I1008" s="105">
        <v>0.15</v>
      </c>
      <c r="J1008" s="110">
        <f t="shared" si="62"/>
        <v>244.35</v>
      </c>
      <c r="K1008" s="110">
        <f t="shared" si="63"/>
        <v>210.6465517</v>
      </c>
      <c r="L1008" s="84">
        <v>64.0</v>
      </c>
      <c r="M1008" s="110">
        <f t="shared" si="64"/>
        <v>140.459</v>
      </c>
      <c r="N1008" s="111">
        <f t="shared" si="65"/>
        <v>0.1315417826</v>
      </c>
      <c r="O1008" s="93"/>
      <c r="P1008" s="82"/>
    </row>
    <row r="1009">
      <c r="A1009" s="90" t="s">
        <v>4553</v>
      </c>
      <c r="B1009" s="90" t="s">
        <v>4554</v>
      </c>
      <c r="C1009" s="89"/>
      <c r="D1009" s="84">
        <v>1249.0</v>
      </c>
      <c r="E1009" s="83" t="s">
        <v>237</v>
      </c>
      <c r="F1009" s="84">
        <f t="shared" si="1"/>
        <v>86.181</v>
      </c>
      <c r="G1009" s="84"/>
      <c r="H1009" s="84">
        <v>920.0</v>
      </c>
      <c r="I1009" s="105">
        <v>0.1</v>
      </c>
      <c r="J1009" s="110">
        <f t="shared" si="62"/>
        <v>124.9</v>
      </c>
      <c r="K1009" s="110">
        <f t="shared" si="63"/>
        <v>107.6724138</v>
      </c>
      <c r="L1009" s="84">
        <v>71.0</v>
      </c>
      <c r="M1009" s="110">
        <f t="shared" si="64"/>
        <v>46.919</v>
      </c>
      <c r="N1009" s="111">
        <f t="shared" si="65"/>
        <v>0.05099891304</v>
      </c>
      <c r="O1009" s="93"/>
      <c r="P1009" s="82"/>
    </row>
    <row r="1010">
      <c r="A1010" s="89"/>
      <c r="B1010" s="90" t="s">
        <v>4555</v>
      </c>
      <c r="C1010" s="89"/>
      <c r="D1010" s="84">
        <v>499.0</v>
      </c>
      <c r="E1010" s="83"/>
      <c r="F1010" s="84">
        <f t="shared" si="1"/>
        <v>34.431</v>
      </c>
      <c r="G1010" s="84"/>
      <c r="H1010" s="84">
        <v>229.68</v>
      </c>
      <c r="I1010" s="105">
        <v>0.15</v>
      </c>
      <c r="J1010" s="110">
        <f t="shared" si="62"/>
        <v>74.85</v>
      </c>
      <c r="K1010" s="110">
        <f t="shared" si="63"/>
        <v>64.52586207</v>
      </c>
      <c r="L1010" s="84">
        <v>80.0</v>
      </c>
      <c r="M1010" s="110">
        <f t="shared" si="64"/>
        <v>80.039</v>
      </c>
      <c r="N1010" s="111">
        <f t="shared" si="65"/>
        <v>0.3484804946</v>
      </c>
      <c r="O1010" s="93"/>
      <c r="P1010" s="82"/>
    </row>
    <row r="1011">
      <c r="A1011" s="89"/>
      <c r="B1011" s="90" t="s">
        <v>4556</v>
      </c>
      <c r="C1011" s="89"/>
      <c r="D1011" s="84">
        <v>499.0</v>
      </c>
      <c r="E1011" s="83"/>
      <c r="F1011" s="84">
        <f t="shared" si="1"/>
        <v>34.431</v>
      </c>
      <c r="G1011" s="84"/>
      <c r="H1011" s="84">
        <v>229.68</v>
      </c>
      <c r="I1011" s="105">
        <v>0.15</v>
      </c>
      <c r="J1011" s="110">
        <f t="shared" si="62"/>
        <v>74.85</v>
      </c>
      <c r="K1011" s="110">
        <f t="shared" si="63"/>
        <v>64.52586207</v>
      </c>
      <c r="L1011" s="84">
        <v>80.0</v>
      </c>
      <c r="M1011" s="110">
        <f t="shared" si="64"/>
        <v>80.039</v>
      </c>
      <c r="N1011" s="111">
        <f t="shared" si="65"/>
        <v>0.3484804946</v>
      </c>
      <c r="O1011" s="93"/>
      <c r="P1011" s="82"/>
    </row>
    <row r="1012">
      <c r="A1012" s="89"/>
      <c r="B1012" s="90" t="s">
        <v>4557</v>
      </c>
      <c r="C1012" s="89"/>
      <c r="D1012" s="84">
        <v>399.0</v>
      </c>
      <c r="E1012" s="83"/>
      <c r="F1012" s="84">
        <f t="shared" si="1"/>
        <v>27.531</v>
      </c>
      <c r="G1012" s="84"/>
      <c r="H1012" s="84">
        <v>118.8</v>
      </c>
      <c r="I1012" s="105">
        <v>0.15</v>
      </c>
      <c r="J1012" s="110">
        <f t="shared" si="62"/>
        <v>59.85</v>
      </c>
      <c r="K1012" s="110">
        <f t="shared" si="63"/>
        <v>51.59482759</v>
      </c>
      <c r="L1012" s="84">
        <v>77.0</v>
      </c>
      <c r="M1012" s="110">
        <f t="shared" si="64"/>
        <v>115.819</v>
      </c>
      <c r="N1012" s="111">
        <f t="shared" si="65"/>
        <v>0.9749074074</v>
      </c>
      <c r="O1012" s="93"/>
      <c r="P1012" s="82"/>
    </row>
    <row r="1013">
      <c r="A1013" s="89"/>
      <c r="B1013" s="90" t="s">
        <v>4558</v>
      </c>
      <c r="C1013" s="89"/>
      <c r="D1013" s="84">
        <v>499.0</v>
      </c>
      <c r="E1013" s="83"/>
      <c r="F1013" s="84">
        <f t="shared" si="1"/>
        <v>34.431</v>
      </c>
      <c r="G1013" s="84"/>
      <c r="H1013" s="84">
        <v>229.68</v>
      </c>
      <c r="I1013" s="105">
        <v>0.15</v>
      </c>
      <c r="J1013" s="110">
        <f t="shared" si="62"/>
        <v>74.85</v>
      </c>
      <c r="K1013" s="110">
        <f t="shared" si="63"/>
        <v>64.52586207</v>
      </c>
      <c r="L1013" s="84">
        <v>90.0</v>
      </c>
      <c r="M1013" s="110">
        <f t="shared" si="64"/>
        <v>70.039</v>
      </c>
      <c r="N1013" s="111">
        <f t="shared" si="65"/>
        <v>0.304941658</v>
      </c>
      <c r="O1013" s="93"/>
      <c r="P1013" s="82"/>
    </row>
    <row r="1014">
      <c r="A1014" s="89"/>
      <c r="B1014" s="90" t="s">
        <v>4559</v>
      </c>
      <c r="C1014" s="89"/>
      <c r="D1014" s="84">
        <v>599.0</v>
      </c>
      <c r="E1014" s="83"/>
      <c r="F1014" s="84">
        <f t="shared" si="1"/>
        <v>41.331</v>
      </c>
      <c r="G1014" s="84"/>
      <c r="H1014" s="84">
        <v>348.21</v>
      </c>
      <c r="I1014" s="105">
        <v>0.15</v>
      </c>
      <c r="J1014" s="110">
        <f t="shared" si="62"/>
        <v>89.85</v>
      </c>
      <c r="K1014" s="110">
        <f t="shared" si="63"/>
        <v>77.45689655</v>
      </c>
      <c r="L1014" s="84">
        <v>86.0</v>
      </c>
      <c r="M1014" s="110">
        <f t="shared" si="64"/>
        <v>33.609</v>
      </c>
      <c r="N1014" s="111">
        <f t="shared" si="65"/>
        <v>0.09651934178</v>
      </c>
      <c r="O1014" s="93"/>
      <c r="P1014" s="82"/>
    </row>
    <row r="1015">
      <c r="A1015" s="89"/>
      <c r="B1015" s="90" t="s">
        <v>4560</v>
      </c>
      <c r="C1015" s="89"/>
      <c r="D1015" s="84">
        <v>699.0</v>
      </c>
      <c r="E1015" s="83"/>
      <c r="F1015" s="84">
        <f t="shared" si="1"/>
        <v>48.231</v>
      </c>
      <c r="G1015" s="84"/>
      <c r="H1015" s="84">
        <v>399.83</v>
      </c>
      <c r="I1015" s="105">
        <v>0.15</v>
      </c>
      <c r="J1015" s="110">
        <f t="shared" si="62"/>
        <v>104.85</v>
      </c>
      <c r="K1015" s="110">
        <f t="shared" si="63"/>
        <v>90.38793103</v>
      </c>
      <c r="L1015" s="84">
        <v>86.0</v>
      </c>
      <c r="M1015" s="110">
        <f t="shared" si="64"/>
        <v>60.089</v>
      </c>
      <c r="N1015" s="111">
        <f t="shared" si="65"/>
        <v>0.1502863717</v>
      </c>
      <c r="O1015" s="93"/>
      <c r="P1015" s="82"/>
    </row>
    <row r="1016">
      <c r="A1016" s="89"/>
      <c r="B1016" s="90" t="s">
        <v>4561</v>
      </c>
      <c r="C1016" s="89"/>
      <c r="D1016" s="84">
        <v>699.0</v>
      </c>
      <c r="E1016" s="83"/>
      <c r="F1016" s="84">
        <f t="shared" si="1"/>
        <v>48.231</v>
      </c>
      <c r="G1016" s="84"/>
      <c r="H1016" s="84">
        <v>383.99</v>
      </c>
      <c r="I1016" s="105">
        <v>0.15</v>
      </c>
      <c r="J1016" s="110">
        <f t="shared" si="62"/>
        <v>104.85</v>
      </c>
      <c r="K1016" s="110">
        <f t="shared" si="63"/>
        <v>90.38793103</v>
      </c>
      <c r="L1016" s="84">
        <v>86.0</v>
      </c>
      <c r="M1016" s="110">
        <f t="shared" si="64"/>
        <v>75.929</v>
      </c>
      <c r="N1016" s="111">
        <f t="shared" si="65"/>
        <v>0.1977369202</v>
      </c>
      <c r="O1016" s="93"/>
      <c r="P1016" s="82"/>
    </row>
    <row r="1017">
      <c r="A1017" s="89" t="s">
        <v>4562</v>
      </c>
      <c r="B1017" s="89" t="s">
        <v>4563</v>
      </c>
      <c r="C1017" s="94" t="s">
        <v>4564</v>
      </c>
      <c r="D1017" s="82">
        <v>929.0</v>
      </c>
      <c r="E1017" s="83" t="s">
        <v>237</v>
      </c>
      <c r="F1017" s="84">
        <f t="shared" si="1"/>
        <v>64.101</v>
      </c>
      <c r="G1017" s="84"/>
      <c r="H1017" s="82">
        <v>610.0</v>
      </c>
      <c r="I1017" s="91">
        <v>0.12</v>
      </c>
      <c r="J1017" s="85">
        <f t="shared" si="62"/>
        <v>111.48</v>
      </c>
      <c r="K1017" s="85">
        <f t="shared" si="63"/>
        <v>96.10344828</v>
      </c>
      <c r="L1017" s="82">
        <v>70.0</v>
      </c>
      <c r="M1017" s="85">
        <f t="shared" si="64"/>
        <v>73.419</v>
      </c>
      <c r="N1017" s="86">
        <f t="shared" si="65"/>
        <v>0.1203590164</v>
      </c>
      <c r="O1017" s="86"/>
      <c r="P1017" s="82"/>
    </row>
    <row r="1018">
      <c r="A1018" s="90" t="s">
        <v>4565</v>
      </c>
      <c r="B1018" s="90" t="s">
        <v>4566</v>
      </c>
      <c r="C1018" s="90" t="s">
        <v>4567</v>
      </c>
      <c r="D1018" s="84">
        <v>2230.0</v>
      </c>
      <c r="E1018" s="83" t="s">
        <v>237</v>
      </c>
      <c r="F1018" s="84">
        <f t="shared" si="1"/>
        <v>153.87</v>
      </c>
      <c r="G1018" s="84"/>
      <c r="H1018" s="84">
        <v>1590.0</v>
      </c>
      <c r="I1018" s="91">
        <v>0.1</v>
      </c>
      <c r="J1018" s="85">
        <f t="shared" si="62"/>
        <v>223</v>
      </c>
      <c r="K1018" s="85">
        <f t="shared" si="63"/>
        <v>192.2413793</v>
      </c>
      <c r="L1018" s="82">
        <v>100.0</v>
      </c>
      <c r="M1018" s="85">
        <f t="shared" si="64"/>
        <v>163.13</v>
      </c>
      <c r="N1018" s="86">
        <f t="shared" si="65"/>
        <v>0.1025974843</v>
      </c>
      <c r="O1018" s="86"/>
      <c r="P1018" s="82"/>
    </row>
    <row r="1019">
      <c r="A1019" s="90" t="s">
        <v>1704</v>
      </c>
      <c r="B1019" s="90" t="s">
        <v>4568</v>
      </c>
      <c r="C1019" s="90" t="s">
        <v>4569</v>
      </c>
      <c r="D1019" s="84">
        <v>449.0</v>
      </c>
      <c r="E1019" s="83" t="s">
        <v>237</v>
      </c>
      <c r="F1019" s="84">
        <f t="shared" si="1"/>
        <v>30.981</v>
      </c>
      <c r="G1019" s="84"/>
      <c r="H1019" s="84">
        <v>270.0</v>
      </c>
      <c r="I1019" s="91">
        <v>0.15</v>
      </c>
      <c r="J1019" s="85">
        <f t="shared" si="62"/>
        <v>67.35</v>
      </c>
      <c r="K1019" s="85">
        <f t="shared" si="63"/>
        <v>58.06034483</v>
      </c>
      <c r="L1019" s="82">
        <v>50.0</v>
      </c>
      <c r="M1019" s="85">
        <f t="shared" si="64"/>
        <v>30.669</v>
      </c>
      <c r="N1019" s="86">
        <f t="shared" si="65"/>
        <v>0.1135888889</v>
      </c>
      <c r="O1019" s="86"/>
      <c r="P1019" s="82"/>
    </row>
    <row r="1020">
      <c r="A1020" s="90" t="s">
        <v>4570</v>
      </c>
      <c r="B1020" s="90" t="s">
        <v>4571</v>
      </c>
      <c r="C1020" s="89"/>
      <c r="D1020" s="84">
        <v>2467.0</v>
      </c>
      <c r="E1020" s="83" t="s">
        <v>237</v>
      </c>
      <c r="F1020" s="84">
        <f t="shared" si="1"/>
        <v>170.223</v>
      </c>
      <c r="G1020" s="84"/>
      <c r="H1020" s="84">
        <v>1900.66</v>
      </c>
      <c r="I1020" s="91">
        <v>0.1</v>
      </c>
      <c r="J1020" s="85">
        <f t="shared" si="62"/>
        <v>246.7</v>
      </c>
      <c r="K1020" s="85">
        <f t="shared" si="63"/>
        <v>212.6724138</v>
      </c>
      <c r="L1020" s="84">
        <v>75.0</v>
      </c>
      <c r="M1020" s="85">
        <f t="shared" si="64"/>
        <v>74.417</v>
      </c>
      <c r="N1020" s="93">
        <f t="shared" si="65"/>
        <v>0.03915324151</v>
      </c>
      <c r="O1020" s="93"/>
      <c r="P1020" s="82"/>
    </row>
    <row r="1021">
      <c r="A1021" s="90" t="s">
        <v>4572</v>
      </c>
      <c r="B1021" s="90" t="s">
        <v>4573</v>
      </c>
      <c r="C1021" s="90" t="s">
        <v>4574</v>
      </c>
      <c r="D1021" s="84">
        <v>499.0</v>
      </c>
      <c r="E1021" s="83" t="s">
        <v>4575</v>
      </c>
      <c r="F1021" s="84">
        <f t="shared" si="1"/>
        <v>34.431</v>
      </c>
      <c r="G1021" s="84"/>
      <c r="H1021" s="84">
        <v>301.91</v>
      </c>
      <c r="I1021" s="114">
        <v>0.099</v>
      </c>
      <c r="J1021" s="85">
        <f t="shared" si="62"/>
        <v>49.401</v>
      </c>
      <c r="K1021" s="85">
        <f t="shared" si="63"/>
        <v>42.58706897</v>
      </c>
      <c r="L1021" s="82">
        <v>77.4</v>
      </c>
      <c r="M1021" s="85">
        <f t="shared" si="64"/>
        <v>35.858</v>
      </c>
      <c r="N1021" s="86">
        <f t="shared" si="65"/>
        <v>0.1187704945</v>
      </c>
      <c r="O1021" s="86"/>
      <c r="P1021" s="82"/>
    </row>
    <row r="1022">
      <c r="A1022" s="90" t="s">
        <v>4576</v>
      </c>
      <c r="B1022" s="90" t="s">
        <v>4577</v>
      </c>
      <c r="C1022" s="89"/>
      <c r="D1022" s="84">
        <v>1169.0</v>
      </c>
      <c r="E1022" s="83" t="s">
        <v>4575</v>
      </c>
      <c r="F1022" s="84">
        <f t="shared" si="1"/>
        <v>80.661</v>
      </c>
      <c r="G1022" s="84"/>
      <c r="H1022" s="84">
        <v>841.41</v>
      </c>
      <c r="I1022" s="114">
        <v>0.099</v>
      </c>
      <c r="J1022" s="85">
        <f t="shared" si="62"/>
        <v>115.731</v>
      </c>
      <c r="K1022" s="85">
        <f t="shared" si="63"/>
        <v>99.76810345</v>
      </c>
      <c r="L1022" s="82">
        <v>64.0</v>
      </c>
      <c r="M1022" s="85">
        <f t="shared" si="64"/>
        <v>67.198</v>
      </c>
      <c r="N1022" s="86">
        <f t="shared" si="65"/>
        <v>0.07986356235</v>
      </c>
      <c r="O1022" s="86"/>
      <c r="P1022" s="82"/>
    </row>
    <row r="1023">
      <c r="A1023" s="90" t="s">
        <v>4578</v>
      </c>
      <c r="B1023" s="90" t="s">
        <v>4579</v>
      </c>
      <c r="C1023" s="89"/>
      <c r="D1023" s="84">
        <v>369.0</v>
      </c>
      <c r="E1023" s="83" t="s">
        <v>4575</v>
      </c>
      <c r="F1023" s="84">
        <f t="shared" si="1"/>
        <v>25.461</v>
      </c>
      <c r="G1023" s="84"/>
      <c r="H1023" s="84">
        <v>206.47</v>
      </c>
      <c r="I1023" s="114">
        <v>0.099</v>
      </c>
      <c r="J1023" s="85">
        <f t="shared" si="62"/>
        <v>36.531</v>
      </c>
      <c r="K1023" s="85">
        <f t="shared" si="63"/>
        <v>31.49224138</v>
      </c>
      <c r="L1023" s="84">
        <v>63.0</v>
      </c>
      <c r="M1023" s="85">
        <f t="shared" si="64"/>
        <v>37.538</v>
      </c>
      <c r="N1023" s="93">
        <f t="shared" si="65"/>
        <v>0.1818084952</v>
      </c>
      <c r="O1023" s="93"/>
      <c r="P1023" s="82"/>
    </row>
    <row r="1024">
      <c r="A1024" s="101" t="s">
        <v>4580</v>
      </c>
      <c r="B1024" s="102" t="s">
        <v>4581</v>
      </c>
      <c r="C1024" s="89"/>
      <c r="D1024" s="84">
        <v>1149.0</v>
      </c>
      <c r="E1024" s="83" t="s">
        <v>4575</v>
      </c>
      <c r="F1024" s="84">
        <f t="shared" si="1"/>
        <v>79.281</v>
      </c>
      <c r="G1024" s="84"/>
      <c r="H1024" s="84">
        <v>780.0</v>
      </c>
      <c r="I1024" s="114">
        <v>0.084</v>
      </c>
      <c r="J1024" s="85">
        <f t="shared" si="62"/>
        <v>96.516</v>
      </c>
      <c r="K1024" s="85">
        <f t="shared" si="63"/>
        <v>83.20344828</v>
      </c>
      <c r="L1024" s="84">
        <v>63.0</v>
      </c>
      <c r="M1024" s="85">
        <f t="shared" si="64"/>
        <v>130.203</v>
      </c>
      <c r="N1024" s="93">
        <f t="shared" si="65"/>
        <v>0.1669269231</v>
      </c>
      <c r="O1024" s="87">
        <f>D1024-F1024-G1024-J1024-L1024</f>
        <v>910.203</v>
      </c>
      <c r="P1024" s="82" t="s">
        <v>4472</v>
      </c>
    </row>
    <row r="1025">
      <c r="A1025" s="90" t="s">
        <v>4582</v>
      </c>
      <c r="B1025" s="90" t="s">
        <v>4583</v>
      </c>
      <c r="C1025" s="89"/>
      <c r="D1025" s="84">
        <v>1249.0</v>
      </c>
      <c r="E1025" s="83" t="s">
        <v>4575</v>
      </c>
      <c r="F1025" s="84">
        <f t="shared" si="1"/>
        <v>86.181</v>
      </c>
      <c r="G1025" s="84"/>
      <c r="H1025" s="84">
        <v>961.62</v>
      </c>
      <c r="I1025" s="114">
        <v>0.099</v>
      </c>
      <c r="J1025" s="85">
        <f t="shared" si="62"/>
        <v>123.651</v>
      </c>
      <c r="K1025" s="85">
        <f t="shared" si="63"/>
        <v>106.5956897</v>
      </c>
      <c r="L1025" s="82">
        <v>64.0</v>
      </c>
      <c r="M1025" s="85">
        <f t="shared" si="64"/>
        <v>13.548</v>
      </c>
      <c r="N1025" s="86">
        <f t="shared" si="65"/>
        <v>0.01408872528</v>
      </c>
      <c r="O1025" s="86"/>
      <c r="P1025" s="82"/>
    </row>
    <row r="1026">
      <c r="A1026" s="90" t="s">
        <v>4584</v>
      </c>
      <c r="B1026" s="90" t="s">
        <v>4585</v>
      </c>
      <c r="C1026" s="94" t="s">
        <v>4586</v>
      </c>
      <c r="D1026" s="84">
        <v>2170.0</v>
      </c>
      <c r="E1026" s="83" t="s">
        <v>4575</v>
      </c>
      <c r="F1026" s="84">
        <f t="shared" si="1"/>
        <v>149.73</v>
      </c>
      <c r="G1026" s="84"/>
      <c r="H1026" s="84">
        <v>1360.0</v>
      </c>
      <c r="I1026" s="114">
        <v>0.099</v>
      </c>
      <c r="J1026" s="85">
        <f t="shared" si="62"/>
        <v>214.83</v>
      </c>
      <c r="K1026" s="85">
        <f t="shared" si="63"/>
        <v>185.1982759</v>
      </c>
      <c r="L1026" s="82">
        <v>111.0</v>
      </c>
      <c r="M1026" s="85">
        <f t="shared" si="64"/>
        <v>334.44</v>
      </c>
      <c r="N1026" s="86">
        <f t="shared" si="65"/>
        <v>0.2459117647</v>
      </c>
      <c r="O1026" s="86"/>
      <c r="P1026" s="82"/>
    </row>
    <row r="1027">
      <c r="A1027" s="90" t="s">
        <v>4587</v>
      </c>
      <c r="B1027" s="90" t="s">
        <v>4588</v>
      </c>
      <c r="C1027" s="90" t="s">
        <v>4589</v>
      </c>
      <c r="D1027" s="84">
        <v>1379.0</v>
      </c>
      <c r="E1027" s="83" t="s">
        <v>4575</v>
      </c>
      <c r="F1027" s="84">
        <f t="shared" si="1"/>
        <v>95.151</v>
      </c>
      <c r="G1027" s="84"/>
      <c r="H1027" s="84">
        <v>833.66</v>
      </c>
      <c r="I1027" s="114">
        <v>0.07</v>
      </c>
      <c r="J1027" s="85">
        <f t="shared" si="62"/>
        <v>96.53</v>
      </c>
      <c r="K1027" s="85">
        <f t="shared" si="63"/>
        <v>83.21551724</v>
      </c>
      <c r="L1027" s="84">
        <v>66.0</v>
      </c>
      <c r="M1027" s="85">
        <f t="shared" si="64"/>
        <v>287.659</v>
      </c>
      <c r="N1027" s="93">
        <f t="shared" si="65"/>
        <v>0.3450555382</v>
      </c>
      <c r="O1027" s="93"/>
      <c r="P1027" s="82" t="s">
        <v>1660</v>
      </c>
    </row>
    <row r="1028">
      <c r="A1028" s="89" t="s">
        <v>4590</v>
      </c>
      <c r="B1028" s="89" t="s">
        <v>4591</v>
      </c>
      <c r="C1028" s="94" t="s">
        <v>4592</v>
      </c>
      <c r="D1028" s="82">
        <v>1199.0</v>
      </c>
      <c r="E1028" s="83" t="s">
        <v>4575</v>
      </c>
      <c r="F1028" s="84">
        <f t="shared" si="1"/>
        <v>82.731</v>
      </c>
      <c r="G1028" s="84"/>
      <c r="H1028" s="82">
        <v>763.0</v>
      </c>
      <c r="I1028" s="114">
        <v>0.099</v>
      </c>
      <c r="J1028" s="85">
        <f t="shared" si="62"/>
        <v>118.701</v>
      </c>
      <c r="K1028" s="85">
        <f t="shared" si="63"/>
        <v>102.3284483</v>
      </c>
      <c r="L1028" s="82">
        <v>63.21</v>
      </c>
      <c r="M1028" s="85">
        <f t="shared" si="64"/>
        <v>171.358</v>
      </c>
      <c r="N1028" s="86">
        <f t="shared" si="65"/>
        <v>0.2245845347</v>
      </c>
      <c r="O1028" s="86"/>
      <c r="P1028" s="82"/>
    </row>
    <row r="1029">
      <c r="A1029" s="90" t="s">
        <v>4593</v>
      </c>
      <c r="B1029" s="90" t="s">
        <v>4594</v>
      </c>
      <c r="C1029" s="89"/>
      <c r="D1029" s="84">
        <v>1363.0</v>
      </c>
      <c r="E1029" s="83" t="s">
        <v>4575</v>
      </c>
      <c r="F1029" s="84">
        <f t="shared" si="1"/>
        <v>94.047</v>
      </c>
      <c r="G1029" s="84"/>
      <c r="H1029" s="84">
        <v>950.0</v>
      </c>
      <c r="I1029" s="105">
        <v>0.07</v>
      </c>
      <c r="J1029" s="85">
        <f t="shared" si="62"/>
        <v>95.41</v>
      </c>
      <c r="K1029" s="85">
        <f t="shared" si="63"/>
        <v>82.25</v>
      </c>
      <c r="L1029" s="84">
        <v>66.0</v>
      </c>
      <c r="M1029" s="85">
        <f t="shared" si="64"/>
        <v>157.543</v>
      </c>
      <c r="N1029" s="93">
        <f t="shared" si="65"/>
        <v>0.1658347368</v>
      </c>
      <c r="O1029" s="93"/>
      <c r="P1029" s="82"/>
    </row>
    <row r="1030">
      <c r="A1030" s="90" t="s">
        <v>4595</v>
      </c>
      <c r="B1030" s="90" t="s">
        <v>4596</v>
      </c>
      <c r="C1030" s="89"/>
      <c r="D1030" s="84">
        <v>933.0</v>
      </c>
      <c r="E1030" s="83" t="s">
        <v>4575</v>
      </c>
      <c r="F1030" s="84">
        <f t="shared" si="1"/>
        <v>64.377</v>
      </c>
      <c r="G1030" s="84"/>
      <c r="H1030" s="84">
        <v>696.64</v>
      </c>
      <c r="I1030" s="114">
        <v>0.0666</v>
      </c>
      <c r="J1030" s="85">
        <f t="shared" si="62"/>
        <v>62.1378</v>
      </c>
      <c r="K1030" s="85">
        <f t="shared" si="63"/>
        <v>53.56706897</v>
      </c>
      <c r="L1030" s="82">
        <v>66.0</v>
      </c>
      <c r="M1030" s="85">
        <f t="shared" si="64"/>
        <v>43.8452</v>
      </c>
      <c r="N1030" s="86">
        <f t="shared" si="65"/>
        <v>0.06293810289</v>
      </c>
      <c r="O1030" s="86"/>
      <c r="P1030" s="82"/>
    </row>
    <row r="1031">
      <c r="A1031" s="90" t="s">
        <v>4597</v>
      </c>
      <c r="B1031" s="90" t="s">
        <v>4598</v>
      </c>
      <c r="C1031" s="89"/>
      <c r="D1031" s="84">
        <v>339.0</v>
      </c>
      <c r="E1031" s="83" t="s">
        <v>4575</v>
      </c>
      <c r="F1031" s="84">
        <f t="shared" si="1"/>
        <v>23.391</v>
      </c>
      <c r="G1031" s="84"/>
      <c r="H1031" s="84">
        <v>210.0</v>
      </c>
      <c r="I1031" s="114">
        <v>0.0666</v>
      </c>
      <c r="J1031" s="85">
        <f t="shared" si="62"/>
        <v>22.5774</v>
      </c>
      <c r="K1031" s="85">
        <f t="shared" si="63"/>
        <v>19.46327586</v>
      </c>
      <c r="L1031" s="84">
        <v>67.0</v>
      </c>
      <c r="M1031" s="85">
        <f t="shared" si="64"/>
        <v>16.0316</v>
      </c>
      <c r="N1031" s="86">
        <f t="shared" si="65"/>
        <v>0.07634095238</v>
      </c>
      <c r="O1031" s="86"/>
      <c r="P1031" s="82" t="s">
        <v>1660</v>
      </c>
    </row>
    <row r="1032">
      <c r="A1032" s="90" t="s">
        <v>4599</v>
      </c>
      <c r="B1032" s="90" t="s">
        <v>4600</v>
      </c>
      <c r="C1032" s="89"/>
      <c r="D1032" s="84">
        <v>369.0</v>
      </c>
      <c r="E1032" s="83" t="s">
        <v>4575</v>
      </c>
      <c r="F1032" s="84">
        <f t="shared" si="1"/>
        <v>25.461</v>
      </c>
      <c r="G1032" s="84"/>
      <c r="H1032" s="84">
        <v>218.0</v>
      </c>
      <c r="I1032" s="114">
        <v>0.0666</v>
      </c>
      <c r="J1032" s="85">
        <f t="shared" si="62"/>
        <v>24.5754</v>
      </c>
      <c r="K1032" s="85">
        <f t="shared" si="63"/>
        <v>21.18568966</v>
      </c>
      <c r="L1032" s="84">
        <v>52.0</v>
      </c>
      <c r="M1032" s="85">
        <f t="shared" si="64"/>
        <v>48.9636</v>
      </c>
      <c r="N1032" s="93">
        <f t="shared" si="65"/>
        <v>0.2246036697</v>
      </c>
      <c r="O1032" s="93"/>
      <c r="P1032" s="82"/>
    </row>
    <row r="1033">
      <c r="A1033" s="90" t="s">
        <v>4601</v>
      </c>
      <c r="B1033" s="90" t="s">
        <v>4602</v>
      </c>
      <c r="C1033" s="89"/>
      <c r="D1033" s="84">
        <v>849.0</v>
      </c>
      <c r="E1033" s="83" t="s">
        <v>4575</v>
      </c>
      <c r="F1033" s="84">
        <f t="shared" si="1"/>
        <v>58.581</v>
      </c>
      <c r="G1033" s="84"/>
      <c r="H1033" s="84">
        <v>467.18</v>
      </c>
      <c r="I1033" s="114">
        <v>0.0659</v>
      </c>
      <c r="J1033" s="85">
        <f t="shared" si="62"/>
        <v>55.9491</v>
      </c>
      <c r="K1033" s="85">
        <f t="shared" si="63"/>
        <v>48.23198276</v>
      </c>
      <c r="L1033" s="84">
        <v>62.0</v>
      </c>
      <c r="M1033" s="85">
        <f t="shared" si="64"/>
        <v>205.2899</v>
      </c>
      <c r="N1033" s="93">
        <f t="shared" si="65"/>
        <v>0.4394235627</v>
      </c>
      <c r="O1033" s="93"/>
      <c r="P1033" s="82"/>
    </row>
    <row r="1034">
      <c r="A1034" s="90" t="s">
        <v>4603</v>
      </c>
      <c r="B1034" s="90" t="s">
        <v>4604</v>
      </c>
      <c r="C1034" s="90"/>
      <c r="D1034" s="84">
        <v>5299.0</v>
      </c>
      <c r="E1034" s="83" t="s">
        <v>4575</v>
      </c>
      <c r="F1034" s="84">
        <f t="shared" si="1"/>
        <v>365.631</v>
      </c>
      <c r="G1034" s="84"/>
      <c r="H1034" s="84">
        <v>3742.79</v>
      </c>
      <c r="I1034" s="114">
        <v>0.0659</v>
      </c>
      <c r="J1034" s="85">
        <f t="shared" si="62"/>
        <v>349.2041</v>
      </c>
      <c r="K1034" s="85">
        <f t="shared" si="63"/>
        <v>301.0380172</v>
      </c>
      <c r="L1034" s="82">
        <v>114.0</v>
      </c>
      <c r="M1034" s="85">
        <f t="shared" si="64"/>
        <v>727.3749</v>
      </c>
      <c r="N1034" s="86">
        <f t="shared" si="65"/>
        <v>0.1943402916</v>
      </c>
      <c r="O1034" s="86"/>
      <c r="P1034" s="82"/>
    </row>
    <row r="1035">
      <c r="A1035" s="90" t="s">
        <v>4260</v>
      </c>
      <c r="B1035" s="90" t="s">
        <v>4605</v>
      </c>
      <c r="C1035" s="89"/>
      <c r="D1035" s="84">
        <v>899.0</v>
      </c>
      <c r="E1035" s="83" t="s">
        <v>4575</v>
      </c>
      <c r="F1035" s="84">
        <f t="shared" si="1"/>
        <v>62.031</v>
      </c>
      <c r="G1035" s="84"/>
      <c r="H1035" s="84">
        <v>611.71</v>
      </c>
      <c r="I1035" s="114">
        <v>0.0659</v>
      </c>
      <c r="J1035" s="85">
        <f t="shared" si="62"/>
        <v>59.2441</v>
      </c>
      <c r="K1035" s="85">
        <f t="shared" si="63"/>
        <v>51.0725</v>
      </c>
      <c r="L1035" s="84">
        <v>71.0</v>
      </c>
      <c r="M1035" s="85">
        <f t="shared" si="64"/>
        <v>95.0149</v>
      </c>
      <c r="N1035" s="93">
        <f t="shared" si="65"/>
        <v>0.1553267071</v>
      </c>
      <c r="O1035" s="93"/>
      <c r="P1035" s="82"/>
    </row>
    <row r="1036">
      <c r="A1036" s="90" t="s">
        <v>4606</v>
      </c>
      <c r="B1036" s="90" t="s">
        <v>4607</v>
      </c>
      <c r="C1036" s="89"/>
      <c r="D1036" s="84">
        <v>5099.0</v>
      </c>
      <c r="E1036" s="83" t="s">
        <v>4575</v>
      </c>
      <c r="F1036" s="84">
        <f t="shared" si="1"/>
        <v>351.831</v>
      </c>
      <c r="G1036" s="84"/>
      <c r="H1036" s="84">
        <v>5150.73</v>
      </c>
      <c r="I1036" s="114">
        <v>0.0705</v>
      </c>
      <c r="J1036" s="85">
        <f t="shared" si="62"/>
        <v>359.4795</v>
      </c>
      <c r="K1036" s="85">
        <f t="shared" si="63"/>
        <v>309.8961207</v>
      </c>
      <c r="L1036" s="82">
        <v>71.0</v>
      </c>
      <c r="M1036" s="85">
        <f t="shared" si="64"/>
        <v>-834.0405</v>
      </c>
      <c r="N1036" s="86">
        <f t="shared" si="65"/>
        <v>-0.1619266589</v>
      </c>
      <c r="O1036" s="86"/>
      <c r="P1036" s="82"/>
    </row>
    <row r="1037">
      <c r="A1037" s="90" t="s">
        <v>4608</v>
      </c>
      <c r="B1037" s="90" t="s">
        <v>4609</v>
      </c>
      <c r="C1037" s="89"/>
      <c r="D1037" s="84">
        <v>345.0</v>
      </c>
      <c r="E1037" s="83" t="s">
        <v>4575</v>
      </c>
      <c r="F1037" s="84">
        <f t="shared" si="1"/>
        <v>23.805</v>
      </c>
      <c r="G1037" s="84"/>
      <c r="H1037" s="84">
        <v>218.0</v>
      </c>
      <c r="I1037" s="114">
        <v>0.0666</v>
      </c>
      <c r="J1037" s="85">
        <f t="shared" si="62"/>
        <v>22.977</v>
      </c>
      <c r="K1037" s="85">
        <f t="shared" si="63"/>
        <v>19.80775862</v>
      </c>
      <c r="L1037" s="84">
        <v>52.0</v>
      </c>
      <c r="M1037" s="85">
        <f t="shared" si="64"/>
        <v>28.218</v>
      </c>
      <c r="N1037" s="93">
        <f t="shared" si="65"/>
        <v>0.129440367</v>
      </c>
      <c r="O1037" s="93"/>
      <c r="P1037" s="82"/>
    </row>
    <row r="1038">
      <c r="A1038" s="90" t="s">
        <v>3941</v>
      </c>
      <c r="B1038" s="90" t="s">
        <v>4610</v>
      </c>
      <c r="C1038" s="90" t="s">
        <v>4611</v>
      </c>
      <c r="D1038" s="115">
        <v>489.0</v>
      </c>
      <c r="E1038" s="83" t="s">
        <v>4575</v>
      </c>
      <c r="F1038" s="84">
        <f t="shared" si="1"/>
        <v>33.741</v>
      </c>
      <c r="G1038" s="84"/>
      <c r="H1038" s="84">
        <v>309.62</v>
      </c>
      <c r="I1038" s="114">
        <v>0.097</v>
      </c>
      <c r="J1038" s="85">
        <f t="shared" si="62"/>
        <v>47.433</v>
      </c>
      <c r="K1038" s="85">
        <f t="shared" si="63"/>
        <v>40.89051724</v>
      </c>
      <c r="L1038" s="82">
        <v>61.8</v>
      </c>
      <c r="M1038" s="85">
        <f t="shared" si="64"/>
        <v>36.406</v>
      </c>
      <c r="N1038" s="86">
        <f t="shared" si="65"/>
        <v>0.1175828435</v>
      </c>
      <c r="O1038" s="86"/>
      <c r="P1038" s="82"/>
    </row>
    <row r="1039">
      <c r="A1039" s="90" t="s">
        <v>4612</v>
      </c>
      <c r="B1039" s="90" t="s">
        <v>4613</v>
      </c>
      <c r="C1039" s="89"/>
      <c r="D1039" s="84">
        <v>999.0</v>
      </c>
      <c r="E1039" s="83" t="s">
        <v>4575</v>
      </c>
      <c r="F1039" s="84">
        <f t="shared" si="1"/>
        <v>68.931</v>
      </c>
      <c r="G1039" s="84"/>
      <c r="H1039" s="84">
        <v>660.0</v>
      </c>
      <c r="I1039" s="114">
        <v>0.099</v>
      </c>
      <c r="J1039" s="85">
        <f t="shared" si="62"/>
        <v>98.901</v>
      </c>
      <c r="K1039" s="85">
        <f t="shared" si="63"/>
        <v>85.25948276</v>
      </c>
      <c r="L1039" s="84">
        <v>71.0</v>
      </c>
      <c r="M1039" s="85">
        <f t="shared" si="64"/>
        <v>100.168</v>
      </c>
      <c r="N1039" s="93">
        <f t="shared" si="65"/>
        <v>0.151769697</v>
      </c>
      <c r="O1039" s="93"/>
      <c r="P1039" s="82"/>
    </row>
    <row r="1040">
      <c r="A1040" s="90" t="s">
        <v>4614</v>
      </c>
      <c r="B1040" s="90" t="s">
        <v>4615</v>
      </c>
      <c r="C1040" s="89"/>
      <c r="D1040" s="84">
        <v>1229.0</v>
      </c>
      <c r="E1040" s="83" t="s">
        <v>237</v>
      </c>
      <c r="F1040" s="84">
        <f t="shared" si="1"/>
        <v>84.801</v>
      </c>
      <c r="G1040" s="84"/>
      <c r="H1040" s="84">
        <v>803.35</v>
      </c>
      <c r="I1040" s="91">
        <v>0.15</v>
      </c>
      <c r="J1040" s="85">
        <f t="shared" si="62"/>
        <v>184.35</v>
      </c>
      <c r="K1040" s="85">
        <f t="shared" si="63"/>
        <v>158.9224138</v>
      </c>
      <c r="L1040" s="84">
        <v>64.0</v>
      </c>
      <c r="M1040" s="85">
        <f t="shared" si="64"/>
        <v>92.499</v>
      </c>
      <c r="N1040" s="86">
        <f t="shared" si="65"/>
        <v>0.1151415946</v>
      </c>
      <c r="O1040" s="86"/>
      <c r="P1040" s="82"/>
    </row>
    <row r="1041">
      <c r="A1041" s="90" t="s">
        <v>4616</v>
      </c>
      <c r="B1041" s="90" t="s">
        <v>4617</v>
      </c>
      <c r="C1041" s="89"/>
      <c r="D1041" s="84">
        <v>1479.0</v>
      </c>
      <c r="E1041" s="83" t="s">
        <v>237</v>
      </c>
      <c r="F1041" s="84">
        <f t="shared" si="1"/>
        <v>102.051</v>
      </c>
      <c r="G1041" s="84"/>
      <c r="H1041" s="84">
        <v>961.62</v>
      </c>
      <c r="I1041" s="91">
        <v>0.15</v>
      </c>
      <c r="J1041" s="85">
        <f t="shared" si="62"/>
        <v>221.85</v>
      </c>
      <c r="K1041" s="85">
        <f t="shared" si="63"/>
        <v>191.25</v>
      </c>
      <c r="L1041" s="82">
        <v>90.0</v>
      </c>
      <c r="M1041" s="85">
        <f t="shared" si="64"/>
        <v>103.479</v>
      </c>
      <c r="N1041" s="86">
        <f t="shared" si="65"/>
        <v>0.1076090348</v>
      </c>
      <c r="O1041" s="86"/>
      <c r="P1041" s="82"/>
    </row>
    <row r="1042">
      <c r="A1042" s="90" t="s">
        <v>4618</v>
      </c>
      <c r="B1042" s="90" t="s">
        <v>4619</v>
      </c>
      <c r="C1042" s="89"/>
      <c r="D1042" s="84">
        <v>1479.0</v>
      </c>
      <c r="E1042" s="83" t="s">
        <v>237</v>
      </c>
      <c r="F1042" s="84">
        <f t="shared" si="1"/>
        <v>102.051</v>
      </c>
      <c r="G1042" s="84"/>
      <c r="H1042" s="84">
        <v>961.62</v>
      </c>
      <c r="I1042" s="91">
        <v>0.15</v>
      </c>
      <c r="J1042" s="85">
        <f t="shared" si="62"/>
        <v>221.85</v>
      </c>
      <c r="K1042" s="85">
        <f t="shared" si="63"/>
        <v>191.25</v>
      </c>
      <c r="L1042" s="82">
        <v>90.0</v>
      </c>
      <c r="M1042" s="85">
        <f t="shared" si="64"/>
        <v>103.479</v>
      </c>
      <c r="N1042" s="86">
        <f t="shared" si="65"/>
        <v>0.1076090348</v>
      </c>
      <c r="O1042" s="86"/>
      <c r="P1042" s="82"/>
    </row>
    <row r="1043">
      <c r="A1043" s="90" t="s">
        <v>4620</v>
      </c>
      <c r="B1043" s="90" t="s">
        <v>4621</v>
      </c>
      <c r="C1043" s="89"/>
      <c r="D1043" s="84">
        <v>1449.0</v>
      </c>
      <c r="E1043" s="83" t="s">
        <v>237</v>
      </c>
      <c r="F1043" s="84">
        <f t="shared" si="1"/>
        <v>99.981</v>
      </c>
      <c r="G1043" s="84"/>
      <c r="H1043" s="84">
        <v>961.62</v>
      </c>
      <c r="I1043" s="91">
        <v>0.15</v>
      </c>
      <c r="J1043" s="85">
        <f t="shared" si="62"/>
        <v>217.35</v>
      </c>
      <c r="K1043" s="85">
        <f t="shared" si="63"/>
        <v>187.3706897</v>
      </c>
      <c r="L1043" s="82">
        <v>65.0</v>
      </c>
      <c r="M1043" s="85">
        <f t="shared" si="64"/>
        <v>105.049</v>
      </c>
      <c r="N1043" s="86">
        <f t="shared" si="65"/>
        <v>0.1092416963</v>
      </c>
      <c r="O1043" s="86"/>
      <c r="P1043" s="82"/>
    </row>
    <row r="1044">
      <c r="A1044" s="90" t="s">
        <v>4622</v>
      </c>
      <c r="B1044" s="90" t="s">
        <v>4623</v>
      </c>
      <c r="C1044" s="89"/>
      <c r="D1044" s="84">
        <v>1359.0</v>
      </c>
      <c r="E1044" s="83" t="s">
        <v>237</v>
      </c>
      <c r="F1044" s="84">
        <f t="shared" si="1"/>
        <v>93.771</v>
      </c>
      <c r="G1044" s="84"/>
      <c r="H1044" s="84">
        <v>903.77</v>
      </c>
      <c r="I1044" s="91">
        <v>0.15</v>
      </c>
      <c r="J1044" s="85">
        <f t="shared" si="62"/>
        <v>203.85</v>
      </c>
      <c r="K1044" s="85">
        <f t="shared" si="63"/>
        <v>175.7327586</v>
      </c>
      <c r="L1044" s="84">
        <v>64.0</v>
      </c>
      <c r="M1044" s="85">
        <f t="shared" si="64"/>
        <v>93.609</v>
      </c>
      <c r="N1044" s="86">
        <f t="shared" si="65"/>
        <v>0.1035761311</v>
      </c>
      <c r="O1044" s="86"/>
      <c r="P1044" s="82"/>
    </row>
    <row r="1045">
      <c r="A1045" s="90" t="s">
        <v>4624</v>
      </c>
      <c r="B1045" s="90" t="s">
        <v>4625</v>
      </c>
      <c r="C1045" s="89"/>
      <c r="D1045" s="84">
        <v>1229.0</v>
      </c>
      <c r="E1045" s="83" t="s">
        <v>237</v>
      </c>
      <c r="F1045" s="84">
        <f t="shared" si="1"/>
        <v>84.801</v>
      </c>
      <c r="G1045" s="84"/>
      <c r="H1045" s="84">
        <v>803.35</v>
      </c>
      <c r="I1045" s="91">
        <v>0.15</v>
      </c>
      <c r="J1045" s="85">
        <f t="shared" si="62"/>
        <v>184.35</v>
      </c>
      <c r="K1045" s="85">
        <f t="shared" si="63"/>
        <v>158.9224138</v>
      </c>
      <c r="L1045" s="82">
        <v>66.0</v>
      </c>
      <c r="M1045" s="85">
        <f t="shared" si="64"/>
        <v>90.499</v>
      </c>
      <c r="N1045" s="86">
        <f t="shared" si="65"/>
        <v>0.1126520197</v>
      </c>
      <c r="O1045" s="86"/>
      <c r="P1045" s="82"/>
    </row>
    <row r="1046">
      <c r="A1046" s="90" t="s">
        <v>4626</v>
      </c>
      <c r="B1046" s="90" t="s">
        <v>4627</v>
      </c>
      <c r="C1046" s="89"/>
      <c r="D1046" s="84">
        <v>1649.0</v>
      </c>
      <c r="E1046" s="83" t="s">
        <v>237</v>
      </c>
      <c r="F1046" s="84">
        <f t="shared" si="1"/>
        <v>113.781</v>
      </c>
      <c r="G1046" s="84"/>
      <c r="H1046" s="84">
        <v>1102.0</v>
      </c>
      <c r="I1046" s="91">
        <v>0.15</v>
      </c>
      <c r="J1046" s="85">
        <f t="shared" si="62"/>
        <v>247.35</v>
      </c>
      <c r="K1046" s="85">
        <f t="shared" si="63"/>
        <v>213.2327586</v>
      </c>
      <c r="L1046" s="84">
        <v>63.0</v>
      </c>
      <c r="M1046" s="85">
        <f t="shared" si="64"/>
        <v>122.869</v>
      </c>
      <c r="N1046" s="93">
        <f t="shared" si="65"/>
        <v>0.1114963702</v>
      </c>
      <c r="O1046" s="93"/>
      <c r="P1046" s="82"/>
    </row>
    <row r="1047">
      <c r="A1047" s="90" t="s">
        <v>4628</v>
      </c>
      <c r="B1047" s="90" t="s">
        <v>4629</v>
      </c>
      <c r="C1047" s="89"/>
      <c r="D1047" s="84">
        <v>1649.0</v>
      </c>
      <c r="E1047" s="83" t="s">
        <v>237</v>
      </c>
      <c r="F1047" s="84">
        <f t="shared" si="1"/>
        <v>113.781</v>
      </c>
      <c r="G1047" s="84"/>
      <c r="H1047" s="84">
        <v>1102.0</v>
      </c>
      <c r="I1047" s="91">
        <v>0.15</v>
      </c>
      <c r="J1047" s="85">
        <f t="shared" si="62"/>
        <v>247.35</v>
      </c>
      <c r="K1047" s="85">
        <f t="shared" si="63"/>
        <v>213.2327586</v>
      </c>
      <c r="L1047" s="84">
        <v>64.0</v>
      </c>
      <c r="M1047" s="85">
        <f t="shared" si="64"/>
        <v>121.869</v>
      </c>
      <c r="N1047" s="93">
        <f t="shared" si="65"/>
        <v>0.1105889292</v>
      </c>
      <c r="O1047" s="93"/>
      <c r="P1047" s="82"/>
    </row>
    <row r="1048">
      <c r="A1048" s="90" t="s">
        <v>4630</v>
      </c>
      <c r="B1048" s="90" t="s">
        <v>4631</v>
      </c>
      <c r="C1048" s="89"/>
      <c r="D1048" s="84">
        <v>1309.0</v>
      </c>
      <c r="E1048" s="83" t="s">
        <v>237</v>
      </c>
      <c r="F1048" s="84">
        <f t="shared" si="1"/>
        <v>90.321</v>
      </c>
      <c r="G1048" s="84"/>
      <c r="H1048" s="84">
        <v>841.41</v>
      </c>
      <c r="I1048" s="91">
        <v>0.15</v>
      </c>
      <c r="J1048" s="85">
        <f t="shared" si="62"/>
        <v>196.35</v>
      </c>
      <c r="K1048" s="85">
        <f t="shared" si="63"/>
        <v>169.2672414</v>
      </c>
      <c r="L1048" s="82">
        <v>90.0</v>
      </c>
      <c r="M1048" s="85">
        <f t="shared" si="64"/>
        <v>90.919</v>
      </c>
      <c r="N1048" s="86">
        <f t="shared" si="65"/>
        <v>0.1080555258</v>
      </c>
      <c r="O1048" s="86"/>
      <c r="P1048" s="82"/>
    </row>
    <row r="1049">
      <c r="A1049" s="90" t="s">
        <v>4632</v>
      </c>
      <c r="B1049" s="90" t="s">
        <v>4633</v>
      </c>
      <c r="C1049" s="89"/>
      <c r="D1049" s="84">
        <v>1229.0</v>
      </c>
      <c r="E1049" s="83" t="s">
        <v>237</v>
      </c>
      <c r="F1049" s="84">
        <f t="shared" si="1"/>
        <v>84.801</v>
      </c>
      <c r="G1049" s="84"/>
      <c r="H1049" s="84">
        <v>803.35</v>
      </c>
      <c r="I1049" s="91">
        <v>0.15</v>
      </c>
      <c r="J1049" s="85">
        <f t="shared" si="62"/>
        <v>184.35</v>
      </c>
      <c r="K1049" s="85">
        <f t="shared" si="63"/>
        <v>158.9224138</v>
      </c>
      <c r="L1049" s="82">
        <v>64.0</v>
      </c>
      <c r="M1049" s="85">
        <f t="shared" si="64"/>
        <v>92.499</v>
      </c>
      <c r="N1049" s="86">
        <f t="shared" si="65"/>
        <v>0.1151415946</v>
      </c>
      <c r="O1049" s="86"/>
      <c r="P1049" s="82"/>
    </row>
    <row r="1050">
      <c r="A1050" s="90" t="s">
        <v>4634</v>
      </c>
      <c r="B1050" s="90" t="s">
        <v>4635</v>
      </c>
      <c r="C1050" s="89"/>
      <c r="D1050" s="84">
        <v>1499.0</v>
      </c>
      <c r="E1050" s="83" t="s">
        <v>237</v>
      </c>
      <c r="F1050" s="84">
        <f t="shared" si="1"/>
        <v>103.431</v>
      </c>
      <c r="G1050" s="84"/>
      <c r="H1050" s="84">
        <v>986.0</v>
      </c>
      <c r="I1050" s="91">
        <v>0.15</v>
      </c>
      <c r="J1050" s="85">
        <f t="shared" si="62"/>
        <v>224.85</v>
      </c>
      <c r="K1050" s="85">
        <f t="shared" si="63"/>
        <v>193.8362069</v>
      </c>
      <c r="L1050" s="84">
        <v>64.0</v>
      </c>
      <c r="M1050" s="85">
        <f t="shared" si="64"/>
        <v>120.719</v>
      </c>
      <c r="N1050" s="93">
        <f t="shared" si="65"/>
        <v>0.1224330629</v>
      </c>
      <c r="O1050" s="93"/>
      <c r="P1050" s="82"/>
    </row>
    <row r="1051">
      <c r="A1051" s="90" t="s">
        <v>4636</v>
      </c>
      <c r="B1051" s="116" t="s">
        <v>4637</v>
      </c>
      <c r="C1051" s="89"/>
      <c r="D1051" s="84">
        <v>1799.0</v>
      </c>
      <c r="E1051" s="83" t="s">
        <v>237</v>
      </c>
      <c r="F1051" s="84">
        <f t="shared" si="1"/>
        <v>124.131</v>
      </c>
      <c r="G1051" s="84"/>
      <c r="H1051" s="84">
        <v>986.0</v>
      </c>
      <c r="I1051" s="91">
        <v>0.15</v>
      </c>
      <c r="J1051" s="85">
        <f t="shared" si="62"/>
        <v>269.85</v>
      </c>
      <c r="K1051" s="85">
        <f t="shared" si="63"/>
        <v>232.6293103</v>
      </c>
      <c r="L1051" s="84">
        <v>64.0</v>
      </c>
      <c r="M1051" s="85">
        <f t="shared" si="64"/>
        <v>355.019</v>
      </c>
      <c r="N1051" s="93">
        <f t="shared" si="65"/>
        <v>0.3600598377</v>
      </c>
      <c r="O1051" s="93"/>
      <c r="P1051" s="82"/>
    </row>
    <row r="1052">
      <c r="A1052" s="90" t="s">
        <v>4638</v>
      </c>
      <c r="B1052" s="90" t="s">
        <v>4639</v>
      </c>
      <c r="C1052" s="89"/>
      <c r="D1052" s="84">
        <v>379.0</v>
      </c>
      <c r="E1052" s="83" t="s">
        <v>4175</v>
      </c>
      <c r="F1052" s="84">
        <f t="shared" si="1"/>
        <v>26.151</v>
      </c>
      <c r="G1052" s="84"/>
      <c r="H1052" s="84">
        <v>203.83</v>
      </c>
      <c r="I1052" s="91">
        <v>0.15</v>
      </c>
      <c r="J1052" s="85">
        <f t="shared" si="62"/>
        <v>56.85</v>
      </c>
      <c r="K1052" s="85">
        <f t="shared" si="63"/>
        <v>49.00862069</v>
      </c>
      <c r="L1052" s="84">
        <v>64.0</v>
      </c>
      <c r="M1052" s="85">
        <f t="shared" si="64"/>
        <v>28.169</v>
      </c>
      <c r="N1052" s="93">
        <f t="shared" si="65"/>
        <v>0.1381984987</v>
      </c>
      <c r="O1052" s="93"/>
      <c r="P1052" s="82"/>
    </row>
    <row r="1053">
      <c r="A1053" s="90" t="s">
        <v>4640</v>
      </c>
      <c r="B1053" s="90" t="s">
        <v>4641</v>
      </c>
      <c r="C1053" s="89"/>
      <c r="D1053" s="84">
        <v>2339.0</v>
      </c>
      <c r="E1053" s="83" t="s">
        <v>237</v>
      </c>
      <c r="F1053" s="84">
        <f t="shared" si="1"/>
        <v>161.391</v>
      </c>
      <c r="G1053" s="84"/>
      <c r="H1053" s="84">
        <v>1629.84</v>
      </c>
      <c r="I1053" s="91">
        <v>0.1</v>
      </c>
      <c r="J1053" s="85">
        <f t="shared" si="62"/>
        <v>233.9</v>
      </c>
      <c r="K1053" s="85">
        <f t="shared" si="63"/>
        <v>201.637931</v>
      </c>
      <c r="L1053" s="84">
        <v>64.0</v>
      </c>
      <c r="M1053" s="85">
        <f t="shared" si="64"/>
        <v>249.869</v>
      </c>
      <c r="N1053" s="93">
        <f t="shared" si="65"/>
        <v>0.1533089138</v>
      </c>
      <c r="O1053" s="93"/>
      <c r="P1053" s="82"/>
    </row>
    <row r="1054">
      <c r="A1054" s="90" t="s">
        <v>4642</v>
      </c>
      <c r="B1054" s="90" t="s">
        <v>4643</v>
      </c>
      <c r="C1054" s="89"/>
      <c r="D1054" s="84">
        <v>2499.0</v>
      </c>
      <c r="E1054" s="83" t="s">
        <v>237</v>
      </c>
      <c r="F1054" s="84">
        <f t="shared" si="1"/>
        <v>172.431</v>
      </c>
      <c r="G1054" s="84"/>
      <c r="H1054" s="84">
        <v>1629.84</v>
      </c>
      <c r="I1054" s="91">
        <v>0.1</v>
      </c>
      <c r="J1054" s="85">
        <f t="shared" si="62"/>
        <v>249.9</v>
      </c>
      <c r="K1054" s="85">
        <f t="shared" si="63"/>
        <v>215.4310345</v>
      </c>
      <c r="L1054" s="84">
        <v>64.0</v>
      </c>
      <c r="M1054" s="85">
        <f t="shared" si="64"/>
        <v>382.829</v>
      </c>
      <c r="N1054" s="93">
        <f t="shared" si="65"/>
        <v>0.2348874736</v>
      </c>
      <c r="O1054" s="93"/>
      <c r="P1054" s="82"/>
    </row>
    <row r="1055">
      <c r="A1055" s="90" t="s">
        <v>4644</v>
      </c>
      <c r="B1055" s="90" t="s">
        <v>4645</v>
      </c>
      <c r="C1055" s="89"/>
      <c r="D1055" s="84">
        <v>2299.0</v>
      </c>
      <c r="E1055" s="83" t="s">
        <v>237</v>
      </c>
      <c r="F1055" s="84">
        <f t="shared" si="1"/>
        <v>158.631</v>
      </c>
      <c r="G1055" s="84"/>
      <c r="H1055" s="84">
        <v>1480.26</v>
      </c>
      <c r="I1055" s="105">
        <v>0.15</v>
      </c>
      <c r="J1055" s="110">
        <f t="shared" si="62"/>
        <v>344.85</v>
      </c>
      <c r="K1055" s="110">
        <f t="shared" si="63"/>
        <v>297.2844828</v>
      </c>
      <c r="L1055" s="84">
        <v>122.0</v>
      </c>
      <c r="M1055" s="110">
        <f t="shared" si="64"/>
        <v>193.259</v>
      </c>
      <c r="N1055" s="111">
        <f t="shared" si="65"/>
        <v>0.1305574696</v>
      </c>
      <c r="O1055" s="93"/>
      <c r="P1055" s="82"/>
    </row>
    <row r="1056">
      <c r="A1056" s="90" t="s">
        <v>4646</v>
      </c>
      <c r="B1056" s="90" t="s">
        <v>4647</v>
      </c>
      <c r="C1056" s="89"/>
      <c r="D1056" s="84">
        <v>1299.0</v>
      </c>
      <c r="E1056" s="83" t="s">
        <v>237</v>
      </c>
      <c r="F1056" s="84">
        <f t="shared" si="1"/>
        <v>89.631</v>
      </c>
      <c r="G1056" s="84"/>
      <c r="H1056" s="84">
        <v>800.0</v>
      </c>
      <c r="I1056" s="91">
        <v>0.15</v>
      </c>
      <c r="J1056" s="85">
        <f t="shared" si="62"/>
        <v>194.85</v>
      </c>
      <c r="K1056" s="85">
        <f t="shared" si="63"/>
        <v>167.9741379</v>
      </c>
      <c r="L1056" s="84">
        <v>114.0</v>
      </c>
      <c r="M1056" s="85">
        <f t="shared" si="64"/>
        <v>100.519</v>
      </c>
      <c r="N1056" s="93">
        <f t="shared" si="65"/>
        <v>0.12564875</v>
      </c>
      <c r="O1056" s="93"/>
      <c r="P1056" s="82"/>
    </row>
    <row r="1057">
      <c r="A1057" s="90" t="s">
        <v>4648</v>
      </c>
      <c r="B1057" s="90" t="s">
        <v>4649</v>
      </c>
      <c r="C1057" s="89"/>
      <c r="D1057" s="84">
        <v>349.0</v>
      </c>
      <c r="E1057" s="83" t="s">
        <v>237</v>
      </c>
      <c r="F1057" s="84">
        <f t="shared" si="1"/>
        <v>24.081</v>
      </c>
      <c r="G1057" s="84"/>
      <c r="H1057" s="84">
        <v>130.0</v>
      </c>
      <c r="I1057" s="91">
        <v>0.15</v>
      </c>
      <c r="J1057" s="85">
        <f t="shared" si="62"/>
        <v>52.35</v>
      </c>
      <c r="K1057" s="85">
        <f t="shared" si="63"/>
        <v>45.12931034</v>
      </c>
      <c r="L1057" s="84">
        <v>58.0</v>
      </c>
      <c r="M1057" s="85">
        <f t="shared" si="64"/>
        <v>84.569</v>
      </c>
      <c r="N1057" s="93">
        <f t="shared" si="65"/>
        <v>0.6505307692</v>
      </c>
      <c r="O1057" s="93"/>
      <c r="P1057" s="82"/>
    </row>
    <row r="1058">
      <c r="A1058" s="90" t="s">
        <v>4650</v>
      </c>
      <c r="B1058" s="90" t="s">
        <v>4651</v>
      </c>
      <c r="C1058" s="89"/>
      <c r="D1058" s="84">
        <v>349.0</v>
      </c>
      <c r="E1058" s="83" t="s">
        <v>237</v>
      </c>
      <c r="F1058" s="84">
        <f t="shared" si="1"/>
        <v>24.081</v>
      </c>
      <c r="G1058" s="84"/>
      <c r="H1058" s="84">
        <v>180.0</v>
      </c>
      <c r="I1058" s="105">
        <v>0.15</v>
      </c>
      <c r="J1058" s="110">
        <f t="shared" si="62"/>
        <v>52.35</v>
      </c>
      <c r="K1058" s="110">
        <f t="shared" si="63"/>
        <v>45.12931034</v>
      </c>
      <c r="L1058" s="84">
        <v>50.0</v>
      </c>
      <c r="M1058" s="110">
        <f t="shared" si="64"/>
        <v>42.569</v>
      </c>
      <c r="N1058" s="111">
        <f t="shared" si="65"/>
        <v>0.2364944444</v>
      </c>
      <c r="O1058" s="93"/>
      <c r="P1058" s="82"/>
    </row>
    <row r="1059">
      <c r="A1059" s="90" t="s">
        <v>4652</v>
      </c>
      <c r="B1059" s="90" t="s">
        <v>4653</v>
      </c>
      <c r="C1059" s="89"/>
      <c r="D1059" s="84">
        <v>399.0</v>
      </c>
      <c r="E1059" s="83" t="s">
        <v>237</v>
      </c>
      <c r="F1059" s="84">
        <f t="shared" si="1"/>
        <v>27.531</v>
      </c>
      <c r="G1059" s="84"/>
      <c r="H1059" s="84">
        <v>180.0</v>
      </c>
      <c r="I1059" s="105">
        <v>0.15</v>
      </c>
      <c r="J1059" s="110">
        <f t="shared" si="62"/>
        <v>59.85</v>
      </c>
      <c r="K1059" s="110">
        <f t="shared" si="63"/>
        <v>51.59482759</v>
      </c>
      <c r="L1059" s="84">
        <v>50.0</v>
      </c>
      <c r="M1059" s="110">
        <f t="shared" si="64"/>
        <v>81.619</v>
      </c>
      <c r="N1059" s="111">
        <f t="shared" si="65"/>
        <v>0.4534388889</v>
      </c>
      <c r="O1059" s="93"/>
      <c r="P1059" s="82"/>
    </row>
    <row r="1060">
      <c r="A1060" s="90" t="s">
        <v>4654</v>
      </c>
      <c r="B1060" s="90" t="s">
        <v>4655</v>
      </c>
      <c r="C1060" s="89"/>
      <c r="D1060" s="84">
        <v>399.0</v>
      </c>
      <c r="E1060" s="83" t="s">
        <v>237</v>
      </c>
      <c r="F1060" s="84">
        <f t="shared" si="1"/>
        <v>27.531</v>
      </c>
      <c r="G1060" s="84"/>
      <c r="H1060" s="84">
        <v>180.0</v>
      </c>
      <c r="I1060" s="105">
        <v>0.15</v>
      </c>
      <c r="J1060" s="110">
        <f t="shared" si="62"/>
        <v>59.85</v>
      </c>
      <c r="K1060" s="110">
        <f t="shared" si="63"/>
        <v>51.59482759</v>
      </c>
      <c r="L1060" s="84">
        <v>50.0</v>
      </c>
      <c r="M1060" s="110">
        <f t="shared" si="64"/>
        <v>81.619</v>
      </c>
      <c r="N1060" s="111">
        <f t="shared" si="65"/>
        <v>0.4534388889</v>
      </c>
      <c r="O1060" s="93"/>
      <c r="P1060" s="82"/>
    </row>
    <row r="1061">
      <c r="A1061" s="90" t="s">
        <v>4656</v>
      </c>
      <c r="B1061" s="90" t="s">
        <v>4657</v>
      </c>
      <c r="C1061" s="89"/>
      <c r="D1061" s="84">
        <v>399.0</v>
      </c>
      <c r="E1061" s="83" t="s">
        <v>237</v>
      </c>
      <c r="F1061" s="84">
        <f t="shared" si="1"/>
        <v>27.531</v>
      </c>
      <c r="G1061" s="84"/>
      <c r="H1061" s="84">
        <v>180.0</v>
      </c>
      <c r="I1061" s="105">
        <v>0.15</v>
      </c>
      <c r="J1061" s="110">
        <f t="shared" si="62"/>
        <v>59.85</v>
      </c>
      <c r="K1061" s="110">
        <f t="shared" si="63"/>
        <v>51.59482759</v>
      </c>
      <c r="L1061" s="84">
        <v>50.0</v>
      </c>
      <c r="M1061" s="110">
        <f t="shared" si="64"/>
        <v>81.619</v>
      </c>
      <c r="N1061" s="111">
        <f t="shared" si="65"/>
        <v>0.4534388889</v>
      </c>
      <c r="O1061" s="93"/>
      <c r="P1061" s="82"/>
    </row>
    <row r="1062">
      <c r="A1062" s="90" t="s">
        <v>4658</v>
      </c>
      <c r="B1062" s="90" t="s">
        <v>4659</v>
      </c>
      <c r="C1062" s="89"/>
      <c r="D1062" s="84">
        <v>399.0</v>
      </c>
      <c r="E1062" s="83"/>
      <c r="F1062" s="84">
        <f t="shared" si="1"/>
        <v>27.531</v>
      </c>
      <c r="G1062" s="84"/>
      <c r="H1062" s="84">
        <v>199.15</v>
      </c>
      <c r="I1062" s="105">
        <v>0.15</v>
      </c>
      <c r="J1062" s="110">
        <f t="shared" si="62"/>
        <v>59.85</v>
      </c>
      <c r="K1062" s="110">
        <f t="shared" si="63"/>
        <v>51.59482759</v>
      </c>
      <c r="L1062" s="84">
        <v>75.0</v>
      </c>
      <c r="M1062" s="110">
        <f t="shared" si="64"/>
        <v>37.469</v>
      </c>
      <c r="N1062" s="111">
        <f t="shared" si="65"/>
        <v>0.1881446146</v>
      </c>
      <c r="O1062" s="93"/>
      <c r="P1062" s="82"/>
    </row>
    <row r="1063">
      <c r="A1063" s="90" t="s">
        <v>4660</v>
      </c>
      <c r="B1063" s="90" t="s">
        <v>4661</v>
      </c>
      <c r="C1063" s="89"/>
      <c r="D1063" s="84">
        <v>179.0</v>
      </c>
      <c r="E1063" s="83"/>
      <c r="F1063" s="84">
        <f t="shared" si="1"/>
        <v>12.351</v>
      </c>
      <c r="G1063" s="84"/>
      <c r="H1063" s="84">
        <v>57.46</v>
      </c>
      <c r="I1063" s="105">
        <v>0.15</v>
      </c>
      <c r="J1063" s="110">
        <f t="shared" si="62"/>
        <v>26.85</v>
      </c>
      <c r="K1063" s="110">
        <f t="shared" si="63"/>
        <v>23.14655172</v>
      </c>
      <c r="L1063" s="84">
        <v>60.0</v>
      </c>
      <c r="M1063" s="110">
        <f t="shared" si="64"/>
        <v>22.339</v>
      </c>
      <c r="N1063" s="111">
        <f t="shared" si="65"/>
        <v>0.3887747999</v>
      </c>
      <c r="O1063" s="93"/>
      <c r="P1063" s="82"/>
    </row>
    <row r="1064">
      <c r="A1064" s="90" t="s">
        <v>4662</v>
      </c>
      <c r="B1064" s="90" t="s">
        <v>4663</v>
      </c>
      <c r="C1064" s="89"/>
      <c r="D1064" s="84">
        <v>539.0</v>
      </c>
      <c r="E1064" s="83" t="s">
        <v>237</v>
      </c>
      <c r="F1064" s="84">
        <f t="shared" si="1"/>
        <v>37.191</v>
      </c>
      <c r="G1064" s="84"/>
      <c r="H1064" s="84">
        <v>298.65</v>
      </c>
      <c r="I1064" s="105">
        <v>0.15</v>
      </c>
      <c r="J1064" s="110">
        <f t="shared" si="62"/>
        <v>80.85</v>
      </c>
      <c r="K1064" s="110">
        <f t="shared" si="63"/>
        <v>69.69827586</v>
      </c>
      <c r="L1064" s="84">
        <v>60.0</v>
      </c>
      <c r="M1064" s="110">
        <f t="shared" si="64"/>
        <v>62.309</v>
      </c>
      <c r="N1064" s="111">
        <f t="shared" si="65"/>
        <v>0.2086355265</v>
      </c>
      <c r="O1064" s="93"/>
      <c r="P1064" s="82"/>
    </row>
    <row r="1065">
      <c r="A1065" s="90" t="s">
        <v>4664</v>
      </c>
      <c r="B1065" s="90" t="s">
        <v>4665</v>
      </c>
      <c r="C1065" s="89"/>
      <c r="D1065" s="84">
        <v>329.0</v>
      </c>
      <c r="E1065" s="83" t="s">
        <v>237</v>
      </c>
      <c r="F1065" s="84">
        <f t="shared" si="1"/>
        <v>22.701</v>
      </c>
      <c r="G1065" s="84"/>
      <c r="H1065" s="84">
        <v>149.37</v>
      </c>
      <c r="I1065" s="105">
        <v>0.15</v>
      </c>
      <c r="J1065" s="110">
        <f t="shared" si="62"/>
        <v>49.35</v>
      </c>
      <c r="K1065" s="110">
        <f t="shared" si="63"/>
        <v>42.54310345</v>
      </c>
      <c r="L1065" s="84">
        <v>71.0</v>
      </c>
      <c r="M1065" s="110">
        <f t="shared" si="64"/>
        <v>36.579</v>
      </c>
      <c r="N1065" s="111">
        <f t="shared" si="65"/>
        <v>0.2448885318</v>
      </c>
      <c r="O1065" s="93"/>
      <c r="P1065" s="82"/>
    </row>
    <row r="1066">
      <c r="A1066" s="90" t="s">
        <v>4666</v>
      </c>
      <c r="B1066" s="90" t="s">
        <v>4667</v>
      </c>
      <c r="C1066" s="89"/>
      <c r="D1066" s="84">
        <v>199.0</v>
      </c>
      <c r="E1066" s="83" t="s">
        <v>237</v>
      </c>
      <c r="F1066" s="84">
        <f t="shared" si="1"/>
        <v>13.731</v>
      </c>
      <c r="G1066" s="84"/>
      <c r="H1066" s="84">
        <v>88.1</v>
      </c>
      <c r="I1066" s="105">
        <v>0.1</v>
      </c>
      <c r="J1066" s="110">
        <f t="shared" si="62"/>
        <v>19.9</v>
      </c>
      <c r="K1066" s="110">
        <f t="shared" si="63"/>
        <v>17.15517241</v>
      </c>
      <c r="L1066" s="84">
        <v>64.0</v>
      </c>
      <c r="M1066" s="110">
        <f t="shared" si="64"/>
        <v>13.269</v>
      </c>
      <c r="N1066" s="111">
        <f t="shared" si="65"/>
        <v>0.1506129398</v>
      </c>
      <c r="O1066" s="93"/>
      <c r="P1066" s="82"/>
    </row>
    <row r="1067">
      <c r="A1067" s="90" t="s">
        <v>4668</v>
      </c>
      <c r="B1067" s="90" t="s">
        <v>4669</v>
      </c>
      <c r="C1067" s="89"/>
      <c r="D1067" s="84">
        <v>299.0</v>
      </c>
      <c r="E1067" s="83" t="s">
        <v>237</v>
      </c>
      <c r="F1067" s="84">
        <f t="shared" si="1"/>
        <v>20.631</v>
      </c>
      <c r="G1067" s="84"/>
      <c r="H1067" s="84">
        <v>137.88</v>
      </c>
      <c r="I1067" s="105">
        <v>0.15</v>
      </c>
      <c r="J1067" s="110">
        <f t="shared" si="62"/>
        <v>44.85</v>
      </c>
      <c r="K1067" s="110">
        <f t="shared" si="63"/>
        <v>38.6637931</v>
      </c>
      <c r="L1067" s="84">
        <v>64.0</v>
      </c>
      <c r="M1067" s="110">
        <f t="shared" si="64"/>
        <v>31.639</v>
      </c>
      <c r="N1067" s="111">
        <f t="shared" si="65"/>
        <v>0.229467653</v>
      </c>
      <c r="O1067" s="93"/>
      <c r="P1067" s="82"/>
    </row>
    <row r="1068">
      <c r="A1068" s="90" t="s">
        <v>4670</v>
      </c>
      <c r="B1068" s="90" t="s">
        <v>4671</v>
      </c>
      <c r="C1068" s="89"/>
      <c r="D1068" s="84">
        <v>179.0</v>
      </c>
      <c r="E1068" s="83" t="s">
        <v>237</v>
      </c>
      <c r="F1068" s="84">
        <f t="shared" si="1"/>
        <v>12.351</v>
      </c>
      <c r="G1068" s="84"/>
      <c r="H1068" s="84">
        <v>60.91</v>
      </c>
      <c r="I1068" s="105">
        <v>0.1</v>
      </c>
      <c r="J1068" s="110">
        <f t="shared" si="62"/>
        <v>17.9</v>
      </c>
      <c r="K1068" s="110">
        <f t="shared" si="63"/>
        <v>15.43103448</v>
      </c>
      <c r="L1068" s="84">
        <v>67.0</v>
      </c>
      <c r="M1068" s="110">
        <f t="shared" si="64"/>
        <v>20.839</v>
      </c>
      <c r="N1068" s="111">
        <f t="shared" si="65"/>
        <v>0.3421277294</v>
      </c>
      <c r="O1068" s="93"/>
      <c r="P1068" s="82"/>
    </row>
    <row r="1069">
      <c r="A1069" s="90" t="s">
        <v>4672</v>
      </c>
      <c r="B1069" s="90" t="s">
        <v>4673</v>
      </c>
      <c r="C1069" s="89"/>
      <c r="D1069" s="84">
        <v>329.0</v>
      </c>
      <c r="E1069" s="83" t="s">
        <v>237</v>
      </c>
      <c r="F1069" s="84">
        <f t="shared" si="1"/>
        <v>22.701</v>
      </c>
      <c r="G1069" s="84"/>
      <c r="H1069" s="84">
        <v>141.7</v>
      </c>
      <c r="I1069" s="105">
        <v>0.15</v>
      </c>
      <c r="J1069" s="110">
        <f t="shared" si="62"/>
        <v>49.35</v>
      </c>
      <c r="K1069" s="110">
        <f t="shared" si="63"/>
        <v>42.54310345</v>
      </c>
      <c r="L1069" s="84">
        <v>83.0</v>
      </c>
      <c r="M1069" s="110">
        <f t="shared" si="64"/>
        <v>32.249</v>
      </c>
      <c r="N1069" s="111">
        <f t="shared" si="65"/>
        <v>0.2275864502</v>
      </c>
      <c r="O1069" s="93"/>
      <c r="P1069" s="82"/>
    </row>
    <row r="1070">
      <c r="A1070" s="90" t="s">
        <v>4674</v>
      </c>
      <c r="B1070" s="90" t="s">
        <v>4675</v>
      </c>
      <c r="C1070" s="89"/>
      <c r="D1070" s="84">
        <v>1299.0</v>
      </c>
      <c r="E1070" s="83" t="s">
        <v>237</v>
      </c>
      <c r="F1070" s="84">
        <f t="shared" si="1"/>
        <v>89.631</v>
      </c>
      <c r="G1070" s="84"/>
      <c r="H1070" s="84">
        <v>517.01</v>
      </c>
      <c r="I1070" s="105">
        <v>0.15</v>
      </c>
      <c r="J1070" s="110">
        <f t="shared" si="62"/>
        <v>194.85</v>
      </c>
      <c r="K1070" s="110">
        <f t="shared" si="63"/>
        <v>167.9741379</v>
      </c>
      <c r="L1070" s="84">
        <v>83.0</v>
      </c>
      <c r="M1070" s="110">
        <f t="shared" si="64"/>
        <v>414.509</v>
      </c>
      <c r="N1070" s="111">
        <f t="shared" si="65"/>
        <v>0.8017427129</v>
      </c>
      <c r="O1070" s="93"/>
      <c r="P1070" s="82"/>
    </row>
    <row r="1071">
      <c r="A1071" s="90" t="s">
        <v>4676</v>
      </c>
      <c r="B1071" s="90" t="s">
        <v>4677</v>
      </c>
      <c r="C1071" s="89"/>
      <c r="D1071" s="84">
        <v>349.0</v>
      </c>
      <c r="E1071" s="83"/>
      <c r="F1071" s="84">
        <f t="shared" si="1"/>
        <v>24.081</v>
      </c>
      <c r="G1071" s="84"/>
      <c r="H1071" s="84">
        <v>180.0</v>
      </c>
      <c r="I1071" s="105">
        <v>0.15</v>
      </c>
      <c r="J1071" s="110">
        <f t="shared" si="62"/>
        <v>52.35</v>
      </c>
      <c r="K1071" s="110">
        <f t="shared" si="63"/>
        <v>45.12931034</v>
      </c>
      <c r="L1071" s="84">
        <v>62.0</v>
      </c>
      <c r="M1071" s="110">
        <f t="shared" si="64"/>
        <v>30.569</v>
      </c>
      <c r="N1071" s="111">
        <f t="shared" si="65"/>
        <v>0.1698277778</v>
      </c>
      <c r="O1071" s="93"/>
      <c r="P1071" s="82"/>
    </row>
    <row r="1072">
      <c r="A1072" s="90" t="s">
        <v>4678</v>
      </c>
      <c r="B1072" s="90" t="s">
        <v>4679</v>
      </c>
      <c r="C1072" s="89"/>
      <c r="D1072" s="84">
        <v>82.0</v>
      </c>
      <c r="E1072" s="83"/>
      <c r="F1072" s="84">
        <f t="shared" si="1"/>
        <v>5.658</v>
      </c>
      <c r="G1072" s="84"/>
      <c r="H1072" s="84">
        <v>34.0</v>
      </c>
      <c r="I1072" s="105">
        <v>0.15</v>
      </c>
      <c r="J1072" s="110">
        <f t="shared" si="62"/>
        <v>12.3</v>
      </c>
      <c r="K1072" s="110">
        <f t="shared" si="63"/>
        <v>10.60344828</v>
      </c>
      <c r="L1072" s="84">
        <v>27.0</v>
      </c>
      <c r="M1072" s="110">
        <f t="shared" si="64"/>
        <v>3.042</v>
      </c>
      <c r="N1072" s="111">
        <f t="shared" si="65"/>
        <v>0.08947058824</v>
      </c>
      <c r="O1072" s="93"/>
      <c r="P1072" s="82"/>
    </row>
    <row r="1073">
      <c r="A1073" s="90" t="s">
        <v>4680</v>
      </c>
      <c r="B1073" s="90" t="s">
        <v>4681</v>
      </c>
      <c r="C1073" s="89"/>
      <c r="D1073" s="84">
        <v>435.0</v>
      </c>
      <c r="E1073" s="83"/>
      <c r="F1073" s="84">
        <f t="shared" si="1"/>
        <v>30.015</v>
      </c>
      <c r="G1073" s="84"/>
      <c r="H1073" s="84">
        <v>249.05</v>
      </c>
      <c r="I1073" s="91">
        <v>0.15</v>
      </c>
      <c r="J1073" s="85">
        <f t="shared" si="62"/>
        <v>65.25</v>
      </c>
      <c r="K1073" s="85">
        <f t="shared" si="63"/>
        <v>56.25</v>
      </c>
      <c r="L1073" s="82">
        <v>64.0</v>
      </c>
      <c r="M1073" s="85">
        <f t="shared" si="64"/>
        <v>26.685</v>
      </c>
      <c r="N1073" s="86">
        <f t="shared" si="65"/>
        <v>0.1071471592</v>
      </c>
      <c r="O1073" s="86"/>
      <c r="P1073" s="82"/>
    </row>
    <row r="1074">
      <c r="A1074" s="90" t="s">
        <v>4682</v>
      </c>
      <c r="B1074" s="116" t="s">
        <v>4683</v>
      </c>
      <c r="C1074" s="89"/>
      <c r="D1074" s="84">
        <v>869.0</v>
      </c>
      <c r="E1074" s="83"/>
      <c r="F1074" s="84">
        <f t="shared" si="1"/>
        <v>59.961</v>
      </c>
      <c r="G1074" s="84"/>
      <c r="H1074" s="84">
        <v>590.31</v>
      </c>
      <c r="I1074" s="105">
        <v>0.1</v>
      </c>
      <c r="J1074" s="110">
        <f t="shared" si="62"/>
        <v>86.9</v>
      </c>
      <c r="K1074" s="110">
        <f t="shared" si="63"/>
        <v>74.9137931</v>
      </c>
      <c r="L1074" s="84">
        <v>66.0</v>
      </c>
      <c r="M1074" s="110">
        <f t="shared" si="64"/>
        <v>65.829</v>
      </c>
      <c r="N1074" s="111">
        <f t="shared" si="65"/>
        <v>0.1115159831</v>
      </c>
      <c r="O1074" s="93"/>
      <c r="P1074" s="82"/>
    </row>
    <row r="1075">
      <c r="A1075" s="90" t="s">
        <v>4684</v>
      </c>
      <c r="B1075" s="90" t="s">
        <v>4685</v>
      </c>
      <c r="C1075" s="89"/>
      <c r="D1075" s="84">
        <v>659.0</v>
      </c>
      <c r="E1075" s="83" t="s">
        <v>237</v>
      </c>
      <c r="F1075" s="84">
        <f t="shared" si="1"/>
        <v>45.471</v>
      </c>
      <c r="G1075" s="84"/>
      <c r="H1075" s="84">
        <v>388.39</v>
      </c>
      <c r="I1075" s="105">
        <v>0.1</v>
      </c>
      <c r="J1075" s="110">
        <f t="shared" si="62"/>
        <v>65.9</v>
      </c>
      <c r="K1075" s="110">
        <f t="shared" si="63"/>
        <v>56.81034483</v>
      </c>
      <c r="L1075" s="84">
        <v>63.0</v>
      </c>
      <c r="M1075" s="110">
        <f t="shared" si="64"/>
        <v>96.239</v>
      </c>
      <c r="N1075" s="111">
        <f t="shared" si="65"/>
        <v>0.2477895929</v>
      </c>
      <c r="O1075" s="93"/>
      <c r="P1075" s="82"/>
    </row>
    <row r="1076">
      <c r="A1076" s="90"/>
      <c r="B1076" s="90" t="s">
        <v>4686</v>
      </c>
      <c r="C1076" s="89"/>
      <c r="D1076" s="84"/>
      <c r="E1076" s="83"/>
      <c r="F1076" s="84">
        <f t="shared" si="1"/>
        <v>0</v>
      </c>
      <c r="G1076" s="84"/>
      <c r="H1076" s="84">
        <v>218.57</v>
      </c>
      <c r="I1076" s="91"/>
      <c r="J1076" s="85"/>
      <c r="K1076" s="85"/>
      <c r="L1076" s="84"/>
      <c r="M1076" s="85"/>
      <c r="N1076" s="93"/>
      <c r="O1076" s="93"/>
      <c r="P1076" s="82"/>
    </row>
    <row r="1077">
      <c r="A1077" s="89"/>
      <c r="B1077" s="90" t="s">
        <v>4687</v>
      </c>
      <c r="C1077" s="89"/>
      <c r="D1077" s="84"/>
      <c r="E1077" s="83"/>
      <c r="F1077" s="84">
        <f t="shared" si="1"/>
        <v>0</v>
      </c>
      <c r="G1077" s="84"/>
      <c r="H1077" s="84">
        <v>1031.57</v>
      </c>
      <c r="I1077" s="91"/>
      <c r="J1077" s="85"/>
      <c r="K1077" s="85"/>
      <c r="L1077" s="84"/>
      <c r="M1077" s="85"/>
      <c r="N1077" s="93"/>
      <c r="O1077" s="93"/>
      <c r="P1077" s="82"/>
    </row>
    <row r="1078">
      <c r="A1078" s="89"/>
      <c r="B1078" s="90" t="s">
        <v>4688</v>
      </c>
      <c r="C1078" s="89"/>
      <c r="D1078" s="84"/>
      <c r="E1078" s="83"/>
      <c r="F1078" s="84">
        <f t="shared" si="1"/>
        <v>0</v>
      </c>
      <c r="G1078" s="84"/>
      <c r="H1078" s="84">
        <v>1692.08</v>
      </c>
      <c r="I1078" s="91"/>
      <c r="J1078" s="85"/>
      <c r="K1078" s="85"/>
      <c r="L1078" s="84"/>
      <c r="M1078" s="85"/>
      <c r="N1078" s="93"/>
      <c r="O1078" s="93"/>
      <c r="P1078" s="82"/>
    </row>
    <row r="1079">
      <c r="A1079" s="89"/>
      <c r="B1079" s="90" t="s">
        <v>4689</v>
      </c>
      <c r="C1079" s="89"/>
      <c r="D1079" s="84"/>
      <c r="E1079" s="83"/>
      <c r="F1079" s="84">
        <f t="shared" si="1"/>
        <v>0</v>
      </c>
      <c r="G1079" s="84"/>
      <c r="H1079" s="84">
        <v>2278.99</v>
      </c>
      <c r="I1079" s="91"/>
      <c r="J1079" s="85"/>
      <c r="K1079" s="85"/>
      <c r="L1079" s="84"/>
      <c r="M1079" s="85"/>
      <c r="N1079" s="93"/>
      <c r="O1079" s="93"/>
      <c r="P1079" s="82"/>
    </row>
    <row r="1080">
      <c r="A1080" s="89"/>
      <c r="B1080" s="90" t="s">
        <v>4690</v>
      </c>
      <c r="C1080" s="89"/>
      <c r="D1080" s="84"/>
      <c r="E1080" s="83"/>
      <c r="F1080" s="84">
        <f t="shared" si="1"/>
        <v>0</v>
      </c>
      <c r="G1080" s="84"/>
      <c r="H1080" s="84">
        <v>587.43</v>
      </c>
      <c r="I1080" s="91"/>
      <c r="J1080" s="85"/>
      <c r="K1080" s="85"/>
      <c r="L1080" s="84"/>
      <c r="M1080" s="85"/>
      <c r="N1080" s="93"/>
      <c r="O1080" s="93"/>
      <c r="P1080" s="82"/>
    </row>
    <row r="1081">
      <c r="A1081" s="89"/>
      <c r="B1081" s="90" t="s">
        <v>4691</v>
      </c>
      <c r="C1081" s="89"/>
      <c r="D1081" s="84">
        <v>299.0</v>
      </c>
      <c r="E1081" s="83"/>
      <c r="F1081" s="84">
        <f t="shared" si="1"/>
        <v>20.631</v>
      </c>
      <c r="G1081" s="84"/>
      <c r="H1081" s="84">
        <v>122.56</v>
      </c>
      <c r="I1081" s="105">
        <v>0.15</v>
      </c>
      <c r="J1081" s="110">
        <f t="shared" ref="J1081:J1084" si="66">I1081*D1081</f>
        <v>44.85</v>
      </c>
      <c r="K1081" s="110">
        <f t="shared" ref="K1081:K1084" si="67">J1081/1.16</f>
        <v>38.6637931</v>
      </c>
      <c r="L1081" s="84">
        <v>73.0</v>
      </c>
      <c r="M1081" s="110">
        <f t="shared" ref="M1081:M1084" si="68">D1081-H1081-J1081-L1081-F1081-G1081</f>
        <v>37.959</v>
      </c>
      <c r="N1081" s="111">
        <f t="shared" ref="N1081:N1084" si="69">M1081/H1081</f>
        <v>0.3097176893</v>
      </c>
      <c r="O1081" s="93"/>
      <c r="P1081" s="82"/>
    </row>
    <row r="1082">
      <c r="A1082" s="89"/>
      <c r="B1082" s="90" t="s">
        <v>4692</v>
      </c>
      <c r="C1082" s="89"/>
      <c r="D1082" s="84">
        <v>499.0</v>
      </c>
      <c r="E1082" s="83"/>
      <c r="F1082" s="84">
        <f t="shared" si="1"/>
        <v>34.431</v>
      </c>
      <c r="G1082" s="84"/>
      <c r="H1082" s="84">
        <v>248.91</v>
      </c>
      <c r="I1082" s="105">
        <v>0.15</v>
      </c>
      <c r="J1082" s="110">
        <f t="shared" si="66"/>
        <v>74.85</v>
      </c>
      <c r="K1082" s="110">
        <f t="shared" si="67"/>
        <v>64.52586207</v>
      </c>
      <c r="L1082" s="84">
        <v>73.0</v>
      </c>
      <c r="M1082" s="110">
        <f t="shared" si="68"/>
        <v>67.809</v>
      </c>
      <c r="N1082" s="111">
        <f t="shared" si="69"/>
        <v>0.2724237676</v>
      </c>
      <c r="O1082" s="93"/>
      <c r="P1082" s="82"/>
    </row>
    <row r="1083">
      <c r="A1083" s="89"/>
      <c r="B1083" s="90" t="s">
        <v>4693</v>
      </c>
      <c r="C1083" s="89"/>
      <c r="D1083" s="84">
        <v>899.0</v>
      </c>
      <c r="E1083" s="83"/>
      <c r="F1083" s="84">
        <f t="shared" si="1"/>
        <v>62.031</v>
      </c>
      <c r="G1083" s="84"/>
      <c r="H1083" s="84">
        <v>555.37</v>
      </c>
      <c r="I1083" s="105">
        <v>0.15</v>
      </c>
      <c r="J1083" s="110">
        <f t="shared" si="66"/>
        <v>134.85</v>
      </c>
      <c r="K1083" s="110">
        <f t="shared" si="67"/>
        <v>116.25</v>
      </c>
      <c r="L1083" s="84">
        <v>73.0</v>
      </c>
      <c r="M1083" s="110">
        <f t="shared" si="68"/>
        <v>73.749</v>
      </c>
      <c r="N1083" s="111">
        <f t="shared" si="69"/>
        <v>0.1327925527</v>
      </c>
      <c r="O1083" s="93"/>
      <c r="P1083" s="82"/>
    </row>
    <row r="1084">
      <c r="A1084" s="89" t="s">
        <v>2815</v>
      </c>
      <c r="B1084" s="89" t="s">
        <v>4694</v>
      </c>
      <c r="C1084" s="89"/>
      <c r="D1084" s="82">
        <v>929.0</v>
      </c>
      <c r="E1084" s="83" t="s">
        <v>237</v>
      </c>
      <c r="F1084" s="84">
        <f t="shared" si="1"/>
        <v>64.101</v>
      </c>
      <c r="G1084" s="84"/>
      <c r="H1084" s="82">
        <v>590.0</v>
      </c>
      <c r="I1084" s="91">
        <v>0.15</v>
      </c>
      <c r="J1084" s="85">
        <f t="shared" si="66"/>
        <v>139.35</v>
      </c>
      <c r="K1084" s="85">
        <f t="shared" si="67"/>
        <v>120.1293103</v>
      </c>
      <c r="L1084" s="82">
        <v>76.0</v>
      </c>
      <c r="M1084" s="85">
        <f t="shared" si="68"/>
        <v>59.549</v>
      </c>
      <c r="N1084" s="86">
        <f t="shared" si="69"/>
        <v>0.1009305085</v>
      </c>
      <c r="O1084" s="86"/>
      <c r="P1084" s="82" t="s">
        <v>1660</v>
      </c>
    </row>
    <row r="1085">
      <c r="A1085" s="89"/>
      <c r="B1085" s="90"/>
      <c r="C1085" s="89"/>
      <c r="D1085" s="84"/>
      <c r="E1085" s="83"/>
      <c r="F1085" s="84">
        <f t="shared" si="1"/>
        <v>0</v>
      </c>
      <c r="G1085" s="84"/>
      <c r="H1085" s="84"/>
      <c r="I1085" s="91"/>
      <c r="J1085" s="85"/>
      <c r="K1085" s="85"/>
      <c r="L1085" s="84"/>
      <c r="M1085" s="85"/>
      <c r="N1085" s="93"/>
      <c r="O1085" s="93"/>
      <c r="P1085" s="82"/>
    </row>
    <row r="1086">
      <c r="A1086" s="89"/>
      <c r="B1086" s="90"/>
      <c r="C1086" s="89"/>
      <c r="D1086" s="84"/>
      <c r="E1086" s="83"/>
      <c r="F1086" s="84">
        <f t="shared" si="1"/>
        <v>0</v>
      </c>
      <c r="G1086" s="84"/>
      <c r="H1086" s="84"/>
      <c r="I1086" s="91"/>
      <c r="J1086" s="85"/>
      <c r="K1086" s="85"/>
      <c r="L1086" s="84"/>
      <c r="M1086" s="85"/>
      <c r="N1086" s="93"/>
      <c r="O1086" s="93"/>
      <c r="P1086" s="82"/>
    </row>
    <row r="1087">
      <c r="A1087" s="89"/>
      <c r="B1087" s="90"/>
      <c r="C1087" s="89"/>
      <c r="D1087" s="84"/>
      <c r="E1087" s="83"/>
      <c r="F1087" s="84">
        <f t="shared" si="1"/>
        <v>0</v>
      </c>
      <c r="G1087" s="84"/>
      <c r="H1087" s="84"/>
      <c r="I1087" s="91"/>
      <c r="J1087" s="85"/>
      <c r="K1087" s="85"/>
      <c r="L1087" s="84"/>
      <c r="M1087" s="85"/>
      <c r="N1087" s="93"/>
      <c r="O1087" s="93"/>
      <c r="P1087" s="82"/>
    </row>
    <row r="1088">
      <c r="A1088" s="89"/>
      <c r="B1088" s="90"/>
      <c r="C1088" s="89"/>
      <c r="D1088" s="84"/>
      <c r="E1088" s="83"/>
      <c r="F1088" s="84">
        <f t="shared" si="1"/>
        <v>0</v>
      </c>
      <c r="G1088" s="84"/>
      <c r="H1088" s="84"/>
      <c r="I1088" s="91"/>
      <c r="J1088" s="85"/>
      <c r="K1088" s="85"/>
      <c r="L1088" s="84"/>
      <c r="M1088" s="85"/>
      <c r="N1088" s="93"/>
      <c r="O1088" s="93"/>
      <c r="P1088" s="82"/>
    </row>
    <row r="1089">
      <c r="A1089" s="89"/>
      <c r="B1089" s="90"/>
      <c r="C1089" s="89"/>
      <c r="D1089" s="84"/>
      <c r="E1089" s="83"/>
      <c r="F1089" s="84">
        <f t="shared" si="1"/>
        <v>0</v>
      </c>
      <c r="G1089" s="84"/>
      <c r="H1089" s="84"/>
      <c r="I1089" s="91"/>
      <c r="J1089" s="85"/>
      <c r="K1089" s="85"/>
      <c r="L1089" s="84"/>
      <c r="M1089" s="85"/>
      <c r="N1089" s="93"/>
      <c r="O1089" s="93"/>
      <c r="P1089" s="82"/>
    </row>
    <row r="1090">
      <c r="A1090" s="89"/>
      <c r="B1090" s="90"/>
      <c r="C1090" s="89"/>
      <c r="D1090" s="84"/>
      <c r="E1090" s="83"/>
      <c r="F1090" s="84">
        <f t="shared" si="1"/>
        <v>0</v>
      </c>
      <c r="G1090" s="84"/>
      <c r="H1090" s="84"/>
      <c r="I1090" s="91"/>
      <c r="J1090" s="85"/>
      <c r="K1090" s="85"/>
      <c r="L1090" s="84"/>
      <c r="M1090" s="85"/>
      <c r="N1090" s="93"/>
      <c r="O1090" s="93"/>
      <c r="P1090" s="82"/>
    </row>
    <row r="1091">
      <c r="A1091" s="89"/>
      <c r="B1091" s="90"/>
      <c r="C1091" s="89"/>
      <c r="D1091" s="84"/>
      <c r="E1091" s="83"/>
      <c r="F1091" s="84">
        <f t="shared" si="1"/>
        <v>0</v>
      </c>
      <c r="G1091" s="84"/>
      <c r="H1091" s="84"/>
      <c r="I1091" s="91"/>
      <c r="J1091" s="85"/>
      <c r="K1091" s="85"/>
      <c r="L1091" s="84"/>
      <c r="M1091" s="85"/>
      <c r="N1091" s="93"/>
      <c r="O1091" s="93"/>
      <c r="P1091" s="82"/>
    </row>
    <row r="1092">
      <c r="A1092" s="89"/>
      <c r="B1092" s="90"/>
      <c r="C1092" s="89"/>
      <c r="D1092" s="84"/>
      <c r="E1092" s="83"/>
      <c r="F1092" s="84">
        <f t="shared" si="1"/>
        <v>0</v>
      </c>
      <c r="G1092" s="84"/>
      <c r="H1092" s="84"/>
      <c r="I1092" s="91"/>
      <c r="J1092" s="85"/>
      <c r="K1092" s="85"/>
      <c r="L1092" s="84"/>
      <c r="M1092" s="85"/>
      <c r="N1092" s="93"/>
      <c r="O1092" s="93"/>
      <c r="P1092" s="82"/>
    </row>
    <row r="1093">
      <c r="A1093" s="89"/>
      <c r="B1093" s="90"/>
      <c r="C1093" s="89"/>
      <c r="D1093" s="84"/>
      <c r="E1093" s="83"/>
      <c r="F1093" s="84">
        <f t="shared" si="1"/>
        <v>0</v>
      </c>
      <c r="G1093" s="84"/>
      <c r="H1093" s="84"/>
      <c r="I1093" s="91"/>
      <c r="J1093" s="85"/>
      <c r="K1093" s="85"/>
      <c r="L1093" s="84"/>
      <c r="M1093" s="85"/>
      <c r="N1093" s="93"/>
      <c r="O1093" s="93"/>
      <c r="P1093" s="82"/>
    </row>
    <row r="1094">
      <c r="A1094" s="89"/>
      <c r="B1094" s="90"/>
      <c r="C1094" s="89"/>
      <c r="D1094" s="84"/>
      <c r="E1094" s="83"/>
      <c r="F1094" s="84">
        <f t="shared" si="1"/>
        <v>0</v>
      </c>
      <c r="G1094" s="84"/>
      <c r="H1094" s="84"/>
      <c r="I1094" s="91"/>
      <c r="J1094" s="85"/>
      <c r="K1094" s="85"/>
      <c r="L1094" s="84"/>
      <c r="M1094" s="85"/>
      <c r="N1094" s="93"/>
      <c r="O1094" s="93"/>
      <c r="P1094" s="82"/>
    </row>
    <row r="1095">
      <c r="A1095" s="89"/>
      <c r="B1095" s="90"/>
      <c r="C1095" s="89"/>
      <c r="D1095" s="84"/>
      <c r="E1095" s="83"/>
      <c r="F1095" s="84"/>
      <c r="G1095" s="84"/>
      <c r="H1095" s="84"/>
      <c r="I1095" s="91"/>
      <c r="J1095" s="85"/>
      <c r="K1095" s="85"/>
      <c r="L1095" s="84"/>
      <c r="M1095" s="85"/>
      <c r="N1095" s="93"/>
      <c r="O1095" s="93"/>
      <c r="P1095" s="82"/>
    </row>
    <row r="1096">
      <c r="A1096" s="89"/>
      <c r="B1096" s="90"/>
      <c r="C1096" s="89"/>
      <c r="D1096" s="84"/>
      <c r="E1096" s="83"/>
      <c r="F1096" s="84"/>
      <c r="G1096" s="84"/>
      <c r="H1096" s="84"/>
      <c r="I1096" s="91"/>
      <c r="J1096" s="85"/>
      <c r="K1096" s="85"/>
      <c r="L1096" s="84"/>
      <c r="M1096" s="85"/>
      <c r="N1096" s="93"/>
      <c r="O1096" s="93"/>
      <c r="P1096" s="82"/>
    </row>
    <row r="1097">
      <c r="A1097" s="89"/>
      <c r="B1097" s="90"/>
      <c r="C1097" s="89"/>
      <c r="D1097" s="84"/>
      <c r="E1097" s="83"/>
      <c r="F1097" s="84"/>
      <c r="G1097" s="84"/>
      <c r="H1097" s="84"/>
      <c r="I1097" s="91"/>
      <c r="J1097" s="85"/>
      <c r="K1097" s="85"/>
      <c r="L1097" s="84"/>
      <c r="M1097" s="85"/>
      <c r="N1097" s="93"/>
      <c r="O1097" s="93"/>
      <c r="P1097" s="82"/>
    </row>
    <row r="1098">
      <c r="A1098" s="89"/>
      <c r="B1098" s="90"/>
      <c r="C1098" s="89"/>
      <c r="D1098" s="84"/>
      <c r="E1098" s="83"/>
      <c r="F1098" s="84"/>
      <c r="G1098" s="84"/>
      <c r="H1098" s="84"/>
      <c r="I1098" s="91"/>
      <c r="J1098" s="85"/>
      <c r="K1098" s="85"/>
      <c r="L1098" s="84"/>
      <c r="M1098" s="85"/>
      <c r="N1098" s="93"/>
      <c r="O1098" s="93"/>
      <c r="P1098" s="82"/>
    </row>
    <row r="1099">
      <c r="A1099" s="89"/>
      <c r="B1099" s="90"/>
      <c r="C1099" s="89"/>
      <c r="D1099" s="84"/>
      <c r="E1099" s="83"/>
      <c r="F1099" s="84"/>
      <c r="G1099" s="84"/>
      <c r="H1099" s="84"/>
      <c r="I1099" s="91"/>
      <c r="J1099" s="85"/>
      <c r="K1099" s="85"/>
      <c r="L1099" s="84"/>
      <c r="M1099" s="85"/>
      <c r="N1099" s="93"/>
      <c r="O1099" s="93"/>
      <c r="P1099" s="82"/>
    </row>
    <row r="1100">
      <c r="A1100" s="89"/>
      <c r="B1100" s="90"/>
      <c r="C1100" s="89"/>
      <c r="D1100" s="84"/>
      <c r="E1100" s="83"/>
      <c r="F1100" s="84"/>
      <c r="G1100" s="84"/>
      <c r="H1100" s="84"/>
      <c r="I1100" s="91"/>
      <c r="J1100" s="85"/>
      <c r="K1100" s="85"/>
      <c r="L1100" s="84"/>
      <c r="M1100" s="85"/>
      <c r="N1100" s="93"/>
      <c r="O1100" s="93"/>
      <c r="P1100" s="82"/>
    </row>
    <row r="1101">
      <c r="A1101" s="89"/>
      <c r="B1101" s="90"/>
      <c r="C1101" s="89"/>
      <c r="D1101" s="84"/>
      <c r="E1101" s="83"/>
      <c r="F1101" s="84"/>
      <c r="G1101" s="84"/>
      <c r="H1101" s="84"/>
      <c r="I1101" s="91"/>
      <c r="J1101" s="85"/>
      <c r="K1101" s="85"/>
      <c r="L1101" s="84"/>
      <c r="M1101" s="85"/>
      <c r="N1101" s="93"/>
      <c r="O1101" s="93"/>
      <c r="P1101" s="82"/>
    </row>
    <row r="1102">
      <c r="A1102" s="89"/>
      <c r="B1102" s="90"/>
      <c r="C1102" s="89"/>
      <c r="D1102" s="84"/>
      <c r="E1102" s="83"/>
      <c r="F1102" s="84"/>
      <c r="G1102" s="84"/>
      <c r="H1102" s="84"/>
      <c r="I1102" s="91"/>
      <c r="J1102" s="85"/>
      <c r="K1102" s="85"/>
      <c r="L1102" s="84"/>
      <c r="M1102" s="85"/>
      <c r="N1102" s="93"/>
      <c r="O1102" s="93"/>
      <c r="P1102" s="82"/>
    </row>
    <row r="1103">
      <c r="A1103" s="89"/>
      <c r="B1103" s="90"/>
      <c r="C1103" s="89"/>
      <c r="D1103" s="84"/>
      <c r="E1103" s="83"/>
      <c r="F1103" s="84"/>
      <c r="G1103" s="84"/>
      <c r="H1103" s="84"/>
      <c r="I1103" s="91"/>
      <c r="J1103" s="85"/>
      <c r="K1103" s="85"/>
      <c r="L1103" s="84"/>
      <c r="M1103" s="85"/>
      <c r="N1103" s="93"/>
      <c r="O1103" s="93"/>
      <c r="P1103" s="82"/>
    </row>
    <row r="1104">
      <c r="A1104" s="89"/>
      <c r="B1104" s="90"/>
      <c r="C1104" s="89"/>
      <c r="D1104" s="84"/>
      <c r="E1104" s="83"/>
      <c r="F1104" s="84"/>
      <c r="G1104" s="84"/>
      <c r="H1104" s="84"/>
      <c r="I1104" s="91"/>
      <c r="J1104" s="85"/>
      <c r="K1104" s="85"/>
      <c r="L1104" s="84"/>
      <c r="M1104" s="85"/>
      <c r="N1104" s="93"/>
      <c r="O1104" s="93"/>
      <c r="P1104" s="82"/>
    </row>
    <row r="1105">
      <c r="A1105" s="89"/>
      <c r="B1105" s="90"/>
      <c r="C1105" s="89"/>
      <c r="D1105" s="84"/>
      <c r="E1105" s="83"/>
      <c r="F1105" s="84"/>
      <c r="G1105" s="84"/>
      <c r="H1105" s="84"/>
      <c r="I1105" s="91"/>
      <c r="J1105" s="85"/>
      <c r="K1105" s="85"/>
      <c r="L1105" s="84"/>
      <c r="M1105" s="85"/>
      <c r="N1105" s="93"/>
      <c r="O1105" s="93"/>
      <c r="P1105" s="82"/>
    </row>
    <row r="1106">
      <c r="A1106" s="89"/>
      <c r="B1106" s="90"/>
      <c r="C1106" s="89"/>
      <c r="D1106" s="84"/>
      <c r="E1106" s="83"/>
      <c r="F1106" s="84"/>
      <c r="G1106" s="84"/>
      <c r="H1106" s="84"/>
      <c r="I1106" s="91"/>
      <c r="J1106" s="85"/>
      <c r="K1106" s="85"/>
      <c r="L1106" s="84"/>
      <c r="M1106" s="85"/>
      <c r="N1106" s="93"/>
      <c r="O1106" s="93"/>
      <c r="P1106" s="82"/>
    </row>
    <row r="1107">
      <c r="A1107" s="89"/>
      <c r="B1107" s="90"/>
      <c r="C1107" s="89"/>
      <c r="D1107" s="84"/>
      <c r="E1107" s="83"/>
      <c r="F1107" s="84"/>
      <c r="G1107" s="84"/>
      <c r="H1107" s="84"/>
      <c r="I1107" s="91"/>
      <c r="J1107" s="85"/>
      <c r="K1107" s="85"/>
      <c r="L1107" s="84"/>
      <c r="M1107" s="85"/>
      <c r="N1107" s="93"/>
      <c r="O1107" s="93"/>
      <c r="P1107" s="82"/>
    </row>
    <row r="1108">
      <c r="A1108" s="89"/>
      <c r="B1108" s="90"/>
      <c r="C1108" s="89"/>
      <c r="D1108" s="84"/>
      <c r="E1108" s="83"/>
      <c r="F1108" s="84"/>
      <c r="G1108" s="84"/>
      <c r="H1108" s="84"/>
      <c r="I1108" s="91"/>
      <c r="J1108" s="85"/>
      <c r="K1108" s="85"/>
      <c r="L1108" s="84"/>
      <c r="M1108" s="85"/>
      <c r="N1108" s="93"/>
      <c r="O1108" s="93"/>
      <c r="P1108" s="82"/>
    </row>
    <row r="1109">
      <c r="A1109" s="89"/>
      <c r="B1109" s="90"/>
      <c r="C1109" s="89"/>
      <c r="D1109" s="84"/>
      <c r="E1109" s="83"/>
      <c r="F1109" s="84"/>
      <c r="G1109" s="84"/>
      <c r="H1109" s="84"/>
      <c r="I1109" s="91"/>
      <c r="J1109" s="85"/>
      <c r="K1109" s="85"/>
      <c r="L1109" s="84"/>
      <c r="M1109" s="85"/>
      <c r="N1109" s="93"/>
      <c r="O1109" s="93"/>
      <c r="P1109" s="82"/>
    </row>
    <row r="1110">
      <c r="A1110" s="89"/>
      <c r="B1110" s="90"/>
      <c r="C1110" s="89"/>
      <c r="D1110" s="84"/>
      <c r="E1110" s="83"/>
      <c r="F1110" s="84"/>
      <c r="G1110" s="84"/>
      <c r="H1110" s="84"/>
      <c r="I1110" s="91"/>
      <c r="J1110" s="85"/>
      <c r="K1110" s="85"/>
      <c r="L1110" s="84"/>
      <c r="M1110" s="85"/>
      <c r="N1110" s="93"/>
      <c r="O1110" s="93"/>
      <c r="P1110" s="82"/>
    </row>
    <row r="1111">
      <c r="A1111" s="89"/>
      <c r="B1111" s="90"/>
      <c r="C1111" s="89"/>
      <c r="D1111" s="84"/>
      <c r="E1111" s="83"/>
      <c r="F1111" s="84"/>
      <c r="G1111" s="84"/>
      <c r="H1111" s="84"/>
      <c r="I1111" s="91"/>
      <c r="J1111" s="85"/>
      <c r="K1111" s="85"/>
      <c r="L1111" s="84"/>
      <c r="M1111" s="85"/>
      <c r="N1111" s="93"/>
      <c r="O1111" s="93"/>
      <c r="P1111" s="82"/>
    </row>
    <row r="1112">
      <c r="A1112" s="89"/>
      <c r="B1112" s="90"/>
      <c r="C1112" s="89"/>
      <c r="D1112" s="84"/>
      <c r="E1112" s="83"/>
      <c r="F1112" s="84"/>
      <c r="G1112" s="84"/>
      <c r="H1112" s="84"/>
      <c r="I1112" s="91"/>
      <c r="J1112" s="85"/>
      <c r="K1112" s="85"/>
      <c r="L1112" s="84"/>
      <c r="M1112" s="85"/>
      <c r="N1112" s="93"/>
      <c r="O1112" s="93"/>
      <c r="P1112" s="82"/>
    </row>
    <row r="1113">
      <c r="A1113" s="89"/>
      <c r="B1113" s="90"/>
      <c r="C1113" s="89"/>
      <c r="D1113" s="84"/>
      <c r="E1113" s="83"/>
      <c r="F1113" s="84"/>
      <c r="G1113" s="84"/>
      <c r="H1113" s="84"/>
      <c r="I1113" s="91"/>
      <c r="J1113" s="85"/>
      <c r="K1113" s="85"/>
      <c r="L1113" s="84"/>
      <c r="M1113" s="85"/>
      <c r="N1113" s="93"/>
      <c r="O1113" s="93"/>
      <c r="P1113" s="82"/>
    </row>
    <row r="1114">
      <c r="A1114" s="89"/>
      <c r="B1114" s="90"/>
      <c r="C1114" s="89"/>
      <c r="D1114" s="84"/>
      <c r="E1114" s="83"/>
      <c r="F1114" s="84"/>
      <c r="G1114" s="84"/>
      <c r="H1114" s="84"/>
      <c r="I1114" s="91"/>
      <c r="J1114" s="85"/>
      <c r="K1114" s="85"/>
      <c r="L1114" s="84"/>
      <c r="M1114" s="85"/>
      <c r="N1114" s="93"/>
      <c r="O1114" s="93"/>
      <c r="P1114" s="82"/>
    </row>
    <row r="1115">
      <c r="A1115" s="89"/>
      <c r="B1115" s="90"/>
      <c r="C1115" s="89"/>
      <c r="D1115" s="84"/>
      <c r="E1115" s="83"/>
      <c r="F1115" s="84"/>
      <c r="G1115" s="84"/>
      <c r="H1115" s="84"/>
      <c r="I1115" s="91"/>
      <c r="J1115" s="85"/>
      <c r="K1115" s="85"/>
      <c r="L1115" s="84"/>
      <c r="M1115" s="85"/>
      <c r="N1115" s="93"/>
      <c r="O1115" s="93"/>
      <c r="P1115" s="82"/>
    </row>
    <row r="1116">
      <c r="A1116" s="89"/>
      <c r="B1116" s="90"/>
      <c r="C1116" s="89"/>
      <c r="D1116" s="84"/>
      <c r="E1116" s="83"/>
      <c r="F1116" s="84"/>
      <c r="G1116" s="84"/>
      <c r="H1116" s="84"/>
      <c r="I1116" s="91"/>
      <c r="J1116" s="85"/>
      <c r="K1116" s="85"/>
      <c r="L1116" s="84"/>
      <c r="M1116" s="85"/>
      <c r="N1116" s="93"/>
      <c r="O1116" s="93"/>
      <c r="P1116" s="82"/>
    </row>
    <row r="1117">
      <c r="A1117" s="89"/>
      <c r="B1117" s="90"/>
      <c r="C1117" s="89"/>
      <c r="D1117" s="84"/>
      <c r="E1117" s="83"/>
      <c r="F1117" s="84"/>
      <c r="G1117" s="84"/>
      <c r="H1117" s="84"/>
      <c r="I1117" s="91"/>
      <c r="J1117" s="85"/>
      <c r="K1117" s="85"/>
      <c r="L1117" s="84"/>
      <c r="M1117" s="85"/>
      <c r="N1117" s="93"/>
      <c r="O1117" s="93"/>
      <c r="P1117" s="82"/>
    </row>
    <row r="1118">
      <c r="A1118" s="89"/>
      <c r="B1118" s="90"/>
      <c r="C1118" s="89"/>
      <c r="D1118" s="84"/>
      <c r="E1118" s="83"/>
      <c r="F1118" s="84"/>
      <c r="G1118" s="84"/>
      <c r="H1118" s="84"/>
      <c r="I1118" s="91"/>
      <c r="J1118" s="85"/>
      <c r="K1118" s="85"/>
      <c r="L1118" s="84"/>
      <c r="M1118" s="85"/>
      <c r="N1118" s="93"/>
      <c r="O1118" s="93"/>
      <c r="P1118" s="82"/>
    </row>
    <row r="1119">
      <c r="A1119" s="89"/>
      <c r="B1119" s="90"/>
      <c r="C1119" s="89"/>
      <c r="D1119" s="84"/>
      <c r="E1119" s="83"/>
      <c r="F1119" s="84"/>
      <c r="G1119" s="84"/>
      <c r="H1119" s="84"/>
      <c r="I1119" s="91"/>
      <c r="J1119" s="85"/>
      <c r="K1119" s="85"/>
      <c r="L1119" s="84"/>
      <c r="M1119" s="85"/>
      <c r="N1119" s="93"/>
      <c r="O1119" s="93"/>
      <c r="P1119" s="82"/>
    </row>
    <row r="1120">
      <c r="A1120" s="89"/>
      <c r="B1120" s="90"/>
      <c r="C1120" s="89"/>
      <c r="D1120" s="84"/>
      <c r="E1120" s="83"/>
      <c r="F1120" s="84"/>
      <c r="G1120" s="84"/>
      <c r="H1120" s="84"/>
      <c r="I1120" s="91"/>
      <c r="J1120" s="85"/>
      <c r="K1120" s="85"/>
      <c r="L1120" s="84"/>
      <c r="M1120" s="85"/>
      <c r="N1120" s="93"/>
      <c r="O1120" s="93"/>
      <c r="P1120" s="82"/>
    </row>
    <row r="1121">
      <c r="A1121" s="89"/>
      <c r="B1121" s="90"/>
      <c r="C1121" s="89"/>
      <c r="D1121" s="84"/>
      <c r="E1121" s="83"/>
      <c r="F1121" s="84"/>
      <c r="G1121" s="84"/>
      <c r="H1121" s="84"/>
      <c r="I1121" s="91"/>
      <c r="J1121" s="85"/>
      <c r="K1121" s="85"/>
      <c r="L1121" s="84"/>
      <c r="M1121" s="85"/>
      <c r="N1121" s="93"/>
      <c r="O1121" s="93"/>
      <c r="P1121" s="82"/>
    </row>
    <row r="1122">
      <c r="A1122" s="89"/>
      <c r="B1122" s="90"/>
      <c r="C1122" s="89"/>
      <c r="D1122" s="84"/>
      <c r="E1122" s="83"/>
      <c r="F1122" s="84"/>
      <c r="G1122" s="84"/>
      <c r="H1122" s="84"/>
      <c r="I1122" s="91"/>
      <c r="J1122" s="85"/>
      <c r="K1122" s="85"/>
      <c r="L1122" s="84"/>
      <c r="M1122" s="85"/>
      <c r="N1122" s="93"/>
      <c r="O1122" s="93"/>
      <c r="P1122" s="82"/>
    </row>
    <row r="1123">
      <c r="A1123" s="89"/>
      <c r="B1123" s="90"/>
      <c r="C1123" s="89"/>
      <c r="D1123" s="84"/>
      <c r="E1123" s="83"/>
      <c r="F1123" s="84"/>
      <c r="G1123" s="84"/>
      <c r="H1123" s="84"/>
      <c r="I1123" s="91"/>
      <c r="J1123" s="85"/>
      <c r="K1123" s="85"/>
      <c r="L1123" s="84"/>
      <c r="M1123" s="85"/>
      <c r="N1123" s="93"/>
      <c r="O1123" s="93"/>
      <c r="P1123" s="82"/>
    </row>
    <row r="1124">
      <c r="A1124" s="89"/>
      <c r="B1124" s="90"/>
      <c r="C1124" s="89"/>
      <c r="D1124" s="84"/>
      <c r="E1124" s="83"/>
      <c r="F1124" s="84"/>
      <c r="G1124" s="84"/>
      <c r="H1124" s="84"/>
      <c r="I1124" s="91"/>
      <c r="J1124" s="85"/>
      <c r="K1124" s="85"/>
      <c r="L1124" s="84"/>
      <c r="M1124" s="85"/>
      <c r="N1124" s="93"/>
      <c r="O1124" s="93"/>
      <c r="P1124" s="82"/>
    </row>
    <row r="1125">
      <c r="A1125" s="89"/>
      <c r="B1125" s="90"/>
      <c r="C1125" s="89"/>
      <c r="D1125" s="84"/>
      <c r="E1125" s="83"/>
      <c r="F1125" s="84"/>
      <c r="G1125" s="84"/>
      <c r="H1125" s="84"/>
      <c r="I1125" s="91"/>
      <c r="J1125" s="85"/>
      <c r="K1125" s="85"/>
      <c r="L1125" s="84"/>
      <c r="M1125" s="85"/>
      <c r="N1125" s="93"/>
      <c r="O1125" s="93"/>
      <c r="P1125" s="82"/>
    </row>
    <row r="1126">
      <c r="A1126" s="89"/>
      <c r="B1126" s="90"/>
      <c r="C1126" s="89"/>
      <c r="D1126" s="84"/>
      <c r="E1126" s="83"/>
      <c r="F1126" s="84"/>
      <c r="G1126" s="84"/>
      <c r="H1126" s="84"/>
      <c r="I1126" s="91"/>
      <c r="J1126" s="85"/>
      <c r="K1126" s="85"/>
      <c r="L1126" s="84"/>
      <c r="M1126" s="85"/>
      <c r="N1126" s="93"/>
      <c r="O1126" s="93"/>
      <c r="P1126" s="82"/>
    </row>
    <row r="1127">
      <c r="A1127" s="89"/>
      <c r="B1127" s="90"/>
      <c r="C1127" s="89"/>
      <c r="D1127" s="84"/>
      <c r="E1127" s="83"/>
      <c r="F1127" s="84"/>
      <c r="G1127" s="84"/>
      <c r="H1127" s="84"/>
      <c r="I1127" s="91"/>
      <c r="J1127" s="85"/>
      <c r="K1127" s="85"/>
      <c r="L1127" s="84"/>
      <c r="M1127" s="85"/>
      <c r="N1127" s="93"/>
      <c r="O1127" s="93"/>
      <c r="P1127" s="82"/>
    </row>
    <row r="1128">
      <c r="A1128" s="89"/>
      <c r="B1128" s="90"/>
      <c r="C1128" s="89"/>
      <c r="D1128" s="84"/>
      <c r="E1128" s="83"/>
      <c r="F1128" s="84"/>
      <c r="G1128" s="84"/>
      <c r="H1128" s="84"/>
      <c r="I1128" s="91"/>
      <c r="J1128" s="85"/>
      <c r="K1128" s="85"/>
      <c r="L1128" s="84"/>
      <c r="M1128" s="85"/>
      <c r="N1128" s="93"/>
      <c r="O1128" s="93"/>
      <c r="P1128" s="82"/>
    </row>
    <row r="1129">
      <c r="A1129" s="89"/>
      <c r="B1129" s="90"/>
      <c r="C1129" s="89"/>
      <c r="D1129" s="84"/>
      <c r="E1129" s="83"/>
      <c r="F1129" s="84"/>
      <c r="G1129" s="84"/>
      <c r="H1129" s="84"/>
      <c r="I1129" s="91"/>
      <c r="J1129" s="85"/>
      <c r="K1129" s="85"/>
      <c r="L1129" s="84"/>
      <c r="M1129" s="85"/>
      <c r="N1129" s="93"/>
      <c r="O1129" s="93"/>
      <c r="P1129" s="82"/>
    </row>
    <row r="1130">
      <c r="A1130" s="89"/>
      <c r="B1130" s="90"/>
      <c r="C1130" s="89"/>
      <c r="D1130" s="84"/>
      <c r="E1130" s="83"/>
      <c r="F1130" s="84"/>
      <c r="G1130" s="84"/>
      <c r="H1130" s="84"/>
      <c r="I1130" s="91"/>
      <c r="J1130" s="85"/>
      <c r="K1130" s="85"/>
      <c r="L1130" s="84"/>
      <c r="M1130" s="85"/>
      <c r="N1130" s="93"/>
      <c r="O1130" s="93"/>
      <c r="P1130" s="82"/>
    </row>
    <row r="1131">
      <c r="A1131" s="89"/>
      <c r="B1131" s="90"/>
      <c r="C1131" s="89"/>
      <c r="D1131" s="84"/>
      <c r="E1131" s="83"/>
      <c r="F1131" s="84"/>
      <c r="G1131" s="84"/>
      <c r="H1131" s="84"/>
      <c r="I1131" s="91"/>
      <c r="J1131" s="85"/>
      <c r="K1131" s="85"/>
      <c r="L1131" s="84"/>
      <c r="M1131" s="85"/>
      <c r="N1131" s="93"/>
      <c r="O1131" s="93"/>
      <c r="P1131" s="82"/>
    </row>
    <row r="1132">
      <c r="A1132" s="89"/>
      <c r="B1132" s="90"/>
      <c r="C1132" s="89"/>
      <c r="D1132" s="84"/>
      <c r="E1132" s="83"/>
      <c r="F1132" s="84"/>
      <c r="G1132" s="84"/>
      <c r="H1132" s="84"/>
      <c r="I1132" s="91"/>
      <c r="J1132" s="85"/>
      <c r="K1132" s="85"/>
      <c r="L1132" s="84"/>
      <c r="M1132" s="85"/>
      <c r="N1132" s="93"/>
      <c r="O1132" s="93"/>
      <c r="P1132" s="82"/>
    </row>
    <row r="1133">
      <c r="A1133" s="89"/>
      <c r="B1133" s="90"/>
      <c r="C1133" s="89"/>
      <c r="D1133" s="84"/>
      <c r="E1133" s="83"/>
      <c r="F1133" s="84"/>
      <c r="G1133" s="84"/>
      <c r="H1133" s="84"/>
      <c r="I1133" s="91"/>
      <c r="J1133" s="85"/>
      <c r="K1133" s="85"/>
      <c r="L1133" s="84"/>
      <c r="M1133" s="85"/>
      <c r="N1133" s="93"/>
      <c r="O1133" s="93"/>
      <c r="P1133" s="82"/>
    </row>
    <row r="1134">
      <c r="A1134" s="89"/>
      <c r="B1134" s="90"/>
      <c r="C1134" s="89"/>
      <c r="D1134" s="84"/>
      <c r="E1134" s="83"/>
      <c r="F1134" s="84"/>
      <c r="G1134" s="84"/>
      <c r="H1134" s="84"/>
      <c r="I1134" s="91"/>
      <c r="J1134" s="85"/>
      <c r="K1134" s="85"/>
      <c r="L1134" s="84"/>
      <c r="M1134" s="85"/>
      <c r="N1134" s="93"/>
      <c r="O1134" s="93"/>
      <c r="P1134" s="82"/>
    </row>
    <row r="1135">
      <c r="A1135" s="89"/>
      <c r="B1135" s="90"/>
      <c r="C1135" s="89"/>
      <c r="D1135" s="84"/>
      <c r="E1135" s="83"/>
      <c r="F1135" s="84"/>
      <c r="G1135" s="84"/>
      <c r="H1135" s="84"/>
      <c r="I1135" s="91"/>
      <c r="J1135" s="85"/>
      <c r="K1135" s="85"/>
      <c r="L1135" s="84"/>
      <c r="M1135" s="85"/>
      <c r="N1135" s="93"/>
      <c r="O1135" s="93"/>
      <c r="P1135" s="82"/>
    </row>
    <row r="1136">
      <c r="A1136" s="89"/>
      <c r="B1136" s="90"/>
      <c r="C1136" s="89"/>
      <c r="D1136" s="84"/>
      <c r="E1136" s="83"/>
      <c r="F1136" s="84"/>
      <c r="G1136" s="84"/>
      <c r="H1136" s="84"/>
      <c r="I1136" s="91"/>
      <c r="J1136" s="85"/>
      <c r="K1136" s="85"/>
      <c r="L1136" s="84"/>
      <c r="M1136" s="85"/>
      <c r="N1136" s="93"/>
      <c r="O1136" s="93"/>
      <c r="P1136" s="82"/>
    </row>
    <row r="1137">
      <c r="A1137" s="89"/>
      <c r="B1137" s="90"/>
      <c r="C1137" s="89"/>
      <c r="D1137" s="84"/>
      <c r="E1137" s="83"/>
      <c r="F1137" s="84"/>
      <c r="G1137" s="84"/>
      <c r="H1137" s="84"/>
      <c r="I1137" s="91"/>
      <c r="J1137" s="85"/>
      <c r="K1137" s="85"/>
      <c r="L1137" s="84"/>
      <c r="M1137" s="85"/>
      <c r="N1137" s="93"/>
      <c r="O1137" s="93"/>
      <c r="P1137" s="82"/>
    </row>
    <row r="1138">
      <c r="A1138" s="89"/>
      <c r="B1138" s="90"/>
      <c r="C1138" s="89"/>
      <c r="D1138" s="84"/>
      <c r="E1138" s="83"/>
      <c r="F1138" s="84"/>
      <c r="G1138" s="84"/>
      <c r="H1138" s="84"/>
      <c r="I1138" s="91"/>
      <c r="J1138" s="85"/>
      <c r="K1138" s="85"/>
      <c r="L1138" s="84"/>
      <c r="M1138" s="85"/>
      <c r="N1138" s="93"/>
      <c r="O1138" s="93"/>
      <c r="P1138" s="82"/>
    </row>
    <row r="1139">
      <c r="A1139" s="89"/>
      <c r="B1139" s="90"/>
      <c r="C1139" s="89"/>
      <c r="D1139" s="84"/>
      <c r="E1139" s="83"/>
      <c r="F1139" s="84"/>
      <c r="G1139" s="84"/>
      <c r="H1139" s="84"/>
      <c r="I1139" s="91"/>
      <c r="J1139" s="85"/>
      <c r="K1139" s="85"/>
      <c r="L1139" s="84"/>
      <c r="M1139" s="85"/>
      <c r="N1139" s="93"/>
      <c r="O1139" s="93"/>
      <c r="P1139" s="82"/>
    </row>
    <row r="1140">
      <c r="A1140" s="89"/>
      <c r="B1140" s="90"/>
      <c r="C1140" s="89"/>
      <c r="D1140" s="84"/>
      <c r="E1140" s="83"/>
      <c r="F1140" s="84"/>
      <c r="G1140" s="84"/>
      <c r="H1140" s="84"/>
      <c r="I1140" s="91"/>
      <c r="J1140" s="85"/>
      <c r="K1140" s="85"/>
      <c r="L1140" s="84"/>
      <c r="M1140" s="85"/>
      <c r="N1140" s="93"/>
      <c r="O1140" s="93"/>
      <c r="P1140" s="82"/>
    </row>
    <row r="1141">
      <c r="A1141" s="89"/>
      <c r="B1141" s="90"/>
      <c r="C1141" s="89"/>
      <c r="D1141" s="84"/>
      <c r="E1141" s="83"/>
      <c r="F1141" s="84"/>
      <c r="G1141" s="84"/>
      <c r="H1141" s="84"/>
      <c r="I1141" s="91"/>
      <c r="J1141" s="85"/>
      <c r="K1141" s="85"/>
      <c r="L1141" s="84"/>
      <c r="M1141" s="85"/>
      <c r="N1141" s="93"/>
      <c r="O1141" s="93"/>
      <c r="P1141" s="82"/>
    </row>
    <row r="1142">
      <c r="A1142" s="89"/>
      <c r="B1142" s="90"/>
      <c r="C1142" s="89"/>
      <c r="D1142" s="84"/>
      <c r="E1142" s="83"/>
      <c r="F1142" s="84"/>
      <c r="G1142" s="84"/>
      <c r="H1142" s="84"/>
      <c r="I1142" s="91"/>
      <c r="J1142" s="85"/>
      <c r="K1142" s="85"/>
      <c r="L1142" s="84"/>
      <c r="M1142" s="85"/>
      <c r="N1142" s="93"/>
      <c r="O1142" s="93"/>
      <c r="P1142" s="82"/>
    </row>
    <row r="1143">
      <c r="A1143" s="89"/>
      <c r="B1143" s="90"/>
      <c r="C1143" s="89"/>
      <c r="D1143" s="84"/>
      <c r="E1143" s="83"/>
      <c r="F1143" s="84"/>
      <c r="G1143" s="84"/>
      <c r="H1143" s="84"/>
      <c r="I1143" s="91"/>
      <c r="J1143" s="85"/>
      <c r="K1143" s="85"/>
      <c r="L1143" s="84"/>
      <c r="M1143" s="85"/>
      <c r="N1143" s="93"/>
      <c r="O1143" s="93"/>
      <c r="P1143" s="82"/>
    </row>
    <row r="1144">
      <c r="A1144" s="89"/>
      <c r="B1144" s="90"/>
      <c r="C1144" s="89"/>
      <c r="D1144" s="84"/>
      <c r="E1144" s="83"/>
      <c r="F1144" s="84"/>
      <c r="G1144" s="84"/>
      <c r="H1144" s="84"/>
      <c r="I1144" s="91"/>
      <c r="J1144" s="85"/>
      <c r="K1144" s="85"/>
      <c r="L1144" s="84"/>
      <c r="M1144" s="85"/>
      <c r="N1144" s="93"/>
      <c r="O1144" s="93"/>
      <c r="P1144" s="82"/>
    </row>
    <row r="1145">
      <c r="A1145" s="89"/>
      <c r="B1145" s="90"/>
      <c r="C1145" s="89"/>
      <c r="D1145" s="84"/>
      <c r="E1145" s="83"/>
      <c r="F1145" s="84"/>
      <c r="G1145" s="84"/>
      <c r="H1145" s="84"/>
      <c r="I1145" s="91"/>
      <c r="J1145" s="85"/>
      <c r="K1145" s="85"/>
      <c r="L1145" s="84"/>
      <c r="M1145" s="85"/>
      <c r="N1145" s="93"/>
      <c r="O1145" s="93"/>
      <c r="P1145" s="82"/>
    </row>
    <row r="1146">
      <c r="A1146" s="89"/>
      <c r="B1146" s="90"/>
      <c r="C1146" s="89"/>
      <c r="D1146" s="84"/>
      <c r="E1146" s="83"/>
      <c r="F1146" s="84"/>
      <c r="G1146" s="84"/>
      <c r="H1146" s="84"/>
      <c r="I1146" s="91"/>
      <c r="J1146" s="85"/>
      <c r="K1146" s="85"/>
      <c r="L1146" s="84"/>
      <c r="M1146" s="85"/>
      <c r="N1146" s="93"/>
      <c r="O1146" s="93"/>
      <c r="P1146" s="82"/>
    </row>
    <row r="1147">
      <c r="A1147" s="89"/>
      <c r="B1147" s="90"/>
      <c r="C1147" s="89"/>
      <c r="D1147" s="84"/>
      <c r="E1147" s="83"/>
      <c r="F1147" s="84"/>
      <c r="G1147" s="84"/>
      <c r="H1147" s="84"/>
      <c r="I1147" s="91"/>
      <c r="J1147" s="85"/>
      <c r="K1147" s="85"/>
      <c r="L1147" s="84"/>
      <c r="M1147" s="85"/>
      <c r="N1147" s="93"/>
      <c r="O1147" s="93"/>
      <c r="P1147" s="82"/>
    </row>
    <row r="1148">
      <c r="A1148" s="89"/>
      <c r="B1148" s="90"/>
      <c r="C1148" s="89"/>
      <c r="D1148" s="84"/>
      <c r="E1148" s="83"/>
      <c r="F1148" s="84"/>
      <c r="G1148" s="84"/>
      <c r="H1148" s="84"/>
      <c r="I1148" s="91"/>
      <c r="J1148" s="85"/>
      <c r="K1148" s="85"/>
      <c r="L1148" s="84"/>
      <c r="M1148" s="85"/>
      <c r="N1148" s="93"/>
      <c r="O1148" s="93"/>
      <c r="P1148" s="82"/>
    </row>
    <row r="1149">
      <c r="A1149" s="89"/>
      <c r="B1149" s="90"/>
      <c r="C1149" s="89"/>
      <c r="D1149" s="84"/>
      <c r="E1149" s="83"/>
      <c r="F1149" s="84"/>
      <c r="G1149" s="84"/>
      <c r="H1149" s="84"/>
      <c r="I1149" s="91"/>
      <c r="J1149" s="85"/>
      <c r="K1149" s="85"/>
      <c r="L1149" s="84"/>
      <c r="M1149" s="85"/>
      <c r="N1149" s="93"/>
      <c r="O1149" s="93"/>
      <c r="P1149" s="82"/>
    </row>
    <row r="1150">
      <c r="A1150" s="89"/>
      <c r="B1150" s="90"/>
      <c r="C1150" s="89"/>
      <c r="D1150" s="84"/>
      <c r="E1150" s="83"/>
      <c r="F1150" s="84"/>
      <c r="G1150" s="84"/>
      <c r="H1150" s="84"/>
      <c r="I1150" s="91"/>
      <c r="J1150" s="85"/>
      <c r="K1150" s="85"/>
      <c r="L1150" s="84"/>
      <c r="M1150" s="85"/>
      <c r="N1150" s="93"/>
      <c r="O1150" s="93"/>
      <c r="P1150" s="82"/>
    </row>
    <row r="1151">
      <c r="A1151" s="89"/>
      <c r="B1151" s="90"/>
      <c r="C1151" s="89"/>
      <c r="D1151" s="84"/>
      <c r="E1151" s="83"/>
      <c r="F1151" s="84"/>
      <c r="G1151" s="84"/>
      <c r="H1151" s="84"/>
      <c r="I1151" s="91"/>
      <c r="J1151" s="85"/>
      <c r="K1151" s="85"/>
      <c r="L1151" s="84"/>
      <c r="M1151" s="85"/>
      <c r="N1151" s="93"/>
      <c r="O1151" s="93"/>
      <c r="P1151" s="82"/>
    </row>
    <row r="1152">
      <c r="A1152" s="89"/>
      <c r="B1152" s="90"/>
      <c r="C1152" s="89"/>
      <c r="D1152" s="84"/>
      <c r="E1152" s="83"/>
      <c r="F1152" s="84"/>
      <c r="G1152" s="84"/>
      <c r="H1152" s="84"/>
      <c r="I1152" s="91"/>
      <c r="J1152" s="85"/>
      <c r="K1152" s="85"/>
      <c r="L1152" s="84"/>
      <c r="M1152" s="85"/>
      <c r="N1152" s="93"/>
      <c r="O1152" s="93"/>
      <c r="P1152" s="82"/>
    </row>
    <row r="1153">
      <c r="A1153" s="89"/>
      <c r="B1153" s="90"/>
      <c r="C1153" s="89"/>
      <c r="D1153" s="84"/>
      <c r="E1153" s="83"/>
      <c r="F1153" s="84"/>
      <c r="G1153" s="84"/>
      <c r="H1153" s="84"/>
      <c r="I1153" s="91"/>
      <c r="J1153" s="85"/>
      <c r="K1153" s="85"/>
      <c r="L1153" s="84"/>
      <c r="M1153" s="85"/>
      <c r="N1153" s="93"/>
      <c r="O1153" s="93"/>
      <c r="P1153" s="82"/>
    </row>
    <row r="1154">
      <c r="A1154" s="89"/>
      <c r="B1154" s="90"/>
      <c r="C1154" s="89"/>
      <c r="D1154" s="84"/>
      <c r="E1154" s="83"/>
      <c r="F1154" s="84"/>
      <c r="G1154" s="84"/>
      <c r="H1154" s="84"/>
      <c r="I1154" s="91"/>
      <c r="J1154" s="85"/>
      <c r="K1154" s="85"/>
      <c r="L1154" s="84"/>
      <c r="M1154" s="85"/>
      <c r="N1154" s="93"/>
      <c r="O1154" s="93"/>
      <c r="P1154" s="82"/>
    </row>
    <row r="1155">
      <c r="A1155" s="89"/>
      <c r="B1155" s="90"/>
      <c r="C1155" s="89"/>
      <c r="D1155" s="84"/>
      <c r="E1155" s="83"/>
      <c r="F1155" s="84"/>
      <c r="G1155" s="84"/>
      <c r="H1155" s="84"/>
      <c r="I1155" s="91"/>
      <c r="J1155" s="85"/>
      <c r="K1155" s="85"/>
      <c r="L1155" s="84"/>
      <c r="M1155" s="85"/>
      <c r="N1155" s="93"/>
      <c r="O1155" s="93"/>
      <c r="P1155" s="82"/>
    </row>
    <row r="1156">
      <c r="A1156" s="89"/>
      <c r="B1156" s="90"/>
      <c r="C1156" s="89"/>
      <c r="D1156" s="84"/>
      <c r="E1156" s="83"/>
      <c r="F1156" s="84"/>
      <c r="G1156" s="84"/>
      <c r="H1156" s="84"/>
      <c r="I1156" s="91"/>
      <c r="J1156" s="85"/>
      <c r="K1156" s="85"/>
      <c r="L1156" s="84"/>
      <c r="M1156" s="85"/>
      <c r="N1156" s="93"/>
      <c r="O1156" s="93"/>
      <c r="P1156" s="82"/>
    </row>
    <row r="1157">
      <c r="A1157" s="89"/>
      <c r="B1157" s="90"/>
      <c r="C1157" s="89"/>
      <c r="D1157" s="84"/>
      <c r="E1157" s="83"/>
      <c r="F1157" s="84"/>
      <c r="G1157" s="84"/>
      <c r="H1157" s="84"/>
      <c r="I1157" s="91"/>
      <c r="J1157" s="85"/>
      <c r="K1157" s="85"/>
      <c r="L1157" s="84"/>
      <c r="M1157" s="85"/>
      <c r="N1157" s="93"/>
      <c r="O1157" s="93"/>
      <c r="P1157" s="82"/>
    </row>
    <row r="1158">
      <c r="A1158" s="89"/>
      <c r="B1158" s="90"/>
      <c r="C1158" s="89"/>
      <c r="D1158" s="84"/>
      <c r="E1158" s="83"/>
      <c r="F1158" s="84"/>
      <c r="G1158" s="84"/>
      <c r="H1158" s="84"/>
      <c r="I1158" s="91"/>
      <c r="J1158" s="85"/>
      <c r="K1158" s="85"/>
      <c r="L1158" s="84"/>
      <c r="M1158" s="85"/>
      <c r="N1158" s="93"/>
      <c r="O1158" s="93"/>
      <c r="P1158" s="82"/>
    </row>
    <row r="1159">
      <c r="A1159" s="89"/>
      <c r="B1159" s="90"/>
      <c r="C1159" s="89"/>
      <c r="D1159" s="84"/>
      <c r="E1159" s="83"/>
      <c r="F1159" s="84"/>
      <c r="G1159" s="84"/>
      <c r="H1159" s="84"/>
      <c r="I1159" s="91"/>
      <c r="J1159" s="85"/>
      <c r="K1159" s="85"/>
      <c r="L1159" s="84"/>
      <c r="M1159" s="85"/>
      <c r="N1159" s="93"/>
      <c r="O1159" s="93"/>
      <c r="P1159" s="82"/>
    </row>
    <row r="1160">
      <c r="A1160" s="89"/>
      <c r="B1160" s="90"/>
      <c r="C1160" s="89"/>
      <c r="D1160" s="84"/>
      <c r="E1160" s="83"/>
      <c r="F1160" s="84"/>
      <c r="G1160" s="84"/>
      <c r="H1160" s="84"/>
      <c r="I1160" s="91"/>
      <c r="J1160" s="85"/>
      <c r="K1160" s="85"/>
      <c r="L1160" s="84"/>
      <c r="M1160" s="85"/>
      <c r="N1160" s="93"/>
      <c r="O1160" s="93"/>
      <c r="P1160" s="82"/>
    </row>
    <row r="1161">
      <c r="A1161" s="89"/>
      <c r="B1161" s="90"/>
      <c r="C1161" s="89"/>
      <c r="D1161" s="84"/>
      <c r="E1161" s="83"/>
      <c r="F1161" s="84"/>
      <c r="G1161" s="84"/>
      <c r="H1161" s="84"/>
      <c r="I1161" s="91"/>
      <c r="J1161" s="85"/>
      <c r="K1161" s="85"/>
      <c r="L1161" s="84"/>
      <c r="M1161" s="85"/>
      <c r="N1161" s="93"/>
      <c r="O1161" s="93"/>
      <c r="P1161" s="82"/>
    </row>
    <row r="1162">
      <c r="A1162" s="89"/>
      <c r="B1162" s="90"/>
      <c r="C1162" s="89"/>
      <c r="D1162" s="84"/>
      <c r="E1162" s="83"/>
      <c r="F1162" s="84"/>
      <c r="G1162" s="84"/>
      <c r="H1162" s="84"/>
      <c r="I1162" s="91"/>
      <c r="J1162" s="85"/>
      <c r="K1162" s="85"/>
      <c r="L1162" s="84"/>
      <c r="M1162" s="85"/>
      <c r="N1162" s="93"/>
      <c r="O1162" s="93"/>
      <c r="P1162" s="82"/>
    </row>
    <row r="1163">
      <c r="A1163" s="89"/>
      <c r="B1163" s="90"/>
      <c r="C1163" s="89"/>
      <c r="D1163" s="84"/>
      <c r="E1163" s="83"/>
      <c r="F1163" s="84"/>
      <c r="G1163" s="84"/>
      <c r="H1163" s="84"/>
      <c r="I1163" s="91"/>
      <c r="J1163" s="85"/>
      <c r="K1163" s="85"/>
      <c r="L1163" s="84"/>
      <c r="M1163" s="85"/>
      <c r="N1163" s="93"/>
      <c r="O1163" s="93"/>
      <c r="P1163" s="82"/>
    </row>
    <row r="1164">
      <c r="A1164" s="89"/>
      <c r="B1164" s="90"/>
      <c r="C1164" s="89"/>
      <c r="D1164" s="84"/>
      <c r="E1164" s="83"/>
      <c r="F1164" s="84"/>
      <c r="G1164" s="84"/>
      <c r="H1164" s="84"/>
      <c r="I1164" s="91"/>
      <c r="J1164" s="85"/>
      <c r="K1164" s="85"/>
      <c r="L1164" s="84"/>
      <c r="M1164" s="85"/>
      <c r="N1164" s="93"/>
      <c r="O1164" s="93"/>
      <c r="P1164" s="82"/>
    </row>
    <row r="1165">
      <c r="A1165" s="89"/>
      <c r="B1165" s="90"/>
      <c r="C1165" s="89"/>
      <c r="D1165" s="84"/>
      <c r="E1165" s="83"/>
      <c r="F1165" s="84"/>
      <c r="G1165" s="84"/>
      <c r="H1165" s="84"/>
      <c r="I1165" s="91"/>
      <c r="J1165" s="85"/>
      <c r="K1165" s="85"/>
      <c r="L1165" s="84"/>
      <c r="M1165" s="85"/>
      <c r="N1165" s="93"/>
      <c r="O1165" s="93"/>
      <c r="P1165" s="82"/>
    </row>
    <row r="1166">
      <c r="A1166" s="89"/>
      <c r="B1166" s="90"/>
      <c r="C1166" s="89"/>
      <c r="D1166" s="84"/>
      <c r="E1166" s="83"/>
      <c r="F1166" s="84"/>
      <c r="G1166" s="84"/>
      <c r="H1166" s="84"/>
      <c r="I1166" s="91"/>
      <c r="J1166" s="85"/>
      <c r="K1166" s="85"/>
      <c r="L1166" s="84"/>
      <c r="M1166" s="85"/>
      <c r="N1166" s="93"/>
      <c r="O1166" s="93"/>
      <c r="P1166" s="82"/>
    </row>
    <row r="1167">
      <c r="A1167" s="89"/>
      <c r="B1167" s="90"/>
      <c r="C1167" s="89"/>
      <c r="D1167" s="84"/>
      <c r="E1167" s="83"/>
      <c r="F1167" s="84"/>
      <c r="G1167" s="84"/>
      <c r="H1167" s="84"/>
      <c r="I1167" s="91"/>
      <c r="J1167" s="85"/>
      <c r="K1167" s="85"/>
      <c r="L1167" s="84"/>
      <c r="M1167" s="85"/>
      <c r="N1167" s="93"/>
      <c r="O1167" s="93"/>
      <c r="P1167" s="82"/>
    </row>
    <row r="1168">
      <c r="A1168" s="89"/>
      <c r="B1168" s="90"/>
      <c r="C1168" s="89"/>
      <c r="D1168" s="84"/>
      <c r="E1168" s="83"/>
      <c r="F1168" s="84"/>
      <c r="G1168" s="84"/>
      <c r="H1168" s="84"/>
      <c r="I1168" s="91"/>
      <c r="J1168" s="85"/>
      <c r="K1168" s="85"/>
      <c r="L1168" s="84"/>
      <c r="M1168" s="85"/>
      <c r="N1168" s="93"/>
      <c r="O1168" s="93"/>
      <c r="P1168" s="82"/>
    </row>
    <row r="1169">
      <c r="A1169" s="89"/>
      <c r="B1169" s="90"/>
      <c r="C1169" s="89"/>
      <c r="D1169" s="84"/>
      <c r="E1169" s="83"/>
      <c r="F1169" s="84"/>
      <c r="G1169" s="84"/>
      <c r="H1169" s="84"/>
      <c r="I1169" s="91"/>
      <c r="J1169" s="85"/>
      <c r="K1169" s="85"/>
      <c r="L1169" s="84"/>
      <c r="M1169" s="85"/>
      <c r="N1169" s="93"/>
      <c r="O1169" s="93"/>
      <c r="P1169" s="82"/>
    </row>
    <row r="1170">
      <c r="A1170" s="89"/>
      <c r="B1170" s="90"/>
      <c r="C1170" s="89"/>
      <c r="D1170" s="84"/>
      <c r="E1170" s="83"/>
      <c r="F1170" s="84"/>
      <c r="G1170" s="84"/>
      <c r="H1170" s="84"/>
      <c r="I1170" s="91"/>
      <c r="J1170" s="85"/>
      <c r="K1170" s="85"/>
      <c r="L1170" s="84"/>
      <c r="M1170" s="85"/>
      <c r="N1170" s="93"/>
      <c r="O1170" s="93"/>
      <c r="P1170" s="82"/>
    </row>
    <row r="1171">
      <c r="A1171" s="89"/>
      <c r="B1171" s="90"/>
      <c r="C1171" s="89"/>
      <c r="D1171" s="84"/>
      <c r="E1171" s="83"/>
      <c r="F1171" s="84"/>
      <c r="G1171" s="84"/>
      <c r="H1171" s="84"/>
      <c r="I1171" s="91"/>
      <c r="J1171" s="85"/>
      <c r="K1171" s="85"/>
      <c r="L1171" s="84"/>
      <c r="M1171" s="85"/>
      <c r="N1171" s="93"/>
      <c r="O1171" s="93"/>
      <c r="P1171" s="82"/>
    </row>
    <row r="1172">
      <c r="A1172" s="89"/>
      <c r="B1172" s="90"/>
      <c r="C1172" s="89"/>
      <c r="D1172" s="84"/>
      <c r="E1172" s="83"/>
      <c r="F1172" s="84"/>
      <c r="G1172" s="84"/>
      <c r="H1172" s="84"/>
      <c r="I1172" s="91"/>
      <c r="J1172" s="85"/>
      <c r="K1172" s="85"/>
      <c r="L1172" s="84"/>
      <c r="M1172" s="85"/>
      <c r="N1172" s="93"/>
      <c r="O1172" s="93"/>
      <c r="P1172" s="82"/>
    </row>
    <row r="1173">
      <c r="A1173" s="89"/>
      <c r="B1173" s="90"/>
      <c r="C1173" s="89"/>
      <c r="D1173" s="84"/>
      <c r="E1173" s="83"/>
      <c r="F1173" s="84"/>
      <c r="G1173" s="84"/>
      <c r="H1173" s="84"/>
      <c r="I1173" s="91"/>
      <c r="J1173" s="85"/>
      <c r="K1173" s="85"/>
      <c r="L1173" s="84"/>
      <c r="M1173" s="85"/>
      <c r="N1173" s="93"/>
      <c r="O1173" s="93"/>
      <c r="P1173" s="82"/>
    </row>
    <row r="1174">
      <c r="A1174" s="89"/>
      <c r="B1174" s="90"/>
      <c r="C1174" s="89"/>
      <c r="D1174" s="84"/>
      <c r="E1174" s="83"/>
      <c r="F1174" s="84"/>
      <c r="G1174" s="84"/>
      <c r="H1174" s="84"/>
      <c r="I1174" s="91"/>
      <c r="J1174" s="85"/>
      <c r="K1174" s="85"/>
      <c r="L1174" s="84"/>
      <c r="M1174" s="85"/>
      <c r="N1174" s="93"/>
      <c r="O1174" s="93"/>
      <c r="P1174" s="82"/>
    </row>
    <row r="1175">
      <c r="A1175" s="89"/>
      <c r="B1175" s="90"/>
      <c r="C1175" s="89"/>
      <c r="D1175" s="84"/>
      <c r="E1175" s="83"/>
      <c r="F1175" s="84"/>
      <c r="G1175" s="84"/>
      <c r="H1175" s="84"/>
      <c r="I1175" s="91"/>
      <c r="J1175" s="85"/>
      <c r="K1175" s="85"/>
      <c r="L1175" s="84"/>
      <c r="M1175" s="85"/>
      <c r="N1175" s="93"/>
      <c r="O1175" s="93"/>
      <c r="P1175" s="82"/>
    </row>
    <row r="1176">
      <c r="A1176" s="89"/>
      <c r="B1176" s="90"/>
      <c r="C1176" s="89"/>
      <c r="D1176" s="84"/>
      <c r="E1176" s="83"/>
      <c r="F1176" s="84"/>
      <c r="G1176" s="84"/>
      <c r="H1176" s="84"/>
      <c r="I1176" s="91"/>
      <c r="J1176" s="85"/>
      <c r="K1176" s="85"/>
      <c r="L1176" s="84"/>
      <c r="M1176" s="85"/>
      <c r="N1176" s="93"/>
      <c r="O1176" s="93"/>
      <c r="P1176" s="82"/>
    </row>
    <row r="1177">
      <c r="A1177" s="89"/>
      <c r="B1177" s="90"/>
      <c r="C1177" s="89"/>
      <c r="D1177" s="84"/>
      <c r="E1177" s="83"/>
      <c r="F1177" s="84"/>
      <c r="G1177" s="84"/>
      <c r="H1177" s="84"/>
      <c r="I1177" s="91"/>
      <c r="J1177" s="85"/>
      <c r="K1177" s="85"/>
      <c r="L1177" s="84"/>
      <c r="M1177" s="85"/>
      <c r="N1177" s="93"/>
      <c r="O1177" s="93"/>
      <c r="P1177" s="82"/>
    </row>
    <row r="1178">
      <c r="A1178" s="89"/>
      <c r="B1178" s="90"/>
      <c r="C1178" s="89"/>
      <c r="D1178" s="84"/>
      <c r="E1178" s="83"/>
      <c r="F1178" s="84"/>
      <c r="G1178" s="84"/>
      <c r="H1178" s="84"/>
      <c r="I1178" s="91"/>
      <c r="J1178" s="85"/>
      <c r="K1178" s="85"/>
      <c r="L1178" s="84"/>
      <c r="M1178" s="85"/>
      <c r="N1178" s="93"/>
      <c r="O1178" s="93"/>
      <c r="P1178" s="82"/>
    </row>
    <row r="1179">
      <c r="A1179" s="89"/>
      <c r="B1179" s="90"/>
      <c r="C1179" s="89"/>
      <c r="D1179" s="84"/>
      <c r="E1179" s="83"/>
      <c r="F1179" s="84"/>
      <c r="G1179" s="84"/>
      <c r="H1179" s="84"/>
      <c r="I1179" s="91"/>
      <c r="J1179" s="85"/>
      <c r="K1179" s="85"/>
      <c r="L1179" s="84"/>
      <c r="M1179" s="85"/>
      <c r="N1179" s="93"/>
      <c r="O1179" s="93"/>
      <c r="P1179" s="82"/>
    </row>
    <row r="1180">
      <c r="A1180" s="89"/>
      <c r="B1180" s="90"/>
      <c r="C1180" s="89"/>
      <c r="D1180" s="84"/>
      <c r="E1180" s="83"/>
      <c r="F1180" s="84"/>
      <c r="G1180" s="84"/>
      <c r="H1180" s="84"/>
      <c r="I1180" s="91"/>
      <c r="J1180" s="85"/>
      <c r="K1180" s="85"/>
      <c r="L1180" s="84"/>
      <c r="M1180" s="85"/>
      <c r="N1180" s="93"/>
      <c r="O1180" s="93"/>
      <c r="P1180" s="82"/>
    </row>
    <row r="1181">
      <c r="A1181" s="89"/>
      <c r="B1181" s="90"/>
      <c r="C1181" s="89"/>
      <c r="D1181" s="84"/>
      <c r="E1181" s="83"/>
      <c r="F1181" s="84"/>
      <c r="G1181" s="84"/>
      <c r="H1181" s="84"/>
      <c r="I1181" s="91"/>
      <c r="J1181" s="85"/>
      <c r="K1181" s="85"/>
      <c r="L1181" s="84"/>
      <c r="M1181" s="85"/>
      <c r="N1181" s="93"/>
      <c r="O1181" s="93"/>
      <c r="P1181" s="82"/>
    </row>
    <row r="1182">
      <c r="A1182" s="89"/>
      <c r="B1182" s="90"/>
      <c r="C1182" s="89"/>
      <c r="D1182" s="84"/>
      <c r="E1182" s="83"/>
      <c r="F1182" s="84"/>
      <c r="G1182" s="84"/>
      <c r="H1182" s="84"/>
      <c r="I1182" s="91"/>
      <c r="J1182" s="85"/>
      <c r="K1182" s="85"/>
      <c r="L1182" s="84"/>
      <c r="M1182" s="85"/>
      <c r="N1182" s="93"/>
      <c r="O1182" s="93"/>
      <c r="P1182" s="82"/>
    </row>
    <row r="1183">
      <c r="A1183" s="89"/>
      <c r="B1183" s="90"/>
      <c r="C1183" s="89"/>
      <c r="D1183" s="84"/>
      <c r="E1183" s="83"/>
      <c r="F1183" s="84"/>
      <c r="G1183" s="84"/>
      <c r="H1183" s="84"/>
      <c r="I1183" s="91"/>
      <c r="J1183" s="85"/>
      <c r="K1183" s="85"/>
      <c r="L1183" s="84"/>
      <c r="M1183" s="85"/>
      <c r="N1183" s="93"/>
      <c r="O1183" s="93"/>
      <c r="P1183" s="82"/>
    </row>
    <row r="1184">
      <c r="A1184" s="89"/>
      <c r="B1184" s="90"/>
      <c r="C1184" s="89"/>
      <c r="D1184" s="84"/>
      <c r="E1184" s="83"/>
      <c r="F1184" s="84"/>
      <c r="G1184" s="84"/>
      <c r="H1184" s="84"/>
      <c r="I1184" s="91"/>
      <c r="J1184" s="85"/>
      <c r="K1184" s="85"/>
      <c r="L1184" s="84"/>
      <c r="M1184" s="85"/>
      <c r="N1184" s="93"/>
      <c r="O1184" s="93"/>
      <c r="P1184" s="82"/>
    </row>
    <row r="1185">
      <c r="A1185" s="89"/>
      <c r="B1185" s="90"/>
      <c r="C1185" s="89"/>
      <c r="D1185" s="84"/>
      <c r="E1185" s="83"/>
      <c r="F1185" s="84"/>
      <c r="G1185" s="84"/>
      <c r="H1185" s="84"/>
      <c r="I1185" s="91"/>
      <c r="J1185" s="85"/>
      <c r="K1185" s="85"/>
      <c r="L1185" s="84"/>
      <c r="M1185" s="85"/>
      <c r="N1185" s="93"/>
      <c r="O1185" s="93"/>
      <c r="P1185" s="82"/>
    </row>
    <row r="1186">
      <c r="A1186" s="89"/>
      <c r="B1186" s="90"/>
      <c r="C1186" s="89"/>
      <c r="D1186" s="84"/>
      <c r="E1186" s="83"/>
      <c r="F1186" s="84"/>
      <c r="G1186" s="84"/>
      <c r="H1186" s="84"/>
      <c r="I1186" s="91"/>
      <c r="J1186" s="85"/>
      <c r="K1186" s="85"/>
      <c r="L1186" s="84"/>
      <c r="M1186" s="85"/>
      <c r="N1186" s="93"/>
      <c r="O1186" s="93"/>
      <c r="P1186" s="82"/>
    </row>
    <row r="1187">
      <c r="A1187" s="89"/>
      <c r="B1187" s="90"/>
      <c r="C1187" s="89"/>
      <c r="D1187" s="84"/>
      <c r="E1187" s="83"/>
      <c r="F1187" s="84"/>
      <c r="G1187" s="84"/>
      <c r="H1187" s="84"/>
      <c r="I1187" s="91"/>
      <c r="J1187" s="85"/>
      <c r="K1187" s="85"/>
      <c r="L1187" s="84"/>
      <c r="M1187" s="85"/>
      <c r="N1187" s="93"/>
      <c r="O1187" s="93"/>
      <c r="P1187" s="82"/>
    </row>
    <row r="1188">
      <c r="A1188" s="89"/>
      <c r="B1188" s="90"/>
      <c r="C1188" s="89"/>
      <c r="D1188" s="84"/>
      <c r="E1188" s="83"/>
      <c r="F1188" s="84"/>
      <c r="G1188" s="84"/>
      <c r="H1188" s="84"/>
      <c r="I1188" s="91"/>
      <c r="J1188" s="85"/>
      <c r="K1188" s="85"/>
      <c r="L1188" s="84"/>
      <c r="M1188" s="85"/>
      <c r="N1188" s="93"/>
      <c r="O1188" s="93"/>
      <c r="P1188" s="82"/>
    </row>
    <row r="1189">
      <c r="A1189" s="89"/>
      <c r="B1189" s="90"/>
      <c r="C1189" s="89"/>
      <c r="D1189" s="84"/>
      <c r="E1189" s="83"/>
      <c r="F1189" s="84"/>
      <c r="G1189" s="84"/>
      <c r="H1189" s="84"/>
      <c r="I1189" s="91"/>
      <c r="J1189" s="85"/>
      <c r="K1189" s="85"/>
      <c r="L1189" s="84"/>
      <c r="M1189" s="85"/>
      <c r="N1189" s="93"/>
      <c r="O1189" s="93"/>
      <c r="P1189" s="82"/>
    </row>
    <row r="1190">
      <c r="A1190" s="89"/>
      <c r="B1190" s="90"/>
      <c r="C1190" s="89"/>
      <c r="D1190" s="84"/>
      <c r="E1190" s="83"/>
      <c r="F1190" s="84"/>
      <c r="G1190" s="84"/>
      <c r="H1190" s="84"/>
      <c r="I1190" s="91"/>
      <c r="J1190" s="85"/>
      <c r="K1190" s="85"/>
      <c r="L1190" s="84"/>
      <c r="M1190" s="85"/>
      <c r="N1190" s="93"/>
      <c r="O1190" s="93"/>
      <c r="P1190" s="82"/>
    </row>
    <row r="1191">
      <c r="A1191" s="89"/>
      <c r="B1191" s="90"/>
      <c r="C1191" s="89"/>
      <c r="D1191" s="84"/>
      <c r="E1191" s="83"/>
      <c r="F1191" s="84"/>
      <c r="G1191" s="84"/>
      <c r="H1191" s="84"/>
      <c r="I1191" s="91"/>
      <c r="J1191" s="85"/>
      <c r="K1191" s="85"/>
      <c r="L1191" s="84"/>
      <c r="M1191" s="85"/>
      <c r="N1191" s="93"/>
      <c r="O1191" s="93"/>
      <c r="P1191" s="82"/>
    </row>
    <row r="1192">
      <c r="A1192" s="89"/>
      <c r="B1192" s="90"/>
      <c r="C1192" s="89"/>
      <c r="D1192" s="84"/>
      <c r="E1192" s="83"/>
      <c r="F1192" s="84"/>
      <c r="G1192" s="84"/>
      <c r="H1192" s="84"/>
      <c r="I1192" s="91"/>
      <c r="J1192" s="85"/>
      <c r="K1192" s="85"/>
      <c r="L1192" s="84"/>
      <c r="M1192" s="85"/>
      <c r="N1192" s="93"/>
      <c r="O1192" s="93"/>
      <c r="P1192" s="82"/>
    </row>
    <row r="1193">
      <c r="A1193" s="89"/>
      <c r="B1193" s="90"/>
      <c r="C1193" s="89"/>
      <c r="D1193" s="84"/>
      <c r="E1193" s="83"/>
      <c r="F1193" s="84"/>
      <c r="G1193" s="84"/>
      <c r="H1193" s="84"/>
      <c r="I1193" s="91"/>
      <c r="J1193" s="85"/>
      <c r="K1193" s="85"/>
      <c r="L1193" s="84"/>
      <c r="M1193" s="85"/>
      <c r="N1193" s="93"/>
      <c r="O1193" s="93"/>
      <c r="P1193" s="82"/>
    </row>
    <row r="1194">
      <c r="A1194" s="89"/>
      <c r="B1194" s="90"/>
      <c r="C1194" s="89"/>
      <c r="D1194" s="84"/>
      <c r="E1194" s="83"/>
      <c r="F1194" s="84"/>
      <c r="G1194" s="84"/>
      <c r="H1194" s="84"/>
      <c r="I1194" s="91"/>
      <c r="J1194" s="85"/>
      <c r="K1194" s="85"/>
      <c r="L1194" s="84"/>
      <c r="M1194" s="85"/>
      <c r="N1194" s="93"/>
      <c r="O1194" s="93"/>
      <c r="P1194" s="82"/>
    </row>
    <row r="1195">
      <c r="A1195" s="89"/>
      <c r="B1195" s="90"/>
      <c r="C1195" s="89"/>
      <c r="D1195" s="84"/>
      <c r="E1195" s="83"/>
      <c r="F1195" s="84"/>
      <c r="G1195" s="84"/>
      <c r="H1195" s="84"/>
      <c r="I1195" s="91"/>
      <c r="J1195" s="85"/>
      <c r="K1195" s="85"/>
      <c r="L1195" s="84"/>
      <c r="M1195" s="85"/>
      <c r="N1195" s="93"/>
      <c r="O1195" s="93"/>
      <c r="P1195" s="82"/>
    </row>
    <row r="1196">
      <c r="A1196" s="89"/>
      <c r="B1196" s="90"/>
      <c r="C1196" s="89"/>
      <c r="D1196" s="84"/>
      <c r="E1196" s="83"/>
      <c r="F1196" s="84"/>
      <c r="G1196" s="84"/>
      <c r="H1196" s="84"/>
      <c r="I1196" s="91"/>
      <c r="J1196" s="85"/>
      <c r="K1196" s="85"/>
      <c r="L1196" s="84"/>
      <c r="M1196" s="85"/>
      <c r="N1196" s="93"/>
      <c r="O1196" s="93"/>
      <c r="P1196" s="82"/>
    </row>
    <row r="1197">
      <c r="A1197" s="89"/>
      <c r="B1197" s="90"/>
      <c r="C1197" s="89"/>
      <c r="D1197" s="84"/>
      <c r="E1197" s="83"/>
      <c r="F1197" s="84"/>
      <c r="G1197" s="84"/>
      <c r="H1197" s="84"/>
      <c r="I1197" s="91"/>
      <c r="J1197" s="85"/>
      <c r="K1197" s="85"/>
      <c r="L1197" s="84"/>
      <c r="M1197" s="85"/>
      <c r="N1197" s="93"/>
      <c r="O1197" s="93"/>
      <c r="P1197" s="82"/>
    </row>
    <row r="1198">
      <c r="A1198" s="89"/>
      <c r="B1198" s="90"/>
      <c r="C1198" s="89"/>
      <c r="D1198" s="84"/>
      <c r="E1198" s="83"/>
      <c r="F1198" s="84"/>
      <c r="G1198" s="84"/>
      <c r="H1198" s="84"/>
      <c r="I1198" s="91"/>
      <c r="J1198" s="85"/>
      <c r="K1198" s="85"/>
      <c r="L1198" s="84"/>
      <c r="M1198" s="85"/>
      <c r="N1198" s="93"/>
      <c r="O1198" s="93"/>
      <c r="P1198" s="82"/>
    </row>
    <row r="1199">
      <c r="A1199" s="89"/>
      <c r="B1199" s="90"/>
      <c r="C1199" s="89"/>
      <c r="D1199" s="84"/>
      <c r="E1199" s="83"/>
      <c r="F1199" s="84"/>
      <c r="G1199" s="84"/>
      <c r="H1199" s="84"/>
      <c r="I1199" s="91"/>
      <c r="J1199" s="85"/>
      <c r="K1199" s="85"/>
      <c r="L1199" s="84"/>
      <c r="M1199" s="85"/>
      <c r="N1199" s="93"/>
      <c r="O1199" s="93"/>
      <c r="P1199" s="82"/>
    </row>
    <row r="1200">
      <c r="A1200" s="89"/>
      <c r="B1200" s="90"/>
      <c r="C1200" s="89"/>
      <c r="D1200" s="84"/>
      <c r="E1200" s="83"/>
      <c r="F1200" s="84"/>
      <c r="G1200" s="84"/>
      <c r="H1200" s="84"/>
      <c r="I1200" s="91"/>
      <c r="J1200" s="85"/>
      <c r="K1200" s="85"/>
      <c r="L1200" s="84"/>
      <c r="M1200" s="85"/>
      <c r="N1200" s="93"/>
      <c r="O1200" s="93"/>
      <c r="P1200" s="82"/>
    </row>
    <row r="1201">
      <c r="A1201" s="89"/>
      <c r="B1201" s="90"/>
      <c r="C1201" s="89"/>
      <c r="D1201" s="84"/>
      <c r="E1201" s="83"/>
      <c r="F1201" s="84"/>
      <c r="G1201" s="84"/>
      <c r="H1201" s="84"/>
      <c r="I1201" s="91"/>
      <c r="J1201" s="85"/>
      <c r="K1201" s="85"/>
      <c r="L1201" s="84"/>
      <c r="M1201" s="85"/>
      <c r="N1201" s="93"/>
      <c r="O1201" s="93"/>
      <c r="P1201" s="82"/>
    </row>
    <row r="1202">
      <c r="A1202" s="89"/>
      <c r="B1202" s="90"/>
      <c r="C1202" s="89"/>
      <c r="D1202" s="84"/>
      <c r="E1202" s="83"/>
      <c r="F1202" s="84"/>
      <c r="G1202" s="84"/>
      <c r="H1202" s="84"/>
      <c r="I1202" s="91"/>
      <c r="J1202" s="85"/>
      <c r="K1202" s="85"/>
      <c r="L1202" s="84"/>
      <c r="M1202" s="85"/>
      <c r="N1202" s="93"/>
      <c r="O1202" s="93"/>
      <c r="P1202" s="82"/>
    </row>
    <row r="1203">
      <c r="A1203" s="89"/>
      <c r="B1203" s="90"/>
      <c r="C1203" s="89"/>
      <c r="D1203" s="84"/>
      <c r="E1203" s="83"/>
      <c r="F1203" s="84"/>
      <c r="G1203" s="84"/>
      <c r="H1203" s="84"/>
      <c r="I1203" s="91"/>
      <c r="J1203" s="85"/>
      <c r="K1203" s="85"/>
      <c r="L1203" s="84"/>
      <c r="M1203" s="85"/>
      <c r="N1203" s="93"/>
      <c r="O1203" s="93"/>
      <c r="P1203" s="82"/>
    </row>
    <row r="1204">
      <c r="A1204" s="89"/>
      <c r="B1204" s="90"/>
      <c r="C1204" s="89"/>
      <c r="D1204" s="84"/>
      <c r="E1204" s="83"/>
      <c r="F1204" s="84"/>
      <c r="G1204" s="84"/>
      <c r="H1204" s="84"/>
      <c r="I1204" s="91"/>
      <c r="J1204" s="85"/>
      <c r="K1204" s="85"/>
      <c r="L1204" s="84"/>
      <c r="M1204" s="85"/>
      <c r="N1204" s="93"/>
      <c r="O1204" s="93"/>
      <c r="P1204" s="82"/>
    </row>
    <row r="1205">
      <c r="A1205" s="89"/>
      <c r="B1205" s="90"/>
      <c r="C1205" s="89"/>
      <c r="D1205" s="84"/>
      <c r="E1205" s="83"/>
      <c r="F1205" s="84"/>
      <c r="G1205" s="84"/>
      <c r="H1205" s="84"/>
      <c r="I1205" s="91"/>
      <c r="J1205" s="85"/>
      <c r="K1205" s="85"/>
      <c r="L1205" s="84"/>
      <c r="M1205" s="85"/>
      <c r="N1205" s="93"/>
      <c r="O1205" s="93"/>
      <c r="P1205" s="82"/>
    </row>
    <row r="1206">
      <c r="A1206" s="89"/>
      <c r="B1206" s="90"/>
      <c r="C1206" s="89"/>
      <c r="D1206" s="84"/>
      <c r="E1206" s="83"/>
      <c r="F1206" s="84"/>
      <c r="G1206" s="84"/>
      <c r="H1206" s="84"/>
      <c r="I1206" s="91"/>
      <c r="J1206" s="85"/>
      <c r="K1206" s="85"/>
      <c r="L1206" s="84"/>
      <c r="M1206" s="85"/>
      <c r="N1206" s="93"/>
      <c r="O1206" s="93"/>
      <c r="P1206" s="82"/>
    </row>
    <row r="1207">
      <c r="A1207" s="89"/>
      <c r="B1207" s="90"/>
      <c r="C1207" s="89"/>
      <c r="D1207" s="84"/>
      <c r="E1207" s="83"/>
      <c r="F1207" s="84"/>
      <c r="G1207" s="84"/>
      <c r="H1207" s="84"/>
      <c r="I1207" s="91"/>
      <c r="J1207" s="85"/>
      <c r="K1207" s="85"/>
      <c r="L1207" s="84"/>
      <c r="M1207" s="85"/>
      <c r="N1207" s="93"/>
      <c r="O1207" s="93"/>
      <c r="P1207" s="82"/>
    </row>
    <row r="1208">
      <c r="A1208" s="89"/>
      <c r="B1208" s="90"/>
      <c r="C1208" s="89"/>
      <c r="D1208" s="84"/>
      <c r="E1208" s="83"/>
      <c r="F1208" s="84"/>
      <c r="G1208" s="84"/>
      <c r="H1208" s="84"/>
      <c r="I1208" s="91"/>
      <c r="J1208" s="85"/>
      <c r="K1208" s="85"/>
      <c r="L1208" s="84"/>
      <c r="M1208" s="85"/>
      <c r="N1208" s="93"/>
      <c r="O1208" s="93"/>
      <c r="P1208" s="82"/>
    </row>
    <row r="1209">
      <c r="A1209" s="89"/>
      <c r="B1209" s="90"/>
      <c r="C1209" s="89"/>
      <c r="D1209" s="84"/>
      <c r="E1209" s="83"/>
      <c r="F1209" s="84"/>
      <c r="G1209" s="84"/>
      <c r="H1209" s="84"/>
      <c r="I1209" s="91"/>
      <c r="J1209" s="85"/>
      <c r="K1209" s="85"/>
      <c r="L1209" s="84"/>
      <c r="M1209" s="85"/>
      <c r="N1209" s="93"/>
      <c r="O1209" s="93"/>
      <c r="P1209" s="82"/>
    </row>
    <row r="1210">
      <c r="A1210" s="89"/>
      <c r="B1210" s="90"/>
      <c r="C1210" s="89"/>
      <c r="D1210" s="84"/>
      <c r="E1210" s="83"/>
      <c r="F1210" s="84"/>
      <c r="G1210" s="84"/>
      <c r="H1210" s="84"/>
      <c r="I1210" s="91"/>
      <c r="J1210" s="85"/>
      <c r="K1210" s="85"/>
      <c r="L1210" s="84"/>
      <c r="M1210" s="85"/>
      <c r="N1210" s="93"/>
      <c r="O1210" s="93"/>
      <c r="P1210" s="82"/>
    </row>
    <row r="1211">
      <c r="A1211" s="89"/>
      <c r="B1211" s="90"/>
      <c r="C1211" s="89"/>
      <c r="D1211" s="84"/>
      <c r="E1211" s="83"/>
      <c r="F1211" s="84"/>
      <c r="G1211" s="84"/>
      <c r="H1211" s="84"/>
      <c r="I1211" s="91"/>
      <c r="J1211" s="85"/>
      <c r="K1211" s="85"/>
      <c r="L1211" s="84"/>
      <c r="M1211" s="85"/>
      <c r="N1211" s="93"/>
      <c r="O1211" s="93"/>
      <c r="P1211" s="82"/>
    </row>
    <row r="1212">
      <c r="A1212" s="89"/>
      <c r="B1212" s="90"/>
      <c r="C1212" s="89"/>
      <c r="D1212" s="84"/>
      <c r="E1212" s="83"/>
      <c r="F1212" s="84"/>
      <c r="G1212" s="84"/>
      <c r="H1212" s="84"/>
      <c r="I1212" s="91"/>
      <c r="J1212" s="85"/>
      <c r="K1212" s="85"/>
      <c r="L1212" s="84"/>
      <c r="M1212" s="85"/>
      <c r="N1212" s="93"/>
      <c r="O1212" s="93"/>
      <c r="P1212" s="82"/>
    </row>
    <row r="1213">
      <c r="A1213" s="89"/>
      <c r="B1213" s="90"/>
      <c r="C1213" s="89"/>
      <c r="D1213" s="84"/>
      <c r="E1213" s="83"/>
      <c r="F1213" s="84"/>
      <c r="G1213" s="84"/>
      <c r="H1213" s="84"/>
      <c r="I1213" s="91"/>
      <c r="J1213" s="85"/>
      <c r="K1213" s="85"/>
      <c r="L1213" s="84"/>
      <c r="M1213" s="85"/>
      <c r="N1213" s="93"/>
      <c r="O1213" s="93"/>
      <c r="P1213" s="82"/>
    </row>
    <row r="1214">
      <c r="A1214" s="89"/>
      <c r="B1214" s="90"/>
      <c r="C1214" s="89"/>
      <c r="D1214" s="84"/>
      <c r="E1214" s="83"/>
      <c r="F1214" s="84"/>
      <c r="G1214" s="84"/>
      <c r="H1214" s="84"/>
      <c r="I1214" s="91"/>
      <c r="J1214" s="85"/>
      <c r="K1214" s="85"/>
      <c r="L1214" s="84"/>
      <c r="M1214" s="85"/>
      <c r="N1214" s="93"/>
      <c r="O1214" s="93"/>
      <c r="P1214" s="82"/>
    </row>
    <row r="1215">
      <c r="A1215" s="89"/>
      <c r="B1215" s="90"/>
      <c r="C1215" s="89"/>
      <c r="D1215" s="84"/>
      <c r="E1215" s="83"/>
      <c r="F1215" s="84"/>
      <c r="G1215" s="84"/>
      <c r="H1215" s="84"/>
      <c r="I1215" s="91"/>
      <c r="J1215" s="85"/>
      <c r="K1215" s="85"/>
      <c r="L1215" s="84"/>
      <c r="M1215" s="85"/>
      <c r="N1215" s="93"/>
      <c r="O1215" s="93"/>
      <c r="P1215" s="82"/>
    </row>
    <row r="1216">
      <c r="A1216" s="89"/>
      <c r="B1216" s="90"/>
      <c r="C1216" s="89"/>
      <c r="D1216" s="84"/>
      <c r="E1216" s="83"/>
      <c r="F1216" s="84"/>
      <c r="G1216" s="84"/>
      <c r="H1216" s="84"/>
      <c r="I1216" s="91"/>
      <c r="J1216" s="85"/>
      <c r="K1216" s="85"/>
      <c r="L1216" s="84"/>
      <c r="M1216" s="85"/>
      <c r="N1216" s="93"/>
      <c r="O1216" s="93"/>
      <c r="P1216" s="82"/>
    </row>
    <row r="1217">
      <c r="A1217" s="89"/>
      <c r="B1217" s="90"/>
      <c r="C1217" s="89"/>
      <c r="D1217" s="84"/>
      <c r="E1217" s="83"/>
      <c r="F1217" s="84"/>
      <c r="G1217" s="84"/>
      <c r="H1217" s="84"/>
      <c r="I1217" s="91"/>
      <c r="J1217" s="85"/>
      <c r="K1217" s="85"/>
      <c r="L1217" s="84"/>
      <c r="M1217" s="85"/>
      <c r="N1217" s="93"/>
      <c r="O1217" s="93"/>
      <c r="P1217" s="82"/>
    </row>
    <row r="1218">
      <c r="A1218" s="89"/>
      <c r="B1218" s="90"/>
      <c r="C1218" s="89"/>
      <c r="D1218" s="84"/>
      <c r="E1218" s="83"/>
      <c r="F1218" s="84"/>
      <c r="G1218" s="84"/>
      <c r="H1218" s="84"/>
      <c r="I1218" s="91"/>
      <c r="J1218" s="85"/>
      <c r="K1218" s="85"/>
      <c r="L1218" s="84"/>
      <c r="M1218" s="85"/>
      <c r="N1218" s="93"/>
      <c r="O1218" s="93"/>
      <c r="P1218" s="82"/>
    </row>
    <row r="1219">
      <c r="A1219" s="89"/>
      <c r="B1219" s="90"/>
      <c r="C1219" s="89"/>
      <c r="D1219" s="84"/>
      <c r="E1219" s="83"/>
      <c r="F1219" s="84"/>
      <c r="G1219" s="84"/>
      <c r="H1219" s="84"/>
      <c r="I1219" s="91"/>
      <c r="J1219" s="85"/>
      <c r="K1219" s="85"/>
      <c r="L1219" s="84"/>
      <c r="M1219" s="85"/>
      <c r="N1219" s="93"/>
      <c r="O1219" s="93"/>
      <c r="P1219" s="82"/>
    </row>
    <row r="1220">
      <c r="A1220" s="89"/>
      <c r="B1220" s="90"/>
      <c r="C1220" s="89"/>
      <c r="D1220" s="84"/>
      <c r="E1220" s="83"/>
      <c r="F1220" s="84"/>
      <c r="G1220" s="84"/>
      <c r="H1220" s="84"/>
      <c r="I1220" s="91"/>
      <c r="J1220" s="85"/>
      <c r="K1220" s="85"/>
      <c r="L1220" s="84"/>
      <c r="M1220" s="85"/>
      <c r="N1220" s="93"/>
      <c r="O1220" s="93"/>
      <c r="P1220" s="82"/>
    </row>
    <row r="1221">
      <c r="A1221" s="89"/>
      <c r="B1221" s="90"/>
      <c r="C1221" s="89"/>
      <c r="D1221" s="84"/>
      <c r="E1221" s="83"/>
      <c r="F1221" s="84"/>
      <c r="G1221" s="84"/>
      <c r="H1221" s="84"/>
      <c r="I1221" s="91"/>
      <c r="J1221" s="85"/>
      <c r="K1221" s="85"/>
      <c r="L1221" s="84"/>
      <c r="M1221" s="85"/>
      <c r="N1221" s="93"/>
      <c r="O1221" s="93"/>
      <c r="P1221" s="82"/>
    </row>
    <row r="1222">
      <c r="A1222" s="89"/>
      <c r="B1222" s="90"/>
      <c r="C1222" s="89"/>
      <c r="D1222" s="84"/>
      <c r="E1222" s="83"/>
      <c r="F1222" s="84"/>
      <c r="G1222" s="84"/>
      <c r="H1222" s="84"/>
      <c r="I1222" s="91"/>
      <c r="J1222" s="85"/>
      <c r="K1222" s="85"/>
      <c r="L1222" s="84"/>
      <c r="M1222" s="85"/>
      <c r="N1222" s="93"/>
      <c r="O1222" s="93"/>
      <c r="P1222" s="82"/>
    </row>
    <row r="1223">
      <c r="A1223" s="89"/>
      <c r="B1223" s="90"/>
      <c r="C1223" s="89"/>
      <c r="D1223" s="84"/>
      <c r="E1223" s="83"/>
      <c r="F1223" s="84"/>
      <c r="G1223" s="84"/>
      <c r="H1223" s="84"/>
      <c r="I1223" s="91"/>
      <c r="J1223" s="85"/>
      <c r="K1223" s="85"/>
      <c r="L1223" s="84"/>
      <c r="M1223" s="85"/>
      <c r="N1223" s="93"/>
      <c r="O1223" s="93"/>
      <c r="P1223" s="82"/>
    </row>
    <row r="1224">
      <c r="A1224" s="89"/>
      <c r="B1224" s="90"/>
      <c r="C1224" s="89"/>
      <c r="D1224" s="84"/>
      <c r="E1224" s="83"/>
      <c r="F1224" s="84"/>
      <c r="G1224" s="84"/>
      <c r="H1224" s="84"/>
      <c r="I1224" s="91"/>
      <c r="J1224" s="85"/>
      <c r="K1224" s="85"/>
      <c r="L1224" s="84"/>
      <c r="M1224" s="85"/>
      <c r="N1224" s="93"/>
      <c r="O1224" s="93"/>
      <c r="P1224" s="82"/>
    </row>
    <row r="1225">
      <c r="A1225" s="89"/>
      <c r="B1225" s="90"/>
      <c r="C1225" s="89"/>
      <c r="D1225" s="84"/>
      <c r="E1225" s="83"/>
      <c r="F1225" s="84"/>
      <c r="G1225" s="84"/>
      <c r="H1225" s="84"/>
      <c r="I1225" s="91"/>
      <c r="J1225" s="85"/>
      <c r="K1225" s="85"/>
      <c r="L1225" s="84"/>
      <c r="M1225" s="85"/>
      <c r="N1225" s="93"/>
      <c r="O1225" s="93"/>
      <c r="P1225" s="82"/>
    </row>
    <row r="1226">
      <c r="A1226" s="89"/>
      <c r="B1226" s="90"/>
      <c r="C1226" s="89"/>
      <c r="D1226" s="84"/>
      <c r="E1226" s="83"/>
      <c r="F1226" s="84"/>
      <c r="G1226" s="84"/>
      <c r="H1226" s="84"/>
      <c r="I1226" s="91"/>
      <c r="J1226" s="85"/>
      <c r="K1226" s="85"/>
      <c r="L1226" s="84"/>
      <c r="M1226" s="85"/>
      <c r="N1226" s="93"/>
      <c r="O1226" s="93"/>
      <c r="P1226" s="82"/>
    </row>
    <row r="1227">
      <c r="A1227" s="89"/>
      <c r="B1227" s="90"/>
      <c r="C1227" s="89"/>
      <c r="D1227" s="84"/>
      <c r="E1227" s="83"/>
      <c r="F1227" s="84"/>
      <c r="G1227" s="84"/>
      <c r="H1227" s="84"/>
      <c r="I1227" s="91"/>
      <c r="J1227" s="85"/>
      <c r="K1227" s="85"/>
      <c r="L1227" s="84"/>
      <c r="M1227" s="85"/>
      <c r="N1227" s="93"/>
      <c r="O1227" s="93"/>
      <c r="P1227" s="82"/>
    </row>
    <row r="1228">
      <c r="A1228" s="89"/>
      <c r="B1228" s="90"/>
      <c r="C1228" s="89"/>
      <c r="D1228" s="84"/>
      <c r="E1228" s="83"/>
      <c r="F1228" s="84"/>
      <c r="G1228" s="84"/>
      <c r="H1228" s="84"/>
      <c r="I1228" s="91"/>
      <c r="J1228" s="85"/>
      <c r="K1228" s="85"/>
      <c r="L1228" s="84"/>
      <c r="M1228" s="85"/>
      <c r="N1228" s="93"/>
      <c r="O1228" s="93"/>
      <c r="P1228" s="82"/>
    </row>
    <row r="1229">
      <c r="A1229" s="89"/>
      <c r="B1229" s="90"/>
      <c r="C1229" s="89"/>
      <c r="D1229" s="84"/>
      <c r="E1229" s="83"/>
      <c r="F1229" s="84"/>
      <c r="G1229" s="84"/>
      <c r="H1229" s="84"/>
      <c r="I1229" s="91"/>
      <c r="J1229" s="85"/>
      <c r="K1229" s="85"/>
      <c r="L1229" s="84"/>
      <c r="M1229" s="85"/>
      <c r="N1229" s="93"/>
      <c r="O1229" s="93"/>
      <c r="P1229" s="82"/>
    </row>
    <row r="1230">
      <c r="A1230" s="89"/>
      <c r="B1230" s="90"/>
      <c r="C1230" s="89"/>
      <c r="D1230" s="84"/>
      <c r="E1230" s="83"/>
      <c r="F1230" s="84"/>
      <c r="G1230" s="84"/>
      <c r="H1230" s="84"/>
      <c r="I1230" s="91"/>
      <c r="J1230" s="85"/>
      <c r="K1230" s="85"/>
      <c r="L1230" s="84"/>
      <c r="M1230" s="85"/>
      <c r="N1230" s="93"/>
      <c r="O1230" s="93"/>
      <c r="P1230" s="82"/>
    </row>
    <row r="1231">
      <c r="A1231" s="89"/>
      <c r="B1231" s="90"/>
      <c r="C1231" s="89"/>
      <c r="D1231" s="84"/>
      <c r="E1231" s="83"/>
      <c r="F1231" s="84"/>
      <c r="G1231" s="84"/>
      <c r="H1231" s="84"/>
      <c r="I1231" s="91"/>
      <c r="J1231" s="85"/>
      <c r="K1231" s="85"/>
      <c r="L1231" s="84"/>
      <c r="M1231" s="85"/>
      <c r="N1231" s="93"/>
      <c r="O1231" s="93"/>
      <c r="P1231" s="82"/>
    </row>
    <row r="1232">
      <c r="A1232" s="89"/>
      <c r="B1232" s="90"/>
      <c r="C1232" s="89"/>
      <c r="D1232" s="84"/>
      <c r="E1232" s="83"/>
      <c r="F1232" s="84"/>
      <c r="G1232" s="84"/>
      <c r="H1232" s="84"/>
      <c r="I1232" s="91"/>
      <c r="J1232" s="85"/>
      <c r="K1232" s="85"/>
      <c r="L1232" s="84"/>
      <c r="M1232" s="85"/>
      <c r="N1232" s="93"/>
      <c r="O1232" s="93"/>
      <c r="P1232" s="82"/>
    </row>
    <row r="1233">
      <c r="A1233" s="89"/>
      <c r="B1233" s="90"/>
      <c r="C1233" s="89"/>
      <c r="D1233" s="84"/>
      <c r="E1233" s="83"/>
      <c r="F1233" s="84"/>
      <c r="G1233" s="84"/>
      <c r="H1233" s="84"/>
      <c r="I1233" s="91"/>
      <c r="J1233" s="85"/>
      <c r="K1233" s="85"/>
      <c r="L1233" s="84"/>
      <c r="M1233" s="85"/>
      <c r="N1233" s="93"/>
      <c r="O1233" s="93"/>
      <c r="P1233" s="82"/>
    </row>
    <row r="1234">
      <c r="A1234" s="89"/>
      <c r="B1234" s="90"/>
      <c r="C1234" s="89"/>
      <c r="D1234" s="84"/>
      <c r="E1234" s="83"/>
      <c r="F1234" s="84"/>
      <c r="G1234" s="84"/>
      <c r="H1234" s="84"/>
      <c r="I1234" s="91"/>
      <c r="J1234" s="85"/>
      <c r="K1234" s="85"/>
      <c r="L1234" s="84"/>
      <c r="M1234" s="85"/>
      <c r="N1234" s="93"/>
      <c r="O1234" s="93"/>
      <c r="P1234" s="82"/>
    </row>
    <row r="1235">
      <c r="A1235" s="89"/>
      <c r="B1235" s="90"/>
      <c r="C1235" s="89"/>
      <c r="D1235" s="84"/>
      <c r="E1235" s="83"/>
      <c r="F1235" s="84"/>
      <c r="G1235" s="84"/>
      <c r="H1235" s="84"/>
      <c r="I1235" s="91"/>
      <c r="J1235" s="85"/>
      <c r="K1235" s="85"/>
      <c r="L1235" s="84"/>
      <c r="M1235" s="85"/>
      <c r="N1235" s="93"/>
      <c r="O1235" s="93"/>
      <c r="P1235" s="82"/>
    </row>
    <row r="1236">
      <c r="A1236" s="89"/>
      <c r="B1236" s="90"/>
      <c r="C1236" s="89"/>
      <c r="D1236" s="84"/>
      <c r="E1236" s="83"/>
      <c r="F1236" s="84"/>
      <c r="G1236" s="84"/>
      <c r="H1236" s="84"/>
      <c r="I1236" s="91"/>
      <c r="J1236" s="85"/>
      <c r="K1236" s="85"/>
      <c r="L1236" s="84"/>
      <c r="M1236" s="85"/>
      <c r="N1236" s="93"/>
      <c r="O1236" s="93"/>
      <c r="P1236" s="82"/>
    </row>
    <row r="1237">
      <c r="A1237" s="89"/>
      <c r="B1237" s="90"/>
      <c r="C1237" s="89"/>
      <c r="D1237" s="84"/>
      <c r="E1237" s="83"/>
      <c r="F1237" s="84"/>
      <c r="G1237" s="84"/>
      <c r="H1237" s="84"/>
      <c r="I1237" s="91"/>
      <c r="J1237" s="85"/>
      <c r="K1237" s="85"/>
      <c r="L1237" s="84"/>
      <c r="M1237" s="85"/>
      <c r="N1237" s="93"/>
      <c r="O1237" s="93"/>
      <c r="P1237" s="82"/>
    </row>
    <row r="1238">
      <c r="A1238" s="89"/>
      <c r="B1238" s="90"/>
      <c r="C1238" s="89"/>
      <c r="D1238" s="84"/>
      <c r="E1238" s="83"/>
      <c r="F1238" s="84"/>
      <c r="G1238" s="84"/>
      <c r="H1238" s="84"/>
      <c r="I1238" s="91"/>
      <c r="J1238" s="85"/>
      <c r="K1238" s="85"/>
      <c r="L1238" s="84"/>
      <c r="M1238" s="85"/>
      <c r="N1238" s="93"/>
      <c r="O1238" s="93"/>
      <c r="P1238" s="82"/>
    </row>
    <row r="1239">
      <c r="A1239" s="89"/>
      <c r="B1239" s="90"/>
      <c r="C1239" s="89"/>
      <c r="D1239" s="84"/>
      <c r="E1239" s="83"/>
      <c r="F1239" s="84"/>
      <c r="G1239" s="84"/>
      <c r="H1239" s="84"/>
      <c r="I1239" s="91"/>
      <c r="J1239" s="85"/>
      <c r="K1239" s="85"/>
      <c r="L1239" s="84"/>
      <c r="M1239" s="85"/>
      <c r="N1239" s="93"/>
      <c r="O1239" s="93"/>
      <c r="P1239" s="82"/>
    </row>
    <row r="1240">
      <c r="A1240" s="89"/>
      <c r="B1240" s="90"/>
      <c r="C1240" s="89"/>
      <c r="D1240" s="84"/>
      <c r="E1240" s="83"/>
      <c r="F1240" s="84"/>
      <c r="G1240" s="84"/>
      <c r="H1240" s="84"/>
      <c r="I1240" s="91"/>
      <c r="J1240" s="85"/>
      <c r="K1240" s="85"/>
      <c r="L1240" s="84"/>
      <c r="M1240" s="85"/>
      <c r="N1240" s="93"/>
      <c r="O1240" s="93"/>
      <c r="P1240" s="82"/>
    </row>
    <row r="1241">
      <c r="A1241" s="89"/>
      <c r="B1241" s="90"/>
      <c r="C1241" s="89"/>
      <c r="D1241" s="84"/>
      <c r="E1241" s="83"/>
      <c r="F1241" s="84"/>
      <c r="G1241" s="84"/>
      <c r="H1241" s="84"/>
      <c r="I1241" s="91"/>
      <c r="J1241" s="85"/>
      <c r="K1241" s="85"/>
      <c r="L1241" s="84"/>
      <c r="M1241" s="85"/>
      <c r="N1241" s="93"/>
      <c r="O1241" s="93"/>
      <c r="P1241" s="82"/>
    </row>
    <row r="1242">
      <c r="A1242" s="89"/>
      <c r="B1242" s="90"/>
      <c r="C1242" s="89"/>
      <c r="D1242" s="84"/>
      <c r="E1242" s="83"/>
      <c r="F1242" s="84"/>
      <c r="G1242" s="84"/>
      <c r="H1242" s="84"/>
      <c r="I1242" s="91"/>
      <c r="J1242" s="85"/>
      <c r="K1242" s="85"/>
      <c r="L1242" s="84"/>
      <c r="M1242" s="85"/>
      <c r="N1242" s="93"/>
      <c r="O1242" s="93"/>
      <c r="P1242" s="82"/>
    </row>
    <row r="1243">
      <c r="A1243" s="89"/>
      <c r="B1243" s="90"/>
      <c r="C1243" s="89"/>
      <c r="D1243" s="84"/>
      <c r="E1243" s="83"/>
      <c r="F1243" s="84"/>
      <c r="G1243" s="84"/>
      <c r="H1243" s="84"/>
      <c r="I1243" s="91"/>
      <c r="J1243" s="85"/>
      <c r="K1243" s="85"/>
      <c r="L1243" s="84"/>
      <c r="M1243" s="85"/>
      <c r="N1243" s="93"/>
      <c r="O1243" s="93"/>
      <c r="P1243" s="82"/>
    </row>
    <row r="1244">
      <c r="A1244" s="89"/>
      <c r="B1244" s="90"/>
      <c r="C1244" s="89"/>
      <c r="D1244" s="84"/>
      <c r="E1244" s="83"/>
      <c r="F1244" s="84"/>
      <c r="G1244" s="84"/>
      <c r="H1244" s="84"/>
      <c r="I1244" s="91"/>
      <c r="J1244" s="85"/>
      <c r="K1244" s="85"/>
      <c r="L1244" s="84"/>
      <c r="M1244" s="85"/>
      <c r="N1244" s="93"/>
      <c r="O1244" s="93"/>
      <c r="P1244" s="82"/>
    </row>
    <row r="1245">
      <c r="A1245" s="89"/>
      <c r="B1245" s="90"/>
      <c r="C1245" s="89"/>
      <c r="D1245" s="84"/>
      <c r="E1245" s="83"/>
      <c r="F1245" s="84"/>
      <c r="G1245" s="84"/>
      <c r="H1245" s="84"/>
      <c r="I1245" s="91"/>
      <c r="J1245" s="85"/>
      <c r="K1245" s="85"/>
      <c r="L1245" s="84"/>
      <c r="M1245" s="85"/>
      <c r="N1245" s="93"/>
      <c r="O1245" s="93"/>
      <c r="P1245" s="82"/>
    </row>
    <row r="1246">
      <c r="A1246" s="89"/>
      <c r="B1246" s="90"/>
      <c r="C1246" s="89"/>
      <c r="D1246" s="84"/>
      <c r="E1246" s="83"/>
      <c r="F1246" s="84"/>
      <c r="G1246" s="84"/>
      <c r="H1246" s="84"/>
      <c r="I1246" s="91"/>
      <c r="J1246" s="85"/>
      <c r="K1246" s="85"/>
      <c r="L1246" s="84"/>
      <c r="M1246" s="85"/>
      <c r="N1246" s="93"/>
      <c r="O1246" s="93"/>
      <c r="P1246" s="82"/>
    </row>
    <row r="1247">
      <c r="A1247" s="89"/>
      <c r="B1247" s="90"/>
      <c r="C1247" s="89"/>
      <c r="D1247" s="84"/>
      <c r="E1247" s="83"/>
      <c r="F1247" s="84"/>
      <c r="G1247" s="84"/>
      <c r="H1247" s="84"/>
      <c r="I1247" s="91"/>
      <c r="J1247" s="85"/>
      <c r="K1247" s="85"/>
      <c r="L1247" s="84"/>
      <c r="M1247" s="85"/>
      <c r="N1247" s="93"/>
      <c r="O1247" s="93"/>
      <c r="P1247" s="82"/>
    </row>
    <row r="1248">
      <c r="A1248" s="89"/>
      <c r="B1248" s="90"/>
      <c r="C1248" s="89"/>
      <c r="D1248" s="84"/>
      <c r="E1248" s="83"/>
      <c r="F1248" s="84"/>
      <c r="G1248" s="84"/>
      <c r="H1248" s="84"/>
      <c r="I1248" s="91"/>
      <c r="J1248" s="85"/>
      <c r="K1248" s="85"/>
      <c r="L1248" s="84"/>
      <c r="M1248" s="85"/>
      <c r="N1248" s="93"/>
      <c r="O1248" s="93"/>
      <c r="P1248" s="82"/>
    </row>
    <row r="1249">
      <c r="A1249" s="89"/>
      <c r="B1249" s="90"/>
      <c r="C1249" s="89"/>
      <c r="D1249" s="84"/>
      <c r="E1249" s="83"/>
      <c r="F1249" s="84"/>
      <c r="G1249" s="84"/>
      <c r="H1249" s="84"/>
      <c r="I1249" s="91"/>
      <c r="J1249" s="85"/>
      <c r="K1249" s="85"/>
      <c r="L1249" s="84"/>
      <c r="M1249" s="85"/>
      <c r="N1249" s="93"/>
      <c r="O1249" s="93"/>
      <c r="P1249" s="82"/>
    </row>
    <row r="1250">
      <c r="A1250" s="89"/>
      <c r="B1250" s="90"/>
      <c r="C1250" s="89"/>
      <c r="D1250" s="84"/>
      <c r="E1250" s="83"/>
      <c r="F1250" s="84"/>
      <c r="G1250" s="84"/>
      <c r="H1250" s="84"/>
      <c r="I1250" s="91"/>
      <c r="J1250" s="85"/>
      <c r="K1250" s="85"/>
      <c r="L1250" s="84"/>
      <c r="M1250" s="85"/>
      <c r="N1250" s="93"/>
      <c r="O1250" s="93"/>
      <c r="P1250" s="82"/>
    </row>
    <row r="1251">
      <c r="A1251" s="89"/>
      <c r="B1251" s="90"/>
      <c r="C1251" s="89"/>
      <c r="D1251" s="84"/>
      <c r="E1251" s="83"/>
      <c r="F1251" s="84"/>
      <c r="G1251" s="84"/>
      <c r="H1251" s="84"/>
      <c r="I1251" s="91"/>
      <c r="J1251" s="85"/>
      <c r="K1251" s="85"/>
      <c r="L1251" s="84"/>
      <c r="M1251" s="85"/>
      <c r="N1251" s="93"/>
      <c r="O1251" s="93"/>
      <c r="P1251" s="82"/>
    </row>
    <row r="1252">
      <c r="A1252" s="89"/>
      <c r="B1252" s="90"/>
      <c r="C1252" s="89"/>
      <c r="D1252" s="84"/>
      <c r="E1252" s="83"/>
      <c r="F1252" s="84"/>
      <c r="G1252" s="84"/>
      <c r="H1252" s="84"/>
      <c r="I1252" s="91"/>
      <c r="J1252" s="85"/>
      <c r="K1252" s="85"/>
      <c r="L1252" s="84"/>
      <c r="M1252" s="85"/>
      <c r="N1252" s="93"/>
      <c r="O1252" s="93"/>
      <c r="P1252" s="82"/>
    </row>
    <row r="1253">
      <c r="A1253" s="89"/>
      <c r="B1253" s="90"/>
      <c r="C1253" s="89"/>
      <c r="D1253" s="84"/>
      <c r="E1253" s="83"/>
      <c r="F1253" s="84"/>
      <c r="G1253" s="84"/>
      <c r="H1253" s="84"/>
      <c r="I1253" s="91"/>
      <c r="J1253" s="85"/>
      <c r="K1253" s="85"/>
      <c r="L1253" s="84"/>
      <c r="M1253" s="85"/>
      <c r="N1253" s="93"/>
      <c r="O1253" s="93"/>
      <c r="P1253" s="82"/>
    </row>
    <row r="1254">
      <c r="A1254" s="89"/>
      <c r="B1254" s="90"/>
      <c r="C1254" s="89"/>
      <c r="D1254" s="84"/>
      <c r="E1254" s="83"/>
      <c r="F1254" s="84"/>
      <c r="G1254" s="84"/>
      <c r="H1254" s="84"/>
      <c r="I1254" s="91"/>
      <c r="J1254" s="85"/>
      <c r="K1254" s="85"/>
      <c r="L1254" s="84"/>
      <c r="M1254" s="85"/>
      <c r="N1254" s="93"/>
      <c r="O1254" s="93"/>
      <c r="P1254" s="82"/>
    </row>
    <row r="1255">
      <c r="A1255" s="89"/>
      <c r="B1255" s="90"/>
      <c r="C1255" s="89"/>
      <c r="D1255" s="84"/>
      <c r="E1255" s="83"/>
      <c r="F1255" s="84"/>
      <c r="G1255" s="84"/>
      <c r="H1255" s="84"/>
      <c r="I1255" s="91"/>
      <c r="J1255" s="85"/>
      <c r="K1255" s="85"/>
      <c r="L1255" s="84"/>
      <c r="M1255" s="85"/>
      <c r="N1255" s="93"/>
      <c r="O1255" s="93"/>
      <c r="P1255" s="82"/>
    </row>
    <row r="1256">
      <c r="A1256" s="89"/>
      <c r="B1256" s="90"/>
      <c r="C1256" s="89"/>
      <c r="D1256" s="84"/>
      <c r="E1256" s="83"/>
      <c r="F1256" s="84"/>
      <c r="G1256" s="84"/>
      <c r="H1256" s="84"/>
      <c r="I1256" s="91"/>
      <c r="J1256" s="85"/>
      <c r="K1256" s="85"/>
      <c r="L1256" s="84"/>
      <c r="M1256" s="85"/>
      <c r="N1256" s="93"/>
      <c r="O1256" s="93"/>
      <c r="P1256" s="82"/>
    </row>
    <row r="1257">
      <c r="A1257" s="89"/>
      <c r="B1257" s="90"/>
      <c r="C1257" s="89"/>
      <c r="D1257" s="84"/>
      <c r="E1257" s="83"/>
      <c r="F1257" s="84"/>
      <c r="G1257" s="84"/>
      <c r="H1257" s="84"/>
      <c r="I1257" s="91"/>
      <c r="J1257" s="85"/>
      <c r="K1257" s="85"/>
      <c r="L1257" s="84"/>
      <c r="M1257" s="85"/>
      <c r="N1257" s="93"/>
      <c r="O1257" s="93"/>
      <c r="P1257" s="82"/>
    </row>
    <row r="1258">
      <c r="A1258" s="89"/>
      <c r="B1258" s="90"/>
      <c r="C1258" s="89"/>
      <c r="D1258" s="84"/>
      <c r="E1258" s="83"/>
      <c r="F1258" s="84"/>
      <c r="G1258" s="84"/>
      <c r="H1258" s="84"/>
      <c r="I1258" s="91"/>
      <c r="J1258" s="85"/>
      <c r="K1258" s="85"/>
      <c r="L1258" s="84"/>
      <c r="M1258" s="85"/>
      <c r="N1258" s="93"/>
      <c r="O1258" s="93"/>
      <c r="P1258" s="82"/>
    </row>
    <row r="1259">
      <c r="A1259" s="89"/>
      <c r="B1259" s="90"/>
      <c r="C1259" s="89"/>
      <c r="D1259" s="84"/>
      <c r="E1259" s="83"/>
      <c r="F1259" s="84"/>
      <c r="G1259" s="84"/>
      <c r="H1259" s="84"/>
      <c r="I1259" s="91"/>
      <c r="J1259" s="85"/>
      <c r="K1259" s="85"/>
      <c r="L1259" s="84"/>
      <c r="M1259" s="85"/>
      <c r="N1259" s="93"/>
      <c r="O1259" s="93"/>
      <c r="P1259" s="82"/>
    </row>
    <row r="1260">
      <c r="A1260" s="89"/>
      <c r="B1260" s="90"/>
      <c r="C1260" s="89"/>
      <c r="D1260" s="84"/>
      <c r="E1260" s="83"/>
      <c r="F1260" s="84"/>
      <c r="G1260" s="84"/>
      <c r="H1260" s="84"/>
      <c r="I1260" s="91"/>
      <c r="J1260" s="85"/>
      <c r="K1260" s="85"/>
      <c r="L1260" s="84"/>
      <c r="M1260" s="85"/>
      <c r="N1260" s="93"/>
      <c r="O1260" s="93"/>
      <c r="P1260" s="82"/>
    </row>
    <row r="1261">
      <c r="A1261" s="89"/>
      <c r="B1261" s="90"/>
      <c r="C1261" s="89"/>
      <c r="D1261" s="84"/>
      <c r="E1261" s="83"/>
      <c r="F1261" s="84"/>
      <c r="G1261" s="84"/>
      <c r="H1261" s="84"/>
      <c r="I1261" s="91"/>
      <c r="J1261" s="85"/>
      <c r="K1261" s="85"/>
      <c r="L1261" s="84"/>
      <c r="M1261" s="85"/>
      <c r="N1261" s="93"/>
      <c r="O1261" s="93"/>
      <c r="P1261" s="82"/>
    </row>
    <row r="1262">
      <c r="A1262" s="89"/>
      <c r="B1262" s="90"/>
      <c r="C1262" s="89"/>
      <c r="D1262" s="84"/>
      <c r="E1262" s="83"/>
      <c r="F1262" s="84"/>
      <c r="G1262" s="84"/>
      <c r="H1262" s="84"/>
      <c r="I1262" s="91"/>
      <c r="J1262" s="85"/>
      <c r="K1262" s="85"/>
      <c r="L1262" s="84"/>
      <c r="M1262" s="85"/>
      <c r="N1262" s="93"/>
      <c r="O1262" s="93"/>
      <c r="P1262" s="82"/>
    </row>
    <row r="1263">
      <c r="A1263" s="89"/>
      <c r="B1263" s="90"/>
      <c r="C1263" s="89"/>
      <c r="D1263" s="84"/>
      <c r="E1263" s="83"/>
      <c r="F1263" s="84"/>
      <c r="G1263" s="84"/>
      <c r="H1263" s="84"/>
      <c r="I1263" s="91"/>
      <c r="J1263" s="85"/>
      <c r="K1263" s="85"/>
      <c r="L1263" s="84"/>
      <c r="M1263" s="85"/>
      <c r="N1263" s="93"/>
      <c r="O1263" s="93"/>
      <c r="P1263" s="82"/>
    </row>
    <row r="1264">
      <c r="A1264" s="89"/>
      <c r="B1264" s="90"/>
      <c r="C1264" s="89"/>
      <c r="D1264" s="84"/>
      <c r="E1264" s="83"/>
      <c r="F1264" s="84"/>
      <c r="G1264" s="84"/>
      <c r="H1264" s="84"/>
      <c r="I1264" s="91"/>
      <c r="J1264" s="85"/>
      <c r="K1264" s="85"/>
      <c r="L1264" s="84"/>
      <c r="M1264" s="85"/>
      <c r="N1264" s="93"/>
      <c r="O1264" s="93"/>
      <c r="P1264" s="82"/>
    </row>
    <row r="1265">
      <c r="A1265" s="89"/>
      <c r="B1265" s="90"/>
      <c r="C1265" s="89"/>
      <c r="D1265" s="84"/>
      <c r="E1265" s="83"/>
      <c r="F1265" s="84"/>
      <c r="G1265" s="84"/>
      <c r="H1265" s="84"/>
      <c r="I1265" s="91"/>
      <c r="J1265" s="85"/>
      <c r="K1265" s="85"/>
      <c r="L1265" s="84"/>
      <c r="M1265" s="85"/>
      <c r="N1265" s="93"/>
      <c r="O1265" s="93"/>
      <c r="P1265" s="82"/>
    </row>
    <row r="1266">
      <c r="A1266" s="89"/>
      <c r="B1266" s="90"/>
      <c r="C1266" s="89"/>
      <c r="D1266" s="84"/>
      <c r="E1266" s="83"/>
      <c r="F1266" s="84"/>
      <c r="G1266" s="84"/>
      <c r="H1266" s="84"/>
      <c r="I1266" s="91"/>
      <c r="J1266" s="85"/>
      <c r="K1266" s="85"/>
      <c r="L1266" s="84"/>
      <c r="M1266" s="85"/>
      <c r="N1266" s="93"/>
      <c r="O1266" s="93"/>
      <c r="P1266" s="82"/>
    </row>
    <row r="1267">
      <c r="A1267" s="89"/>
      <c r="B1267" s="90"/>
      <c r="C1267" s="89"/>
      <c r="D1267" s="84"/>
      <c r="E1267" s="83"/>
      <c r="F1267" s="84"/>
      <c r="G1267" s="84"/>
      <c r="H1267" s="84"/>
      <c r="I1267" s="91"/>
      <c r="J1267" s="85"/>
      <c r="K1267" s="85"/>
      <c r="L1267" s="84"/>
      <c r="M1267" s="85"/>
      <c r="N1267" s="93"/>
      <c r="O1267" s="93"/>
      <c r="P1267" s="82"/>
    </row>
    <row r="1268">
      <c r="A1268" s="89"/>
      <c r="B1268" s="90"/>
      <c r="C1268" s="89"/>
      <c r="D1268" s="84"/>
      <c r="E1268" s="83"/>
      <c r="F1268" s="84"/>
      <c r="G1268" s="84"/>
      <c r="H1268" s="84"/>
      <c r="I1268" s="91"/>
      <c r="J1268" s="85"/>
      <c r="K1268" s="85"/>
      <c r="L1268" s="84"/>
      <c r="M1268" s="85"/>
      <c r="N1268" s="93"/>
      <c r="O1268" s="93"/>
      <c r="P1268" s="82"/>
    </row>
    <row r="1269">
      <c r="A1269" s="89"/>
      <c r="B1269" s="90"/>
      <c r="C1269" s="89"/>
      <c r="D1269" s="84"/>
      <c r="E1269" s="83"/>
      <c r="F1269" s="84"/>
      <c r="G1269" s="84"/>
      <c r="H1269" s="84"/>
      <c r="I1269" s="91"/>
      <c r="J1269" s="85"/>
      <c r="K1269" s="85"/>
      <c r="L1269" s="84"/>
      <c r="M1269" s="85"/>
      <c r="N1269" s="93"/>
      <c r="O1269" s="93"/>
      <c r="P1269" s="82"/>
    </row>
    <row r="1270">
      <c r="A1270" s="89"/>
      <c r="B1270" s="90"/>
      <c r="C1270" s="89"/>
      <c r="D1270" s="84"/>
      <c r="E1270" s="83"/>
      <c r="F1270" s="84"/>
      <c r="G1270" s="84"/>
      <c r="H1270" s="84"/>
      <c r="I1270" s="91"/>
      <c r="J1270" s="85"/>
      <c r="K1270" s="85"/>
      <c r="L1270" s="84"/>
      <c r="M1270" s="85"/>
      <c r="N1270" s="93"/>
      <c r="O1270" s="93"/>
      <c r="P1270" s="82"/>
    </row>
    <row r="1271">
      <c r="A1271" s="89"/>
      <c r="B1271" s="90"/>
      <c r="C1271" s="89"/>
      <c r="D1271" s="84"/>
      <c r="E1271" s="83"/>
      <c r="F1271" s="84"/>
      <c r="G1271" s="84"/>
      <c r="H1271" s="84"/>
      <c r="I1271" s="91"/>
      <c r="J1271" s="85"/>
      <c r="K1271" s="85"/>
      <c r="L1271" s="84"/>
      <c r="M1271" s="85"/>
      <c r="N1271" s="93"/>
      <c r="O1271" s="93"/>
      <c r="P1271" s="82"/>
    </row>
    <row r="1272">
      <c r="A1272" s="89"/>
      <c r="B1272" s="90"/>
      <c r="C1272" s="89"/>
      <c r="D1272" s="84"/>
      <c r="E1272" s="83"/>
      <c r="F1272" s="84"/>
      <c r="G1272" s="84"/>
      <c r="H1272" s="84"/>
      <c r="I1272" s="91"/>
      <c r="J1272" s="85"/>
      <c r="K1272" s="85"/>
      <c r="L1272" s="84"/>
      <c r="M1272" s="85"/>
      <c r="N1272" s="93"/>
      <c r="O1272" s="93"/>
      <c r="P1272" s="82"/>
    </row>
    <row r="1273">
      <c r="A1273" s="89"/>
      <c r="B1273" s="90"/>
      <c r="C1273" s="89"/>
      <c r="D1273" s="84"/>
      <c r="E1273" s="83"/>
      <c r="F1273" s="84"/>
      <c r="G1273" s="84"/>
      <c r="H1273" s="84"/>
      <c r="I1273" s="91"/>
      <c r="J1273" s="85"/>
      <c r="K1273" s="85"/>
      <c r="L1273" s="84"/>
      <c r="M1273" s="85"/>
      <c r="N1273" s="93"/>
      <c r="O1273" s="93"/>
      <c r="P1273" s="82"/>
    </row>
    <row r="1274">
      <c r="A1274" s="89"/>
      <c r="B1274" s="90"/>
      <c r="C1274" s="89"/>
      <c r="D1274" s="84"/>
      <c r="E1274" s="83"/>
      <c r="F1274" s="84"/>
      <c r="G1274" s="84"/>
      <c r="H1274" s="84"/>
      <c r="I1274" s="91"/>
      <c r="J1274" s="85"/>
      <c r="K1274" s="85"/>
      <c r="L1274" s="84"/>
      <c r="M1274" s="85"/>
      <c r="N1274" s="93"/>
      <c r="O1274" s="93"/>
      <c r="P1274" s="82"/>
    </row>
    <row r="1275">
      <c r="A1275" s="89"/>
      <c r="B1275" s="90"/>
      <c r="C1275" s="89"/>
      <c r="D1275" s="84"/>
      <c r="E1275" s="83"/>
      <c r="F1275" s="84"/>
      <c r="G1275" s="84"/>
      <c r="H1275" s="84"/>
      <c r="I1275" s="91"/>
      <c r="J1275" s="85"/>
      <c r="K1275" s="85"/>
      <c r="L1275" s="84"/>
      <c r="M1275" s="85"/>
      <c r="N1275" s="93"/>
      <c r="O1275" s="93"/>
      <c r="P1275" s="82"/>
    </row>
    <row r="1276">
      <c r="A1276" s="89"/>
      <c r="B1276" s="90"/>
      <c r="C1276" s="89"/>
      <c r="D1276" s="84"/>
      <c r="E1276" s="83"/>
      <c r="F1276" s="84"/>
      <c r="G1276" s="84"/>
      <c r="H1276" s="84"/>
      <c r="I1276" s="91"/>
      <c r="J1276" s="85"/>
      <c r="K1276" s="85"/>
      <c r="L1276" s="84"/>
      <c r="M1276" s="85"/>
      <c r="N1276" s="93"/>
      <c r="O1276" s="93"/>
      <c r="P1276" s="82"/>
    </row>
    <row r="1277">
      <c r="A1277" s="89"/>
      <c r="B1277" s="90"/>
      <c r="C1277" s="89"/>
      <c r="D1277" s="84"/>
      <c r="E1277" s="83"/>
      <c r="F1277" s="84"/>
      <c r="G1277" s="84"/>
      <c r="H1277" s="84"/>
      <c r="I1277" s="91"/>
      <c r="J1277" s="85"/>
      <c r="K1277" s="85"/>
      <c r="L1277" s="84"/>
      <c r="M1277" s="85"/>
      <c r="N1277" s="93"/>
      <c r="O1277" s="93"/>
      <c r="P1277" s="82"/>
    </row>
    <row r="1278">
      <c r="A1278" s="89"/>
      <c r="B1278" s="90"/>
      <c r="C1278" s="89"/>
      <c r="D1278" s="84"/>
      <c r="E1278" s="83"/>
      <c r="F1278" s="84"/>
      <c r="G1278" s="84"/>
      <c r="H1278" s="84"/>
      <c r="I1278" s="91"/>
      <c r="J1278" s="85"/>
      <c r="K1278" s="85"/>
      <c r="L1278" s="84"/>
      <c r="M1278" s="85"/>
      <c r="N1278" s="93"/>
      <c r="O1278" s="93"/>
      <c r="P1278" s="82"/>
    </row>
    <row r="1279">
      <c r="A1279" s="89"/>
      <c r="B1279" s="90"/>
      <c r="C1279" s="89"/>
      <c r="D1279" s="84"/>
      <c r="E1279" s="83"/>
      <c r="F1279" s="84"/>
      <c r="G1279" s="84"/>
      <c r="H1279" s="84"/>
      <c r="I1279" s="91"/>
      <c r="J1279" s="85"/>
      <c r="K1279" s="85"/>
      <c r="L1279" s="84"/>
      <c r="M1279" s="85"/>
      <c r="N1279" s="93"/>
      <c r="O1279" s="93"/>
      <c r="P1279" s="82"/>
    </row>
    <row r="1280">
      <c r="A1280" s="89"/>
      <c r="B1280" s="90"/>
      <c r="C1280" s="89"/>
      <c r="D1280" s="84"/>
      <c r="E1280" s="83"/>
      <c r="F1280" s="84"/>
      <c r="G1280" s="84"/>
      <c r="H1280" s="84"/>
      <c r="I1280" s="91"/>
      <c r="J1280" s="85"/>
      <c r="K1280" s="85"/>
      <c r="L1280" s="84"/>
      <c r="M1280" s="85"/>
      <c r="N1280" s="93"/>
      <c r="O1280" s="93"/>
      <c r="P1280" s="82"/>
    </row>
    <row r="1281">
      <c r="A1281" s="89"/>
      <c r="B1281" s="90"/>
      <c r="C1281" s="89"/>
      <c r="D1281" s="84"/>
      <c r="E1281" s="83"/>
      <c r="F1281" s="84"/>
      <c r="G1281" s="84"/>
      <c r="H1281" s="84"/>
      <c r="I1281" s="91"/>
      <c r="J1281" s="85"/>
      <c r="K1281" s="85"/>
      <c r="L1281" s="84"/>
      <c r="M1281" s="85"/>
      <c r="N1281" s="93"/>
      <c r="O1281" s="93"/>
      <c r="P1281" s="82"/>
    </row>
    <row r="1282">
      <c r="A1282" s="89"/>
      <c r="B1282" s="90"/>
      <c r="C1282" s="89"/>
      <c r="D1282" s="84"/>
      <c r="E1282" s="83"/>
      <c r="F1282" s="84"/>
      <c r="G1282" s="84"/>
      <c r="H1282" s="84"/>
      <c r="I1282" s="91"/>
      <c r="J1282" s="85"/>
      <c r="K1282" s="85"/>
      <c r="L1282" s="84"/>
      <c r="M1282" s="85"/>
      <c r="N1282" s="93"/>
      <c r="O1282" s="93"/>
      <c r="P1282" s="82"/>
    </row>
    <row r="1283">
      <c r="A1283" s="89"/>
      <c r="B1283" s="90"/>
      <c r="C1283" s="89"/>
      <c r="D1283" s="84"/>
      <c r="E1283" s="83"/>
      <c r="F1283" s="84"/>
      <c r="G1283" s="84"/>
      <c r="H1283" s="84"/>
      <c r="I1283" s="91"/>
      <c r="J1283" s="85"/>
      <c r="K1283" s="85"/>
      <c r="L1283" s="84"/>
      <c r="M1283" s="85"/>
      <c r="N1283" s="93"/>
      <c r="O1283" s="93"/>
      <c r="P1283" s="82"/>
    </row>
    <row r="1284">
      <c r="A1284" s="89"/>
      <c r="B1284" s="90"/>
      <c r="C1284" s="89"/>
      <c r="D1284" s="84"/>
      <c r="E1284" s="83"/>
      <c r="F1284" s="84"/>
      <c r="G1284" s="84"/>
      <c r="H1284" s="84"/>
      <c r="I1284" s="91"/>
      <c r="J1284" s="85"/>
      <c r="K1284" s="85"/>
      <c r="L1284" s="84"/>
      <c r="M1284" s="85"/>
      <c r="N1284" s="93"/>
      <c r="O1284" s="93"/>
      <c r="P1284" s="82"/>
    </row>
    <row r="1285">
      <c r="A1285" s="89"/>
      <c r="B1285" s="90"/>
      <c r="C1285" s="89"/>
      <c r="D1285" s="84"/>
      <c r="E1285" s="83"/>
      <c r="F1285" s="84"/>
      <c r="G1285" s="84"/>
      <c r="H1285" s="84"/>
      <c r="I1285" s="91"/>
      <c r="J1285" s="85"/>
      <c r="K1285" s="85"/>
      <c r="L1285" s="84"/>
      <c r="M1285" s="85"/>
      <c r="N1285" s="93"/>
      <c r="O1285" s="93"/>
      <c r="P1285" s="82"/>
    </row>
    <row r="1286">
      <c r="A1286" s="89"/>
      <c r="B1286" s="90"/>
      <c r="C1286" s="89"/>
      <c r="D1286" s="84"/>
      <c r="E1286" s="83"/>
      <c r="F1286" s="84"/>
      <c r="G1286" s="84"/>
      <c r="H1286" s="84"/>
      <c r="I1286" s="91"/>
      <c r="J1286" s="85"/>
      <c r="K1286" s="85"/>
      <c r="L1286" s="84"/>
      <c r="M1286" s="85"/>
      <c r="N1286" s="93"/>
      <c r="O1286" s="93"/>
      <c r="P1286" s="82"/>
    </row>
    <row r="1287">
      <c r="A1287" s="89"/>
      <c r="B1287" s="90"/>
      <c r="C1287" s="89"/>
      <c r="D1287" s="84"/>
      <c r="E1287" s="83"/>
      <c r="F1287" s="84"/>
      <c r="G1287" s="84"/>
      <c r="H1287" s="84"/>
      <c r="I1287" s="91"/>
      <c r="J1287" s="85"/>
      <c r="K1287" s="85"/>
      <c r="L1287" s="84"/>
      <c r="M1287" s="85"/>
      <c r="N1287" s="93"/>
      <c r="O1287" s="93"/>
      <c r="P1287" s="82"/>
    </row>
    <row r="1288">
      <c r="A1288" s="89"/>
      <c r="B1288" s="90"/>
      <c r="C1288" s="89"/>
      <c r="D1288" s="84"/>
      <c r="E1288" s="83"/>
      <c r="F1288" s="84"/>
      <c r="G1288" s="84"/>
      <c r="H1288" s="84"/>
      <c r="I1288" s="91"/>
      <c r="J1288" s="85"/>
      <c r="K1288" s="85"/>
      <c r="L1288" s="84"/>
      <c r="M1288" s="85"/>
      <c r="N1288" s="93"/>
      <c r="O1288" s="93"/>
      <c r="P1288" s="82"/>
    </row>
    <row r="1289">
      <c r="A1289" s="89"/>
      <c r="B1289" s="90"/>
      <c r="C1289" s="89"/>
      <c r="D1289" s="84"/>
      <c r="E1289" s="83"/>
      <c r="F1289" s="84"/>
      <c r="G1289" s="84"/>
      <c r="H1289" s="84"/>
      <c r="I1289" s="91"/>
      <c r="J1289" s="85"/>
      <c r="K1289" s="85"/>
      <c r="L1289" s="84"/>
      <c r="M1289" s="85"/>
      <c r="N1289" s="93"/>
      <c r="O1289" s="93"/>
      <c r="P1289" s="82"/>
    </row>
    <row r="1290">
      <c r="A1290" s="89"/>
      <c r="B1290" s="90"/>
      <c r="C1290" s="89"/>
      <c r="D1290" s="84"/>
      <c r="E1290" s="83"/>
      <c r="F1290" s="84"/>
      <c r="G1290" s="84"/>
      <c r="H1290" s="84"/>
      <c r="I1290" s="91"/>
      <c r="J1290" s="85"/>
      <c r="K1290" s="85"/>
      <c r="L1290" s="84"/>
      <c r="M1290" s="85"/>
      <c r="N1290" s="93"/>
      <c r="O1290" s="93"/>
      <c r="P1290" s="82"/>
    </row>
    <row r="1291">
      <c r="A1291" s="89"/>
      <c r="B1291" s="90"/>
      <c r="C1291" s="89"/>
      <c r="D1291" s="84"/>
      <c r="E1291" s="83"/>
      <c r="F1291" s="84"/>
      <c r="G1291" s="84"/>
      <c r="H1291" s="84"/>
      <c r="I1291" s="91"/>
      <c r="J1291" s="85"/>
      <c r="K1291" s="85"/>
      <c r="L1291" s="84"/>
      <c r="M1291" s="85"/>
      <c r="N1291" s="93"/>
      <c r="O1291" s="93"/>
      <c r="P1291" s="82"/>
    </row>
    <row r="1292">
      <c r="A1292" s="89"/>
      <c r="B1292" s="90"/>
      <c r="C1292" s="89"/>
      <c r="D1292" s="84"/>
      <c r="E1292" s="83"/>
      <c r="F1292" s="84"/>
      <c r="G1292" s="84"/>
      <c r="H1292" s="84"/>
      <c r="I1292" s="91"/>
      <c r="J1292" s="85"/>
      <c r="K1292" s="85"/>
      <c r="L1292" s="84"/>
      <c r="M1292" s="85"/>
      <c r="N1292" s="93"/>
      <c r="O1292" s="93"/>
      <c r="P1292" s="82"/>
    </row>
    <row r="1293">
      <c r="A1293" s="89"/>
      <c r="B1293" s="90"/>
      <c r="C1293" s="89"/>
      <c r="D1293" s="84"/>
      <c r="E1293" s="83"/>
      <c r="F1293" s="84"/>
      <c r="G1293" s="84"/>
      <c r="H1293" s="84"/>
      <c r="I1293" s="91"/>
      <c r="J1293" s="85"/>
      <c r="K1293" s="85"/>
      <c r="L1293" s="84"/>
      <c r="M1293" s="85"/>
      <c r="N1293" s="93"/>
      <c r="O1293" s="93"/>
      <c r="P1293" s="82"/>
    </row>
    <row r="1294">
      <c r="A1294" s="89"/>
      <c r="B1294" s="90"/>
      <c r="C1294" s="89"/>
      <c r="D1294" s="84"/>
      <c r="E1294" s="83"/>
      <c r="F1294" s="84"/>
      <c r="G1294" s="84"/>
      <c r="H1294" s="84"/>
      <c r="I1294" s="91"/>
      <c r="J1294" s="85"/>
      <c r="K1294" s="85"/>
      <c r="L1294" s="84"/>
      <c r="M1294" s="85"/>
      <c r="N1294" s="93"/>
      <c r="O1294" s="93"/>
      <c r="P1294" s="82"/>
    </row>
    <row r="1295">
      <c r="A1295" s="89"/>
      <c r="B1295" s="90"/>
      <c r="C1295" s="89"/>
      <c r="D1295" s="84"/>
      <c r="E1295" s="83"/>
      <c r="F1295" s="84"/>
      <c r="G1295" s="84"/>
      <c r="H1295" s="84"/>
      <c r="I1295" s="91"/>
      <c r="J1295" s="85"/>
      <c r="K1295" s="85"/>
      <c r="L1295" s="84"/>
      <c r="M1295" s="85"/>
      <c r="N1295" s="93"/>
      <c r="O1295" s="93"/>
      <c r="P1295" s="82"/>
    </row>
    <row r="1296">
      <c r="A1296" s="89"/>
      <c r="B1296" s="90"/>
      <c r="C1296" s="89"/>
      <c r="D1296" s="84"/>
      <c r="E1296" s="83"/>
      <c r="F1296" s="84"/>
      <c r="G1296" s="84"/>
      <c r="H1296" s="84"/>
      <c r="I1296" s="91"/>
      <c r="J1296" s="85"/>
      <c r="K1296" s="85"/>
      <c r="L1296" s="84"/>
      <c r="M1296" s="85"/>
      <c r="N1296" s="93"/>
      <c r="O1296" s="93"/>
      <c r="P1296" s="82"/>
    </row>
    <row r="1297">
      <c r="A1297" s="89"/>
      <c r="B1297" s="90"/>
      <c r="C1297" s="89"/>
      <c r="D1297" s="84"/>
      <c r="E1297" s="83"/>
      <c r="F1297" s="84"/>
      <c r="G1297" s="84"/>
      <c r="H1297" s="84"/>
      <c r="I1297" s="91"/>
      <c r="J1297" s="85"/>
      <c r="K1297" s="85"/>
      <c r="L1297" s="84"/>
      <c r="M1297" s="85"/>
      <c r="N1297" s="93"/>
      <c r="O1297" s="93"/>
      <c r="P1297" s="82"/>
    </row>
    <row r="1298">
      <c r="A1298" s="89"/>
      <c r="B1298" s="90"/>
      <c r="C1298" s="89"/>
      <c r="D1298" s="84"/>
      <c r="E1298" s="83"/>
      <c r="F1298" s="84"/>
      <c r="G1298" s="84"/>
      <c r="H1298" s="84"/>
      <c r="I1298" s="91"/>
      <c r="J1298" s="85"/>
      <c r="K1298" s="85"/>
      <c r="L1298" s="84"/>
      <c r="M1298" s="85"/>
      <c r="N1298" s="93"/>
      <c r="O1298" s="93"/>
      <c r="P1298" s="82"/>
    </row>
    <row r="1299">
      <c r="A1299" s="89"/>
      <c r="B1299" s="90"/>
      <c r="C1299" s="89"/>
      <c r="D1299" s="84"/>
      <c r="E1299" s="83"/>
      <c r="F1299" s="84"/>
      <c r="G1299" s="84"/>
      <c r="H1299" s="84"/>
      <c r="I1299" s="91"/>
      <c r="J1299" s="85"/>
      <c r="K1299" s="85"/>
      <c r="L1299" s="84"/>
      <c r="M1299" s="85"/>
      <c r="N1299" s="93"/>
      <c r="O1299" s="93"/>
      <c r="P1299" s="82"/>
    </row>
    <row r="1300">
      <c r="A1300" s="89"/>
      <c r="B1300" s="90"/>
      <c r="C1300" s="89"/>
      <c r="D1300" s="84"/>
      <c r="E1300" s="83"/>
      <c r="F1300" s="84"/>
      <c r="G1300" s="84"/>
      <c r="H1300" s="84"/>
      <c r="I1300" s="91"/>
      <c r="J1300" s="85"/>
      <c r="K1300" s="85"/>
      <c r="L1300" s="84"/>
      <c r="M1300" s="85"/>
      <c r="N1300" s="93"/>
      <c r="O1300" s="93"/>
      <c r="P1300" s="82"/>
    </row>
    <row r="1301">
      <c r="A1301" s="89"/>
      <c r="B1301" s="90"/>
      <c r="C1301" s="89"/>
      <c r="D1301" s="84"/>
      <c r="E1301" s="83"/>
      <c r="F1301" s="84"/>
      <c r="G1301" s="84"/>
      <c r="H1301" s="84"/>
      <c r="I1301" s="91"/>
      <c r="J1301" s="85"/>
      <c r="K1301" s="85"/>
      <c r="L1301" s="84"/>
      <c r="M1301" s="85"/>
      <c r="N1301" s="93"/>
      <c r="O1301" s="93"/>
      <c r="P1301" s="82"/>
    </row>
    <row r="1302">
      <c r="A1302" s="89"/>
      <c r="B1302" s="90"/>
      <c r="C1302" s="89"/>
      <c r="D1302" s="84"/>
      <c r="E1302" s="83"/>
      <c r="F1302" s="84"/>
      <c r="G1302" s="84"/>
      <c r="H1302" s="84"/>
      <c r="I1302" s="91"/>
      <c r="J1302" s="85"/>
      <c r="K1302" s="85"/>
      <c r="L1302" s="84"/>
      <c r="M1302" s="85"/>
      <c r="N1302" s="93"/>
      <c r="O1302" s="93"/>
      <c r="P1302" s="82"/>
    </row>
    <row r="1303">
      <c r="A1303" s="89"/>
      <c r="B1303" s="90"/>
      <c r="C1303" s="89"/>
      <c r="D1303" s="84"/>
      <c r="E1303" s="83"/>
      <c r="F1303" s="84"/>
      <c r="G1303" s="84"/>
      <c r="H1303" s="84"/>
      <c r="I1303" s="91"/>
      <c r="J1303" s="85"/>
      <c r="K1303" s="85"/>
      <c r="L1303" s="84"/>
      <c r="M1303" s="85"/>
      <c r="N1303" s="93"/>
      <c r="O1303" s="93"/>
      <c r="P1303" s="82"/>
    </row>
    <row r="1304">
      <c r="A1304" s="89"/>
      <c r="B1304" s="90"/>
      <c r="C1304" s="89"/>
      <c r="D1304" s="84"/>
      <c r="E1304" s="83"/>
      <c r="F1304" s="84"/>
      <c r="G1304" s="84"/>
      <c r="H1304" s="84"/>
      <c r="I1304" s="91"/>
      <c r="J1304" s="85"/>
      <c r="K1304" s="85"/>
      <c r="L1304" s="84"/>
      <c r="M1304" s="85"/>
      <c r="N1304" s="93"/>
      <c r="O1304" s="93"/>
      <c r="P1304" s="82"/>
    </row>
    <row r="1305">
      <c r="A1305" s="89"/>
      <c r="B1305" s="90"/>
      <c r="C1305" s="89"/>
      <c r="D1305" s="84"/>
      <c r="E1305" s="83"/>
      <c r="F1305" s="84"/>
      <c r="G1305" s="84"/>
      <c r="H1305" s="84"/>
      <c r="I1305" s="91"/>
      <c r="J1305" s="85"/>
      <c r="K1305" s="85"/>
      <c r="L1305" s="84"/>
      <c r="M1305" s="85"/>
      <c r="N1305" s="93"/>
      <c r="O1305" s="93"/>
      <c r="P1305" s="82"/>
    </row>
    <row r="1306">
      <c r="A1306" s="89"/>
      <c r="B1306" s="90"/>
      <c r="C1306" s="89"/>
      <c r="D1306" s="84"/>
      <c r="E1306" s="83"/>
      <c r="F1306" s="84"/>
      <c r="G1306" s="84"/>
      <c r="H1306" s="84"/>
      <c r="I1306" s="91"/>
      <c r="J1306" s="85"/>
      <c r="K1306" s="85"/>
      <c r="L1306" s="84"/>
      <c r="M1306" s="85"/>
      <c r="N1306" s="93"/>
      <c r="O1306" s="93"/>
      <c r="P1306" s="82"/>
    </row>
    <row r="1307">
      <c r="A1307" s="89"/>
      <c r="B1307" s="90"/>
      <c r="C1307" s="89"/>
      <c r="D1307" s="84"/>
      <c r="E1307" s="83"/>
      <c r="F1307" s="84"/>
      <c r="G1307" s="84"/>
      <c r="H1307" s="84"/>
      <c r="I1307" s="91"/>
      <c r="J1307" s="85"/>
      <c r="K1307" s="85"/>
      <c r="L1307" s="84"/>
      <c r="M1307" s="85"/>
      <c r="N1307" s="93"/>
      <c r="O1307" s="93"/>
      <c r="P1307" s="82"/>
    </row>
    <row r="1308">
      <c r="A1308" s="89"/>
      <c r="B1308" s="90"/>
      <c r="C1308" s="89"/>
      <c r="D1308" s="84"/>
      <c r="E1308" s="83"/>
      <c r="F1308" s="84"/>
      <c r="G1308" s="84"/>
      <c r="H1308" s="84"/>
      <c r="I1308" s="91"/>
      <c r="J1308" s="85"/>
      <c r="K1308" s="85"/>
      <c r="L1308" s="84"/>
      <c r="M1308" s="85"/>
      <c r="N1308" s="93"/>
      <c r="O1308" s="93"/>
      <c r="P1308" s="82"/>
    </row>
    <row r="1309">
      <c r="A1309" s="89"/>
      <c r="B1309" s="90"/>
      <c r="C1309" s="89"/>
      <c r="D1309" s="84"/>
      <c r="E1309" s="83"/>
      <c r="F1309" s="84"/>
      <c r="G1309" s="84"/>
      <c r="H1309" s="84"/>
      <c r="I1309" s="91"/>
      <c r="J1309" s="85"/>
      <c r="K1309" s="85"/>
      <c r="L1309" s="84"/>
      <c r="M1309" s="85"/>
      <c r="N1309" s="93"/>
      <c r="O1309" s="93"/>
      <c r="P1309" s="82"/>
    </row>
    <row r="1310">
      <c r="A1310" s="89"/>
      <c r="B1310" s="90"/>
      <c r="C1310" s="89"/>
      <c r="D1310" s="84"/>
      <c r="E1310" s="83"/>
      <c r="F1310" s="84"/>
      <c r="G1310" s="84"/>
      <c r="H1310" s="84"/>
      <c r="I1310" s="91"/>
      <c r="J1310" s="85"/>
      <c r="K1310" s="85"/>
      <c r="L1310" s="84"/>
      <c r="M1310" s="85"/>
      <c r="N1310" s="93"/>
      <c r="O1310" s="93"/>
      <c r="P1310" s="82"/>
    </row>
    <row r="1311">
      <c r="A1311" s="89"/>
      <c r="B1311" s="90"/>
      <c r="C1311" s="89"/>
      <c r="D1311" s="84"/>
      <c r="E1311" s="83"/>
      <c r="F1311" s="84"/>
      <c r="G1311" s="84"/>
      <c r="H1311" s="84"/>
      <c r="I1311" s="91"/>
      <c r="J1311" s="85"/>
      <c r="K1311" s="85"/>
      <c r="L1311" s="84"/>
      <c r="M1311" s="85"/>
      <c r="N1311" s="93"/>
      <c r="O1311" s="93"/>
      <c r="P1311" s="82"/>
    </row>
    <row r="1312">
      <c r="A1312" s="89"/>
      <c r="B1312" s="90"/>
      <c r="C1312" s="89"/>
      <c r="D1312" s="84"/>
      <c r="E1312" s="83"/>
      <c r="F1312" s="84"/>
      <c r="G1312" s="84"/>
      <c r="H1312" s="84"/>
      <c r="I1312" s="91"/>
      <c r="J1312" s="85"/>
      <c r="K1312" s="85"/>
      <c r="L1312" s="84"/>
      <c r="M1312" s="85"/>
      <c r="N1312" s="93"/>
      <c r="O1312" s="93"/>
      <c r="P1312" s="82"/>
    </row>
    <row r="1313">
      <c r="A1313" s="89"/>
      <c r="B1313" s="90"/>
      <c r="C1313" s="89"/>
      <c r="D1313" s="84"/>
      <c r="E1313" s="83"/>
      <c r="F1313" s="84"/>
      <c r="G1313" s="84"/>
      <c r="H1313" s="84"/>
      <c r="I1313" s="91"/>
      <c r="J1313" s="85"/>
      <c r="K1313" s="85"/>
      <c r="L1313" s="84"/>
      <c r="M1313" s="85"/>
      <c r="N1313" s="93"/>
      <c r="O1313" s="93"/>
      <c r="P1313" s="82"/>
    </row>
    <row r="1314">
      <c r="A1314" s="89"/>
      <c r="B1314" s="90"/>
      <c r="C1314" s="89"/>
      <c r="D1314" s="84"/>
      <c r="E1314" s="83"/>
      <c r="F1314" s="84"/>
      <c r="G1314" s="84"/>
      <c r="H1314" s="84"/>
      <c r="I1314" s="91"/>
      <c r="J1314" s="85"/>
      <c r="K1314" s="85"/>
      <c r="L1314" s="84"/>
      <c r="M1314" s="85"/>
      <c r="N1314" s="93"/>
      <c r="O1314" s="93"/>
      <c r="P1314" s="82"/>
    </row>
    <row r="1315">
      <c r="A1315" s="89"/>
      <c r="B1315" s="90"/>
      <c r="C1315" s="89"/>
      <c r="D1315" s="84"/>
      <c r="E1315" s="83"/>
      <c r="F1315" s="84"/>
      <c r="G1315" s="84"/>
      <c r="H1315" s="84"/>
      <c r="I1315" s="91"/>
      <c r="J1315" s="85"/>
      <c r="K1315" s="85"/>
      <c r="L1315" s="84"/>
      <c r="M1315" s="85"/>
      <c r="N1315" s="93"/>
      <c r="O1315" s="93"/>
      <c r="P1315" s="82"/>
    </row>
    <row r="1316">
      <c r="A1316" s="89"/>
      <c r="B1316" s="90"/>
      <c r="C1316" s="89"/>
      <c r="D1316" s="84"/>
      <c r="E1316" s="83"/>
      <c r="F1316" s="84"/>
      <c r="G1316" s="84"/>
      <c r="H1316" s="84"/>
      <c r="I1316" s="91"/>
      <c r="J1316" s="85"/>
      <c r="K1316" s="85"/>
      <c r="L1316" s="84"/>
      <c r="M1316" s="85"/>
      <c r="N1316" s="93"/>
      <c r="O1316" s="93"/>
      <c r="P1316" s="82"/>
    </row>
    <row r="1317">
      <c r="A1317" s="89"/>
      <c r="B1317" s="90"/>
      <c r="C1317" s="89"/>
      <c r="D1317" s="84"/>
      <c r="E1317" s="83"/>
      <c r="F1317" s="84"/>
      <c r="G1317" s="84"/>
      <c r="H1317" s="84"/>
      <c r="I1317" s="91"/>
      <c r="J1317" s="85"/>
      <c r="K1317" s="85"/>
      <c r="L1317" s="84"/>
      <c r="M1317" s="85"/>
      <c r="N1317" s="93"/>
      <c r="O1317" s="93"/>
      <c r="P1317" s="82"/>
    </row>
    <row r="1318">
      <c r="A1318" s="89"/>
      <c r="B1318" s="90"/>
      <c r="C1318" s="89"/>
      <c r="D1318" s="84"/>
      <c r="E1318" s="83"/>
      <c r="F1318" s="84"/>
      <c r="G1318" s="84"/>
      <c r="H1318" s="84"/>
      <c r="I1318" s="91"/>
      <c r="J1318" s="85"/>
      <c r="K1318" s="85"/>
      <c r="L1318" s="84"/>
      <c r="M1318" s="85"/>
      <c r="N1318" s="93"/>
      <c r="O1318" s="93"/>
      <c r="P1318" s="82"/>
    </row>
    <row r="1319">
      <c r="A1319" s="89"/>
      <c r="B1319" s="90"/>
      <c r="C1319" s="89"/>
      <c r="D1319" s="84"/>
      <c r="E1319" s="83"/>
      <c r="F1319" s="84"/>
      <c r="G1319" s="84"/>
      <c r="H1319" s="84"/>
      <c r="I1319" s="91"/>
      <c r="J1319" s="85"/>
      <c r="K1319" s="85"/>
      <c r="L1319" s="84"/>
      <c r="M1319" s="85"/>
      <c r="N1319" s="93"/>
      <c r="O1319" s="93"/>
      <c r="P1319" s="82"/>
    </row>
    <row r="1320">
      <c r="A1320" s="89"/>
      <c r="B1320" s="90"/>
      <c r="C1320" s="89"/>
      <c r="D1320" s="84"/>
      <c r="E1320" s="83"/>
      <c r="F1320" s="84"/>
      <c r="G1320" s="84"/>
      <c r="H1320" s="84"/>
      <c r="I1320" s="91"/>
      <c r="J1320" s="85"/>
      <c r="K1320" s="85"/>
      <c r="L1320" s="84"/>
      <c r="M1320" s="85"/>
      <c r="N1320" s="93"/>
      <c r="O1320" s="93"/>
      <c r="P1320" s="82"/>
    </row>
    <row r="1321">
      <c r="A1321" s="89"/>
      <c r="B1321" s="90"/>
      <c r="C1321" s="89"/>
      <c r="D1321" s="84"/>
      <c r="E1321" s="83"/>
      <c r="F1321" s="84"/>
      <c r="G1321" s="84"/>
      <c r="H1321" s="84"/>
      <c r="I1321" s="91"/>
      <c r="J1321" s="85"/>
      <c r="K1321" s="85"/>
      <c r="L1321" s="84"/>
      <c r="M1321" s="85"/>
      <c r="N1321" s="93"/>
      <c r="O1321" s="93"/>
      <c r="P1321" s="82"/>
    </row>
    <row r="1322">
      <c r="A1322" s="89"/>
      <c r="B1322" s="90"/>
      <c r="C1322" s="89"/>
      <c r="D1322" s="84"/>
      <c r="E1322" s="83"/>
      <c r="F1322" s="84"/>
      <c r="G1322" s="84"/>
      <c r="H1322" s="84"/>
      <c r="I1322" s="91"/>
      <c r="J1322" s="85"/>
      <c r="K1322" s="85"/>
      <c r="L1322" s="84"/>
      <c r="M1322" s="85"/>
      <c r="N1322" s="93"/>
      <c r="O1322" s="93"/>
      <c r="P1322" s="82"/>
    </row>
    <row r="1323">
      <c r="A1323" s="89"/>
      <c r="B1323" s="90"/>
      <c r="C1323" s="89"/>
      <c r="D1323" s="84"/>
      <c r="E1323" s="83"/>
      <c r="F1323" s="84"/>
      <c r="G1323" s="84"/>
      <c r="H1323" s="84"/>
      <c r="I1323" s="91"/>
      <c r="J1323" s="85"/>
      <c r="K1323" s="85"/>
      <c r="L1323" s="84"/>
      <c r="M1323" s="85"/>
      <c r="N1323" s="93"/>
      <c r="O1323" s="93"/>
      <c r="P1323" s="82"/>
    </row>
    <row r="1324">
      <c r="A1324" s="89"/>
      <c r="B1324" s="90"/>
      <c r="C1324" s="89"/>
      <c r="D1324" s="84"/>
      <c r="E1324" s="83"/>
      <c r="F1324" s="84"/>
      <c r="G1324" s="84"/>
      <c r="H1324" s="84"/>
      <c r="I1324" s="91"/>
      <c r="J1324" s="85"/>
      <c r="K1324" s="85"/>
      <c r="L1324" s="84"/>
      <c r="M1324" s="85"/>
      <c r="N1324" s="93"/>
      <c r="O1324" s="93"/>
      <c r="P1324" s="82"/>
    </row>
    <row r="1325">
      <c r="A1325" s="89"/>
      <c r="B1325" s="90"/>
      <c r="C1325" s="89"/>
      <c r="D1325" s="84"/>
      <c r="E1325" s="83"/>
      <c r="F1325" s="84"/>
      <c r="G1325" s="84"/>
      <c r="H1325" s="84"/>
      <c r="I1325" s="91"/>
      <c r="J1325" s="85"/>
      <c r="K1325" s="85"/>
      <c r="L1325" s="84"/>
      <c r="M1325" s="85"/>
      <c r="N1325" s="93"/>
      <c r="O1325" s="93"/>
      <c r="P1325" s="82"/>
    </row>
    <row r="1326">
      <c r="A1326" s="89"/>
      <c r="B1326" s="90"/>
      <c r="C1326" s="89"/>
      <c r="D1326" s="84"/>
      <c r="E1326" s="83"/>
      <c r="F1326" s="84"/>
      <c r="G1326" s="84"/>
      <c r="H1326" s="84"/>
      <c r="I1326" s="91"/>
      <c r="J1326" s="85"/>
      <c r="K1326" s="85"/>
      <c r="L1326" s="84"/>
      <c r="M1326" s="85"/>
      <c r="N1326" s="93"/>
      <c r="O1326" s="93"/>
      <c r="P1326" s="82"/>
    </row>
    <row r="1327">
      <c r="A1327" s="89"/>
      <c r="B1327" s="90"/>
      <c r="C1327" s="89"/>
      <c r="D1327" s="84"/>
      <c r="E1327" s="83"/>
      <c r="F1327" s="84"/>
      <c r="G1327" s="84"/>
      <c r="H1327" s="84"/>
      <c r="I1327" s="91"/>
      <c r="J1327" s="85"/>
      <c r="K1327" s="85"/>
      <c r="L1327" s="84"/>
      <c r="M1327" s="85"/>
      <c r="N1327" s="93"/>
      <c r="O1327" s="93"/>
      <c r="P1327" s="82"/>
    </row>
    <row r="1328">
      <c r="A1328" s="89"/>
      <c r="B1328" s="90"/>
      <c r="C1328" s="89"/>
      <c r="D1328" s="84"/>
      <c r="E1328" s="83"/>
      <c r="F1328" s="84"/>
      <c r="G1328" s="84"/>
      <c r="H1328" s="84"/>
      <c r="I1328" s="91"/>
      <c r="J1328" s="85"/>
      <c r="K1328" s="85"/>
      <c r="L1328" s="84"/>
      <c r="M1328" s="85"/>
      <c r="N1328" s="93"/>
      <c r="O1328" s="93"/>
      <c r="P1328" s="82"/>
    </row>
    <row r="1329">
      <c r="A1329" s="89"/>
      <c r="B1329" s="90"/>
      <c r="C1329" s="89"/>
      <c r="D1329" s="84"/>
      <c r="E1329" s="83"/>
      <c r="F1329" s="84"/>
      <c r="G1329" s="84"/>
      <c r="H1329" s="84"/>
      <c r="I1329" s="91"/>
      <c r="J1329" s="85"/>
      <c r="K1329" s="85"/>
      <c r="L1329" s="84"/>
      <c r="M1329" s="85"/>
      <c r="N1329" s="93"/>
      <c r="O1329" s="93"/>
      <c r="P1329" s="82"/>
    </row>
    <row r="1330">
      <c r="A1330" s="89"/>
      <c r="B1330" s="90"/>
      <c r="C1330" s="89"/>
      <c r="D1330" s="84"/>
      <c r="E1330" s="83"/>
      <c r="F1330" s="84"/>
      <c r="G1330" s="84"/>
      <c r="H1330" s="84"/>
      <c r="I1330" s="91"/>
      <c r="J1330" s="85"/>
      <c r="K1330" s="85"/>
      <c r="L1330" s="84"/>
      <c r="M1330" s="85"/>
      <c r="N1330" s="93"/>
      <c r="O1330" s="93"/>
      <c r="P1330" s="82"/>
    </row>
    <row r="1331">
      <c r="A1331" s="89"/>
      <c r="B1331" s="90"/>
      <c r="C1331" s="89"/>
      <c r="D1331" s="84"/>
      <c r="E1331" s="83"/>
      <c r="F1331" s="84"/>
      <c r="G1331" s="84"/>
      <c r="H1331" s="84"/>
      <c r="I1331" s="91"/>
      <c r="J1331" s="85"/>
      <c r="K1331" s="85"/>
      <c r="L1331" s="84"/>
      <c r="M1331" s="85"/>
      <c r="N1331" s="93"/>
      <c r="O1331" s="93"/>
      <c r="P1331" s="82"/>
    </row>
    <row r="1332">
      <c r="A1332" s="89"/>
      <c r="B1332" s="90"/>
      <c r="C1332" s="89"/>
      <c r="D1332" s="84"/>
      <c r="E1332" s="83"/>
      <c r="F1332" s="84"/>
      <c r="G1332" s="84"/>
      <c r="H1332" s="84"/>
      <c r="I1332" s="91"/>
      <c r="J1332" s="85"/>
      <c r="K1332" s="85"/>
      <c r="L1332" s="84"/>
      <c r="M1332" s="85"/>
      <c r="N1332" s="93"/>
      <c r="O1332" s="93"/>
      <c r="P1332" s="82"/>
    </row>
    <row r="1333">
      <c r="A1333" s="89"/>
      <c r="B1333" s="90"/>
      <c r="C1333" s="89"/>
      <c r="D1333" s="84"/>
      <c r="E1333" s="83"/>
      <c r="F1333" s="84"/>
      <c r="G1333" s="84"/>
      <c r="H1333" s="84"/>
      <c r="I1333" s="91"/>
      <c r="J1333" s="85"/>
      <c r="K1333" s="85"/>
      <c r="L1333" s="84"/>
      <c r="M1333" s="85"/>
      <c r="N1333" s="93"/>
      <c r="O1333" s="93"/>
      <c r="P1333" s="82"/>
    </row>
    <row r="1334">
      <c r="A1334" s="89"/>
      <c r="B1334" s="90"/>
      <c r="C1334" s="89"/>
      <c r="D1334" s="84"/>
      <c r="E1334" s="83"/>
      <c r="F1334" s="84"/>
      <c r="G1334" s="84"/>
      <c r="H1334" s="84"/>
      <c r="I1334" s="91"/>
      <c r="J1334" s="85"/>
      <c r="K1334" s="85"/>
      <c r="L1334" s="84"/>
      <c r="M1334" s="85"/>
      <c r="N1334" s="93"/>
      <c r="O1334" s="93"/>
      <c r="P1334" s="82"/>
    </row>
    <row r="1335">
      <c r="A1335" s="89"/>
      <c r="B1335" s="90"/>
      <c r="C1335" s="89"/>
      <c r="D1335" s="84"/>
      <c r="E1335" s="83"/>
      <c r="F1335" s="84"/>
      <c r="G1335" s="84"/>
      <c r="H1335" s="84"/>
      <c r="I1335" s="91"/>
      <c r="J1335" s="85"/>
      <c r="K1335" s="85"/>
      <c r="L1335" s="84"/>
      <c r="M1335" s="85"/>
      <c r="N1335" s="93"/>
      <c r="O1335" s="93"/>
      <c r="P1335" s="82"/>
    </row>
    <row r="1336">
      <c r="A1336" s="89"/>
      <c r="B1336" s="90"/>
      <c r="C1336" s="89"/>
      <c r="D1336" s="84"/>
      <c r="E1336" s="83"/>
      <c r="F1336" s="84"/>
      <c r="G1336" s="84"/>
      <c r="H1336" s="84"/>
      <c r="I1336" s="91"/>
      <c r="J1336" s="85"/>
      <c r="K1336" s="85"/>
      <c r="L1336" s="84"/>
      <c r="M1336" s="85"/>
      <c r="N1336" s="93"/>
      <c r="O1336" s="93"/>
      <c r="P1336" s="82"/>
    </row>
    <row r="1337">
      <c r="A1337" s="89"/>
      <c r="B1337" s="90"/>
      <c r="C1337" s="89"/>
      <c r="D1337" s="84"/>
      <c r="E1337" s="83"/>
      <c r="F1337" s="84"/>
      <c r="G1337" s="84"/>
      <c r="H1337" s="84"/>
      <c r="I1337" s="91"/>
      <c r="J1337" s="85"/>
      <c r="K1337" s="85"/>
      <c r="L1337" s="84"/>
      <c r="M1337" s="85"/>
      <c r="N1337" s="93"/>
      <c r="O1337" s="93"/>
      <c r="P1337" s="82"/>
    </row>
    <row r="1338">
      <c r="A1338" s="89"/>
      <c r="B1338" s="90"/>
      <c r="C1338" s="89"/>
      <c r="D1338" s="84"/>
      <c r="E1338" s="83"/>
      <c r="F1338" s="84"/>
      <c r="G1338" s="84"/>
      <c r="H1338" s="84"/>
      <c r="I1338" s="91"/>
      <c r="J1338" s="85"/>
      <c r="K1338" s="85"/>
      <c r="L1338" s="84"/>
      <c r="M1338" s="85"/>
      <c r="N1338" s="93"/>
      <c r="O1338" s="93"/>
      <c r="P1338" s="82"/>
    </row>
    <row r="1339">
      <c r="A1339" s="89"/>
      <c r="B1339" s="90"/>
      <c r="C1339" s="89"/>
      <c r="D1339" s="84"/>
      <c r="E1339" s="83"/>
      <c r="F1339" s="84"/>
      <c r="G1339" s="84"/>
      <c r="H1339" s="84"/>
      <c r="I1339" s="91"/>
      <c r="J1339" s="85"/>
      <c r="K1339" s="85"/>
      <c r="L1339" s="84"/>
      <c r="M1339" s="85"/>
      <c r="N1339" s="93"/>
      <c r="O1339" s="93"/>
      <c r="P1339" s="82"/>
    </row>
    <row r="1340">
      <c r="A1340" s="89"/>
      <c r="B1340" s="90"/>
      <c r="C1340" s="89"/>
      <c r="D1340" s="84"/>
      <c r="E1340" s="83"/>
      <c r="F1340" s="84"/>
      <c r="G1340" s="84"/>
      <c r="H1340" s="84"/>
      <c r="I1340" s="91"/>
      <c r="J1340" s="85"/>
      <c r="K1340" s="85"/>
      <c r="L1340" s="84"/>
      <c r="M1340" s="85"/>
      <c r="N1340" s="93"/>
      <c r="O1340" s="93"/>
      <c r="P1340" s="82"/>
    </row>
    <row r="1341">
      <c r="A1341" s="89"/>
      <c r="B1341" s="90"/>
      <c r="C1341" s="89"/>
      <c r="D1341" s="84"/>
      <c r="E1341" s="83"/>
      <c r="F1341" s="84"/>
      <c r="G1341" s="84"/>
      <c r="H1341" s="84"/>
      <c r="I1341" s="91"/>
      <c r="J1341" s="85"/>
      <c r="K1341" s="85"/>
      <c r="L1341" s="84"/>
      <c r="M1341" s="85"/>
      <c r="N1341" s="93"/>
      <c r="O1341" s="93"/>
      <c r="P1341" s="82"/>
    </row>
    <row r="1342">
      <c r="A1342" s="89"/>
      <c r="B1342" s="90"/>
      <c r="C1342" s="89"/>
      <c r="D1342" s="84"/>
      <c r="E1342" s="83"/>
      <c r="F1342" s="84"/>
      <c r="G1342" s="84"/>
      <c r="H1342" s="84"/>
      <c r="I1342" s="91"/>
      <c r="J1342" s="85"/>
      <c r="K1342" s="85"/>
      <c r="L1342" s="84"/>
      <c r="M1342" s="85"/>
      <c r="N1342" s="93"/>
      <c r="O1342" s="93"/>
      <c r="P1342" s="82"/>
    </row>
    <row r="1343">
      <c r="A1343" s="89"/>
      <c r="B1343" s="90"/>
      <c r="C1343" s="89"/>
      <c r="D1343" s="84"/>
      <c r="E1343" s="83"/>
      <c r="F1343" s="84"/>
      <c r="G1343" s="84"/>
      <c r="H1343" s="84"/>
      <c r="I1343" s="91"/>
      <c r="J1343" s="85"/>
      <c r="K1343" s="85"/>
      <c r="L1343" s="84"/>
      <c r="M1343" s="85"/>
      <c r="N1343" s="93"/>
      <c r="O1343" s="93"/>
      <c r="P1343" s="82"/>
    </row>
    <row r="1344">
      <c r="A1344" s="89"/>
      <c r="B1344" s="90"/>
      <c r="C1344" s="89"/>
      <c r="D1344" s="84"/>
      <c r="E1344" s="83"/>
      <c r="F1344" s="84"/>
      <c r="G1344" s="84"/>
      <c r="H1344" s="84"/>
      <c r="I1344" s="91"/>
      <c r="J1344" s="85"/>
      <c r="K1344" s="85"/>
      <c r="L1344" s="84"/>
      <c r="M1344" s="85"/>
      <c r="N1344" s="93"/>
      <c r="O1344" s="93"/>
      <c r="P1344" s="82"/>
    </row>
    <row r="1345">
      <c r="A1345" s="89"/>
      <c r="B1345" s="90"/>
      <c r="C1345" s="89"/>
      <c r="D1345" s="84"/>
      <c r="E1345" s="83"/>
      <c r="F1345" s="84"/>
      <c r="G1345" s="84"/>
      <c r="H1345" s="84"/>
      <c r="I1345" s="91"/>
      <c r="J1345" s="85"/>
      <c r="K1345" s="85"/>
      <c r="L1345" s="84"/>
      <c r="M1345" s="85"/>
      <c r="N1345" s="93"/>
      <c r="O1345" s="93"/>
      <c r="P1345" s="82"/>
    </row>
    <row r="1346">
      <c r="A1346" s="89"/>
      <c r="B1346" s="90"/>
      <c r="C1346" s="89"/>
      <c r="D1346" s="84"/>
      <c r="E1346" s="83"/>
      <c r="F1346" s="84"/>
      <c r="G1346" s="84"/>
      <c r="H1346" s="84"/>
      <c r="I1346" s="91"/>
      <c r="J1346" s="85"/>
      <c r="K1346" s="85"/>
      <c r="L1346" s="84"/>
      <c r="M1346" s="85"/>
      <c r="N1346" s="93"/>
      <c r="O1346" s="93"/>
      <c r="P1346" s="82"/>
    </row>
    <row r="1347">
      <c r="A1347" s="89"/>
      <c r="B1347" s="90"/>
      <c r="C1347" s="89"/>
      <c r="D1347" s="84"/>
      <c r="E1347" s="83"/>
      <c r="F1347" s="84"/>
      <c r="G1347" s="84"/>
      <c r="H1347" s="84"/>
      <c r="I1347" s="91"/>
      <c r="J1347" s="85"/>
      <c r="K1347" s="85"/>
      <c r="L1347" s="84"/>
      <c r="M1347" s="85"/>
      <c r="N1347" s="93"/>
      <c r="O1347" s="93"/>
      <c r="P1347" s="82"/>
    </row>
    <row r="1348">
      <c r="A1348" s="89"/>
      <c r="B1348" s="90"/>
      <c r="C1348" s="89"/>
      <c r="D1348" s="84"/>
      <c r="E1348" s="83"/>
      <c r="F1348" s="84"/>
      <c r="G1348" s="84"/>
      <c r="H1348" s="84"/>
      <c r="I1348" s="91"/>
      <c r="J1348" s="85"/>
      <c r="K1348" s="85"/>
      <c r="L1348" s="84"/>
      <c r="M1348" s="85"/>
      <c r="N1348" s="93"/>
      <c r="O1348" s="93"/>
      <c r="P1348" s="82"/>
    </row>
    <row r="1349">
      <c r="A1349" s="89"/>
      <c r="B1349" s="90"/>
      <c r="C1349" s="89"/>
      <c r="D1349" s="84"/>
      <c r="E1349" s="83"/>
      <c r="F1349" s="84"/>
      <c r="G1349" s="84"/>
      <c r="H1349" s="84"/>
      <c r="I1349" s="91"/>
      <c r="J1349" s="85"/>
      <c r="K1349" s="85"/>
      <c r="L1349" s="84"/>
      <c r="M1349" s="85"/>
      <c r="N1349" s="93"/>
      <c r="O1349" s="93"/>
      <c r="P1349" s="82"/>
    </row>
    <row r="1350">
      <c r="A1350" s="89"/>
      <c r="B1350" s="90"/>
      <c r="C1350" s="89"/>
      <c r="D1350" s="84"/>
      <c r="E1350" s="83"/>
      <c r="F1350" s="84"/>
      <c r="G1350" s="84"/>
      <c r="H1350" s="84"/>
      <c r="I1350" s="91"/>
      <c r="J1350" s="85"/>
      <c r="K1350" s="85"/>
      <c r="L1350" s="84"/>
      <c r="M1350" s="85"/>
      <c r="N1350" s="93"/>
      <c r="O1350" s="93"/>
      <c r="P1350" s="82"/>
    </row>
    <row r="1351">
      <c r="A1351" s="89"/>
      <c r="B1351" s="90"/>
      <c r="C1351" s="89"/>
      <c r="D1351" s="84"/>
      <c r="E1351" s="83"/>
      <c r="F1351" s="84"/>
      <c r="G1351" s="84"/>
      <c r="H1351" s="84"/>
      <c r="I1351" s="91"/>
      <c r="J1351" s="85"/>
      <c r="K1351" s="85"/>
      <c r="L1351" s="84"/>
      <c r="M1351" s="85"/>
      <c r="N1351" s="93"/>
      <c r="O1351" s="93"/>
      <c r="P1351" s="82"/>
    </row>
    <row r="1352">
      <c r="A1352" s="89"/>
      <c r="B1352" s="90"/>
      <c r="C1352" s="89"/>
      <c r="D1352" s="84"/>
      <c r="E1352" s="83"/>
      <c r="F1352" s="84"/>
      <c r="G1352" s="84"/>
      <c r="H1352" s="84"/>
      <c r="I1352" s="91"/>
      <c r="J1352" s="85"/>
      <c r="K1352" s="85"/>
      <c r="L1352" s="84"/>
      <c r="M1352" s="85"/>
      <c r="N1352" s="93"/>
      <c r="O1352" s="93"/>
      <c r="P1352" s="82"/>
    </row>
    <row r="1353">
      <c r="A1353" s="89"/>
      <c r="B1353" s="90"/>
      <c r="C1353" s="89"/>
      <c r="D1353" s="84"/>
      <c r="E1353" s="83"/>
      <c r="F1353" s="84"/>
      <c r="G1353" s="84"/>
      <c r="H1353" s="84"/>
      <c r="I1353" s="91"/>
      <c r="J1353" s="85"/>
      <c r="K1353" s="85"/>
      <c r="L1353" s="84"/>
      <c r="M1353" s="85"/>
      <c r="N1353" s="93"/>
      <c r="O1353" s="93"/>
      <c r="P1353" s="82"/>
    </row>
    <row r="1354">
      <c r="A1354" s="89"/>
      <c r="B1354" s="90"/>
      <c r="C1354" s="89"/>
      <c r="D1354" s="84"/>
      <c r="E1354" s="83"/>
      <c r="F1354" s="84"/>
      <c r="G1354" s="84"/>
      <c r="H1354" s="84"/>
      <c r="I1354" s="91"/>
      <c r="J1354" s="85"/>
      <c r="K1354" s="85"/>
      <c r="L1354" s="84"/>
      <c r="M1354" s="85"/>
      <c r="N1354" s="93"/>
      <c r="O1354" s="93"/>
      <c r="P1354" s="82"/>
    </row>
    <row r="1355">
      <c r="A1355" s="89"/>
      <c r="B1355" s="90"/>
      <c r="C1355" s="89"/>
      <c r="D1355" s="84"/>
      <c r="E1355" s="83"/>
      <c r="F1355" s="84"/>
      <c r="G1355" s="84"/>
      <c r="H1355" s="84"/>
      <c r="I1355" s="91"/>
      <c r="J1355" s="85"/>
      <c r="K1355" s="85"/>
      <c r="L1355" s="84"/>
      <c r="M1355" s="85"/>
      <c r="N1355" s="93"/>
      <c r="O1355" s="93"/>
      <c r="P1355" s="82"/>
    </row>
    <row r="1356">
      <c r="A1356" s="89"/>
      <c r="B1356" s="90"/>
      <c r="C1356" s="89"/>
      <c r="D1356" s="84"/>
      <c r="E1356" s="83"/>
      <c r="F1356" s="84"/>
      <c r="G1356" s="84"/>
      <c r="H1356" s="84"/>
      <c r="I1356" s="91"/>
      <c r="J1356" s="85"/>
      <c r="K1356" s="85"/>
      <c r="L1356" s="84"/>
      <c r="M1356" s="85"/>
      <c r="N1356" s="93"/>
      <c r="O1356" s="93"/>
      <c r="P1356" s="82"/>
    </row>
    <row r="1357">
      <c r="A1357" s="89"/>
      <c r="B1357" s="90"/>
      <c r="C1357" s="89"/>
      <c r="D1357" s="84"/>
      <c r="E1357" s="83"/>
      <c r="F1357" s="84"/>
      <c r="G1357" s="84"/>
      <c r="H1357" s="84"/>
      <c r="I1357" s="91"/>
      <c r="J1357" s="85"/>
      <c r="K1357" s="85"/>
      <c r="L1357" s="84"/>
      <c r="M1357" s="85"/>
      <c r="N1357" s="93"/>
      <c r="O1357" s="93"/>
      <c r="P1357" s="82"/>
    </row>
    <row r="1358">
      <c r="A1358" s="89"/>
      <c r="B1358" s="90"/>
      <c r="C1358" s="89"/>
      <c r="D1358" s="84"/>
      <c r="E1358" s="83"/>
      <c r="F1358" s="84"/>
      <c r="G1358" s="84"/>
      <c r="H1358" s="84"/>
      <c r="I1358" s="91"/>
      <c r="J1358" s="85"/>
      <c r="K1358" s="85"/>
      <c r="L1358" s="84"/>
      <c r="M1358" s="85"/>
      <c r="N1358" s="93"/>
      <c r="O1358" s="93"/>
      <c r="P1358" s="82"/>
    </row>
    <row r="1359">
      <c r="A1359" s="89"/>
      <c r="B1359" s="90"/>
      <c r="C1359" s="89"/>
      <c r="D1359" s="84"/>
      <c r="E1359" s="83"/>
      <c r="F1359" s="84"/>
      <c r="G1359" s="84"/>
      <c r="H1359" s="84"/>
      <c r="I1359" s="91"/>
      <c r="J1359" s="85"/>
      <c r="K1359" s="85"/>
      <c r="L1359" s="84"/>
      <c r="M1359" s="85"/>
      <c r="N1359" s="93"/>
      <c r="O1359" s="93"/>
      <c r="P1359" s="82"/>
    </row>
    <row r="1360">
      <c r="A1360" s="89"/>
      <c r="B1360" s="90"/>
      <c r="C1360" s="89"/>
      <c r="D1360" s="84"/>
      <c r="E1360" s="83"/>
      <c r="F1360" s="84"/>
      <c r="G1360" s="84"/>
      <c r="H1360" s="84"/>
      <c r="I1360" s="91"/>
      <c r="J1360" s="85"/>
      <c r="K1360" s="85"/>
      <c r="L1360" s="84"/>
      <c r="M1360" s="85"/>
      <c r="N1360" s="93"/>
      <c r="O1360" s="93"/>
      <c r="P1360" s="82"/>
    </row>
    <row r="1361">
      <c r="A1361" s="89"/>
      <c r="B1361" s="90"/>
      <c r="C1361" s="89"/>
      <c r="D1361" s="84"/>
      <c r="E1361" s="83"/>
      <c r="F1361" s="84"/>
      <c r="G1361" s="84"/>
      <c r="H1361" s="84"/>
      <c r="I1361" s="91"/>
      <c r="J1361" s="85"/>
      <c r="K1361" s="85"/>
      <c r="L1361" s="84"/>
      <c r="M1361" s="85"/>
      <c r="N1361" s="93"/>
      <c r="O1361" s="93"/>
      <c r="P1361" s="82"/>
    </row>
    <row r="1362">
      <c r="A1362" s="89"/>
      <c r="B1362" s="90"/>
      <c r="C1362" s="89"/>
      <c r="D1362" s="84"/>
      <c r="E1362" s="83"/>
      <c r="F1362" s="84"/>
      <c r="G1362" s="84"/>
      <c r="H1362" s="84"/>
      <c r="I1362" s="91"/>
      <c r="J1362" s="85"/>
      <c r="K1362" s="85"/>
      <c r="L1362" s="84"/>
      <c r="M1362" s="85"/>
      <c r="N1362" s="93"/>
      <c r="O1362" s="93"/>
      <c r="P1362" s="82"/>
    </row>
    <row r="1363">
      <c r="A1363" s="89"/>
      <c r="B1363" s="90"/>
      <c r="C1363" s="89"/>
      <c r="D1363" s="84"/>
      <c r="E1363" s="83"/>
      <c r="F1363" s="84"/>
      <c r="G1363" s="84"/>
      <c r="H1363" s="84"/>
      <c r="I1363" s="91"/>
      <c r="J1363" s="85"/>
      <c r="K1363" s="85"/>
      <c r="L1363" s="84"/>
      <c r="M1363" s="85"/>
      <c r="N1363" s="93"/>
      <c r="O1363" s="93"/>
      <c r="P1363" s="82"/>
    </row>
    <row r="1364">
      <c r="A1364" s="89"/>
      <c r="B1364" s="90"/>
      <c r="C1364" s="89"/>
      <c r="D1364" s="84"/>
      <c r="E1364" s="83"/>
      <c r="F1364" s="84"/>
      <c r="G1364" s="84"/>
      <c r="H1364" s="84"/>
      <c r="I1364" s="91"/>
      <c r="J1364" s="85"/>
      <c r="K1364" s="85"/>
      <c r="L1364" s="84"/>
      <c r="M1364" s="85"/>
      <c r="N1364" s="93"/>
      <c r="O1364" s="93"/>
      <c r="P1364" s="82"/>
    </row>
    <row r="1365">
      <c r="A1365" s="89"/>
      <c r="B1365" s="90"/>
      <c r="C1365" s="89"/>
      <c r="D1365" s="84"/>
      <c r="E1365" s="83"/>
      <c r="F1365" s="84"/>
      <c r="G1365" s="84"/>
      <c r="H1365" s="84"/>
      <c r="I1365" s="91"/>
      <c r="J1365" s="85"/>
      <c r="K1365" s="85"/>
      <c r="L1365" s="84"/>
      <c r="M1365" s="85"/>
      <c r="N1365" s="93"/>
      <c r="O1365" s="93"/>
      <c r="P1365" s="82"/>
    </row>
    <row r="1366">
      <c r="A1366" s="89"/>
      <c r="B1366" s="90"/>
      <c r="C1366" s="89"/>
      <c r="D1366" s="84"/>
      <c r="E1366" s="83"/>
      <c r="F1366" s="84"/>
      <c r="G1366" s="84"/>
      <c r="H1366" s="84"/>
      <c r="I1366" s="91"/>
      <c r="J1366" s="85"/>
      <c r="K1366" s="85"/>
      <c r="L1366" s="84"/>
      <c r="M1366" s="85"/>
      <c r="N1366" s="93"/>
      <c r="O1366" s="93"/>
      <c r="P1366" s="82"/>
    </row>
    <row r="1367">
      <c r="A1367" s="89"/>
      <c r="B1367" s="90"/>
      <c r="C1367" s="89"/>
      <c r="D1367" s="84"/>
      <c r="E1367" s="83"/>
      <c r="F1367" s="84"/>
      <c r="G1367" s="84"/>
      <c r="H1367" s="84"/>
      <c r="I1367" s="91"/>
      <c r="J1367" s="85"/>
      <c r="K1367" s="85"/>
      <c r="L1367" s="84"/>
      <c r="M1367" s="85"/>
      <c r="N1367" s="93"/>
      <c r="O1367" s="93"/>
      <c r="P1367" s="82"/>
    </row>
    <row r="1368">
      <c r="A1368" s="89"/>
      <c r="B1368" s="90"/>
      <c r="C1368" s="89"/>
      <c r="D1368" s="84"/>
      <c r="E1368" s="83"/>
      <c r="F1368" s="84"/>
      <c r="G1368" s="84"/>
      <c r="H1368" s="84"/>
      <c r="I1368" s="91"/>
      <c r="J1368" s="85"/>
      <c r="K1368" s="85"/>
      <c r="L1368" s="84"/>
      <c r="M1368" s="85"/>
      <c r="N1368" s="93"/>
      <c r="O1368" s="93"/>
      <c r="P1368" s="82"/>
    </row>
    <row r="1369">
      <c r="A1369" s="89"/>
      <c r="B1369" s="90"/>
      <c r="C1369" s="89"/>
      <c r="D1369" s="84"/>
      <c r="E1369" s="83"/>
      <c r="F1369" s="84"/>
      <c r="G1369" s="84"/>
      <c r="H1369" s="84"/>
      <c r="I1369" s="91"/>
      <c r="J1369" s="85"/>
      <c r="K1369" s="85"/>
      <c r="L1369" s="84"/>
      <c r="M1369" s="85"/>
      <c r="N1369" s="93"/>
      <c r="O1369" s="93"/>
      <c r="P1369" s="82"/>
    </row>
    <row r="1370">
      <c r="A1370" s="89"/>
      <c r="B1370" s="90"/>
      <c r="C1370" s="89"/>
      <c r="D1370" s="84"/>
      <c r="E1370" s="83"/>
      <c r="F1370" s="84"/>
      <c r="G1370" s="84"/>
      <c r="H1370" s="84"/>
      <c r="I1370" s="91"/>
      <c r="J1370" s="85"/>
      <c r="K1370" s="85"/>
      <c r="L1370" s="84"/>
      <c r="M1370" s="85"/>
      <c r="N1370" s="93"/>
      <c r="O1370" s="93"/>
      <c r="P1370" s="82"/>
    </row>
    <row r="1371">
      <c r="A1371" s="89"/>
      <c r="B1371" s="90"/>
      <c r="C1371" s="89"/>
      <c r="D1371" s="84"/>
      <c r="E1371" s="83"/>
      <c r="F1371" s="84"/>
      <c r="G1371" s="84"/>
      <c r="H1371" s="84"/>
      <c r="I1371" s="91"/>
      <c r="J1371" s="85"/>
      <c r="K1371" s="85"/>
      <c r="L1371" s="84"/>
      <c r="M1371" s="85"/>
      <c r="N1371" s="93"/>
      <c r="O1371" s="93"/>
      <c r="P1371" s="82"/>
    </row>
    <row r="1372">
      <c r="A1372" s="89"/>
      <c r="B1372" s="90"/>
      <c r="C1372" s="89"/>
      <c r="D1372" s="84"/>
      <c r="E1372" s="83"/>
      <c r="F1372" s="84"/>
      <c r="G1372" s="84"/>
      <c r="H1372" s="84"/>
      <c r="I1372" s="91"/>
      <c r="J1372" s="85"/>
      <c r="K1372" s="85"/>
      <c r="L1372" s="84"/>
      <c r="M1372" s="85"/>
      <c r="N1372" s="93"/>
      <c r="O1372" s="93"/>
      <c r="P1372" s="82"/>
    </row>
    <row r="1373">
      <c r="A1373" s="89"/>
      <c r="B1373" s="90"/>
      <c r="C1373" s="89"/>
      <c r="D1373" s="84"/>
      <c r="E1373" s="83"/>
      <c r="F1373" s="84"/>
      <c r="G1373" s="84"/>
      <c r="H1373" s="84"/>
      <c r="I1373" s="91"/>
      <c r="J1373" s="85"/>
      <c r="K1373" s="85"/>
      <c r="L1373" s="84"/>
      <c r="M1373" s="85"/>
      <c r="N1373" s="93"/>
      <c r="O1373" s="93"/>
      <c r="P1373" s="82"/>
    </row>
    <row r="1374">
      <c r="A1374" s="89"/>
      <c r="B1374" s="90"/>
      <c r="C1374" s="89"/>
      <c r="D1374" s="84"/>
      <c r="E1374" s="83"/>
      <c r="F1374" s="84"/>
      <c r="G1374" s="84"/>
      <c r="H1374" s="84"/>
      <c r="I1374" s="91"/>
      <c r="J1374" s="85"/>
      <c r="K1374" s="85"/>
      <c r="L1374" s="84"/>
      <c r="M1374" s="85"/>
      <c r="N1374" s="93"/>
      <c r="O1374" s="93"/>
      <c r="P1374" s="82"/>
    </row>
    <row r="1375">
      <c r="A1375" s="89"/>
      <c r="B1375" s="90"/>
      <c r="C1375" s="89"/>
      <c r="D1375" s="84"/>
      <c r="E1375" s="83"/>
      <c r="F1375" s="84"/>
      <c r="G1375" s="84"/>
      <c r="H1375" s="84"/>
      <c r="I1375" s="91"/>
      <c r="J1375" s="85"/>
      <c r="K1375" s="85"/>
      <c r="L1375" s="84"/>
      <c r="M1375" s="85"/>
      <c r="N1375" s="93"/>
      <c r="O1375" s="93"/>
      <c r="P1375" s="82"/>
    </row>
    <row r="1376">
      <c r="A1376" s="89"/>
      <c r="B1376" s="90"/>
      <c r="C1376" s="89"/>
      <c r="D1376" s="84"/>
      <c r="E1376" s="83"/>
      <c r="F1376" s="84"/>
      <c r="G1376" s="84"/>
      <c r="H1376" s="84"/>
      <c r="I1376" s="91"/>
      <c r="J1376" s="85"/>
      <c r="K1376" s="85"/>
      <c r="L1376" s="84"/>
      <c r="M1376" s="85"/>
      <c r="N1376" s="93"/>
      <c r="O1376" s="93"/>
      <c r="P1376" s="82"/>
    </row>
    <row r="1377">
      <c r="A1377" s="89"/>
      <c r="B1377" s="90"/>
      <c r="C1377" s="89"/>
      <c r="D1377" s="84"/>
      <c r="E1377" s="83"/>
      <c r="F1377" s="84"/>
      <c r="G1377" s="84"/>
      <c r="H1377" s="84"/>
      <c r="I1377" s="91"/>
      <c r="J1377" s="85"/>
      <c r="K1377" s="85"/>
      <c r="L1377" s="84"/>
      <c r="M1377" s="85"/>
      <c r="N1377" s="93"/>
      <c r="O1377" s="93"/>
      <c r="P1377" s="82"/>
    </row>
    <row r="1378">
      <c r="A1378" s="89"/>
      <c r="B1378" s="90"/>
      <c r="C1378" s="89"/>
      <c r="D1378" s="84"/>
      <c r="E1378" s="83"/>
      <c r="F1378" s="84"/>
      <c r="G1378" s="84"/>
      <c r="H1378" s="84"/>
      <c r="I1378" s="91"/>
      <c r="J1378" s="85"/>
      <c r="K1378" s="85"/>
      <c r="L1378" s="84"/>
      <c r="M1378" s="85"/>
      <c r="N1378" s="93"/>
      <c r="O1378" s="93"/>
      <c r="P1378" s="82"/>
    </row>
    <row r="1379">
      <c r="A1379" s="89"/>
      <c r="B1379" s="90"/>
      <c r="C1379" s="89"/>
      <c r="D1379" s="84"/>
      <c r="E1379" s="83"/>
      <c r="F1379" s="84"/>
      <c r="G1379" s="84"/>
      <c r="H1379" s="84"/>
      <c r="I1379" s="91"/>
      <c r="J1379" s="85"/>
      <c r="K1379" s="85"/>
      <c r="L1379" s="84"/>
      <c r="M1379" s="85"/>
      <c r="N1379" s="93"/>
      <c r="O1379" s="93"/>
      <c r="P1379" s="82"/>
    </row>
    <row r="1380">
      <c r="A1380" s="89"/>
      <c r="B1380" s="90"/>
      <c r="C1380" s="89"/>
      <c r="D1380" s="84"/>
      <c r="E1380" s="83"/>
      <c r="F1380" s="84"/>
      <c r="G1380" s="84"/>
      <c r="H1380" s="84"/>
      <c r="I1380" s="91"/>
      <c r="J1380" s="85"/>
      <c r="K1380" s="85"/>
      <c r="L1380" s="84"/>
      <c r="M1380" s="85"/>
      <c r="N1380" s="93"/>
      <c r="O1380" s="93"/>
      <c r="P1380" s="82"/>
    </row>
    <row r="1381">
      <c r="A1381" s="89"/>
      <c r="B1381" s="90"/>
      <c r="C1381" s="89"/>
      <c r="D1381" s="84"/>
      <c r="E1381" s="83"/>
      <c r="F1381" s="84"/>
      <c r="G1381" s="84"/>
      <c r="H1381" s="84"/>
      <c r="I1381" s="91"/>
      <c r="J1381" s="85"/>
      <c r="K1381" s="85"/>
      <c r="L1381" s="84"/>
      <c r="M1381" s="85"/>
      <c r="N1381" s="93"/>
      <c r="O1381" s="93"/>
      <c r="P1381" s="82"/>
    </row>
    <row r="1382">
      <c r="A1382" s="89"/>
      <c r="B1382" s="90"/>
      <c r="C1382" s="89"/>
      <c r="D1382" s="84"/>
      <c r="E1382" s="83"/>
      <c r="F1382" s="84"/>
      <c r="G1382" s="84"/>
      <c r="H1382" s="84"/>
      <c r="I1382" s="91"/>
      <c r="J1382" s="85"/>
      <c r="K1382" s="85"/>
      <c r="L1382" s="84"/>
      <c r="M1382" s="85"/>
      <c r="N1382" s="93"/>
      <c r="O1382" s="93"/>
      <c r="P1382" s="82"/>
    </row>
    <row r="1383">
      <c r="A1383" s="89"/>
      <c r="B1383" s="90"/>
      <c r="C1383" s="89"/>
      <c r="D1383" s="84"/>
      <c r="E1383" s="83"/>
      <c r="F1383" s="84"/>
      <c r="G1383" s="84"/>
      <c r="H1383" s="84"/>
      <c r="I1383" s="91"/>
      <c r="J1383" s="85"/>
      <c r="K1383" s="85"/>
      <c r="L1383" s="84"/>
      <c r="M1383" s="85"/>
      <c r="N1383" s="93"/>
      <c r="O1383" s="93"/>
      <c r="P1383" s="82"/>
    </row>
    <row r="1384">
      <c r="A1384" s="89"/>
      <c r="B1384" s="90"/>
      <c r="C1384" s="89"/>
      <c r="D1384" s="84"/>
      <c r="E1384" s="83"/>
      <c r="F1384" s="84"/>
      <c r="G1384" s="84"/>
      <c r="H1384" s="84"/>
      <c r="I1384" s="91"/>
      <c r="J1384" s="85"/>
      <c r="K1384" s="85"/>
      <c r="L1384" s="84"/>
      <c r="M1384" s="85"/>
      <c r="N1384" s="93"/>
      <c r="O1384" s="93"/>
      <c r="P1384" s="82"/>
    </row>
    <row r="1385">
      <c r="A1385" s="89"/>
      <c r="B1385" s="90"/>
      <c r="C1385" s="89"/>
      <c r="D1385" s="84"/>
      <c r="E1385" s="83"/>
      <c r="F1385" s="84"/>
      <c r="G1385" s="84"/>
      <c r="H1385" s="84"/>
      <c r="I1385" s="91"/>
      <c r="J1385" s="85"/>
      <c r="K1385" s="85"/>
      <c r="L1385" s="84"/>
      <c r="M1385" s="85"/>
      <c r="N1385" s="93"/>
      <c r="O1385" s="93"/>
      <c r="P1385" s="82"/>
    </row>
    <row r="1386">
      <c r="A1386" s="89"/>
      <c r="B1386" s="90"/>
      <c r="C1386" s="89"/>
      <c r="D1386" s="84"/>
      <c r="E1386" s="83"/>
      <c r="F1386" s="84"/>
      <c r="G1386" s="84"/>
      <c r="H1386" s="84"/>
      <c r="I1386" s="91"/>
      <c r="J1386" s="85"/>
      <c r="K1386" s="85"/>
      <c r="L1386" s="84"/>
      <c r="M1386" s="85"/>
      <c r="N1386" s="93"/>
      <c r="O1386" s="93"/>
      <c r="P1386" s="82"/>
    </row>
    <row r="1387">
      <c r="A1387" s="89"/>
      <c r="B1387" s="90"/>
      <c r="C1387" s="89"/>
      <c r="D1387" s="84"/>
      <c r="E1387" s="83"/>
      <c r="F1387" s="84"/>
      <c r="G1387" s="84"/>
      <c r="H1387" s="84"/>
      <c r="I1387" s="91"/>
      <c r="J1387" s="85"/>
      <c r="K1387" s="85"/>
      <c r="L1387" s="84"/>
      <c r="M1387" s="85"/>
      <c r="N1387" s="93"/>
      <c r="O1387" s="93"/>
      <c r="P1387" s="82"/>
    </row>
    <row r="1388">
      <c r="A1388" s="89"/>
      <c r="B1388" s="90"/>
      <c r="C1388" s="89"/>
      <c r="D1388" s="84"/>
      <c r="E1388" s="83"/>
      <c r="F1388" s="84"/>
      <c r="G1388" s="84"/>
      <c r="H1388" s="84"/>
      <c r="I1388" s="91"/>
      <c r="J1388" s="85"/>
      <c r="K1388" s="85"/>
      <c r="L1388" s="84"/>
      <c r="M1388" s="85"/>
      <c r="N1388" s="93"/>
      <c r="O1388" s="93"/>
      <c r="P1388" s="82"/>
    </row>
    <row r="1389">
      <c r="A1389" s="89"/>
      <c r="B1389" s="90"/>
      <c r="C1389" s="89"/>
      <c r="D1389" s="84"/>
      <c r="E1389" s="83"/>
      <c r="F1389" s="84"/>
      <c r="G1389" s="84"/>
      <c r="H1389" s="84"/>
      <c r="I1389" s="91"/>
      <c r="J1389" s="85"/>
      <c r="K1389" s="85"/>
      <c r="L1389" s="84"/>
      <c r="M1389" s="85"/>
      <c r="N1389" s="93"/>
      <c r="O1389" s="93"/>
      <c r="P1389" s="82"/>
    </row>
    <row r="1390">
      <c r="A1390" s="89"/>
      <c r="B1390" s="90"/>
      <c r="C1390" s="89"/>
      <c r="D1390" s="84"/>
      <c r="E1390" s="83"/>
      <c r="F1390" s="84"/>
      <c r="G1390" s="84"/>
      <c r="H1390" s="84"/>
      <c r="I1390" s="91"/>
      <c r="J1390" s="85"/>
      <c r="K1390" s="85"/>
      <c r="L1390" s="84"/>
      <c r="M1390" s="85"/>
      <c r="N1390" s="93"/>
      <c r="O1390" s="93"/>
      <c r="P1390" s="82"/>
    </row>
    <row r="1391">
      <c r="A1391" s="89"/>
      <c r="B1391" s="90"/>
      <c r="C1391" s="89"/>
      <c r="D1391" s="84"/>
      <c r="E1391" s="83"/>
      <c r="F1391" s="84"/>
      <c r="G1391" s="84"/>
      <c r="H1391" s="84"/>
      <c r="I1391" s="91"/>
      <c r="J1391" s="85"/>
      <c r="K1391" s="85"/>
      <c r="L1391" s="84"/>
      <c r="M1391" s="85"/>
      <c r="N1391" s="93"/>
      <c r="O1391" s="93"/>
      <c r="P1391" s="82"/>
    </row>
    <row r="1392">
      <c r="A1392" s="89"/>
      <c r="B1392" s="90"/>
      <c r="C1392" s="89"/>
      <c r="D1392" s="84"/>
      <c r="E1392" s="83"/>
      <c r="F1392" s="84"/>
      <c r="G1392" s="84"/>
      <c r="H1392" s="84"/>
      <c r="I1392" s="91"/>
      <c r="J1392" s="85"/>
      <c r="K1392" s="85"/>
      <c r="L1392" s="84"/>
      <c r="M1392" s="85"/>
      <c r="N1392" s="93"/>
      <c r="O1392" s="93"/>
      <c r="P1392" s="82"/>
    </row>
    <row r="1393">
      <c r="A1393" s="89"/>
      <c r="B1393" s="90"/>
      <c r="C1393" s="89"/>
      <c r="D1393" s="84"/>
      <c r="E1393" s="83"/>
      <c r="F1393" s="84"/>
      <c r="G1393" s="84"/>
      <c r="H1393" s="84"/>
      <c r="I1393" s="91"/>
      <c r="J1393" s="85"/>
      <c r="K1393" s="85"/>
      <c r="L1393" s="84"/>
      <c r="M1393" s="85"/>
      <c r="N1393" s="93"/>
      <c r="O1393" s="93"/>
      <c r="P1393" s="82"/>
    </row>
    <row r="1394">
      <c r="A1394" s="89"/>
      <c r="B1394" s="90"/>
      <c r="C1394" s="89"/>
      <c r="D1394" s="84"/>
      <c r="E1394" s="83"/>
      <c r="F1394" s="84"/>
      <c r="G1394" s="84"/>
      <c r="H1394" s="84"/>
      <c r="I1394" s="91"/>
      <c r="J1394" s="85"/>
      <c r="K1394" s="85"/>
      <c r="L1394" s="84"/>
      <c r="M1394" s="85"/>
      <c r="N1394" s="93"/>
      <c r="O1394" s="93"/>
      <c r="P1394" s="82"/>
    </row>
    <row r="1395">
      <c r="A1395" s="89"/>
      <c r="B1395" s="90"/>
      <c r="C1395" s="89"/>
      <c r="D1395" s="84"/>
      <c r="E1395" s="83"/>
      <c r="F1395" s="84"/>
      <c r="G1395" s="84"/>
      <c r="H1395" s="84"/>
      <c r="I1395" s="91"/>
      <c r="J1395" s="85"/>
      <c r="K1395" s="85"/>
      <c r="L1395" s="84"/>
      <c r="M1395" s="85"/>
      <c r="N1395" s="93"/>
      <c r="O1395" s="93"/>
      <c r="P1395" s="82"/>
    </row>
    <row r="1396">
      <c r="A1396" s="89"/>
      <c r="B1396" s="90"/>
      <c r="C1396" s="89"/>
      <c r="D1396" s="84"/>
      <c r="E1396" s="83"/>
      <c r="F1396" s="84"/>
      <c r="G1396" s="84"/>
      <c r="H1396" s="84"/>
      <c r="I1396" s="91"/>
      <c r="J1396" s="85"/>
      <c r="K1396" s="85"/>
      <c r="L1396" s="84"/>
      <c r="M1396" s="85"/>
      <c r="N1396" s="93"/>
      <c r="O1396" s="93"/>
      <c r="P1396" s="82"/>
    </row>
    <row r="1397">
      <c r="A1397" s="89"/>
      <c r="B1397" s="90"/>
      <c r="C1397" s="89"/>
      <c r="D1397" s="84"/>
      <c r="E1397" s="83"/>
      <c r="F1397" s="84"/>
      <c r="G1397" s="84"/>
      <c r="H1397" s="84"/>
      <c r="I1397" s="91"/>
      <c r="J1397" s="85"/>
      <c r="K1397" s="85"/>
      <c r="L1397" s="84"/>
      <c r="M1397" s="85"/>
      <c r="N1397" s="93"/>
      <c r="O1397" s="93"/>
      <c r="P1397" s="82"/>
    </row>
    <row r="1398">
      <c r="A1398" s="89"/>
      <c r="B1398" s="90"/>
      <c r="C1398" s="89"/>
      <c r="D1398" s="84"/>
      <c r="E1398" s="83"/>
      <c r="F1398" s="84"/>
      <c r="G1398" s="84"/>
      <c r="H1398" s="84"/>
      <c r="I1398" s="91"/>
      <c r="J1398" s="85"/>
      <c r="K1398" s="85"/>
      <c r="L1398" s="84"/>
      <c r="M1398" s="85"/>
      <c r="N1398" s="93"/>
      <c r="O1398" s="93"/>
      <c r="P1398" s="82"/>
    </row>
    <row r="1399">
      <c r="A1399" s="89"/>
      <c r="B1399" s="90"/>
      <c r="C1399" s="89"/>
      <c r="D1399" s="84"/>
      <c r="E1399" s="83"/>
      <c r="F1399" s="84"/>
      <c r="G1399" s="84"/>
      <c r="H1399" s="84"/>
      <c r="I1399" s="91"/>
      <c r="J1399" s="85"/>
      <c r="K1399" s="85"/>
      <c r="L1399" s="84"/>
      <c r="M1399" s="85"/>
      <c r="N1399" s="93"/>
      <c r="O1399" s="93"/>
      <c r="P1399" s="82"/>
    </row>
    <row r="1400">
      <c r="A1400" s="89"/>
      <c r="B1400" s="90"/>
      <c r="C1400" s="89"/>
      <c r="D1400" s="84"/>
      <c r="E1400" s="83"/>
      <c r="F1400" s="84"/>
      <c r="G1400" s="84"/>
      <c r="H1400" s="84"/>
      <c r="I1400" s="91"/>
      <c r="J1400" s="85"/>
      <c r="K1400" s="85"/>
      <c r="L1400" s="84"/>
      <c r="M1400" s="85"/>
      <c r="N1400" s="93"/>
      <c r="O1400" s="93"/>
      <c r="P1400" s="82"/>
    </row>
    <row r="1401">
      <c r="A1401" s="89"/>
      <c r="B1401" s="90"/>
      <c r="C1401" s="89"/>
      <c r="D1401" s="84"/>
      <c r="E1401" s="83"/>
      <c r="F1401" s="84"/>
      <c r="G1401" s="84"/>
      <c r="H1401" s="84"/>
      <c r="I1401" s="91"/>
      <c r="J1401" s="85"/>
      <c r="K1401" s="85"/>
      <c r="L1401" s="84"/>
      <c r="M1401" s="85"/>
      <c r="N1401" s="93"/>
      <c r="O1401" s="93"/>
      <c r="P1401" s="82"/>
    </row>
    <row r="1402">
      <c r="A1402" s="89"/>
      <c r="B1402" s="90"/>
      <c r="C1402" s="89"/>
      <c r="D1402" s="84"/>
      <c r="E1402" s="83"/>
      <c r="F1402" s="84"/>
      <c r="G1402" s="84"/>
      <c r="H1402" s="84"/>
      <c r="I1402" s="91"/>
      <c r="J1402" s="85"/>
      <c r="K1402" s="85"/>
      <c r="L1402" s="84"/>
      <c r="M1402" s="85"/>
      <c r="N1402" s="93"/>
      <c r="O1402" s="93"/>
      <c r="P1402" s="82"/>
    </row>
    <row r="1403">
      <c r="A1403" s="89"/>
      <c r="B1403" s="90"/>
      <c r="C1403" s="89"/>
      <c r="D1403" s="84"/>
      <c r="E1403" s="83"/>
      <c r="F1403" s="84"/>
      <c r="G1403" s="84"/>
      <c r="H1403" s="84"/>
      <c r="I1403" s="91"/>
      <c r="J1403" s="85"/>
      <c r="K1403" s="85"/>
      <c r="L1403" s="84"/>
      <c r="M1403" s="85"/>
      <c r="N1403" s="93"/>
      <c r="O1403" s="93"/>
      <c r="P1403" s="82"/>
    </row>
    <row r="1404">
      <c r="A1404" s="89"/>
      <c r="B1404" s="90"/>
      <c r="C1404" s="89"/>
      <c r="D1404" s="84"/>
      <c r="E1404" s="83"/>
      <c r="F1404" s="84"/>
      <c r="G1404" s="84"/>
      <c r="H1404" s="84"/>
      <c r="I1404" s="91"/>
      <c r="J1404" s="85"/>
      <c r="K1404" s="85"/>
      <c r="L1404" s="84"/>
      <c r="M1404" s="85"/>
      <c r="N1404" s="93"/>
      <c r="O1404" s="93"/>
      <c r="P1404" s="82"/>
    </row>
    <row r="1405">
      <c r="A1405" s="89"/>
      <c r="B1405" s="90"/>
      <c r="C1405" s="89"/>
      <c r="D1405" s="84"/>
      <c r="E1405" s="83"/>
      <c r="F1405" s="84"/>
      <c r="G1405" s="84"/>
      <c r="H1405" s="84"/>
      <c r="I1405" s="91"/>
      <c r="J1405" s="85"/>
      <c r="K1405" s="85"/>
      <c r="L1405" s="84"/>
      <c r="M1405" s="85"/>
      <c r="N1405" s="93"/>
      <c r="O1405" s="93"/>
      <c r="P1405" s="82"/>
    </row>
    <row r="1406">
      <c r="A1406" s="89"/>
      <c r="B1406" s="90"/>
      <c r="C1406" s="89"/>
      <c r="D1406" s="84"/>
      <c r="E1406" s="83"/>
      <c r="F1406" s="84"/>
      <c r="G1406" s="84"/>
      <c r="H1406" s="84"/>
      <c r="I1406" s="91"/>
      <c r="J1406" s="85"/>
      <c r="K1406" s="85"/>
      <c r="L1406" s="84"/>
      <c r="M1406" s="85"/>
      <c r="N1406" s="93"/>
      <c r="O1406" s="93"/>
      <c r="P1406" s="82"/>
    </row>
    <row r="1407">
      <c r="A1407" s="89"/>
      <c r="B1407" s="90"/>
      <c r="C1407" s="89"/>
      <c r="D1407" s="84"/>
      <c r="E1407" s="83"/>
      <c r="F1407" s="84"/>
      <c r="G1407" s="84"/>
      <c r="H1407" s="84"/>
      <c r="I1407" s="91"/>
      <c r="J1407" s="85"/>
      <c r="K1407" s="85"/>
      <c r="L1407" s="84"/>
      <c r="M1407" s="85"/>
      <c r="N1407" s="93"/>
      <c r="O1407" s="93"/>
      <c r="P1407" s="82"/>
    </row>
    <row r="1408">
      <c r="A1408" s="89"/>
      <c r="B1408" s="90"/>
      <c r="C1408" s="89"/>
      <c r="D1408" s="84"/>
      <c r="E1408" s="83"/>
      <c r="F1408" s="84"/>
      <c r="G1408" s="84"/>
      <c r="H1408" s="84"/>
      <c r="I1408" s="91"/>
      <c r="J1408" s="85"/>
      <c r="K1408" s="85"/>
      <c r="L1408" s="84"/>
      <c r="M1408" s="85"/>
      <c r="N1408" s="93"/>
      <c r="O1408" s="93"/>
      <c r="P1408" s="82"/>
    </row>
    <row r="1409">
      <c r="A1409" s="89"/>
      <c r="B1409" s="90"/>
      <c r="C1409" s="89"/>
      <c r="D1409" s="84"/>
      <c r="E1409" s="83"/>
      <c r="F1409" s="84"/>
      <c r="G1409" s="84"/>
      <c r="H1409" s="84"/>
      <c r="I1409" s="91"/>
      <c r="J1409" s="85"/>
      <c r="K1409" s="85"/>
      <c r="L1409" s="84"/>
      <c r="M1409" s="85"/>
      <c r="N1409" s="93"/>
      <c r="O1409" s="93"/>
      <c r="P1409" s="82"/>
    </row>
    <row r="1410">
      <c r="A1410" s="89"/>
      <c r="B1410" s="90"/>
      <c r="C1410" s="89"/>
      <c r="D1410" s="84"/>
      <c r="E1410" s="83"/>
      <c r="F1410" s="84"/>
      <c r="G1410" s="84"/>
      <c r="H1410" s="84"/>
      <c r="I1410" s="91"/>
      <c r="J1410" s="85"/>
      <c r="K1410" s="85"/>
      <c r="L1410" s="84"/>
      <c r="M1410" s="85"/>
      <c r="N1410" s="93"/>
      <c r="O1410" s="93"/>
      <c r="P1410" s="82"/>
    </row>
    <row r="1411">
      <c r="A1411" s="89"/>
      <c r="B1411" s="90"/>
      <c r="C1411" s="89"/>
      <c r="D1411" s="84"/>
      <c r="E1411" s="83"/>
      <c r="F1411" s="84"/>
      <c r="G1411" s="84"/>
      <c r="H1411" s="84"/>
      <c r="I1411" s="91"/>
      <c r="J1411" s="85"/>
      <c r="K1411" s="85"/>
      <c r="L1411" s="84"/>
      <c r="M1411" s="85"/>
      <c r="N1411" s="93"/>
      <c r="O1411" s="93"/>
      <c r="P1411" s="82"/>
    </row>
    <row r="1412">
      <c r="A1412" s="89"/>
      <c r="B1412" s="90"/>
      <c r="C1412" s="89"/>
      <c r="D1412" s="84"/>
      <c r="E1412" s="83"/>
      <c r="F1412" s="84"/>
      <c r="G1412" s="84"/>
      <c r="H1412" s="84"/>
      <c r="I1412" s="91"/>
      <c r="J1412" s="85"/>
      <c r="K1412" s="85"/>
      <c r="L1412" s="84"/>
      <c r="M1412" s="85"/>
      <c r="N1412" s="93"/>
      <c r="O1412" s="93"/>
      <c r="P1412" s="82"/>
    </row>
    <row r="1413">
      <c r="A1413" s="89"/>
      <c r="B1413" s="90"/>
      <c r="C1413" s="89"/>
      <c r="D1413" s="84"/>
      <c r="E1413" s="83"/>
      <c r="F1413" s="84"/>
      <c r="G1413" s="84"/>
      <c r="H1413" s="84"/>
      <c r="I1413" s="91"/>
      <c r="J1413" s="85"/>
      <c r="K1413" s="85"/>
      <c r="L1413" s="84"/>
      <c r="M1413" s="85"/>
      <c r="N1413" s="93"/>
      <c r="O1413" s="93"/>
      <c r="P1413" s="82"/>
    </row>
    <row r="1414">
      <c r="A1414" s="89"/>
      <c r="B1414" s="90"/>
      <c r="C1414" s="89"/>
      <c r="D1414" s="84"/>
      <c r="E1414" s="83"/>
      <c r="F1414" s="84"/>
      <c r="G1414" s="84"/>
      <c r="H1414" s="84"/>
      <c r="I1414" s="91"/>
      <c r="J1414" s="85"/>
      <c r="K1414" s="85"/>
      <c r="L1414" s="84"/>
      <c r="M1414" s="85"/>
      <c r="N1414" s="93"/>
      <c r="O1414" s="93"/>
      <c r="P1414" s="82"/>
    </row>
    <row r="1415">
      <c r="A1415" s="89"/>
      <c r="B1415" s="90"/>
      <c r="C1415" s="89"/>
      <c r="D1415" s="84"/>
      <c r="E1415" s="83"/>
      <c r="F1415" s="84"/>
      <c r="G1415" s="84"/>
      <c r="H1415" s="84"/>
      <c r="I1415" s="91"/>
      <c r="J1415" s="85"/>
      <c r="K1415" s="85"/>
      <c r="L1415" s="84"/>
      <c r="M1415" s="85"/>
      <c r="N1415" s="93"/>
      <c r="O1415" s="93"/>
      <c r="P1415" s="82"/>
    </row>
    <row r="1416">
      <c r="A1416" s="89"/>
      <c r="B1416" s="90"/>
      <c r="C1416" s="89"/>
      <c r="D1416" s="84"/>
      <c r="E1416" s="83"/>
      <c r="F1416" s="84"/>
      <c r="G1416" s="84"/>
      <c r="H1416" s="84"/>
      <c r="I1416" s="91"/>
      <c r="J1416" s="85"/>
      <c r="K1416" s="85"/>
      <c r="L1416" s="84"/>
      <c r="M1416" s="85"/>
      <c r="N1416" s="93"/>
      <c r="O1416" s="93"/>
      <c r="P1416" s="82"/>
    </row>
    <row r="1417">
      <c r="A1417" s="89"/>
      <c r="B1417" s="90"/>
      <c r="C1417" s="89"/>
      <c r="D1417" s="84"/>
      <c r="E1417" s="83"/>
      <c r="F1417" s="84"/>
      <c r="G1417" s="84"/>
      <c r="H1417" s="84"/>
      <c r="I1417" s="91"/>
      <c r="J1417" s="85"/>
      <c r="K1417" s="85"/>
      <c r="L1417" s="84"/>
      <c r="M1417" s="85"/>
      <c r="N1417" s="93"/>
      <c r="O1417" s="93"/>
      <c r="P1417" s="82"/>
    </row>
    <row r="1418">
      <c r="A1418" s="89"/>
      <c r="B1418" s="90"/>
      <c r="C1418" s="89"/>
      <c r="D1418" s="84"/>
      <c r="E1418" s="83"/>
      <c r="F1418" s="84"/>
      <c r="G1418" s="84"/>
      <c r="H1418" s="84"/>
      <c r="I1418" s="91"/>
      <c r="J1418" s="85"/>
      <c r="K1418" s="85"/>
      <c r="L1418" s="84"/>
      <c r="M1418" s="85"/>
      <c r="N1418" s="93"/>
      <c r="O1418" s="93"/>
      <c r="P1418" s="82"/>
    </row>
    <row r="1419">
      <c r="A1419" s="89"/>
      <c r="B1419" s="90"/>
      <c r="C1419" s="89"/>
      <c r="D1419" s="84"/>
      <c r="E1419" s="83"/>
      <c r="F1419" s="84"/>
      <c r="G1419" s="84"/>
      <c r="H1419" s="84"/>
      <c r="I1419" s="91"/>
      <c r="J1419" s="85"/>
      <c r="K1419" s="85"/>
      <c r="L1419" s="84"/>
      <c r="M1419" s="85"/>
      <c r="N1419" s="93"/>
      <c r="O1419" s="93"/>
      <c r="P1419" s="82"/>
    </row>
    <row r="1420">
      <c r="A1420" s="89"/>
      <c r="B1420" s="90"/>
      <c r="C1420" s="89"/>
      <c r="D1420" s="84"/>
      <c r="E1420" s="83"/>
      <c r="F1420" s="84"/>
      <c r="G1420" s="84"/>
      <c r="H1420" s="84"/>
      <c r="I1420" s="91"/>
      <c r="J1420" s="85"/>
      <c r="K1420" s="85"/>
      <c r="L1420" s="84"/>
      <c r="M1420" s="85"/>
      <c r="N1420" s="93"/>
      <c r="O1420" s="93"/>
      <c r="P1420" s="82"/>
    </row>
    <row r="1421">
      <c r="A1421" s="89"/>
      <c r="B1421" s="90"/>
      <c r="C1421" s="89"/>
      <c r="D1421" s="84"/>
      <c r="E1421" s="83"/>
      <c r="F1421" s="84"/>
      <c r="G1421" s="84"/>
      <c r="H1421" s="84"/>
      <c r="I1421" s="91"/>
      <c r="J1421" s="85"/>
      <c r="K1421" s="85"/>
      <c r="L1421" s="84"/>
      <c r="M1421" s="85"/>
      <c r="N1421" s="93"/>
      <c r="O1421" s="93"/>
      <c r="P1421" s="82"/>
    </row>
    <row r="1422">
      <c r="A1422" s="89"/>
      <c r="B1422" s="90"/>
      <c r="C1422" s="89"/>
      <c r="D1422" s="84"/>
      <c r="E1422" s="83"/>
      <c r="F1422" s="84"/>
      <c r="G1422" s="84"/>
      <c r="H1422" s="84"/>
      <c r="I1422" s="91"/>
      <c r="J1422" s="85"/>
      <c r="K1422" s="85"/>
      <c r="L1422" s="84"/>
      <c r="M1422" s="85"/>
      <c r="N1422" s="93"/>
      <c r="O1422" s="93"/>
      <c r="P1422" s="82"/>
    </row>
    <row r="1423">
      <c r="A1423" s="89"/>
      <c r="B1423" s="90"/>
      <c r="C1423" s="89"/>
      <c r="D1423" s="84"/>
      <c r="E1423" s="83"/>
      <c r="F1423" s="84"/>
      <c r="G1423" s="84"/>
      <c r="H1423" s="84"/>
      <c r="I1423" s="91"/>
      <c r="J1423" s="85"/>
      <c r="K1423" s="85"/>
      <c r="L1423" s="84"/>
      <c r="M1423" s="85"/>
      <c r="N1423" s="93"/>
      <c r="O1423" s="93"/>
      <c r="P1423" s="82"/>
    </row>
    <row r="1424">
      <c r="A1424" s="89"/>
      <c r="B1424" s="90"/>
      <c r="C1424" s="89"/>
      <c r="D1424" s="84"/>
      <c r="E1424" s="83"/>
      <c r="F1424" s="84"/>
      <c r="G1424" s="84"/>
      <c r="H1424" s="84"/>
      <c r="I1424" s="91"/>
      <c r="J1424" s="85"/>
      <c r="K1424" s="85"/>
      <c r="L1424" s="84"/>
      <c r="M1424" s="85"/>
      <c r="N1424" s="93"/>
      <c r="O1424" s="93"/>
      <c r="P1424" s="82"/>
    </row>
    <row r="1425">
      <c r="A1425" s="89"/>
      <c r="B1425" s="90"/>
      <c r="C1425" s="89"/>
      <c r="D1425" s="84"/>
      <c r="E1425" s="83"/>
      <c r="F1425" s="84"/>
      <c r="G1425" s="84"/>
      <c r="H1425" s="84"/>
      <c r="I1425" s="91"/>
      <c r="J1425" s="85"/>
      <c r="K1425" s="85"/>
      <c r="L1425" s="84"/>
      <c r="M1425" s="85"/>
      <c r="N1425" s="93"/>
      <c r="O1425" s="93"/>
      <c r="P1425" s="82"/>
    </row>
    <row r="1426">
      <c r="A1426" s="89"/>
      <c r="B1426" s="90"/>
      <c r="C1426" s="89"/>
      <c r="D1426" s="84"/>
      <c r="E1426" s="83"/>
      <c r="F1426" s="84"/>
      <c r="G1426" s="84"/>
      <c r="H1426" s="84"/>
      <c r="I1426" s="91"/>
      <c r="J1426" s="85"/>
      <c r="K1426" s="85"/>
      <c r="L1426" s="84"/>
      <c r="M1426" s="85"/>
      <c r="N1426" s="93"/>
      <c r="O1426" s="93"/>
      <c r="P1426" s="82"/>
    </row>
    <row r="1427">
      <c r="A1427" s="89"/>
      <c r="B1427" s="90"/>
      <c r="C1427" s="89"/>
      <c r="D1427" s="84"/>
      <c r="E1427" s="83"/>
      <c r="F1427" s="84"/>
      <c r="G1427" s="84"/>
      <c r="H1427" s="84"/>
      <c r="I1427" s="91"/>
      <c r="J1427" s="85"/>
      <c r="K1427" s="85"/>
      <c r="L1427" s="84"/>
      <c r="M1427" s="85"/>
      <c r="N1427" s="93"/>
      <c r="O1427" s="93"/>
      <c r="P1427" s="82"/>
    </row>
    <row r="1428">
      <c r="A1428" s="89"/>
      <c r="B1428" s="90"/>
      <c r="C1428" s="89"/>
      <c r="D1428" s="84"/>
      <c r="E1428" s="83"/>
      <c r="F1428" s="84"/>
      <c r="G1428" s="84"/>
      <c r="H1428" s="84"/>
      <c r="I1428" s="91"/>
      <c r="J1428" s="85"/>
      <c r="K1428" s="85"/>
      <c r="L1428" s="84"/>
      <c r="M1428" s="85"/>
      <c r="N1428" s="93"/>
      <c r="O1428" s="93"/>
      <c r="P1428" s="82"/>
    </row>
    <row r="1429">
      <c r="A1429" s="89"/>
      <c r="B1429" s="90"/>
      <c r="C1429" s="89"/>
      <c r="D1429" s="84"/>
      <c r="E1429" s="83"/>
      <c r="F1429" s="84"/>
      <c r="G1429" s="84"/>
      <c r="H1429" s="84"/>
      <c r="I1429" s="91"/>
      <c r="J1429" s="85"/>
      <c r="K1429" s="85"/>
      <c r="L1429" s="84"/>
      <c r="M1429" s="85"/>
      <c r="N1429" s="93"/>
      <c r="O1429" s="93"/>
      <c r="P1429" s="82"/>
    </row>
    <row r="1430">
      <c r="A1430" s="89"/>
      <c r="B1430" s="90"/>
      <c r="C1430" s="89"/>
      <c r="D1430" s="84"/>
      <c r="E1430" s="83"/>
      <c r="F1430" s="84"/>
      <c r="G1430" s="84"/>
      <c r="H1430" s="84"/>
      <c r="I1430" s="91"/>
      <c r="J1430" s="85"/>
      <c r="K1430" s="85"/>
      <c r="L1430" s="84"/>
      <c r="M1430" s="85"/>
      <c r="N1430" s="93"/>
      <c r="O1430" s="93"/>
      <c r="P1430" s="82"/>
    </row>
    <row r="1431">
      <c r="A1431" s="89"/>
      <c r="B1431" s="90"/>
      <c r="C1431" s="89"/>
      <c r="D1431" s="84"/>
      <c r="E1431" s="83"/>
      <c r="F1431" s="84"/>
      <c r="G1431" s="84"/>
      <c r="H1431" s="84"/>
      <c r="I1431" s="91"/>
      <c r="J1431" s="85"/>
      <c r="K1431" s="85"/>
      <c r="L1431" s="84"/>
      <c r="M1431" s="85"/>
      <c r="N1431" s="93"/>
      <c r="O1431" s="93"/>
      <c r="P1431" s="82"/>
    </row>
    <row r="1432">
      <c r="A1432" s="89"/>
      <c r="B1432" s="90"/>
      <c r="C1432" s="89"/>
      <c r="D1432" s="84"/>
      <c r="E1432" s="83"/>
      <c r="F1432" s="84"/>
      <c r="G1432" s="84"/>
      <c r="H1432" s="84"/>
      <c r="I1432" s="91"/>
      <c r="J1432" s="85"/>
      <c r="K1432" s="85"/>
      <c r="L1432" s="84"/>
      <c r="M1432" s="85"/>
      <c r="N1432" s="93"/>
      <c r="O1432" s="93"/>
      <c r="P1432" s="82"/>
    </row>
    <row r="1433">
      <c r="A1433" s="89"/>
      <c r="B1433" s="90"/>
      <c r="C1433" s="89"/>
      <c r="D1433" s="84"/>
      <c r="E1433" s="83"/>
      <c r="F1433" s="84"/>
      <c r="G1433" s="84"/>
      <c r="H1433" s="84"/>
      <c r="I1433" s="91"/>
      <c r="J1433" s="85"/>
      <c r="K1433" s="85"/>
      <c r="L1433" s="84"/>
      <c r="M1433" s="85"/>
      <c r="N1433" s="93"/>
      <c r="O1433" s="93"/>
      <c r="P1433" s="82"/>
    </row>
    <row r="1434">
      <c r="A1434" s="89"/>
      <c r="B1434" s="90"/>
      <c r="C1434" s="89"/>
      <c r="D1434" s="84"/>
      <c r="E1434" s="83"/>
      <c r="F1434" s="84"/>
      <c r="G1434" s="84"/>
      <c r="H1434" s="84"/>
      <c r="I1434" s="91"/>
      <c r="J1434" s="85"/>
      <c r="K1434" s="85"/>
      <c r="L1434" s="84"/>
      <c r="M1434" s="85"/>
      <c r="N1434" s="93"/>
      <c r="O1434" s="93"/>
      <c r="P1434" s="82"/>
    </row>
    <row r="1435">
      <c r="A1435" s="89"/>
      <c r="B1435" s="90"/>
      <c r="C1435" s="89"/>
      <c r="D1435" s="84"/>
      <c r="E1435" s="83"/>
      <c r="F1435" s="84"/>
      <c r="G1435" s="84"/>
      <c r="H1435" s="84"/>
      <c r="I1435" s="91"/>
      <c r="J1435" s="85"/>
      <c r="K1435" s="85"/>
      <c r="L1435" s="84"/>
      <c r="M1435" s="85"/>
      <c r="N1435" s="93"/>
      <c r="O1435" s="93"/>
      <c r="P1435" s="82"/>
    </row>
    <row r="1436">
      <c r="A1436" s="89"/>
      <c r="B1436" s="90"/>
      <c r="C1436" s="89"/>
      <c r="D1436" s="84"/>
      <c r="E1436" s="83"/>
      <c r="F1436" s="84"/>
      <c r="G1436" s="84"/>
      <c r="H1436" s="84"/>
      <c r="I1436" s="91"/>
      <c r="J1436" s="85"/>
      <c r="K1436" s="85"/>
      <c r="L1436" s="84"/>
      <c r="M1436" s="85"/>
      <c r="N1436" s="93"/>
      <c r="O1436" s="93"/>
      <c r="P1436" s="82"/>
    </row>
    <row r="1437">
      <c r="A1437" s="89"/>
      <c r="B1437" s="90"/>
      <c r="C1437" s="89"/>
      <c r="D1437" s="84"/>
      <c r="E1437" s="83"/>
      <c r="F1437" s="84"/>
      <c r="G1437" s="84"/>
      <c r="H1437" s="84"/>
      <c r="I1437" s="91"/>
      <c r="J1437" s="85"/>
      <c r="K1437" s="85"/>
      <c r="L1437" s="84"/>
      <c r="M1437" s="85"/>
      <c r="N1437" s="93"/>
      <c r="O1437" s="93"/>
      <c r="P1437" s="82"/>
    </row>
    <row r="1438">
      <c r="A1438" s="89"/>
      <c r="B1438" s="90"/>
      <c r="C1438" s="89"/>
      <c r="D1438" s="84"/>
      <c r="E1438" s="83"/>
      <c r="F1438" s="84"/>
      <c r="G1438" s="84"/>
      <c r="H1438" s="84"/>
      <c r="I1438" s="91"/>
      <c r="J1438" s="85"/>
      <c r="K1438" s="85"/>
      <c r="L1438" s="84"/>
      <c r="M1438" s="85"/>
      <c r="N1438" s="93"/>
      <c r="O1438" s="93"/>
      <c r="P1438" s="82"/>
    </row>
    <row r="1439">
      <c r="A1439" s="89"/>
      <c r="B1439" s="90"/>
      <c r="C1439" s="89"/>
      <c r="D1439" s="84"/>
      <c r="E1439" s="83"/>
      <c r="F1439" s="84"/>
      <c r="G1439" s="84"/>
      <c r="H1439" s="84"/>
      <c r="I1439" s="91"/>
      <c r="J1439" s="85"/>
      <c r="K1439" s="85"/>
      <c r="L1439" s="84"/>
      <c r="M1439" s="85"/>
      <c r="N1439" s="93"/>
      <c r="O1439" s="93"/>
      <c r="P1439" s="82"/>
    </row>
    <row r="1440">
      <c r="A1440" s="89"/>
      <c r="B1440" s="90"/>
      <c r="C1440" s="89"/>
      <c r="D1440" s="84"/>
      <c r="E1440" s="83"/>
      <c r="F1440" s="84"/>
      <c r="G1440" s="84"/>
      <c r="H1440" s="84"/>
      <c r="I1440" s="91"/>
      <c r="J1440" s="85"/>
      <c r="K1440" s="85"/>
      <c r="L1440" s="84"/>
      <c r="M1440" s="85"/>
      <c r="N1440" s="93"/>
      <c r="O1440" s="93"/>
      <c r="P1440" s="82"/>
    </row>
    <row r="1441">
      <c r="A1441" s="89"/>
      <c r="B1441" s="90"/>
      <c r="C1441" s="89"/>
      <c r="D1441" s="84"/>
      <c r="E1441" s="83"/>
      <c r="F1441" s="84"/>
      <c r="G1441" s="84"/>
      <c r="H1441" s="84"/>
      <c r="I1441" s="91"/>
      <c r="J1441" s="85"/>
      <c r="K1441" s="85"/>
      <c r="L1441" s="84"/>
      <c r="M1441" s="85"/>
      <c r="N1441" s="93"/>
      <c r="O1441" s="93"/>
      <c r="P1441" s="82"/>
    </row>
    <row r="1442">
      <c r="A1442" s="89"/>
      <c r="B1442" s="90"/>
      <c r="C1442" s="89"/>
      <c r="D1442" s="84"/>
      <c r="E1442" s="83"/>
      <c r="F1442" s="84"/>
      <c r="G1442" s="84"/>
      <c r="H1442" s="84"/>
      <c r="I1442" s="91"/>
      <c r="J1442" s="85"/>
      <c r="K1442" s="85"/>
      <c r="L1442" s="84"/>
      <c r="M1442" s="85"/>
      <c r="N1442" s="93"/>
      <c r="O1442" s="93"/>
      <c r="P1442" s="82"/>
    </row>
    <row r="1443">
      <c r="A1443" s="89"/>
      <c r="B1443" s="90"/>
      <c r="C1443" s="89"/>
      <c r="D1443" s="84"/>
      <c r="E1443" s="83"/>
      <c r="F1443" s="84"/>
      <c r="G1443" s="84"/>
      <c r="H1443" s="84"/>
      <c r="I1443" s="91"/>
      <c r="J1443" s="85"/>
      <c r="K1443" s="85"/>
      <c r="L1443" s="84"/>
      <c r="M1443" s="85"/>
      <c r="N1443" s="93"/>
      <c r="O1443" s="93"/>
      <c r="P1443" s="82"/>
    </row>
    <row r="1444">
      <c r="A1444" s="89"/>
      <c r="B1444" s="90"/>
      <c r="C1444" s="89"/>
      <c r="D1444" s="84"/>
      <c r="E1444" s="83"/>
      <c r="F1444" s="84"/>
      <c r="G1444" s="84"/>
      <c r="H1444" s="84"/>
      <c r="I1444" s="91"/>
      <c r="J1444" s="85"/>
      <c r="K1444" s="85"/>
      <c r="L1444" s="84"/>
      <c r="M1444" s="85"/>
      <c r="N1444" s="93"/>
      <c r="O1444" s="93"/>
      <c r="P1444" s="82"/>
    </row>
    <row r="1445">
      <c r="A1445" s="89"/>
      <c r="B1445" s="90"/>
      <c r="C1445" s="89"/>
      <c r="D1445" s="84"/>
      <c r="E1445" s="83"/>
      <c r="F1445" s="84"/>
      <c r="G1445" s="84"/>
      <c r="H1445" s="84"/>
      <c r="I1445" s="91"/>
      <c r="J1445" s="85"/>
      <c r="K1445" s="85"/>
      <c r="L1445" s="84"/>
      <c r="M1445" s="85"/>
      <c r="N1445" s="93"/>
      <c r="O1445" s="93"/>
      <c r="P1445" s="82"/>
    </row>
    <row r="1446">
      <c r="A1446" s="89"/>
      <c r="B1446" s="90"/>
      <c r="C1446" s="89"/>
      <c r="D1446" s="84"/>
      <c r="E1446" s="83"/>
      <c r="F1446" s="84"/>
      <c r="G1446" s="84"/>
      <c r="H1446" s="84"/>
      <c r="I1446" s="91"/>
      <c r="J1446" s="85"/>
      <c r="K1446" s="85"/>
      <c r="L1446" s="84"/>
      <c r="M1446" s="85"/>
      <c r="N1446" s="93"/>
      <c r="O1446" s="93"/>
      <c r="P1446" s="82"/>
    </row>
    <row r="1447">
      <c r="A1447" s="89"/>
      <c r="B1447" s="90"/>
      <c r="C1447" s="89"/>
      <c r="D1447" s="84"/>
      <c r="E1447" s="83"/>
      <c r="F1447" s="84"/>
      <c r="G1447" s="84"/>
      <c r="H1447" s="84"/>
      <c r="I1447" s="91"/>
      <c r="J1447" s="85"/>
      <c r="K1447" s="85"/>
      <c r="L1447" s="84"/>
      <c r="M1447" s="85"/>
      <c r="N1447" s="93"/>
      <c r="O1447" s="93"/>
      <c r="P1447" s="82"/>
    </row>
    <row r="1448">
      <c r="A1448" s="89"/>
      <c r="B1448" s="90"/>
      <c r="C1448" s="89"/>
      <c r="D1448" s="84"/>
      <c r="E1448" s="83"/>
      <c r="F1448" s="84"/>
      <c r="G1448" s="84"/>
      <c r="H1448" s="84"/>
      <c r="I1448" s="91"/>
      <c r="J1448" s="85"/>
      <c r="K1448" s="85"/>
      <c r="L1448" s="84"/>
      <c r="M1448" s="85"/>
      <c r="N1448" s="93"/>
      <c r="O1448" s="93"/>
      <c r="P1448" s="82"/>
    </row>
    <row r="1449">
      <c r="A1449" s="89"/>
      <c r="B1449" s="90"/>
      <c r="C1449" s="89"/>
      <c r="D1449" s="84"/>
      <c r="E1449" s="83"/>
      <c r="F1449" s="84"/>
      <c r="G1449" s="84"/>
      <c r="H1449" s="84"/>
      <c r="I1449" s="91"/>
      <c r="J1449" s="85"/>
      <c r="K1449" s="85"/>
      <c r="L1449" s="84"/>
      <c r="M1449" s="85"/>
      <c r="N1449" s="93"/>
      <c r="O1449" s="93"/>
      <c r="P1449" s="82"/>
    </row>
    <row r="1450">
      <c r="A1450" s="89"/>
      <c r="B1450" s="90"/>
      <c r="C1450" s="89"/>
      <c r="D1450" s="84"/>
      <c r="E1450" s="83"/>
      <c r="F1450" s="84"/>
      <c r="G1450" s="84"/>
      <c r="H1450" s="84"/>
      <c r="I1450" s="91"/>
      <c r="J1450" s="85"/>
      <c r="K1450" s="85"/>
      <c r="L1450" s="84"/>
      <c r="M1450" s="85"/>
      <c r="N1450" s="93"/>
      <c r="O1450" s="93"/>
      <c r="P1450" s="82"/>
    </row>
    <row r="1451">
      <c r="A1451" s="89"/>
      <c r="B1451" s="90"/>
      <c r="C1451" s="89"/>
      <c r="D1451" s="84"/>
      <c r="E1451" s="83"/>
      <c r="F1451" s="84"/>
      <c r="G1451" s="84"/>
      <c r="H1451" s="84"/>
      <c r="I1451" s="91"/>
      <c r="J1451" s="85"/>
      <c r="K1451" s="85"/>
      <c r="L1451" s="84"/>
      <c r="M1451" s="85"/>
      <c r="N1451" s="93"/>
      <c r="O1451" s="93"/>
      <c r="P1451" s="82"/>
    </row>
    <row r="1452">
      <c r="A1452" s="89"/>
      <c r="B1452" s="90"/>
      <c r="C1452" s="89"/>
      <c r="D1452" s="84"/>
      <c r="E1452" s="83"/>
      <c r="F1452" s="84"/>
      <c r="G1452" s="84"/>
      <c r="H1452" s="84"/>
      <c r="I1452" s="91"/>
      <c r="J1452" s="85"/>
      <c r="K1452" s="85"/>
      <c r="L1452" s="84"/>
      <c r="M1452" s="85"/>
      <c r="N1452" s="93"/>
      <c r="O1452" s="93"/>
      <c r="P1452" s="82"/>
    </row>
    <row r="1453">
      <c r="A1453" s="89"/>
      <c r="B1453" s="90"/>
      <c r="C1453" s="89"/>
      <c r="D1453" s="84"/>
      <c r="E1453" s="83"/>
      <c r="F1453" s="84"/>
      <c r="G1453" s="84"/>
      <c r="H1453" s="84"/>
      <c r="I1453" s="91"/>
      <c r="J1453" s="85"/>
      <c r="K1453" s="85"/>
      <c r="L1453" s="84"/>
      <c r="M1453" s="85"/>
      <c r="N1453" s="93"/>
      <c r="O1453" s="93"/>
      <c r="P1453" s="82"/>
    </row>
    <row r="1454">
      <c r="A1454" s="89"/>
      <c r="B1454" s="90"/>
      <c r="C1454" s="89"/>
      <c r="D1454" s="84"/>
      <c r="E1454" s="83"/>
      <c r="F1454" s="84"/>
      <c r="G1454" s="84"/>
      <c r="H1454" s="84"/>
      <c r="I1454" s="91"/>
      <c r="J1454" s="85"/>
      <c r="K1454" s="85"/>
      <c r="L1454" s="84"/>
      <c r="M1454" s="85"/>
      <c r="N1454" s="93"/>
      <c r="O1454" s="93"/>
      <c r="P1454" s="82"/>
    </row>
    <row r="1455">
      <c r="A1455" s="89"/>
      <c r="B1455" s="90"/>
      <c r="C1455" s="89"/>
      <c r="D1455" s="84"/>
      <c r="E1455" s="83"/>
      <c r="F1455" s="84"/>
      <c r="G1455" s="84"/>
      <c r="H1455" s="84"/>
      <c r="I1455" s="91"/>
      <c r="J1455" s="85"/>
      <c r="K1455" s="85"/>
      <c r="L1455" s="84"/>
      <c r="M1455" s="85"/>
      <c r="N1455" s="93"/>
      <c r="O1455" s="93"/>
      <c r="P1455" s="82"/>
    </row>
    <row r="1456">
      <c r="A1456" s="89"/>
      <c r="B1456" s="90"/>
      <c r="C1456" s="89"/>
      <c r="D1456" s="84"/>
      <c r="E1456" s="83"/>
      <c r="F1456" s="84"/>
      <c r="G1456" s="84"/>
      <c r="H1456" s="84"/>
      <c r="I1456" s="91"/>
      <c r="J1456" s="85"/>
      <c r="K1456" s="85"/>
      <c r="L1456" s="84"/>
      <c r="M1456" s="85"/>
      <c r="N1456" s="93"/>
      <c r="O1456" s="93"/>
      <c r="P1456" s="82"/>
    </row>
    <row r="1457">
      <c r="A1457" s="89"/>
      <c r="B1457" s="90"/>
      <c r="C1457" s="89"/>
      <c r="D1457" s="84"/>
      <c r="E1457" s="83"/>
      <c r="F1457" s="84"/>
      <c r="G1457" s="84"/>
      <c r="H1457" s="84"/>
      <c r="I1457" s="91"/>
      <c r="J1457" s="85"/>
      <c r="K1457" s="85"/>
      <c r="L1457" s="84"/>
      <c r="M1457" s="85"/>
      <c r="N1457" s="93"/>
      <c r="O1457" s="93"/>
      <c r="P1457" s="82"/>
    </row>
    <row r="1458">
      <c r="A1458" s="89"/>
      <c r="B1458" s="90"/>
      <c r="C1458" s="89"/>
      <c r="D1458" s="84"/>
      <c r="E1458" s="83"/>
      <c r="F1458" s="84"/>
      <c r="G1458" s="84"/>
      <c r="H1458" s="84"/>
      <c r="I1458" s="91"/>
      <c r="J1458" s="85"/>
      <c r="K1458" s="85"/>
      <c r="L1458" s="84"/>
      <c r="M1458" s="85"/>
      <c r="N1458" s="93"/>
      <c r="O1458" s="93"/>
      <c r="P1458" s="82"/>
    </row>
    <row r="1459">
      <c r="A1459" s="89"/>
      <c r="B1459" s="90"/>
      <c r="C1459" s="89"/>
      <c r="D1459" s="84"/>
      <c r="E1459" s="83"/>
      <c r="F1459" s="84"/>
      <c r="G1459" s="84"/>
      <c r="H1459" s="84"/>
      <c r="I1459" s="91"/>
      <c r="J1459" s="85"/>
      <c r="K1459" s="85"/>
      <c r="L1459" s="84"/>
      <c r="M1459" s="85"/>
      <c r="N1459" s="93"/>
      <c r="O1459" s="93"/>
      <c r="P1459" s="82"/>
    </row>
    <row r="1460">
      <c r="A1460" s="89"/>
      <c r="B1460" s="90"/>
      <c r="C1460" s="89"/>
      <c r="D1460" s="84"/>
      <c r="E1460" s="83"/>
      <c r="F1460" s="84"/>
      <c r="G1460" s="84"/>
      <c r="H1460" s="84"/>
      <c r="I1460" s="91"/>
      <c r="J1460" s="85"/>
      <c r="K1460" s="85"/>
      <c r="L1460" s="84"/>
      <c r="M1460" s="85"/>
      <c r="N1460" s="93"/>
      <c r="O1460" s="93"/>
      <c r="P1460" s="82"/>
    </row>
    <row r="1461">
      <c r="A1461" s="89"/>
      <c r="B1461" s="90"/>
      <c r="C1461" s="89"/>
      <c r="D1461" s="84"/>
      <c r="E1461" s="83"/>
      <c r="F1461" s="84"/>
      <c r="G1461" s="84"/>
      <c r="H1461" s="84"/>
      <c r="I1461" s="91"/>
      <c r="J1461" s="85"/>
      <c r="K1461" s="85"/>
      <c r="L1461" s="84"/>
      <c r="M1461" s="85"/>
      <c r="N1461" s="93"/>
      <c r="O1461" s="93"/>
      <c r="P1461" s="82"/>
    </row>
    <row r="1462">
      <c r="A1462" s="89"/>
      <c r="B1462" s="90"/>
      <c r="C1462" s="89"/>
      <c r="D1462" s="84"/>
      <c r="E1462" s="83"/>
      <c r="F1462" s="84"/>
      <c r="G1462" s="84"/>
      <c r="H1462" s="84"/>
      <c r="I1462" s="91"/>
      <c r="J1462" s="85"/>
      <c r="K1462" s="85"/>
      <c r="L1462" s="84"/>
      <c r="M1462" s="85"/>
      <c r="N1462" s="93"/>
      <c r="O1462" s="93"/>
      <c r="P1462" s="82"/>
    </row>
    <row r="1463">
      <c r="A1463" s="89"/>
      <c r="B1463" s="90"/>
      <c r="C1463" s="89"/>
      <c r="D1463" s="84"/>
      <c r="E1463" s="83"/>
      <c r="F1463" s="84"/>
      <c r="G1463" s="84"/>
      <c r="H1463" s="84"/>
      <c r="I1463" s="91"/>
      <c r="J1463" s="85"/>
      <c r="K1463" s="85"/>
      <c r="L1463" s="84"/>
      <c r="M1463" s="85"/>
      <c r="N1463" s="93"/>
      <c r="O1463" s="93"/>
      <c r="P1463" s="82"/>
    </row>
    <row r="1464">
      <c r="A1464" s="89"/>
      <c r="B1464" s="90"/>
      <c r="C1464" s="89"/>
      <c r="D1464" s="84"/>
      <c r="E1464" s="83"/>
      <c r="F1464" s="84"/>
      <c r="G1464" s="84"/>
      <c r="H1464" s="84"/>
      <c r="I1464" s="91"/>
      <c r="J1464" s="85"/>
      <c r="K1464" s="85"/>
      <c r="L1464" s="84"/>
      <c r="M1464" s="85"/>
      <c r="N1464" s="93"/>
      <c r="O1464" s="93"/>
      <c r="P1464" s="82"/>
    </row>
    <row r="1465">
      <c r="A1465" s="89"/>
      <c r="B1465" s="90"/>
      <c r="C1465" s="89"/>
      <c r="D1465" s="84"/>
      <c r="E1465" s="83"/>
      <c r="F1465" s="84"/>
      <c r="G1465" s="84"/>
      <c r="H1465" s="84"/>
      <c r="I1465" s="91"/>
      <c r="J1465" s="85"/>
      <c r="K1465" s="85"/>
      <c r="L1465" s="84"/>
      <c r="M1465" s="85"/>
      <c r="N1465" s="93"/>
      <c r="O1465" s="93"/>
      <c r="P1465" s="82"/>
    </row>
    <row r="1466">
      <c r="A1466" s="89"/>
      <c r="B1466" s="90"/>
      <c r="C1466" s="89"/>
      <c r="D1466" s="84"/>
      <c r="E1466" s="83"/>
      <c r="F1466" s="84"/>
      <c r="G1466" s="84"/>
      <c r="H1466" s="84"/>
      <c r="I1466" s="91"/>
      <c r="J1466" s="85"/>
      <c r="K1466" s="85"/>
      <c r="L1466" s="84"/>
      <c r="M1466" s="85"/>
      <c r="N1466" s="93"/>
      <c r="O1466" s="93"/>
      <c r="P1466" s="82"/>
    </row>
    <row r="1467">
      <c r="A1467" s="89"/>
      <c r="B1467" s="90"/>
      <c r="C1467" s="89"/>
      <c r="D1467" s="84"/>
      <c r="E1467" s="83"/>
      <c r="F1467" s="84"/>
      <c r="G1467" s="84"/>
      <c r="H1467" s="84"/>
      <c r="I1467" s="91"/>
      <c r="J1467" s="85"/>
      <c r="K1467" s="85"/>
      <c r="L1467" s="84"/>
      <c r="M1467" s="85"/>
      <c r="N1467" s="93"/>
      <c r="O1467" s="93"/>
      <c r="P1467" s="82"/>
    </row>
    <row r="1468">
      <c r="A1468" s="89"/>
      <c r="B1468" s="90"/>
      <c r="C1468" s="89"/>
      <c r="D1468" s="84"/>
      <c r="E1468" s="83"/>
      <c r="F1468" s="84"/>
      <c r="G1468" s="84"/>
      <c r="H1468" s="84"/>
      <c r="I1468" s="91"/>
      <c r="J1468" s="85"/>
      <c r="K1468" s="85"/>
      <c r="L1468" s="84"/>
      <c r="M1468" s="85"/>
      <c r="N1468" s="93"/>
      <c r="O1468" s="93"/>
      <c r="P1468" s="82"/>
    </row>
    <row r="1469">
      <c r="A1469" s="89"/>
      <c r="B1469" s="90"/>
      <c r="C1469" s="89"/>
      <c r="D1469" s="84"/>
      <c r="E1469" s="83"/>
      <c r="F1469" s="84"/>
      <c r="G1469" s="84"/>
      <c r="H1469" s="84"/>
      <c r="I1469" s="91"/>
      <c r="J1469" s="85"/>
      <c r="K1469" s="85"/>
      <c r="L1469" s="84"/>
      <c r="M1469" s="85"/>
      <c r="N1469" s="93"/>
      <c r="O1469" s="93"/>
      <c r="P1469" s="82"/>
    </row>
    <row r="1470">
      <c r="A1470" s="89"/>
      <c r="B1470" s="90"/>
      <c r="C1470" s="89"/>
      <c r="D1470" s="84"/>
      <c r="E1470" s="83"/>
      <c r="F1470" s="84"/>
      <c r="G1470" s="84"/>
      <c r="H1470" s="84"/>
      <c r="I1470" s="91"/>
      <c r="J1470" s="85"/>
      <c r="K1470" s="85"/>
      <c r="L1470" s="84"/>
      <c r="M1470" s="85"/>
      <c r="N1470" s="93"/>
      <c r="O1470" s="93"/>
      <c r="P1470" s="82"/>
    </row>
    <row r="1471">
      <c r="A1471" s="89"/>
      <c r="B1471" s="90"/>
      <c r="C1471" s="89"/>
      <c r="D1471" s="84"/>
      <c r="E1471" s="83"/>
      <c r="F1471" s="84"/>
      <c r="G1471" s="84"/>
      <c r="H1471" s="84"/>
      <c r="I1471" s="91"/>
      <c r="J1471" s="85"/>
      <c r="K1471" s="85"/>
      <c r="L1471" s="84"/>
      <c r="M1471" s="85"/>
      <c r="N1471" s="93"/>
      <c r="O1471" s="93"/>
      <c r="P1471" s="82"/>
    </row>
    <row r="1472">
      <c r="A1472" s="89"/>
      <c r="B1472" s="90"/>
      <c r="C1472" s="89"/>
      <c r="D1472" s="84"/>
      <c r="E1472" s="83"/>
      <c r="F1472" s="84"/>
      <c r="G1472" s="84"/>
      <c r="H1472" s="84"/>
      <c r="I1472" s="91"/>
      <c r="J1472" s="85"/>
      <c r="K1472" s="85"/>
      <c r="L1472" s="84"/>
      <c r="M1472" s="85"/>
      <c r="N1472" s="93"/>
      <c r="O1472" s="93"/>
      <c r="P1472" s="82"/>
    </row>
    <row r="1473">
      <c r="A1473" s="89"/>
      <c r="B1473" s="90"/>
      <c r="C1473" s="89"/>
      <c r="D1473" s="84"/>
      <c r="E1473" s="83"/>
      <c r="F1473" s="84"/>
      <c r="G1473" s="84"/>
      <c r="H1473" s="84"/>
      <c r="I1473" s="91"/>
      <c r="J1473" s="85"/>
      <c r="K1473" s="85"/>
      <c r="L1473" s="84"/>
      <c r="M1473" s="85"/>
      <c r="N1473" s="93"/>
      <c r="O1473" s="93"/>
      <c r="P1473" s="82"/>
    </row>
    <row r="1474">
      <c r="A1474" s="89"/>
      <c r="B1474" s="90"/>
      <c r="C1474" s="89"/>
      <c r="D1474" s="84"/>
      <c r="E1474" s="83"/>
      <c r="F1474" s="84"/>
      <c r="G1474" s="84"/>
      <c r="H1474" s="84"/>
      <c r="I1474" s="91"/>
      <c r="J1474" s="85"/>
      <c r="K1474" s="85"/>
      <c r="L1474" s="84"/>
      <c r="M1474" s="85"/>
      <c r="N1474" s="93"/>
      <c r="O1474" s="93"/>
      <c r="P1474" s="82"/>
    </row>
    <row r="1475">
      <c r="A1475" s="89"/>
      <c r="B1475" s="90"/>
      <c r="C1475" s="89"/>
      <c r="D1475" s="84"/>
      <c r="E1475" s="83"/>
      <c r="F1475" s="84"/>
      <c r="G1475" s="84"/>
      <c r="H1475" s="84"/>
      <c r="I1475" s="91"/>
      <c r="J1475" s="85"/>
      <c r="K1475" s="85"/>
      <c r="L1475" s="84"/>
      <c r="M1475" s="85"/>
      <c r="N1475" s="93"/>
      <c r="O1475" s="93"/>
      <c r="P1475" s="82"/>
    </row>
    <row r="1476">
      <c r="A1476" s="89"/>
      <c r="B1476" s="90"/>
      <c r="C1476" s="89"/>
      <c r="D1476" s="84"/>
      <c r="E1476" s="83"/>
      <c r="F1476" s="84"/>
      <c r="G1476" s="84"/>
      <c r="H1476" s="84"/>
      <c r="I1476" s="91"/>
      <c r="J1476" s="85"/>
      <c r="K1476" s="85"/>
      <c r="L1476" s="84"/>
      <c r="M1476" s="85"/>
      <c r="N1476" s="93"/>
      <c r="O1476" s="93"/>
      <c r="P1476" s="82"/>
    </row>
    <row r="1477">
      <c r="A1477" s="89"/>
      <c r="B1477" s="90"/>
      <c r="C1477" s="89"/>
      <c r="D1477" s="84"/>
      <c r="E1477" s="83"/>
      <c r="F1477" s="84"/>
      <c r="G1477" s="84"/>
      <c r="H1477" s="84"/>
      <c r="I1477" s="91"/>
      <c r="J1477" s="85"/>
      <c r="K1477" s="85"/>
      <c r="L1477" s="84"/>
      <c r="M1477" s="85"/>
      <c r="N1477" s="93"/>
      <c r="O1477" s="93"/>
      <c r="P1477" s="82"/>
    </row>
    <row r="1478">
      <c r="A1478" s="89"/>
      <c r="B1478" s="90"/>
      <c r="C1478" s="89"/>
      <c r="D1478" s="84"/>
      <c r="E1478" s="83"/>
      <c r="F1478" s="84"/>
      <c r="G1478" s="84"/>
      <c r="H1478" s="84"/>
      <c r="I1478" s="91"/>
      <c r="J1478" s="85"/>
      <c r="K1478" s="85"/>
      <c r="L1478" s="84"/>
      <c r="M1478" s="85"/>
      <c r="N1478" s="93"/>
      <c r="O1478" s="93"/>
      <c r="P1478" s="82"/>
    </row>
    <row r="1479">
      <c r="A1479" s="89"/>
      <c r="B1479" s="90"/>
      <c r="C1479" s="89"/>
      <c r="D1479" s="84"/>
      <c r="E1479" s="83"/>
      <c r="F1479" s="84"/>
      <c r="G1479" s="84"/>
      <c r="H1479" s="84"/>
      <c r="I1479" s="91"/>
      <c r="J1479" s="85"/>
      <c r="K1479" s="85"/>
      <c r="L1479" s="84"/>
      <c r="M1479" s="85"/>
      <c r="N1479" s="93"/>
      <c r="O1479" s="93"/>
      <c r="P1479" s="82"/>
    </row>
    <row r="1480">
      <c r="A1480" s="89"/>
      <c r="B1480" s="90"/>
      <c r="C1480" s="89"/>
      <c r="D1480" s="84"/>
      <c r="E1480" s="83"/>
      <c r="F1480" s="84"/>
      <c r="G1480" s="84"/>
      <c r="H1480" s="84"/>
      <c r="I1480" s="91"/>
      <c r="J1480" s="85"/>
      <c r="K1480" s="85"/>
      <c r="L1480" s="84"/>
      <c r="M1480" s="85"/>
      <c r="N1480" s="93"/>
      <c r="O1480" s="93"/>
      <c r="P1480" s="82"/>
    </row>
    <row r="1481">
      <c r="A1481" s="89"/>
      <c r="B1481" s="90"/>
      <c r="C1481" s="89"/>
      <c r="D1481" s="84"/>
      <c r="E1481" s="83"/>
      <c r="F1481" s="84"/>
      <c r="G1481" s="84"/>
      <c r="H1481" s="84"/>
      <c r="I1481" s="91"/>
      <c r="J1481" s="85"/>
      <c r="K1481" s="85"/>
      <c r="L1481" s="84"/>
      <c r="M1481" s="85"/>
      <c r="N1481" s="93"/>
      <c r="O1481" s="93"/>
      <c r="P1481" s="82"/>
    </row>
    <row r="1482">
      <c r="A1482" s="89"/>
      <c r="B1482" s="90"/>
      <c r="C1482" s="89"/>
      <c r="D1482" s="84"/>
      <c r="E1482" s="83"/>
      <c r="F1482" s="84"/>
      <c r="G1482" s="84"/>
      <c r="H1482" s="84"/>
      <c r="I1482" s="91"/>
      <c r="J1482" s="85"/>
      <c r="K1482" s="85"/>
      <c r="L1482" s="84"/>
      <c r="M1482" s="85"/>
      <c r="N1482" s="93"/>
      <c r="O1482" s="93"/>
      <c r="P1482" s="82"/>
    </row>
    <row r="1483">
      <c r="A1483" s="89"/>
      <c r="B1483" s="90"/>
      <c r="C1483" s="89"/>
      <c r="D1483" s="84"/>
      <c r="E1483" s="83"/>
      <c r="F1483" s="84"/>
      <c r="G1483" s="84"/>
      <c r="H1483" s="84"/>
      <c r="I1483" s="91"/>
      <c r="J1483" s="85"/>
      <c r="K1483" s="85"/>
      <c r="L1483" s="84"/>
      <c r="M1483" s="85"/>
      <c r="N1483" s="93"/>
      <c r="O1483" s="93"/>
      <c r="P1483" s="82"/>
    </row>
    <row r="1484">
      <c r="A1484" s="89"/>
      <c r="B1484" s="90"/>
      <c r="C1484" s="89"/>
      <c r="D1484" s="84"/>
      <c r="E1484" s="83"/>
      <c r="F1484" s="84"/>
      <c r="G1484" s="84"/>
      <c r="H1484" s="84"/>
      <c r="I1484" s="91"/>
      <c r="J1484" s="85"/>
      <c r="K1484" s="85"/>
      <c r="L1484" s="84"/>
      <c r="M1484" s="85"/>
      <c r="N1484" s="93"/>
      <c r="O1484" s="93"/>
      <c r="P1484" s="82"/>
    </row>
    <row r="1485">
      <c r="A1485" s="89"/>
      <c r="B1485" s="90"/>
      <c r="C1485" s="89"/>
      <c r="D1485" s="84"/>
      <c r="E1485" s="83"/>
      <c r="F1485" s="84"/>
      <c r="G1485" s="84"/>
      <c r="H1485" s="84"/>
      <c r="I1485" s="91"/>
      <c r="J1485" s="85"/>
      <c r="K1485" s="85"/>
      <c r="L1485" s="84"/>
      <c r="M1485" s="85"/>
      <c r="N1485" s="93"/>
      <c r="O1485" s="93"/>
      <c r="P1485" s="82"/>
    </row>
    <row r="1486">
      <c r="A1486" s="89"/>
      <c r="B1486" s="90"/>
      <c r="C1486" s="89"/>
      <c r="D1486" s="84"/>
      <c r="E1486" s="83"/>
      <c r="F1486" s="84"/>
      <c r="G1486" s="84"/>
      <c r="H1486" s="84"/>
      <c r="I1486" s="91"/>
      <c r="J1486" s="85"/>
      <c r="K1486" s="85"/>
      <c r="L1486" s="84"/>
      <c r="M1486" s="85"/>
      <c r="N1486" s="93"/>
      <c r="O1486" s="93"/>
      <c r="P1486" s="82"/>
    </row>
    <row r="1487">
      <c r="A1487" s="89"/>
      <c r="B1487" s="90"/>
      <c r="C1487" s="89"/>
      <c r="D1487" s="84"/>
      <c r="E1487" s="83"/>
      <c r="F1487" s="84"/>
      <c r="G1487" s="84"/>
      <c r="H1487" s="84"/>
      <c r="I1487" s="91"/>
      <c r="J1487" s="85"/>
      <c r="K1487" s="85"/>
      <c r="L1487" s="84"/>
      <c r="M1487" s="85"/>
      <c r="N1487" s="93"/>
      <c r="O1487" s="93"/>
      <c r="P1487" s="82"/>
    </row>
    <row r="1488">
      <c r="A1488" s="89"/>
      <c r="B1488" s="90"/>
      <c r="C1488" s="89"/>
      <c r="D1488" s="84"/>
      <c r="E1488" s="83"/>
      <c r="F1488" s="84"/>
      <c r="G1488" s="84"/>
      <c r="H1488" s="84"/>
      <c r="I1488" s="91"/>
      <c r="J1488" s="85"/>
      <c r="K1488" s="85"/>
      <c r="L1488" s="84"/>
      <c r="M1488" s="85"/>
      <c r="N1488" s="93"/>
      <c r="O1488" s="93"/>
      <c r="P1488" s="82"/>
    </row>
    <row r="1489">
      <c r="A1489" s="89"/>
      <c r="B1489" s="90"/>
      <c r="C1489" s="89"/>
      <c r="D1489" s="84"/>
      <c r="E1489" s="83"/>
      <c r="F1489" s="84"/>
      <c r="G1489" s="84"/>
      <c r="H1489" s="84"/>
      <c r="I1489" s="91"/>
      <c r="J1489" s="85"/>
      <c r="K1489" s="85"/>
      <c r="L1489" s="84"/>
      <c r="M1489" s="85"/>
      <c r="N1489" s="93"/>
      <c r="O1489" s="93"/>
      <c r="P1489" s="82"/>
    </row>
    <row r="1490">
      <c r="A1490" s="89"/>
      <c r="B1490" s="90"/>
      <c r="C1490" s="89"/>
      <c r="D1490" s="84"/>
      <c r="E1490" s="83"/>
      <c r="F1490" s="84"/>
      <c r="G1490" s="84"/>
      <c r="H1490" s="84"/>
      <c r="I1490" s="91"/>
      <c r="J1490" s="85"/>
      <c r="K1490" s="85"/>
      <c r="L1490" s="84"/>
      <c r="M1490" s="85"/>
      <c r="N1490" s="93"/>
      <c r="O1490" s="93"/>
      <c r="P1490" s="82"/>
    </row>
    <row r="1491">
      <c r="A1491" s="89"/>
      <c r="B1491" s="90"/>
      <c r="C1491" s="89"/>
      <c r="D1491" s="84"/>
      <c r="E1491" s="83"/>
      <c r="F1491" s="84"/>
      <c r="G1491" s="84"/>
      <c r="H1491" s="84"/>
      <c r="I1491" s="91"/>
      <c r="J1491" s="85"/>
      <c r="K1491" s="85"/>
      <c r="L1491" s="84"/>
      <c r="M1491" s="85"/>
      <c r="N1491" s="93"/>
      <c r="O1491" s="93"/>
      <c r="P1491" s="82"/>
    </row>
    <row r="1492">
      <c r="A1492" s="89"/>
      <c r="B1492" s="90"/>
      <c r="C1492" s="89"/>
      <c r="D1492" s="84"/>
      <c r="E1492" s="83"/>
      <c r="F1492" s="84"/>
      <c r="G1492" s="84"/>
      <c r="H1492" s="84"/>
      <c r="I1492" s="91"/>
      <c r="J1492" s="85"/>
      <c r="K1492" s="85"/>
      <c r="L1492" s="84"/>
      <c r="M1492" s="85"/>
      <c r="N1492" s="93"/>
      <c r="O1492" s="93"/>
      <c r="P1492" s="82"/>
    </row>
    <row r="1493">
      <c r="A1493" s="89"/>
      <c r="B1493" s="90"/>
      <c r="C1493" s="89"/>
      <c r="D1493" s="84"/>
      <c r="E1493" s="83"/>
      <c r="F1493" s="84"/>
      <c r="G1493" s="84"/>
      <c r="H1493" s="84"/>
      <c r="I1493" s="91"/>
      <c r="J1493" s="85"/>
      <c r="K1493" s="85"/>
      <c r="L1493" s="84"/>
      <c r="M1493" s="85"/>
      <c r="N1493" s="93"/>
      <c r="O1493" s="93"/>
      <c r="P1493" s="82"/>
    </row>
    <row r="1494">
      <c r="A1494" s="89"/>
      <c r="B1494" s="90"/>
      <c r="C1494" s="89"/>
      <c r="D1494" s="84"/>
      <c r="E1494" s="83"/>
      <c r="F1494" s="84"/>
      <c r="G1494" s="84"/>
      <c r="H1494" s="84"/>
      <c r="I1494" s="91"/>
      <c r="J1494" s="85"/>
      <c r="K1494" s="85"/>
      <c r="L1494" s="84"/>
      <c r="M1494" s="85"/>
      <c r="N1494" s="93"/>
      <c r="O1494" s="93"/>
      <c r="P1494" s="82"/>
    </row>
    <row r="1495">
      <c r="A1495" s="89"/>
      <c r="B1495" s="90"/>
      <c r="C1495" s="89"/>
      <c r="D1495" s="84"/>
      <c r="E1495" s="83"/>
      <c r="F1495" s="84"/>
      <c r="G1495" s="84"/>
      <c r="H1495" s="84"/>
      <c r="I1495" s="91"/>
      <c r="J1495" s="85"/>
      <c r="K1495" s="85"/>
      <c r="L1495" s="84"/>
      <c r="M1495" s="85"/>
      <c r="N1495" s="93"/>
      <c r="O1495" s="93"/>
      <c r="P1495" s="82"/>
    </row>
    <row r="1496">
      <c r="A1496" s="89"/>
      <c r="B1496" s="90"/>
      <c r="C1496" s="89"/>
      <c r="D1496" s="84"/>
      <c r="E1496" s="83"/>
      <c r="F1496" s="84"/>
      <c r="G1496" s="84"/>
      <c r="H1496" s="84"/>
      <c r="I1496" s="91"/>
      <c r="J1496" s="85"/>
      <c r="K1496" s="85"/>
      <c r="L1496" s="84"/>
      <c r="M1496" s="85"/>
      <c r="N1496" s="93"/>
      <c r="O1496" s="93"/>
      <c r="P1496" s="82"/>
    </row>
    <row r="1497">
      <c r="A1497" s="89"/>
      <c r="B1497" s="90"/>
      <c r="C1497" s="89"/>
      <c r="D1497" s="84"/>
      <c r="E1497" s="83"/>
      <c r="F1497" s="84"/>
      <c r="G1497" s="84"/>
      <c r="H1497" s="84"/>
      <c r="I1497" s="91"/>
      <c r="J1497" s="85"/>
      <c r="K1497" s="85"/>
      <c r="L1497" s="84"/>
      <c r="M1497" s="85"/>
      <c r="N1497" s="93"/>
      <c r="O1497" s="93"/>
      <c r="P1497" s="82"/>
    </row>
    <row r="1498">
      <c r="A1498" s="89"/>
      <c r="B1498" s="90"/>
      <c r="C1498" s="89"/>
      <c r="D1498" s="84"/>
      <c r="E1498" s="83"/>
      <c r="F1498" s="84"/>
      <c r="G1498" s="84"/>
      <c r="H1498" s="84"/>
      <c r="I1498" s="91"/>
      <c r="J1498" s="85"/>
      <c r="K1498" s="85"/>
      <c r="L1498" s="84"/>
      <c r="M1498" s="85"/>
      <c r="N1498" s="93"/>
      <c r="O1498" s="93"/>
      <c r="P1498" s="82"/>
    </row>
    <row r="1499">
      <c r="A1499" s="89"/>
      <c r="B1499" s="90"/>
      <c r="C1499" s="89"/>
      <c r="D1499" s="84"/>
      <c r="E1499" s="83"/>
      <c r="F1499" s="84"/>
      <c r="G1499" s="84"/>
      <c r="H1499" s="84"/>
      <c r="I1499" s="91"/>
      <c r="J1499" s="85"/>
      <c r="K1499" s="85"/>
      <c r="L1499" s="84"/>
      <c r="M1499" s="85"/>
      <c r="N1499" s="93"/>
      <c r="O1499" s="93"/>
      <c r="P1499" s="82"/>
    </row>
    <row r="1500">
      <c r="A1500" s="89"/>
      <c r="B1500" s="90"/>
      <c r="C1500" s="89"/>
      <c r="D1500" s="84"/>
      <c r="E1500" s="83"/>
      <c r="F1500" s="84"/>
      <c r="G1500" s="84"/>
      <c r="H1500" s="84"/>
      <c r="I1500" s="91"/>
      <c r="J1500" s="85"/>
      <c r="K1500" s="85"/>
      <c r="L1500" s="84"/>
      <c r="M1500" s="85"/>
      <c r="N1500" s="93"/>
      <c r="O1500" s="93"/>
      <c r="P1500" s="82"/>
    </row>
    <row r="1501">
      <c r="A1501" s="89"/>
      <c r="B1501" s="90"/>
      <c r="C1501" s="89"/>
      <c r="D1501" s="84"/>
      <c r="E1501" s="83"/>
      <c r="F1501" s="84"/>
      <c r="G1501" s="84"/>
      <c r="H1501" s="84"/>
      <c r="I1501" s="91"/>
      <c r="J1501" s="85"/>
      <c r="K1501" s="85"/>
      <c r="L1501" s="84"/>
      <c r="M1501" s="85"/>
      <c r="N1501" s="93"/>
      <c r="O1501" s="93"/>
      <c r="P1501" s="82"/>
    </row>
    <row r="1502">
      <c r="A1502" s="89"/>
      <c r="B1502" s="90"/>
      <c r="C1502" s="89"/>
      <c r="D1502" s="84"/>
      <c r="E1502" s="83"/>
      <c r="F1502" s="84"/>
      <c r="G1502" s="84"/>
      <c r="H1502" s="84"/>
      <c r="I1502" s="91"/>
      <c r="J1502" s="85"/>
      <c r="K1502" s="85"/>
      <c r="L1502" s="84"/>
      <c r="M1502" s="85"/>
      <c r="N1502" s="93"/>
      <c r="O1502" s="93"/>
      <c r="P1502" s="82"/>
    </row>
    <row r="1503">
      <c r="A1503" s="89"/>
      <c r="B1503" s="90"/>
      <c r="C1503" s="89"/>
      <c r="D1503" s="84"/>
      <c r="E1503" s="83"/>
      <c r="F1503" s="84"/>
      <c r="G1503" s="84"/>
      <c r="H1503" s="84"/>
      <c r="I1503" s="91"/>
      <c r="J1503" s="85"/>
      <c r="K1503" s="85"/>
      <c r="L1503" s="84"/>
      <c r="M1503" s="85"/>
      <c r="N1503" s="93"/>
      <c r="O1503" s="93"/>
      <c r="P1503" s="82"/>
    </row>
    <row r="1504">
      <c r="A1504" s="89"/>
      <c r="B1504" s="90"/>
      <c r="C1504" s="89"/>
      <c r="D1504" s="84"/>
      <c r="E1504" s="83"/>
      <c r="F1504" s="84"/>
      <c r="G1504" s="84"/>
      <c r="H1504" s="84"/>
      <c r="I1504" s="91"/>
      <c r="J1504" s="85"/>
      <c r="K1504" s="85"/>
      <c r="L1504" s="84"/>
      <c r="M1504" s="85"/>
      <c r="N1504" s="93"/>
      <c r="O1504" s="93"/>
      <c r="P1504" s="82"/>
    </row>
    <row r="1505">
      <c r="A1505" s="89"/>
      <c r="B1505" s="90"/>
      <c r="C1505" s="89"/>
      <c r="D1505" s="84"/>
      <c r="E1505" s="83"/>
      <c r="F1505" s="84"/>
      <c r="G1505" s="84"/>
      <c r="H1505" s="84"/>
      <c r="I1505" s="91"/>
      <c r="J1505" s="85"/>
      <c r="K1505" s="85"/>
      <c r="L1505" s="84"/>
      <c r="M1505" s="85"/>
      <c r="N1505" s="93"/>
      <c r="O1505" s="93"/>
      <c r="P1505" s="82"/>
    </row>
    <row r="1506">
      <c r="A1506" s="89"/>
      <c r="B1506" s="90"/>
      <c r="C1506" s="89"/>
      <c r="D1506" s="84"/>
      <c r="E1506" s="83"/>
      <c r="F1506" s="84"/>
      <c r="G1506" s="84"/>
      <c r="H1506" s="84"/>
      <c r="I1506" s="91"/>
      <c r="J1506" s="85"/>
      <c r="K1506" s="85"/>
      <c r="L1506" s="84"/>
      <c r="M1506" s="85"/>
      <c r="N1506" s="93"/>
      <c r="O1506" s="93"/>
      <c r="P1506" s="82"/>
    </row>
    <row r="1507">
      <c r="A1507" s="89"/>
      <c r="B1507" s="90"/>
      <c r="C1507" s="89"/>
      <c r="D1507" s="84"/>
      <c r="E1507" s="83"/>
      <c r="F1507" s="84"/>
      <c r="G1507" s="84"/>
      <c r="H1507" s="84"/>
      <c r="I1507" s="91"/>
      <c r="J1507" s="85"/>
      <c r="K1507" s="85"/>
      <c r="L1507" s="84"/>
      <c r="M1507" s="85"/>
      <c r="N1507" s="93"/>
      <c r="O1507" s="93"/>
      <c r="P1507" s="82"/>
    </row>
    <row r="1508">
      <c r="A1508" s="89"/>
      <c r="B1508" s="90"/>
      <c r="C1508" s="89"/>
      <c r="D1508" s="84"/>
      <c r="E1508" s="83"/>
      <c r="F1508" s="84"/>
      <c r="G1508" s="84"/>
      <c r="H1508" s="84"/>
      <c r="I1508" s="91"/>
      <c r="J1508" s="85"/>
      <c r="K1508" s="85"/>
      <c r="L1508" s="84"/>
      <c r="M1508" s="85"/>
      <c r="N1508" s="93"/>
      <c r="O1508" s="93"/>
      <c r="P1508" s="82"/>
    </row>
    <row r="1509">
      <c r="A1509" s="89"/>
      <c r="B1509" s="90"/>
      <c r="C1509" s="89"/>
      <c r="D1509" s="84"/>
      <c r="E1509" s="83"/>
      <c r="F1509" s="84"/>
      <c r="G1509" s="84"/>
      <c r="H1509" s="84"/>
      <c r="I1509" s="91"/>
      <c r="J1509" s="85"/>
      <c r="K1509" s="85"/>
      <c r="L1509" s="84"/>
      <c r="M1509" s="85"/>
      <c r="N1509" s="93"/>
      <c r="O1509" s="93"/>
      <c r="P1509" s="82"/>
    </row>
    <row r="1510">
      <c r="A1510" s="89"/>
      <c r="B1510" s="90"/>
      <c r="C1510" s="89"/>
      <c r="D1510" s="84"/>
      <c r="E1510" s="83"/>
      <c r="F1510" s="84"/>
      <c r="G1510" s="84"/>
      <c r="H1510" s="84"/>
      <c r="I1510" s="91"/>
      <c r="J1510" s="85"/>
      <c r="K1510" s="85"/>
      <c r="L1510" s="84"/>
      <c r="M1510" s="85"/>
      <c r="N1510" s="93"/>
      <c r="O1510" s="93"/>
      <c r="P1510" s="82"/>
    </row>
    <row r="1511">
      <c r="A1511" s="89"/>
      <c r="B1511" s="90"/>
      <c r="C1511" s="89"/>
      <c r="D1511" s="84"/>
      <c r="E1511" s="83"/>
      <c r="F1511" s="84"/>
      <c r="G1511" s="84"/>
      <c r="H1511" s="84"/>
      <c r="I1511" s="91"/>
      <c r="J1511" s="85"/>
      <c r="K1511" s="85"/>
      <c r="L1511" s="84"/>
      <c r="M1511" s="85"/>
      <c r="N1511" s="93"/>
      <c r="O1511" s="93"/>
      <c r="P1511" s="82"/>
    </row>
    <row r="1512">
      <c r="A1512" s="89"/>
      <c r="B1512" s="90"/>
      <c r="C1512" s="89"/>
      <c r="D1512" s="84"/>
      <c r="E1512" s="83"/>
      <c r="F1512" s="84"/>
      <c r="G1512" s="84"/>
      <c r="H1512" s="84"/>
      <c r="I1512" s="91"/>
      <c r="J1512" s="85"/>
      <c r="K1512" s="85"/>
      <c r="L1512" s="84"/>
      <c r="M1512" s="85"/>
      <c r="N1512" s="93"/>
      <c r="O1512" s="93"/>
      <c r="P1512" s="82"/>
    </row>
    <row r="1513">
      <c r="A1513" s="89"/>
      <c r="B1513" s="90"/>
      <c r="C1513" s="89"/>
      <c r="D1513" s="84"/>
      <c r="E1513" s="83"/>
      <c r="F1513" s="84"/>
      <c r="G1513" s="84"/>
      <c r="H1513" s="84"/>
      <c r="I1513" s="91"/>
      <c r="J1513" s="85"/>
      <c r="K1513" s="85"/>
      <c r="L1513" s="84"/>
      <c r="M1513" s="85"/>
      <c r="N1513" s="93"/>
      <c r="O1513" s="93"/>
      <c r="P1513" s="82"/>
    </row>
    <row r="1514">
      <c r="A1514" s="89"/>
      <c r="B1514" s="90"/>
      <c r="C1514" s="89"/>
      <c r="D1514" s="84"/>
      <c r="E1514" s="83"/>
      <c r="F1514" s="84"/>
      <c r="G1514" s="84"/>
      <c r="H1514" s="84"/>
      <c r="I1514" s="91"/>
      <c r="J1514" s="85"/>
      <c r="K1514" s="85"/>
      <c r="L1514" s="84"/>
      <c r="M1514" s="85"/>
      <c r="N1514" s="93"/>
      <c r="O1514" s="93"/>
      <c r="P1514" s="82"/>
    </row>
    <row r="1515">
      <c r="A1515" s="89"/>
      <c r="B1515" s="90"/>
      <c r="C1515" s="89"/>
      <c r="D1515" s="84"/>
      <c r="E1515" s="83"/>
      <c r="F1515" s="84"/>
      <c r="G1515" s="84"/>
      <c r="H1515" s="84"/>
      <c r="I1515" s="91"/>
      <c r="J1515" s="85"/>
      <c r="K1515" s="85"/>
      <c r="L1515" s="84"/>
      <c r="M1515" s="85"/>
      <c r="N1515" s="93"/>
      <c r="O1515" s="93"/>
      <c r="P1515" s="82"/>
    </row>
    <row r="1516">
      <c r="A1516" s="89"/>
      <c r="B1516" s="90"/>
      <c r="C1516" s="89"/>
      <c r="D1516" s="84"/>
      <c r="E1516" s="83"/>
      <c r="F1516" s="84"/>
      <c r="G1516" s="84"/>
      <c r="H1516" s="84"/>
      <c r="I1516" s="91"/>
      <c r="J1516" s="85"/>
      <c r="K1516" s="85"/>
      <c r="L1516" s="84"/>
      <c r="M1516" s="85"/>
      <c r="N1516" s="93"/>
      <c r="O1516" s="93"/>
      <c r="P1516" s="82"/>
    </row>
    <row r="1517">
      <c r="A1517" s="89"/>
      <c r="B1517" s="90"/>
      <c r="C1517" s="89"/>
      <c r="D1517" s="84"/>
      <c r="E1517" s="83"/>
      <c r="F1517" s="84"/>
      <c r="G1517" s="84"/>
      <c r="H1517" s="84"/>
      <c r="I1517" s="91"/>
      <c r="J1517" s="85"/>
      <c r="K1517" s="85"/>
      <c r="L1517" s="84"/>
      <c r="M1517" s="85"/>
      <c r="N1517" s="93"/>
      <c r="O1517" s="93"/>
      <c r="P1517" s="82"/>
    </row>
    <row r="1518">
      <c r="A1518" s="89"/>
      <c r="B1518" s="90"/>
      <c r="C1518" s="89"/>
      <c r="D1518" s="84"/>
      <c r="E1518" s="83"/>
      <c r="F1518" s="84"/>
      <c r="G1518" s="84"/>
      <c r="H1518" s="84"/>
      <c r="I1518" s="91"/>
      <c r="J1518" s="85"/>
      <c r="K1518" s="85"/>
      <c r="L1518" s="84"/>
      <c r="M1518" s="85"/>
      <c r="N1518" s="93"/>
      <c r="O1518" s="93"/>
      <c r="P1518" s="82"/>
    </row>
    <row r="1519">
      <c r="A1519" s="89"/>
      <c r="B1519" s="90"/>
      <c r="C1519" s="89"/>
      <c r="D1519" s="84"/>
      <c r="E1519" s="83"/>
      <c r="F1519" s="84"/>
      <c r="G1519" s="84"/>
      <c r="H1519" s="84"/>
      <c r="I1519" s="91"/>
      <c r="J1519" s="85"/>
      <c r="K1519" s="85"/>
      <c r="L1519" s="84"/>
      <c r="M1519" s="85"/>
      <c r="N1519" s="93"/>
      <c r="O1519" s="93"/>
      <c r="P1519" s="82"/>
    </row>
    <row r="1520">
      <c r="A1520" s="89"/>
      <c r="B1520" s="90"/>
      <c r="C1520" s="89"/>
      <c r="D1520" s="84"/>
      <c r="E1520" s="83"/>
      <c r="F1520" s="84"/>
      <c r="G1520" s="84"/>
      <c r="H1520" s="84"/>
      <c r="I1520" s="91"/>
      <c r="J1520" s="85"/>
      <c r="K1520" s="85"/>
      <c r="L1520" s="84"/>
      <c r="M1520" s="85"/>
      <c r="N1520" s="93"/>
      <c r="O1520" s="93"/>
      <c r="P1520" s="82"/>
    </row>
    <row r="1521">
      <c r="A1521" s="89"/>
      <c r="B1521" s="90"/>
      <c r="C1521" s="89"/>
      <c r="D1521" s="84"/>
      <c r="E1521" s="83"/>
      <c r="F1521" s="84"/>
      <c r="G1521" s="84"/>
      <c r="H1521" s="84"/>
      <c r="I1521" s="91"/>
      <c r="J1521" s="85"/>
      <c r="K1521" s="85"/>
      <c r="L1521" s="84"/>
      <c r="M1521" s="85"/>
      <c r="N1521" s="93"/>
      <c r="O1521" s="93"/>
      <c r="P1521" s="82"/>
    </row>
    <row r="1522">
      <c r="A1522" s="89"/>
      <c r="B1522" s="90"/>
      <c r="C1522" s="89"/>
      <c r="D1522" s="84"/>
      <c r="E1522" s="83"/>
      <c r="F1522" s="84"/>
      <c r="G1522" s="84"/>
      <c r="H1522" s="84"/>
      <c r="I1522" s="91"/>
      <c r="J1522" s="85"/>
      <c r="K1522" s="85"/>
      <c r="L1522" s="84"/>
      <c r="M1522" s="85"/>
      <c r="N1522" s="93"/>
      <c r="O1522" s="93"/>
      <c r="P1522" s="82"/>
    </row>
    <row r="1523">
      <c r="A1523" s="89"/>
      <c r="B1523" s="90"/>
      <c r="C1523" s="89"/>
      <c r="D1523" s="84"/>
      <c r="E1523" s="83"/>
      <c r="F1523" s="84"/>
      <c r="G1523" s="84"/>
      <c r="H1523" s="84"/>
      <c r="I1523" s="91"/>
      <c r="J1523" s="85"/>
      <c r="K1523" s="85"/>
      <c r="L1523" s="84"/>
      <c r="M1523" s="85"/>
      <c r="N1523" s="93"/>
      <c r="O1523" s="93"/>
      <c r="P1523" s="82"/>
    </row>
    <row r="1524">
      <c r="A1524" s="89"/>
      <c r="B1524" s="90"/>
      <c r="C1524" s="89"/>
      <c r="D1524" s="84"/>
      <c r="E1524" s="83"/>
      <c r="F1524" s="84"/>
      <c r="G1524" s="84"/>
      <c r="H1524" s="84"/>
      <c r="I1524" s="91"/>
      <c r="J1524" s="85"/>
      <c r="K1524" s="85"/>
      <c r="L1524" s="84"/>
      <c r="M1524" s="85"/>
      <c r="N1524" s="93"/>
      <c r="O1524" s="93"/>
      <c r="P1524" s="82"/>
    </row>
    <row r="1525">
      <c r="A1525" s="89"/>
      <c r="B1525" s="90"/>
      <c r="C1525" s="89"/>
      <c r="D1525" s="84"/>
      <c r="E1525" s="83"/>
      <c r="F1525" s="84"/>
      <c r="G1525" s="84"/>
      <c r="H1525" s="84"/>
      <c r="I1525" s="91"/>
      <c r="J1525" s="85"/>
      <c r="K1525" s="85"/>
      <c r="L1525" s="84"/>
      <c r="M1525" s="85"/>
      <c r="N1525" s="93"/>
      <c r="O1525" s="93"/>
      <c r="P1525" s="82"/>
    </row>
    <row r="1526">
      <c r="A1526" s="89"/>
      <c r="B1526" s="90"/>
      <c r="C1526" s="89"/>
      <c r="D1526" s="84"/>
      <c r="E1526" s="83"/>
      <c r="F1526" s="84"/>
      <c r="G1526" s="84"/>
      <c r="H1526" s="84"/>
      <c r="I1526" s="91"/>
      <c r="J1526" s="85"/>
      <c r="K1526" s="85"/>
      <c r="L1526" s="84"/>
      <c r="M1526" s="85"/>
      <c r="N1526" s="93"/>
      <c r="O1526" s="93"/>
      <c r="P1526" s="82"/>
    </row>
    <row r="1527">
      <c r="A1527" s="89"/>
      <c r="B1527" s="90"/>
      <c r="C1527" s="89"/>
      <c r="D1527" s="84"/>
      <c r="E1527" s="83"/>
      <c r="F1527" s="84"/>
      <c r="G1527" s="84"/>
      <c r="H1527" s="84"/>
      <c r="I1527" s="91"/>
      <c r="J1527" s="85"/>
      <c r="K1527" s="85"/>
      <c r="L1527" s="84"/>
      <c r="M1527" s="85"/>
      <c r="N1527" s="93"/>
      <c r="O1527" s="93"/>
      <c r="P1527" s="82"/>
    </row>
    <row r="1528">
      <c r="A1528" s="89"/>
      <c r="B1528" s="90"/>
      <c r="C1528" s="89"/>
      <c r="D1528" s="84"/>
      <c r="E1528" s="83"/>
      <c r="F1528" s="84"/>
      <c r="G1528" s="84"/>
      <c r="H1528" s="84"/>
      <c r="I1528" s="91"/>
      <c r="J1528" s="85"/>
      <c r="K1528" s="85"/>
      <c r="L1528" s="84"/>
      <c r="M1528" s="85"/>
      <c r="N1528" s="93"/>
      <c r="O1528" s="93"/>
      <c r="P1528" s="82"/>
    </row>
    <row r="1529">
      <c r="A1529" s="89"/>
      <c r="B1529" s="90"/>
      <c r="C1529" s="89"/>
      <c r="D1529" s="84"/>
      <c r="E1529" s="83"/>
      <c r="F1529" s="84"/>
      <c r="G1529" s="84"/>
      <c r="H1529" s="84"/>
      <c r="I1529" s="91"/>
      <c r="J1529" s="85"/>
      <c r="K1529" s="85"/>
      <c r="L1529" s="84"/>
      <c r="M1529" s="85"/>
      <c r="N1529" s="93"/>
      <c r="O1529" s="93"/>
      <c r="P1529" s="82"/>
    </row>
    <row r="1530">
      <c r="A1530" s="89"/>
      <c r="B1530" s="90"/>
      <c r="C1530" s="89"/>
      <c r="D1530" s="84"/>
      <c r="E1530" s="83"/>
      <c r="F1530" s="84"/>
      <c r="G1530" s="84"/>
      <c r="H1530" s="84"/>
      <c r="I1530" s="91"/>
      <c r="J1530" s="85"/>
      <c r="K1530" s="85"/>
      <c r="L1530" s="84"/>
      <c r="M1530" s="85"/>
      <c r="N1530" s="93"/>
      <c r="O1530" s="93"/>
      <c r="P1530" s="82"/>
    </row>
    <row r="1531">
      <c r="A1531" s="89"/>
      <c r="B1531" s="90"/>
      <c r="C1531" s="89"/>
      <c r="D1531" s="84"/>
      <c r="E1531" s="83"/>
      <c r="F1531" s="84"/>
      <c r="G1531" s="84"/>
      <c r="H1531" s="84"/>
      <c r="I1531" s="91"/>
      <c r="J1531" s="85"/>
      <c r="K1531" s="85"/>
      <c r="L1531" s="84"/>
      <c r="M1531" s="85"/>
      <c r="N1531" s="93"/>
      <c r="O1531" s="93"/>
      <c r="P1531" s="82"/>
    </row>
    <row r="1532">
      <c r="A1532" s="89"/>
      <c r="B1532" s="90"/>
      <c r="C1532" s="89"/>
      <c r="D1532" s="84"/>
      <c r="E1532" s="83"/>
      <c r="F1532" s="84"/>
      <c r="G1532" s="84"/>
      <c r="H1532" s="84"/>
      <c r="I1532" s="91"/>
      <c r="J1532" s="85"/>
      <c r="K1532" s="85"/>
      <c r="L1532" s="84"/>
      <c r="M1532" s="85"/>
      <c r="N1532" s="93"/>
      <c r="O1532" s="93"/>
      <c r="P1532" s="82"/>
    </row>
    <row r="1533">
      <c r="A1533" s="89"/>
      <c r="B1533" s="90"/>
      <c r="C1533" s="89"/>
      <c r="D1533" s="84"/>
      <c r="E1533" s="83"/>
      <c r="F1533" s="84"/>
      <c r="G1533" s="84"/>
      <c r="H1533" s="84"/>
      <c r="I1533" s="91"/>
      <c r="J1533" s="85"/>
      <c r="K1533" s="85"/>
      <c r="L1533" s="84"/>
      <c r="M1533" s="85"/>
      <c r="N1533" s="93"/>
      <c r="O1533" s="93"/>
      <c r="P1533" s="82"/>
    </row>
    <row r="1534">
      <c r="A1534" s="89"/>
      <c r="B1534" s="90"/>
      <c r="C1534" s="89"/>
      <c r="D1534" s="84"/>
      <c r="E1534" s="83"/>
      <c r="F1534" s="84"/>
      <c r="G1534" s="84"/>
      <c r="H1534" s="84"/>
      <c r="I1534" s="91"/>
      <c r="J1534" s="85"/>
      <c r="K1534" s="85"/>
      <c r="L1534" s="84"/>
      <c r="M1534" s="85"/>
      <c r="N1534" s="93"/>
      <c r="O1534" s="93"/>
      <c r="P1534" s="82"/>
    </row>
    <row r="1535">
      <c r="A1535" s="89"/>
      <c r="B1535" s="90"/>
      <c r="C1535" s="89"/>
      <c r="D1535" s="84"/>
      <c r="E1535" s="83"/>
      <c r="F1535" s="84"/>
      <c r="G1535" s="84"/>
      <c r="H1535" s="84"/>
      <c r="I1535" s="91"/>
      <c r="J1535" s="85"/>
      <c r="K1535" s="85"/>
      <c r="L1535" s="84"/>
      <c r="M1535" s="85"/>
      <c r="N1535" s="93"/>
      <c r="O1535" s="93"/>
      <c r="P1535" s="82"/>
    </row>
    <row r="1536">
      <c r="A1536" s="89"/>
      <c r="B1536" s="90"/>
      <c r="C1536" s="89"/>
      <c r="D1536" s="84"/>
      <c r="E1536" s="83"/>
      <c r="F1536" s="84"/>
      <c r="G1536" s="84"/>
      <c r="H1536" s="84"/>
      <c r="I1536" s="91"/>
      <c r="J1536" s="85"/>
      <c r="K1536" s="85"/>
      <c r="L1536" s="84"/>
      <c r="M1536" s="85"/>
      <c r="N1536" s="93"/>
      <c r="O1536" s="93"/>
      <c r="P1536" s="82"/>
    </row>
    <row r="1537">
      <c r="A1537" s="89"/>
      <c r="B1537" s="90"/>
      <c r="C1537" s="89"/>
      <c r="D1537" s="84"/>
      <c r="E1537" s="83"/>
      <c r="F1537" s="84"/>
      <c r="G1537" s="84"/>
      <c r="H1537" s="84"/>
      <c r="I1537" s="91"/>
      <c r="J1537" s="85"/>
      <c r="K1537" s="85"/>
      <c r="L1537" s="84"/>
      <c r="M1537" s="85"/>
      <c r="N1537" s="93"/>
      <c r="O1537" s="93"/>
      <c r="P1537" s="82"/>
    </row>
    <row r="1538">
      <c r="A1538" s="89"/>
      <c r="B1538" s="90"/>
      <c r="C1538" s="89"/>
      <c r="D1538" s="84"/>
      <c r="E1538" s="83"/>
      <c r="F1538" s="84"/>
      <c r="G1538" s="84"/>
      <c r="H1538" s="84"/>
      <c r="I1538" s="91"/>
      <c r="J1538" s="85"/>
      <c r="K1538" s="85"/>
      <c r="L1538" s="84"/>
      <c r="M1538" s="85"/>
      <c r="N1538" s="93"/>
      <c r="O1538" s="93"/>
      <c r="P1538" s="82"/>
    </row>
    <row r="1539">
      <c r="A1539" s="89"/>
      <c r="B1539" s="90"/>
      <c r="C1539" s="89"/>
      <c r="D1539" s="84"/>
      <c r="E1539" s="83"/>
      <c r="F1539" s="84"/>
      <c r="G1539" s="84"/>
      <c r="H1539" s="84"/>
      <c r="I1539" s="91"/>
      <c r="J1539" s="85"/>
      <c r="K1539" s="85"/>
      <c r="L1539" s="84"/>
      <c r="M1539" s="85"/>
      <c r="N1539" s="93"/>
      <c r="O1539" s="93"/>
      <c r="P1539" s="82"/>
    </row>
    <row r="1540">
      <c r="A1540" s="89"/>
      <c r="B1540" s="90"/>
      <c r="C1540" s="89"/>
      <c r="D1540" s="84"/>
      <c r="E1540" s="83"/>
      <c r="F1540" s="84"/>
      <c r="G1540" s="84"/>
      <c r="H1540" s="84"/>
      <c r="I1540" s="91"/>
      <c r="J1540" s="85"/>
      <c r="K1540" s="85"/>
      <c r="L1540" s="84"/>
      <c r="M1540" s="85"/>
      <c r="N1540" s="93"/>
      <c r="O1540" s="93"/>
      <c r="P1540" s="82"/>
    </row>
    <row r="1541">
      <c r="A1541" s="89"/>
      <c r="B1541" s="90"/>
      <c r="C1541" s="89"/>
      <c r="D1541" s="84"/>
      <c r="E1541" s="83"/>
      <c r="F1541" s="84"/>
      <c r="G1541" s="84"/>
      <c r="H1541" s="84"/>
      <c r="I1541" s="91"/>
      <c r="J1541" s="85"/>
      <c r="K1541" s="85"/>
      <c r="L1541" s="84"/>
      <c r="M1541" s="85"/>
      <c r="N1541" s="93"/>
      <c r="O1541" s="93"/>
      <c r="P1541" s="82"/>
    </row>
    <row r="1542">
      <c r="A1542" s="89"/>
      <c r="B1542" s="90"/>
      <c r="C1542" s="89"/>
      <c r="D1542" s="84"/>
      <c r="E1542" s="83"/>
      <c r="F1542" s="84"/>
      <c r="G1542" s="84"/>
      <c r="H1542" s="84"/>
      <c r="I1542" s="91"/>
      <c r="J1542" s="85"/>
      <c r="K1542" s="85"/>
      <c r="L1542" s="84"/>
      <c r="M1542" s="85"/>
      <c r="N1542" s="93"/>
      <c r="O1542" s="93"/>
      <c r="P1542" s="82"/>
    </row>
    <row r="1543">
      <c r="A1543" s="89"/>
      <c r="B1543" s="90"/>
      <c r="C1543" s="89"/>
      <c r="D1543" s="84"/>
      <c r="E1543" s="83"/>
      <c r="F1543" s="84"/>
      <c r="G1543" s="84"/>
      <c r="H1543" s="84"/>
      <c r="I1543" s="91"/>
      <c r="J1543" s="85"/>
      <c r="K1543" s="85"/>
      <c r="L1543" s="84"/>
      <c r="M1543" s="85"/>
      <c r="N1543" s="93"/>
      <c r="O1543" s="93"/>
      <c r="P1543" s="82"/>
    </row>
    <row r="1544">
      <c r="A1544" s="89"/>
      <c r="B1544" s="90"/>
      <c r="C1544" s="89"/>
      <c r="D1544" s="84"/>
      <c r="E1544" s="83"/>
      <c r="F1544" s="84"/>
      <c r="G1544" s="84"/>
      <c r="H1544" s="84"/>
      <c r="I1544" s="91"/>
      <c r="J1544" s="85"/>
      <c r="K1544" s="85"/>
      <c r="L1544" s="84"/>
      <c r="M1544" s="85"/>
      <c r="N1544" s="93"/>
      <c r="O1544" s="93"/>
      <c r="P1544" s="82"/>
    </row>
    <row r="1545">
      <c r="A1545" s="89"/>
      <c r="B1545" s="90"/>
      <c r="C1545" s="89"/>
      <c r="D1545" s="84"/>
      <c r="E1545" s="83"/>
      <c r="F1545" s="84"/>
      <c r="G1545" s="84"/>
      <c r="H1545" s="84"/>
      <c r="I1545" s="91"/>
      <c r="J1545" s="85"/>
      <c r="K1545" s="85"/>
      <c r="L1545" s="84"/>
      <c r="M1545" s="85"/>
      <c r="N1545" s="93"/>
      <c r="O1545" s="93"/>
      <c r="P1545" s="82"/>
    </row>
    <row r="1546">
      <c r="A1546" s="89"/>
      <c r="B1546" s="90"/>
      <c r="C1546" s="89"/>
      <c r="D1546" s="84"/>
      <c r="E1546" s="83"/>
      <c r="F1546" s="84"/>
      <c r="G1546" s="84"/>
      <c r="H1546" s="84"/>
      <c r="I1546" s="91"/>
      <c r="J1546" s="85"/>
      <c r="K1546" s="85"/>
      <c r="L1546" s="84"/>
      <c r="M1546" s="85"/>
      <c r="N1546" s="93"/>
      <c r="O1546" s="93"/>
      <c r="P1546" s="82"/>
    </row>
    <row r="1547">
      <c r="A1547" s="89"/>
      <c r="B1547" s="90"/>
      <c r="C1547" s="89"/>
      <c r="D1547" s="84"/>
      <c r="E1547" s="83"/>
      <c r="F1547" s="84"/>
      <c r="G1547" s="84"/>
      <c r="H1547" s="84"/>
      <c r="I1547" s="91"/>
      <c r="J1547" s="85"/>
      <c r="K1547" s="85"/>
      <c r="L1547" s="84"/>
      <c r="M1547" s="85"/>
      <c r="N1547" s="93"/>
      <c r="O1547" s="93"/>
      <c r="P1547" s="82"/>
    </row>
    <row r="1548">
      <c r="A1548" s="89"/>
      <c r="B1548" s="90"/>
      <c r="C1548" s="89"/>
      <c r="D1548" s="84"/>
      <c r="E1548" s="83"/>
      <c r="F1548" s="84"/>
      <c r="G1548" s="84"/>
      <c r="H1548" s="84"/>
      <c r="I1548" s="91"/>
      <c r="J1548" s="85"/>
      <c r="K1548" s="85"/>
      <c r="L1548" s="84"/>
      <c r="M1548" s="85"/>
      <c r="N1548" s="93"/>
      <c r="O1548" s="93"/>
      <c r="P1548" s="82"/>
    </row>
    <row r="1549">
      <c r="A1549" s="89"/>
      <c r="B1549" s="90"/>
      <c r="C1549" s="89"/>
      <c r="D1549" s="84"/>
      <c r="E1549" s="83"/>
      <c r="F1549" s="84"/>
      <c r="G1549" s="84"/>
      <c r="H1549" s="84"/>
      <c r="I1549" s="91"/>
      <c r="J1549" s="85"/>
      <c r="K1549" s="85"/>
      <c r="L1549" s="84"/>
      <c r="M1549" s="85"/>
      <c r="N1549" s="93"/>
      <c r="O1549" s="93"/>
      <c r="P1549" s="82"/>
    </row>
    <row r="1550">
      <c r="A1550" s="89"/>
      <c r="B1550" s="90"/>
      <c r="C1550" s="89"/>
      <c r="D1550" s="84"/>
      <c r="E1550" s="83"/>
      <c r="F1550" s="84"/>
      <c r="G1550" s="84"/>
      <c r="H1550" s="84"/>
      <c r="I1550" s="91"/>
      <c r="J1550" s="85"/>
      <c r="K1550" s="85"/>
      <c r="L1550" s="84"/>
      <c r="M1550" s="85"/>
      <c r="N1550" s="93"/>
      <c r="O1550" s="93"/>
      <c r="P1550" s="82"/>
    </row>
    <row r="1551">
      <c r="A1551" s="89"/>
      <c r="B1551" s="90"/>
      <c r="C1551" s="89"/>
      <c r="D1551" s="84"/>
      <c r="E1551" s="83"/>
      <c r="F1551" s="84"/>
      <c r="G1551" s="84"/>
      <c r="H1551" s="84"/>
      <c r="I1551" s="91"/>
      <c r="J1551" s="85"/>
      <c r="K1551" s="85"/>
      <c r="L1551" s="84"/>
      <c r="M1551" s="85"/>
      <c r="N1551" s="93"/>
      <c r="O1551" s="93"/>
      <c r="P1551" s="82"/>
    </row>
    <row r="1552">
      <c r="A1552" s="89"/>
      <c r="B1552" s="90"/>
      <c r="C1552" s="89"/>
      <c r="D1552" s="84"/>
      <c r="E1552" s="83"/>
      <c r="F1552" s="84"/>
      <c r="G1552" s="84"/>
      <c r="H1552" s="84"/>
      <c r="I1552" s="91"/>
      <c r="J1552" s="85"/>
      <c r="K1552" s="85"/>
      <c r="L1552" s="84"/>
      <c r="M1552" s="85"/>
      <c r="N1552" s="93"/>
      <c r="O1552" s="93"/>
      <c r="P1552" s="82"/>
    </row>
    <row r="1553">
      <c r="A1553" s="89"/>
      <c r="B1553" s="90"/>
      <c r="C1553" s="89"/>
      <c r="D1553" s="84"/>
      <c r="E1553" s="83"/>
      <c r="F1553" s="84"/>
      <c r="G1553" s="84"/>
      <c r="H1553" s="84"/>
      <c r="I1553" s="91"/>
      <c r="J1553" s="85"/>
      <c r="K1553" s="85"/>
      <c r="L1553" s="84"/>
      <c r="M1553" s="85"/>
      <c r="N1553" s="93"/>
      <c r="O1553" s="93"/>
      <c r="P1553" s="82"/>
    </row>
    <row r="1554">
      <c r="A1554" s="89"/>
      <c r="B1554" s="90"/>
      <c r="C1554" s="89"/>
      <c r="D1554" s="84"/>
      <c r="E1554" s="83"/>
      <c r="F1554" s="84"/>
      <c r="G1554" s="84"/>
      <c r="H1554" s="84"/>
      <c r="I1554" s="91"/>
      <c r="J1554" s="85"/>
      <c r="K1554" s="85"/>
      <c r="L1554" s="84"/>
      <c r="M1554" s="85"/>
      <c r="N1554" s="93"/>
      <c r="O1554" s="93"/>
      <c r="P1554" s="82"/>
    </row>
    <row r="1555">
      <c r="A1555" s="89"/>
      <c r="B1555" s="90"/>
      <c r="C1555" s="89"/>
      <c r="D1555" s="84"/>
      <c r="E1555" s="83"/>
      <c r="F1555" s="84"/>
      <c r="G1555" s="84"/>
      <c r="H1555" s="84"/>
      <c r="I1555" s="91"/>
      <c r="J1555" s="85"/>
      <c r="K1555" s="85"/>
      <c r="L1555" s="84"/>
      <c r="M1555" s="85"/>
      <c r="N1555" s="93"/>
      <c r="O1555" s="93"/>
      <c r="P1555" s="82"/>
    </row>
    <row r="1556">
      <c r="A1556" s="89"/>
      <c r="B1556" s="90"/>
      <c r="C1556" s="89"/>
      <c r="D1556" s="84"/>
      <c r="E1556" s="83"/>
      <c r="F1556" s="84"/>
      <c r="G1556" s="84"/>
      <c r="H1556" s="84"/>
      <c r="I1556" s="91"/>
      <c r="J1556" s="85"/>
      <c r="K1556" s="85"/>
      <c r="L1556" s="84"/>
      <c r="M1556" s="85"/>
      <c r="N1556" s="93"/>
      <c r="O1556" s="93"/>
      <c r="P1556" s="82"/>
    </row>
    <row r="1557">
      <c r="A1557" s="89"/>
      <c r="B1557" s="90"/>
      <c r="C1557" s="89"/>
      <c r="D1557" s="84"/>
      <c r="E1557" s="83"/>
      <c r="F1557" s="84"/>
      <c r="G1557" s="84"/>
      <c r="H1557" s="84"/>
      <c r="I1557" s="91"/>
      <c r="J1557" s="85"/>
      <c r="K1557" s="85"/>
      <c r="L1557" s="84"/>
      <c r="M1557" s="85"/>
      <c r="N1557" s="93"/>
      <c r="O1557" s="93"/>
      <c r="P1557" s="82"/>
    </row>
    <row r="1558">
      <c r="A1558" s="89"/>
      <c r="B1558" s="90"/>
      <c r="C1558" s="89"/>
      <c r="D1558" s="84"/>
      <c r="E1558" s="83"/>
      <c r="F1558" s="84"/>
      <c r="G1558" s="84"/>
      <c r="H1558" s="84"/>
      <c r="I1558" s="91"/>
      <c r="J1558" s="85"/>
      <c r="K1558" s="85"/>
      <c r="L1558" s="84"/>
      <c r="M1558" s="85"/>
      <c r="N1558" s="93"/>
      <c r="O1558" s="93"/>
      <c r="P1558" s="82"/>
    </row>
    <row r="1559">
      <c r="A1559" s="89"/>
      <c r="B1559" s="90"/>
      <c r="C1559" s="89"/>
      <c r="D1559" s="84"/>
      <c r="E1559" s="83"/>
      <c r="F1559" s="84"/>
      <c r="G1559" s="84"/>
      <c r="H1559" s="84"/>
      <c r="I1559" s="91"/>
      <c r="J1559" s="85"/>
      <c r="K1559" s="85"/>
      <c r="L1559" s="84"/>
      <c r="M1559" s="85"/>
      <c r="N1559" s="93"/>
      <c r="O1559" s="93"/>
      <c r="P1559" s="82"/>
    </row>
    <row r="1560">
      <c r="A1560" s="89"/>
      <c r="B1560" s="90"/>
      <c r="C1560" s="89"/>
      <c r="D1560" s="84"/>
      <c r="E1560" s="83"/>
      <c r="F1560" s="84"/>
      <c r="G1560" s="84"/>
      <c r="H1560" s="84"/>
      <c r="I1560" s="91"/>
      <c r="J1560" s="85"/>
      <c r="K1560" s="85"/>
      <c r="L1560" s="84"/>
      <c r="M1560" s="85"/>
      <c r="N1560" s="93"/>
      <c r="O1560" s="93"/>
      <c r="P1560" s="82"/>
    </row>
    <row r="1561">
      <c r="A1561" s="89"/>
      <c r="B1561" s="90"/>
      <c r="C1561" s="89"/>
      <c r="D1561" s="84"/>
      <c r="E1561" s="83"/>
      <c r="F1561" s="84"/>
      <c r="G1561" s="84"/>
      <c r="H1561" s="84"/>
      <c r="I1561" s="91"/>
      <c r="J1561" s="85"/>
      <c r="K1561" s="85"/>
      <c r="L1561" s="84"/>
      <c r="M1561" s="85"/>
      <c r="N1561" s="93"/>
      <c r="O1561" s="93"/>
      <c r="P1561" s="82"/>
    </row>
    <row r="1562">
      <c r="A1562" s="89"/>
      <c r="B1562" s="90"/>
      <c r="C1562" s="89"/>
      <c r="D1562" s="84"/>
      <c r="E1562" s="83"/>
      <c r="F1562" s="84"/>
      <c r="G1562" s="84"/>
      <c r="H1562" s="84"/>
      <c r="I1562" s="91"/>
      <c r="J1562" s="85"/>
      <c r="K1562" s="85"/>
      <c r="L1562" s="84"/>
      <c r="M1562" s="85"/>
      <c r="N1562" s="93"/>
      <c r="O1562" s="93"/>
      <c r="P1562" s="82"/>
    </row>
    <row r="1563">
      <c r="A1563" s="89"/>
      <c r="B1563" s="90"/>
      <c r="C1563" s="89"/>
      <c r="D1563" s="84"/>
      <c r="E1563" s="83"/>
      <c r="F1563" s="84"/>
      <c r="G1563" s="84"/>
      <c r="H1563" s="84"/>
      <c r="I1563" s="91"/>
      <c r="J1563" s="85"/>
      <c r="K1563" s="85"/>
      <c r="L1563" s="84"/>
      <c r="M1563" s="85"/>
      <c r="N1563" s="93"/>
      <c r="O1563" s="93"/>
      <c r="P1563" s="82"/>
    </row>
    <row r="1564">
      <c r="A1564" s="89"/>
      <c r="B1564" s="90"/>
      <c r="C1564" s="89"/>
      <c r="D1564" s="84"/>
      <c r="E1564" s="83"/>
      <c r="F1564" s="84"/>
      <c r="G1564" s="84"/>
      <c r="H1564" s="84"/>
      <c r="I1564" s="91"/>
      <c r="J1564" s="85"/>
      <c r="K1564" s="85"/>
      <c r="L1564" s="84"/>
      <c r="M1564" s="85"/>
      <c r="N1564" s="93"/>
      <c r="O1564" s="93"/>
      <c r="P1564" s="82"/>
    </row>
    <row r="1565">
      <c r="A1565" s="89"/>
      <c r="B1565" s="90"/>
      <c r="C1565" s="89"/>
      <c r="D1565" s="84"/>
      <c r="E1565" s="83"/>
      <c r="F1565" s="84"/>
      <c r="G1565" s="84"/>
      <c r="H1565" s="84"/>
      <c r="I1565" s="91"/>
      <c r="J1565" s="85"/>
      <c r="K1565" s="85"/>
      <c r="L1565" s="84"/>
      <c r="M1565" s="85"/>
      <c r="N1565" s="93"/>
      <c r="O1565" s="93"/>
      <c r="P1565" s="82"/>
    </row>
    <row r="1566">
      <c r="A1566" s="89"/>
      <c r="B1566" s="90"/>
      <c r="C1566" s="89"/>
      <c r="D1566" s="84"/>
      <c r="E1566" s="83"/>
      <c r="F1566" s="84"/>
      <c r="G1566" s="84"/>
      <c r="H1566" s="84"/>
      <c r="I1566" s="91"/>
      <c r="J1566" s="85"/>
      <c r="K1566" s="85"/>
      <c r="L1566" s="84"/>
      <c r="M1566" s="85"/>
      <c r="N1566" s="93"/>
      <c r="O1566" s="93"/>
      <c r="P1566" s="82"/>
    </row>
    <row r="1567">
      <c r="A1567" s="89"/>
      <c r="B1567" s="90"/>
      <c r="C1567" s="89"/>
      <c r="D1567" s="84"/>
      <c r="E1567" s="83"/>
      <c r="F1567" s="84"/>
      <c r="G1567" s="84"/>
      <c r="H1567" s="84"/>
      <c r="I1567" s="91"/>
      <c r="J1567" s="85"/>
      <c r="K1567" s="85"/>
      <c r="L1567" s="84"/>
      <c r="M1567" s="85"/>
      <c r="N1567" s="93"/>
      <c r="O1567" s="93"/>
      <c r="P1567" s="82"/>
    </row>
    <row r="1568">
      <c r="A1568" s="89"/>
      <c r="B1568" s="90"/>
      <c r="C1568" s="89"/>
      <c r="D1568" s="84"/>
      <c r="E1568" s="83"/>
      <c r="F1568" s="84"/>
      <c r="G1568" s="84"/>
      <c r="H1568" s="84"/>
      <c r="I1568" s="91"/>
      <c r="J1568" s="85"/>
      <c r="K1568" s="85"/>
      <c r="L1568" s="84"/>
      <c r="M1568" s="85"/>
      <c r="N1568" s="93"/>
      <c r="O1568" s="93"/>
      <c r="P1568" s="82"/>
    </row>
    <row r="1569">
      <c r="A1569" s="89"/>
      <c r="B1569" s="90"/>
      <c r="C1569" s="89"/>
      <c r="D1569" s="84"/>
      <c r="E1569" s="83"/>
      <c r="F1569" s="84"/>
      <c r="G1569" s="84"/>
      <c r="H1569" s="84"/>
      <c r="I1569" s="91"/>
      <c r="J1569" s="85"/>
      <c r="K1569" s="85"/>
      <c r="L1569" s="84"/>
      <c r="M1569" s="85"/>
      <c r="N1569" s="93"/>
      <c r="O1569" s="93"/>
      <c r="P1569" s="82"/>
    </row>
    <row r="1570">
      <c r="A1570" s="89"/>
      <c r="B1570" s="90"/>
      <c r="C1570" s="89"/>
      <c r="D1570" s="84"/>
      <c r="E1570" s="83"/>
      <c r="F1570" s="84"/>
      <c r="G1570" s="84"/>
      <c r="H1570" s="84"/>
      <c r="I1570" s="91"/>
      <c r="J1570" s="85"/>
      <c r="K1570" s="85"/>
      <c r="L1570" s="84"/>
      <c r="M1570" s="85"/>
      <c r="N1570" s="93"/>
      <c r="O1570" s="93"/>
      <c r="P1570" s="82"/>
    </row>
    <row r="1571">
      <c r="A1571" s="89"/>
      <c r="B1571" s="90"/>
      <c r="C1571" s="89"/>
      <c r="D1571" s="84"/>
      <c r="E1571" s="83"/>
      <c r="F1571" s="84"/>
      <c r="G1571" s="84"/>
      <c r="H1571" s="84"/>
      <c r="I1571" s="91"/>
      <c r="J1571" s="85"/>
      <c r="K1571" s="85"/>
      <c r="L1571" s="84"/>
      <c r="M1571" s="85"/>
      <c r="N1571" s="93"/>
      <c r="O1571" s="93"/>
      <c r="P1571" s="82"/>
    </row>
    <row r="1572">
      <c r="A1572" s="89"/>
      <c r="B1572" s="90"/>
      <c r="C1572" s="89"/>
      <c r="D1572" s="84"/>
      <c r="E1572" s="83"/>
      <c r="F1572" s="84"/>
      <c r="G1572" s="84"/>
      <c r="H1572" s="84"/>
      <c r="I1572" s="91"/>
      <c r="J1572" s="85"/>
      <c r="K1572" s="85"/>
      <c r="L1572" s="84"/>
      <c r="M1572" s="85"/>
      <c r="N1572" s="93"/>
      <c r="O1572" s="93"/>
      <c r="P1572" s="82"/>
    </row>
    <row r="1573">
      <c r="A1573" s="89"/>
      <c r="B1573" s="90"/>
      <c r="C1573" s="89"/>
      <c r="D1573" s="84"/>
      <c r="E1573" s="83"/>
      <c r="F1573" s="84"/>
      <c r="G1573" s="84"/>
      <c r="H1573" s="84"/>
      <c r="I1573" s="91"/>
      <c r="J1573" s="85"/>
      <c r="K1573" s="85"/>
      <c r="L1573" s="84"/>
      <c r="M1573" s="85"/>
      <c r="N1573" s="93"/>
      <c r="O1573" s="93"/>
      <c r="P1573" s="82"/>
    </row>
    <row r="1574">
      <c r="A1574" s="89"/>
      <c r="B1574" s="90"/>
      <c r="C1574" s="89"/>
      <c r="D1574" s="84"/>
      <c r="E1574" s="83"/>
      <c r="F1574" s="84"/>
      <c r="G1574" s="84"/>
      <c r="H1574" s="84"/>
      <c r="I1574" s="91"/>
      <c r="J1574" s="85"/>
      <c r="K1574" s="85"/>
      <c r="L1574" s="84"/>
      <c r="M1574" s="85"/>
      <c r="N1574" s="93"/>
      <c r="O1574" s="93"/>
      <c r="P1574" s="82"/>
    </row>
    <row r="1575">
      <c r="A1575" s="89"/>
      <c r="B1575" s="90"/>
      <c r="C1575" s="89"/>
      <c r="D1575" s="84"/>
      <c r="E1575" s="83"/>
      <c r="F1575" s="84"/>
      <c r="G1575" s="84"/>
      <c r="H1575" s="84"/>
      <c r="I1575" s="91"/>
      <c r="J1575" s="85"/>
      <c r="K1575" s="85"/>
      <c r="L1575" s="84"/>
      <c r="M1575" s="85"/>
      <c r="N1575" s="93"/>
      <c r="O1575" s="93"/>
      <c r="P1575" s="82"/>
    </row>
    <row r="1576">
      <c r="A1576" s="89"/>
      <c r="B1576" s="90"/>
      <c r="C1576" s="89"/>
      <c r="D1576" s="84"/>
      <c r="E1576" s="83"/>
      <c r="F1576" s="84"/>
      <c r="G1576" s="84"/>
      <c r="H1576" s="84"/>
      <c r="I1576" s="91"/>
      <c r="J1576" s="85"/>
      <c r="K1576" s="85"/>
      <c r="L1576" s="84"/>
      <c r="M1576" s="85"/>
      <c r="N1576" s="93"/>
      <c r="O1576" s="93"/>
      <c r="P1576" s="82"/>
    </row>
    <row r="1577">
      <c r="A1577" s="89"/>
      <c r="B1577" s="90"/>
      <c r="C1577" s="89"/>
      <c r="D1577" s="84"/>
      <c r="E1577" s="83"/>
      <c r="F1577" s="84"/>
      <c r="G1577" s="84"/>
      <c r="H1577" s="84"/>
      <c r="I1577" s="91"/>
      <c r="J1577" s="85"/>
      <c r="K1577" s="85"/>
      <c r="L1577" s="84"/>
      <c r="M1577" s="85"/>
      <c r="N1577" s="93"/>
      <c r="O1577" s="93"/>
      <c r="P1577" s="82"/>
    </row>
    <row r="1578">
      <c r="A1578" s="89"/>
      <c r="B1578" s="90"/>
      <c r="C1578" s="89"/>
      <c r="D1578" s="84"/>
      <c r="E1578" s="83"/>
      <c r="F1578" s="84"/>
      <c r="G1578" s="84"/>
      <c r="H1578" s="84"/>
      <c r="I1578" s="91"/>
      <c r="J1578" s="85"/>
      <c r="K1578" s="85"/>
      <c r="L1578" s="84"/>
      <c r="M1578" s="85"/>
      <c r="N1578" s="93"/>
      <c r="O1578" s="93"/>
      <c r="P1578" s="82"/>
    </row>
    <row r="1579">
      <c r="A1579" s="89"/>
      <c r="B1579" s="90"/>
      <c r="C1579" s="89"/>
      <c r="D1579" s="84"/>
      <c r="E1579" s="83"/>
      <c r="F1579" s="84"/>
      <c r="G1579" s="84"/>
      <c r="H1579" s="84"/>
      <c r="I1579" s="91"/>
      <c r="J1579" s="85"/>
      <c r="K1579" s="85"/>
      <c r="L1579" s="84"/>
      <c r="M1579" s="85"/>
      <c r="N1579" s="93"/>
      <c r="O1579" s="93"/>
      <c r="P1579" s="82"/>
    </row>
    <row r="1580">
      <c r="A1580" s="89"/>
      <c r="B1580" s="90"/>
      <c r="C1580" s="89"/>
      <c r="D1580" s="84"/>
      <c r="E1580" s="83"/>
      <c r="F1580" s="84"/>
      <c r="G1580" s="84"/>
      <c r="H1580" s="84"/>
      <c r="I1580" s="91"/>
      <c r="J1580" s="85"/>
      <c r="K1580" s="85"/>
      <c r="L1580" s="84"/>
      <c r="M1580" s="85"/>
      <c r="N1580" s="93"/>
      <c r="O1580" s="93"/>
      <c r="P1580" s="82"/>
    </row>
    <row r="1581">
      <c r="A1581" s="89"/>
      <c r="B1581" s="90"/>
      <c r="C1581" s="89"/>
      <c r="D1581" s="84"/>
      <c r="E1581" s="83"/>
      <c r="F1581" s="84"/>
      <c r="G1581" s="84"/>
      <c r="H1581" s="84"/>
      <c r="I1581" s="91"/>
      <c r="J1581" s="85"/>
      <c r="K1581" s="85"/>
      <c r="L1581" s="84"/>
      <c r="M1581" s="85"/>
      <c r="N1581" s="93"/>
      <c r="O1581" s="93"/>
      <c r="P1581" s="82"/>
    </row>
    <row r="1582">
      <c r="A1582" s="89"/>
      <c r="B1582" s="90"/>
      <c r="C1582" s="89"/>
      <c r="D1582" s="84"/>
      <c r="E1582" s="83"/>
      <c r="F1582" s="84"/>
      <c r="G1582" s="84"/>
      <c r="H1582" s="84"/>
      <c r="I1582" s="91"/>
      <c r="J1582" s="85"/>
      <c r="K1582" s="85"/>
      <c r="L1582" s="84"/>
      <c r="M1582" s="85"/>
      <c r="N1582" s="93"/>
      <c r="O1582" s="93"/>
      <c r="P1582" s="82"/>
    </row>
    <row r="1583">
      <c r="A1583" s="89"/>
      <c r="B1583" s="90"/>
      <c r="C1583" s="89"/>
      <c r="D1583" s="84"/>
      <c r="E1583" s="83"/>
      <c r="F1583" s="84"/>
      <c r="G1583" s="84"/>
      <c r="H1583" s="84"/>
      <c r="I1583" s="91"/>
      <c r="J1583" s="85"/>
      <c r="K1583" s="85"/>
      <c r="L1583" s="84"/>
      <c r="M1583" s="85"/>
      <c r="N1583" s="93"/>
      <c r="O1583" s="93"/>
      <c r="P1583" s="82"/>
    </row>
    <row r="1584">
      <c r="A1584" s="89"/>
      <c r="B1584" s="90"/>
      <c r="C1584" s="89"/>
      <c r="D1584" s="84"/>
      <c r="E1584" s="83"/>
      <c r="F1584" s="84"/>
      <c r="G1584" s="84"/>
      <c r="H1584" s="84"/>
      <c r="I1584" s="91"/>
      <c r="J1584" s="85"/>
      <c r="K1584" s="85"/>
      <c r="L1584" s="84"/>
      <c r="M1584" s="85"/>
      <c r="N1584" s="93"/>
      <c r="O1584" s="93"/>
      <c r="P1584" s="82"/>
    </row>
    <row r="1585">
      <c r="A1585" s="89"/>
      <c r="B1585" s="90"/>
      <c r="C1585" s="89"/>
      <c r="D1585" s="84"/>
      <c r="E1585" s="83"/>
      <c r="F1585" s="84"/>
      <c r="G1585" s="84"/>
      <c r="H1585" s="84"/>
      <c r="I1585" s="91"/>
      <c r="J1585" s="85"/>
      <c r="K1585" s="85"/>
      <c r="L1585" s="84"/>
      <c r="M1585" s="85"/>
      <c r="N1585" s="93"/>
      <c r="O1585" s="93"/>
      <c r="P1585" s="82"/>
    </row>
    <row r="1586">
      <c r="A1586" s="89"/>
      <c r="B1586" s="90"/>
      <c r="C1586" s="89"/>
      <c r="D1586" s="84"/>
      <c r="E1586" s="83"/>
      <c r="F1586" s="84"/>
      <c r="G1586" s="84"/>
      <c r="H1586" s="84"/>
      <c r="I1586" s="91"/>
      <c r="J1586" s="85"/>
      <c r="K1586" s="85"/>
      <c r="L1586" s="84"/>
      <c r="M1586" s="85"/>
      <c r="N1586" s="93"/>
      <c r="O1586" s="93"/>
      <c r="P1586" s="82"/>
    </row>
    <row r="1587">
      <c r="A1587" s="89"/>
      <c r="B1587" s="90"/>
      <c r="C1587" s="89"/>
      <c r="D1587" s="84"/>
      <c r="E1587" s="83"/>
      <c r="F1587" s="84"/>
      <c r="G1587" s="84"/>
      <c r="H1587" s="84"/>
      <c r="I1587" s="91"/>
      <c r="J1587" s="85"/>
      <c r="K1587" s="85"/>
      <c r="L1587" s="84"/>
      <c r="M1587" s="85"/>
      <c r="N1587" s="93"/>
      <c r="O1587" s="93"/>
      <c r="P1587" s="82"/>
    </row>
    <row r="1588">
      <c r="A1588" s="89"/>
      <c r="B1588" s="90"/>
      <c r="C1588" s="89"/>
      <c r="D1588" s="84"/>
      <c r="E1588" s="83"/>
      <c r="F1588" s="84"/>
      <c r="G1588" s="84"/>
      <c r="H1588" s="84"/>
      <c r="I1588" s="91"/>
      <c r="J1588" s="85"/>
      <c r="K1588" s="85"/>
      <c r="L1588" s="84"/>
      <c r="M1588" s="85"/>
      <c r="N1588" s="93"/>
      <c r="O1588" s="93"/>
      <c r="P1588" s="82"/>
    </row>
    <row r="1589">
      <c r="A1589" s="89"/>
      <c r="B1589" s="90"/>
      <c r="C1589" s="89"/>
      <c r="D1589" s="84"/>
      <c r="E1589" s="83"/>
      <c r="F1589" s="84"/>
      <c r="G1589" s="84"/>
      <c r="H1589" s="84"/>
      <c r="I1589" s="91"/>
      <c r="J1589" s="85"/>
      <c r="K1589" s="85"/>
      <c r="L1589" s="84"/>
      <c r="M1589" s="85"/>
      <c r="N1589" s="93"/>
      <c r="O1589" s="93"/>
      <c r="P1589" s="82"/>
    </row>
    <row r="1590">
      <c r="A1590" s="89"/>
      <c r="B1590" s="90"/>
      <c r="C1590" s="89"/>
      <c r="D1590" s="84"/>
      <c r="E1590" s="83"/>
      <c r="F1590" s="84"/>
      <c r="G1590" s="84"/>
      <c r="H1590" s="84"/>
      <c r="I1590" s="91"/>
      <c r="J1590" s="85"/>
      <c r="K1590" s="85"/>
      <c r="L1590" s="84"/>
      <c r="M1590" s="85"/>
      <c r="N1590" s="93"/>
      <c r="O1590" s="93"/>
      <c r="P1590" s="82"/>
    </row>
    <row r="1591">
      <c r="A1591" s="89"/>
      <c r="B1591" s="90"/>
      <c r="C1591" s="89"/>
      <c r="D1591" s="84"/>
      <c r="E1591" s="83"/>
      <c r="F1591" s="84"/>
      <c r="G1591" s="84"/>
      <c r="H1591" s="84"/>
      <c r="I1591" s="91"/>
      <c r="J1591" s="85"/>
      <c r="K1591" s="85"/>
      <c r="L1591" s="84"/>
      <c r="M1591" s="85"/>
      <c r="N1591" s="93"/>
      <c r="O1591" s="93"/>
      <c r="P1591" s="82"/>
    </row>
    <row r="1592">
      <c r="A1592" s="89"/>
      <c r="B1592" s="90"/>
      <c r="C1592" s="89"/>
      <c r="D1592" s="84"/>
      <c r="E1592" s="83"/>
      <c r="F1592" s="84"/>
      <c r="G1592" s="84"/>
      <c r="H1592" s="84"/>
      <c r="I1592" s="91"/>
      <c r="J1592" s="85"/>
      <c r="K1592" s="85"/>
      <c r="L1592" s="84"/>
      <c r="M1592" s="85"/>
      <c r="N1592" s="93"/>
      <c r="O1592" s="93"/>
      <c r="P1592" s="82"/>
    </row>
    <row r="1593">
      <c r="A1593" s="89"/>
      <c r="B1593" s="90"/>
      <c r="C1593" s="89"/>
      <c r="D1593" s="84"/>
      <c r="E1593" s="83"/>
      <c r="F1593" s="84"/>
      <c r="G1593" s="84"/>
      <c r="H1593" s="84"/>
      <c r="I1593" s="91"/>
      <c r="J1593" s="85"/>
      <c r="K1593" s="85"/>
      <c r="L1593" s="84"/>
      <c r="M1593" s="85"/>
      <c r="N1593" s="93"/>
      <c r="O1593" s="93"/>
      <c r="P1593" s="82"/>
    </row>
    <row r="1594">
      <c r="A1594" s="89"/>
      <c r="B1594" s="90"/>
      <c r="C1594" s="89"/>
      <c r="D1594" s="84"/>
      <c r="E1594" s="83"/>
      <c r="F1594" s="84"/>
      <c r="G1594" s="84"/>
      <c r="H1594" s="84"/>
      <c r="I1594" s="91"/>
      <c r="J1594" s="85"/>
      <c r="K1594" s="85"/>
      <c r="L1594" s="84"/>
      <c r="M1594" s="85"/>
      <c r="N1594" s="93"/>
      <c r="O1594" s="93"/>
      <c r="P1594" s="82"/>
    </row>
    <row r="1595">
      <c r="A1595" s="89"/>
      <c r="B1595" s="90"/>
      <c r="C1595" s="89"/>
      <c r="D1595" s="84"/>
      <c r="E1595" s="83"/>
      <c r="F1595" s="84"/>
      <c r="G1595" s="84"/>
      <c r="H1595" s="84"/>
      <c r="I1595" s="91"/>
      <c r="J1595" s="85"/>
      <c r="K1595" s="85"/>
      <c r="L1595" s="84"/>
      <c r="M1595" s="85"/>
      <c r="N1595" s="93"/>
      <c r="O1595" s="93"/>
      <c r="P1595" s="82"/>
    </row>
    <row r="1596">
      <c r="A1596" s="89"/>
      <c r="B1596" s="90"/>
      <c r="C1596" s="89"/>
      <c r="D1596" s="84"/>
      <c r="E1596" s="83"/>
      <c r="F1596" s="84"/>
      <c r="G1596" s="84"/>
      <c r="H1596" s="84"/>
      <c r="I1596" s="91"/>
      <c r="J1596" s="85"/>
      <c r="K1596" s="85"/>
      <c r="L1596" s="84"/>
      <c r="M1596" s="85"/>
      <c r="N1596" s="93"/>
      <c r="O1596" s="93"/>
      <c r="P1596" s="82"/>
    </row>
    <row r="1597">
      <c r="A1597" s="89"/>
      <c r="B1597" s="90"/>
      <c r="C1597" s="89"/>
      <c r="D1597" s="84"/>
      <c r="E1597" s="83"/>
      <c r="F1597" s="84"/>
      <c r="G1597" s="84"/>
      <c r="H1597" s="84"/>
      <c r="I1597" s="91"/>
      <c r="J1597" s="85"/>
      <c r="K1597" s="85"/>
      <c r="L1597" s="84"/>
      <c r="M1597" s="85"/>
      <c r="N1597" s="93"/>
      <c r="O1597" s="93"/>
      <c r="P1597" s="82"/>
    </row>
    <row r="1598">
      <c r="A1598" s="89"/>
      <c r="B1598" s="90"/>
      <c r="C1598" s="89"/>
      <c r="D1598" s="84"/>
      <c r="E1598" s="83"/>
      <c r="F1598" s="84"/>
      <c r="G1598" s="84"/>
      <c r="H1598" s="84"/>
      <c r="I1598" s="91"/>
      <c r="J1598" s="85"/>
      <c r="K1598" s="85"/>
      <c r="L1598" s="84"/>
      <c r="M1598" s="85"/>
      <c r="N1598" s="93"/>
      <c r="O1598" s="93"/>
      <c r="P1598" s="82"/>
    </row>
    <row r="1599">
      <c r="A1599" s="89"/>
      <c r="B1599" s="90"/>
      <c r="C1599" s="89"/>
      <c r="D1599" s="84"/>
      <c r="E1599" s="83"/>
      <c r="F1599" s="84"/>
      <c r="G1599" s="84"/>
      <c r="H1599" s="84"/>
      <c r="I1599" s="91"/>
      <c r="J1599" s="85"/>
      <c r="K1599" s="85"/>
      <c r="L1599" s="84"/>
      <c r="M1599" s="85"/>
      <c r="N1599" s="93"/>
      <c r="O1599" s="93"/>
      <c r="P1599" s="82"/>
    </row>
    <row r="1600">
      <c r="A1600" s="89"/>
      <c r="B1600" s="90"/>
      <c r="C1600" s="89"/>
      <c r="D1600" s="84"/>
      <c r="E1600" s="83"/>
      <c r="F1600" s="84"/>
      <c r="G1600" s="84"/>
      <c r="H1600" s="84"/>
      <c r="I1600" s="91"/>
      <c r="J1600" s="85"/>
      <c r="K1600" s="85"/>
      <c r="L1600" s="84"/>
      <c r="M1600" s="85"/>
      <c r="N1600" s="93"/>
      <c r="O1600" s="93"/>
      <c r="P1600" s="82"/>
    </row>
    <row r="1601">
      <c r="A1601" s="89"/>
      <c r="B1601" s="90"/>
      <c r="C1601" s="89"/>
      <c r="D1601" s="84"/>
      <c r="E1601" s="83"/>
      <c r="F1601" s="84"/>
      <c r="G1601" s="84"/>
      <c r="H1601" s="84"/>
      <c r="I1601" s="91"/>
      <c r="J1601" s="85"/>
      <c r="K1601" s="85"/>
      <c r="L1601" s="84"/>
      <c r="M1601" s="85"/>
      <c r="N1601" s="93"/>
      <c r="O1601" s="93"/>
      <c r="P1601" s="82"/>
    </row>
    <row r="1602">
      <c r="A1602" s="89"/>
      <c r="B1602" s="90"/>
      <c r="C1602" s="89"/>
      <c r="D1602" s="84"/>
      <c r="E1602" s="83"/>
      <c r="F1602" s="84"/>
      <c r="G1602" s="84"/>
      <c r="H1602" s="84"/>
      <c r="I1602" s="91"/>
      <c r="J1602" s="85"/>
      <c r="K1602" s="85"/>
      <c r="L1602" s="84"/>
      <c r="M1602" s="85"/>
      <c r="N1602" s="93"/>
      <c r="O1602" s="93"/>
      <c r="P1602" s="82"/>
    </row>
    <row r="1603">
      <c r="A1603" s="89"/>
      <c r="B1603" s="90"/>
      <c r="C1603" s="89"/>
      <c r="D1603" s="84"/>
      <c r="E1603" s="83"/>
      <c r="F1603" s="84"/>
      <c r="G1603" s="84"/>
      <c r="H1603" s="84"/>
      <c r="I1603" s="91"/>
      <c r="J1603" s="85"/>
      <c r="K1603" s="85"/>
      <c r="L1603" s="84"/>
      <c r="M1603" s="85"/>
      <c r="N1603" s="93"/>
      <c r="O1603" s="93"/>
      <c r="P1603" s="82"/>
    </row>
    <row r="1604">
      <c r="A1604" s="89"/>
      <c r="B1604" s="90"/>
      <c r="C1604" s="89"/>
      <c r="D1604" s="84"/>
      <c r="E1604" s="83"/>
      <c r="F1604" s="84"/>
      <c r="G1604" s="84"/>
      <c r="H1604" s="84"/>
      <c r="I1604" s="91"/>
      <c r="J1604" s="85"/>
      <c r="K1604" s="85"/>
      <c r="L1604" s="84"/>
      <c r="M1604" s="85"/>
      <c r="N1604" s="93"/>
      <c r="O1604" s="93"/>
      <c r="P1604" s="82"/>
    </row>
    <row r="1605">
      <c r="A1605" s="89"/>
      <c r="B1605" s="90"/>
      <c r="C1605" s="89"/>
      <c r="D1605" s="84"/>
      <c r="E1605" s="83"/>
      <c r="F1605" s="84"/>
      <c r="G1605" s="84"/>
      <c r="H1605" s="84"/>
      <c r="I1605" s="91"/>
      <c r="J1605" s="85"/>
      <c r="K1605" s="85"/>
      <c r="L1605" s="84"/>
      <c r="M1605" s="85"/>
      <c r="N1605" s="93"/>
      <c r="O1605" s="93"/>
      <c r="P1605" s="82"/>
    </row>
    <row r="1606">
      <c r="A1606" s="89"/>
      <c r="B1606" s="90"/>
      <c r="C1606" s="89"/>
      <c r="D1606" s="84"/>
      <c r="E1606" s="83"/>
      <c r="F1606" s="84"/>
      <c r="G1606" s="84"/>
      <c r="H1606" s="84"/>
      <c r="I1606" s="91"/>
      <c r="J1606" s="85"/>
      <c r="K1606" s="85"/>
      <c r="L1606" s="84"/>
      <c r="M1606" s="85"/>
      <c r="N1606" s="93"/>
      <c r="O1606" s="93"/>
      <c r="P1606" s="82"/>
    </row>
    <row r="1607">
      <c r="A1607" s="89"/>
      <c r="B1607" s="90"/>
      <c r="C1607" s="89"/>
      <c r="D1607" s="84"/>
      <c r="E1607" s="83"/>
      <c r="F1607" s="84"/>
      <c r="G1607" s="84"/>
      <c r="H1607" s="84"/>
      <c r="I1607" s="91"/>
      <c r="J1607" s="85"/>
      <c r="K1607" s="85"/>
      <c r="L1607" s="84"/>
      <c r="M1607" s="85"/>
      <c r="N1607" s="93"/>
      <c r="O1607" s="93"/>
      <c r="P1607" s="82"/>
    </row>
    <row r="1608">
      <c r="A1608" s="89"/>
      <c r="B1608" s="90"/>
      <c r="C1608" s="89"/>
      <c r="D1608" s="84"/>
      <c r="E1608" s="83"/>
      <c r="F1608" s="84"/>
      <c r="G1608" s="84"/>
      <c r="H1608" s="84"/>
      <c r="I1608" s="91"/>
      <c r="J1608" s="85"/>
      <c r="K1608" s="85"/>
      <c r="L1608" s="84"/>
      <c r="M1608" s="85"/>
      <c r="N1608" s="93"/>
      <c r="O1608" s="93"/>
      <c r="P1608" s="82"/>
    </row>
    <row r="1609">
      <c r="A1609" s="89"/>
      <c r="B1609" s="90"/>
      <c r="C1609" s="89"/>
      <c r="D1609" s="84"/>
      <c r="E1609" s="83"/>
      <c r="F1609" s="84"/>
      <c r="G1609" s="84"/>
      <c r="H1609" s="84"/>
      <c r="I1609" s="91"/>
      <c r="J1609" s="85"/>
      <c r="K1609" s="85"/>
      <c r="L1609" s="84"/>
      <c r="M1609" s="85"/>
      <c r="N1609" s="93"/>
      <c r="O1609" s="93"/>
      <c r="P1609" s="82"/>
    </row>
    <row r="1610">
      <c r="A1610" s="89"/>
      <c r="B1610" s="90"/>
      <c r="C1610" s="89"/>
      <c r="D1610" s="84"/>
      <c r="E1610" s="83"/>
      <c r="F1610" s="84"/>
      <c r="G1610" s="84"/>
      <c r="H1610" s="84"/>
      <c r="I1610" s="91"/>
      <c r="J1610" s="85"/>
      <c r="K1610" s="85"/>
      <c r="L1610" s="84"/>
      <c r="M1610" s="85"/>
      <c r="N1610" s="93"/>
      <c r="O1610" s="93"/>
      <c r="P1610" s="82"/>
    </row>
    <row r="1611">
      <c r="A1611" s="89"/>
      <c r="B1611" s="90"/>
      <c r="C1611" s="89"/>
      <c r="D1611" s="84"/>
      <c r="E1611" s="83"/>
      <c r="F1611" s="84"/>
      <c r="G1611" s="84"/>
      <c r="H1611" s="84"/>
      <c r="I1611" s="91"/>
      <c r="J1611" s="85"/>
      <c r="K1611" s="85"/>
      <c r="L1611" s="84"/>
      <c r="M1611" s="85"/>
      <c r="N1611" s="93"/>
      <c r="O1611" s="93"/>
      <c r="P1611" s="82"/>
    </row>
    <row r="1612">
      <c r="A1612" s="89"/>
      <c r="B1612" s="90"/>
      <c r="C1612" s="89"/>
      <c r="D1612" s="84"/>
      <c r="E1612" s="83"/>
      <c r="F1612" s="84"/>
      <c r="G1612" s="84"/>
      <c r="H1612" s="84"/>
      <c r="I1612" s="91"/>
      <c r="J1612" s="85"/>
      <c r="K1612" s="85"/>
      <c r="L1612" s="84"/>
      <c r="M1612" s="85"/>
      <c r="N1612" s="93"/>
      <c r="O1612" s="93"/>
      <c r="P1612" s="82"/>
    </row>
    <row r="1613">
      <c r="A1613" s="89"/>
      <c r="B1613" s="90"/>
      <c r="C1613" s="89"/>
      <c r="D1613" s="84"/>
      <c r="E1613" s="83"/>
      <c r="F1613" s="84"/>
      <c r="G1613" s="84"/>
      <c r="H1613" s="84"/>
      <c r="I1613" s="91"/>
      <c r="J1613" s="85"/>
      <c r="K1613" s="85"/>
      <c r="L1613" s="84"/>
      <c r="M1613" s="85"/>
      <c r="N1613" s="93"/>
      <c r="O1613" s="93"/>
      <c r="P1613" s="82"/>
    </row>
    <row r="1614">
      <c r="A1614" s="89"/>
      <c r="B1614" s="90"/>
      <c r="C1614" s="89"/>
      <c r="D1614" s="84"/>
      <c r="E1614" s="83"/>
      <c r="F1614" s="84"/>
      <c r="G1614" s="84"/>
      <c r="H1614" s="84"/>
      <c r="I1614" s="91"/>
      <c r="J1614" s="85"/>
      <c r="K1614" s="85"/>
      <c r="L1614" s="84"/>
      <c r="M1614" s="85"/>
      <c r="N1614" s="93"/>
      <c r="O1614" s="93"/>
      <c r="P1614" s="82"/>
    </row>
    <row r="1615">
      <c r="A1615" s="89"/>
      <c r="B1615" s="90"/>
      <c r="C1615" s="89"/>
      <c r="D1615" s="84"/>
      <c r="E1615" s="83"/>
      <c r="F1615" s="84"/>
      <c r="G1615" s="84"/>
      <c r="H1615" s="84"/>
      <c r="I1615" s="91"/>
      <c r="J1615" s="85"/>
      <c r="K1615" s="85"/>
      <c r="L1615" s="84"/>
      <c r="M1615" s="85"/>
      <c r="N1615" s="93"/>
      <c r="O1615" s="93"/>
      <c r="P1615" s="82"/>
    </row>
    <row r="1616">
      <c r="A1616" s="89"/>
      <c r="B1616" s="90"/>
      <c r="C1616" s="89"/>
      <c r="D1616" s="84"/>
      <c r="E1616" s="83"/>
      <c r="F1616" s="84"/>
      <c r="G1616" s="84"/>
      <c r="H1616" s="84"/>
      <c r="I1616" s="91"/>
      <c r="J1616" s="85"/>
      <c r="K1616" s="85"/>
      <c r="L1616" s="84"/>
      <c r="M1616" s="85"/>
      <c r="N1616" s="93"/>
      <c r="O1616" s="93"/>
      <c r="P1616" s="82"/>
    </row>
    <row r="1617">
      <c r="A1617" s="89"/>
      <c r="B1617" s="90"/>
      <c r="C1617" s="89"/>
      <c r="D1617" s="84"/>
      <c r="E1617" s="83"/>
      <c r="F1617" s="84"/>
      <c r="G1617" s="84"/>
      <c r="H1617" s="84"/>
      <c r="I1617" s="91"/>
      <c r="J1617" s="85"/>
      <c r="K1617" s="85"/>
      <c r="L1617" s="84"/>
      <c r="M1617" s="85"/>
      <c r="N1617" s="93"/>
      <c r="O1617" s="93"/>
      <c r="P1617" s="82"/>
    </row>
    <row r="1618">
      <c r="A1618" s="89"/>
      <c r="B1618" s="90"/>
      <c r="C1618" s="89"/>
      <c r="D1618" s="84"/>
      <c r="E1618" s="83"/>
      <c r="F1618" s="84"/>
      <c r="G1618" s="84"/>
      <c r="H1618" s="84"/>
      <c r="I1618" s="91"/>
      <c r="J1618" s="85"/>
      <c r="K1618" s="85"/>
      <c r="L1618" s="84"/>
      <c r="M1618" s="85"/>
      <c r="N1618" s="93"/>
      <c r="O1618" s="93"/>
      <c r="P1618" s="82"/>
    </row>
    <row r="1619">
      <c r="A1619" s="89"/>
      <c r="B1619" s="90"/>
      <c r="C1619" s="89"/>
      <c r="D1619" s="84"/>
      <c r="E1619" s="83"/>
      <c r="F1619" s="84"/>
      <c r="G1619" s="84"/>
      <c r="H1619" s="84"/>
      <c r="I1619" s="91"/>
      <c r="J1619" s="85"/>
      <c r="K1619" s="85"/>
      <c r="L1619" s="84"/>
      <c r="M1619" s="85"/>
      <c r="N1619" s="93"/>
      <c r="O1619" s="93"/>
      <c r="P1619" s="82"/>
    </row>
    <row r="1620">
      <c r="A1620" s="89"/>
      <c r="B1620" s="90"/>
      <c r="C1620" s="89"/>
      <c r="D1620" s="84"/>
      <c r="E1620" s="83"/>
      <c r="F1620" s="84"/>
      <c r="G1620" s="84"/>
      <c r="H1620" s="84"/>
      <c r="I1620" s="91"/>
      <c r="J1620" s="85"/>
      <c r="K1620" s="85"/>
      <c r="L1620" s="84"/>
      <c r="M1620" s="85"/>
      <c r="N1620" s="93"/>
      <c r="O1620" s="93"/>
      <c r="P1620" s="82"/>
    </row>
    <row r="1621">
      <c r="A1621" s="89"/>
      <c r="B1621" s="90"/>
      <c r="C1621" s="89"/>
      <c r="D1621" s="84"/>
      <c r="E1621" s="83"/>
      <c r="F1621" s="84"/>
      <c r="G1621" s="84"/>
      <c r="H1621" s="84"/>
      <c r="I1621" s="91"/>
      <c r="J1621" s="85"/>
      <c r="K1621" s="85"/>
      <c r="L1621" s="84"/>
      <c r="M1621" s="85"/>
      <c r="N1621" s="93"/>
      <c r="O1621" s="93"/>
      <c r="P1621" s="82"/>
    </row>
    <row r="1622">
      <c r="A1622" s="89"/>
      <c r="B1622" s="90"/>
      <c r="C1622" s="89"/>
      <c r="D1622" s="84"/>
      <c r="E1622" s="83"/>
      <c r="F1622" s="84"/>
      <c r="G1622" s="84"/>
      <c r="H1622" s="84"/>
      <c r="I1622" s="91"/>
      <c r="J1622" s="85"/>
      <c r="K1622" s="85"/>
      <c r="L1622" s="84"/>
      <c r="M1622" s="85"/>
      <c r="N1622" s="93"/>
      <c r="O1622" s="93"/>
      <c r="P1622" s="82"/>
    </row>
    <row r="1623">
      <c r="A1623" s="89"/>
      <c r="B1623" s="90"/>
      <c r="C1623" s="89"/>
      <c r="D1623" s="84"/>
      <c r="E1623" s="83"/>
      <c r="F1623" s="84"/>
      <c r="G1623" s="84"/>
      <c r="H1623" s="84"/>
      <c r="I1623" s="91"/>
      <c r="J1623" s="85"/>
      <c r="K1623" s="85"/>
      <c r="L1623" s="84"/>
      <c r="M1623" s="85"/>
      <c r="N1623" s="93"/>
      <c r="O1623" s="93"/>
      <c r="P1623" s="82"/>
    </row>
    <row r="1624">
      <c r="A1624" s="89"/>
      <c r="B1624" s="90"/>
      <c r="C1624" s="89"/>
      <c r="D1624" s="84"/>
      <c r="E1624" s="83"/>
      <c r="F1624" s="84"/>
      <c r="G1624" s="84"/>
      <c r="H1624" s="84"/>
      <c r="I1624" s="91"/>
      <c r="J1624" s="85"/>
      <c r="K1624" s="85"/>
      <c r="L1624" s="84"/>
      <c r="M1624" s="85"/>
      <c r="N1624" s="93"/>
      <c r="O1624" s="93"/>
      <c r="P1624" s="82"/>
    </row>
    <row r="1625">
      <c r="A1625" s="89"/>
      <c r="B1625" s="90"/>
      <c r="C1625" s="89"/>
      <c r="D1625" s="84"/>
      <c r="E1625" s="83"/>
      <c r="F1625" s="84"/>
      <c r="G1625" s="84"/>
      <c r="H1625" s="84"/>
      <c r="I1625" s="91"/>
      <c r="J1625" s="85"/>
      <c r="K1625" s="85"/>
      <c r="L1625" s="84"/>
      <c r="M1625" s="85"/>
      <c r="N1625" s="93"/>
      <c r="O1625" s="93"/>
      <c r="P1625" s="82"/>
    </row>
    <row r="1626">
      <c r="A1626" s="89"/>
      <c r="B1626" s="90"/>
      <c r="C1626" s="89"/>
      <c r="D1626" s="84"/>
      <c r="E1626" s="83"/>
      <c r="F1626" s="84"/>
      <c r="G1626" s="84"/>
      <c r="H1626" s="84"/>
      <c r="I1626" s="91"/>
      <c r="J1626" s="85"/>
      <c r="K1626" s="85"/>
      <c r="L1626" s="84"/>
      <c r="M1626" s="85"/>
      <c r="N1626" s="93"/>
      <c r="O1626" s="93"/>
      <c r="P1626" s="82"/>
    </row>
    <row r="1627">
      <c r="A1627" s="89"/>
      <c r="B1627" s="90"/>
      <c r="C1627" s="89"/>
      <c r="D1627" s="84"/>
      <c r="E1627" s="83"/>
      <c r="F1627" s="84"/>
      <c r="G1627" s="84"/>
      <c r="H1627" s="84"/>
      <c r="I1627" s="91"/>
      <c r="J1627" s="85"/>
      <c r="K1627" s="85"/>
      <c r="L1627" s="84"/>
      <c r="M1627" s="85"/>
      <c r="N1627" s="93"/>
      <c r="O1627" s="93"/>
      <c r="P1627" s="82"/>
    </row>
    <row r="1628">
      <c r="A1628" s="89"/>
      <c r="B1628" s="90"/>
      <c r="C1628" s="89"/>
      <c r="D1628" s="84"/>
      <c r="E1628" s="83"/>
      <c r="F1628" s="84"/>
      <c r="G1628" s="84"/>
      <c r="H1628" s="84"/>
      <c r="I1628" s="91"/>
      <c r="J1628" s="85"/>
      <c r="K1628" s="85"/>
      <c r="L1628" s="84"/>
      <c r="M1628" s="85"/>
      <c r="N1628" s="93"/>
      <c r="O1628" s="93"/>
      <c r="P1628" s="82"/>
    </row>
    <row r="1629">
      <c r="A1629" s="89"/>
      <c r="B1629" s="90"/>
      <c r="C1629" s="89"/>
      <c r="D1629" s="84"/>
      <c r="E1629" s="83"/>
      <c r="F1629" s="84"/>
      <c r="G1629" s="84"/>
      <c r="H1629" s="84"/>
      <c r="I1629" s="91"/>
      <c r="J1629" s="85"/>
      <c r="K1629" s="85"/>
      <c r="L1629" s="84"/>
      <c r="M1629" s="85"/>
      <c r="N1629" s="93"/>
      <c r="O1629" s="93"/>
      <c r="P1629" s="82"/>
    </row>
    <row r="1630">
      <c r="A1630" s="89"/>
      <c r="B1630" s="90"/>
      <c r="C1630" s="89"/>
      <c r="D1630" s="84"/>
      <c r="E1630" s="83"/>
      <c r="F1630" s="84"/>
      <c r="G1630" s="84"/>
      <c r="H1630" s="84"/>
      <c r="I1630" s="91"/>
      <c r="J1630" s="85"/>
      <c r="K1630" s="85"/>
      <c r="L1630" s="84"/>
      <c r="M1630" s="85"/>
      <c r="N1630" s="93"/>
      <c r="O1630" s="93"/>
      <c r="P1630" s="82"/>
    </row>
    <row r="1631">
      <c r="A1631" s="89"/>
      <c r="B1631" s="90"/>
      <c r="C1631" s="89"/>
      <c r="D1631" s="84"/>
      <c r="E1631" s="83"/>
      <c r="F1631" s="84"/>
      <c r="G1631" s="84"/>
      <c r="H1631" s="84"/>
      <c r="I1631" s="91"/>
      <c r="J1631" s="85"/>
      <c r="K1631" s="85"/>
      <c r="L1631" s="84"/>
      <c r="M1631" s="85"/>
      <c r="N1631" s="93"/>
      <c r="O1631" s="93"/>
      <c r="P1631" s="82"/>
    </row>
    <row r="1632">
      <c r="A1632" s="89"/>
      <c r="B1632" s="90"/>
      <c r="C1632" s="89"/>
      <c r="D1632" s="84"/>
      <c r="E1632" s="83"/>
      <c r="F1632" s="84"/>
      <c r="G1632" s="84"/>
      <c r="H1632" s="84"/>
      <c r="I1632" s="91"/>
      <c r="J1632" s="85"/>
      <c r="K1632" s="85"/>
      <c r="L1632" s="84"/>
      <c r="M1632" s="85"/>
      <c r="N1632" s="93"/>
      <c r="O1632" s="93"/>
      <c r="P1632" s="82"/>
    </row>
    <row r="1633">
      <c r="A1633" s="89"/>
      <c r="B1633" s="90"/>
      <c r="C1633" s="89"/>
      <c r="D1633" s="84"/>
      <c r="E1633" s="83"/>
      <c r="F1633" s="84"/>
      <c r="G1633" s="84"/>
      <c r="H1633" s="84"/>
      <c r="I1633" s="91"/>
      <c r="J1633" s="85"/>
      <c r="K1633" s="85"/>
      <c r="L1633" s="84"/>
      <c r="M1633" s="85"/>
      <c r="N1633" s="93"/>
      <c r="O1633" s="93"/>
      <c r="P1633" s="82"/>
    </row>
    <row r="1634">
      <c r="A1634" s="89"/>
      <c r="B1634" s="90"/>
      <c r="C1634" s="89"/>
      <c r="D1634" s="84"/>
      <c r="E1634" s="83"/>
      <c r="F1634" s="84"/>
      <c r="G1634" s="84"/>
      <c r="H1634" s="84"/>
      <c r="I1634" s="91"/>
      <c r="J1634" s="85"/>
      <c r="K1634" s="85"/>
      <c r="L1634" s="84"/>
      <c r="M1634" s="85"/>
      <c r="N1634" s="93"/>
      <c r="O1634" s="93"/>
      <c r="P1634" s="82"/>
    </row>
    <row r="1635">
      <c r="A1635" s="89"/>
      <c r="B1635" s="90"/>
      <c r="C1635" s="89"/>
      <c r="D1635" s="84"/>
      <c r="E1635" s="83"/>
      <c r="F1635" s="84"/>
      <c r="G1635" s="84"/>
      <c r="H1635" s="84"/>
      <c r="I1635" s="91"/>
      <c r="J1635" s="85"/>
      <c r="K1635" s="85"/>
      <c r="L1635" s="84"/>
      <c r="M1635" s="85"/>
      <c r="N1635" s="93"/>
      <c r="O1635" s="93"/>
      <c r="P1635" s="82"/>
    </row>
    <row r="1636">
      <c r="A1636" s="89"/>
      <c r="B1636" s="90"/>
      <c r="C1636" s="89"/>
      <c r="D1636" s="84"/>
      <c r="E1636" s="83"/>
      <c r="F1636" s="84"/>
      <c r="G1636" s="84"/>
      <c r="H1636" s="84"/>
      <c r="I1636" s="91"/>
      <c r="J1636" s="85"/>
      <c r="K1636" s="85"/>
      <c r="L1636" s="84"/>
      <c r="M1636" s="85"/>
      <c r="N1636" s="93"/>
      <c r="O1636" s="93"/>
      <c r="P1636" s="82"/>
    </row>
    <row r="1637">
      <c r="A1637" s="89"/>
      <c r="B1637" s="90"/>
      <c r="C1637" s="89"/>
      <c r="D1637" s="84"/>
      <c r="E1637" s="83"/>
      <c r="F1637" s="84"/>
      <c r="G1637" s="84"/>
      <c r="H1637" s="84"/>
      <c r="I1637" s="91"/>
      <c r="J1637" s="85"/>
      <c r="K1637" s="85"/>
      <c r="L1637" s="84"/>
      <c r="M1637" s="85"/>
      <c r="N1637" s="93"/>
      <c r="O1637" s="93"/>
      <c r="P1637" s="82"/>
    </row>
    <row r="1638">
      <c r="A1638" s="89"/>
      <c r="B1638" s="90"/>
      <c r="C1638" s="89"/>
      <c r="D1638" s="84"/>
      <c r="E1638" s="83"/>
      <c r="F1638" s="84"/>
      <c r="G1638" s="84"/>
      <c r="H1638" s="84"/>
      <c r="I1638" s="91"/>
      <c r="J1638" s="85"/>
      <c r="K1638" s="85"/>
      <c r="L1638" s="84"/>
      <c r="M1638" s="85"/>
      <c r="N1638" s="93"/>
      <c r="O1638" s="93"/>
      <c r="P1638" s="82"/>
    </row>
    <row r="1639">
      <c r="A1639" s="89"/>
      <c r="B1639" s="90"/>
      <c r="C1639" s="89"/>
      <c r="D1639" s="84"/>
      <c r="E1639" s="83"/>
      <c r="F1639" s="84"/>
      <c r="G1639" s="84"/>
      <c r="H1639" s="84"/>
      <c r="I1639" s="91"/>
      <c r="J1639" s="85"/>
      <c r="K1639" s="85"/>
      <c r="L1639" s="84"/>
      <c r="M1639" s="85"/>
      <c r="N1639" s="93"/>
      <c r="O1639" s="93"/>
      <c r="P1639" s="82"/>
    </row>
    <row r="1640">
      <c r="A1640" s="89"/>
      <c r="B1640" s="90"/>
      <c r="C1640" s="89"/>
      <c r="D1640" s="84"/>
      <c r="E1640" s="83"/>
      <c r="F1640" s="84"/>
      <c r="G1640" s="84"/>
      <c r="H1640" s="84"/>
      <c r="I1640" s="91"/>
      <c r="J1640" s="85"/>
      <c r="K1640" s="85"/>
      <c r="L1640" s="84"/>
      <c r="M1640" s="85"/>
      <c r="N1640" s="93"/>
      <c r="O1640" s="93"/>
      <c r="P1640" s="82"/>
    </row>
    <row r="1641">
      <c r="A1641" s="89"/>
      <c r="B1641" s="90"/>
      <c r="C1641" s="89"/>
      <c r="D1641" s="84"/>
      <c r="E1641" s="83"/>
      <c r="F1641" s="84"/>
      <c r="G1641" s="84"/>
      <c r="H1641" s="84"/>
      <c r="I1641" s="91"/>
      <c r="J1641" s="85"/>
      <c r="K1641" s="85"/>
      <c r="L1641" s="84"/>
      <c r="M1641" s="85"/>
      <c r="N1641" s="93"/>
      <c r="O1641" s="93"/>
      <c r="P1641" s="82"/>
    </row>
    <row r="1642">
      <c r="A1642" s="89"/>
      <c r="B1642" s="90"/>
      <c r="C1642" s="89"/>
      <c r="D1642" s="84"/>
      <c r="E1642" s="83"/>
      <c r="F1642" s="84"/>
      <c r="G1642" s="84"/>
      <c r="H1642" s="84"/>
      <c r="I1642" s="91"/>
      <c r="J1642" s="85"/>
      <c r="K1642" s="85"/>
      <c r="L1642" s="84"/>
      <c r="M1642" s="85"/>
      <c r="N1642" s="93"/>
      <c r="O1642" s="93"/>
      <c r="P1642" s="82"/>
    </row>
    <row r="1643">
      <c r="A1643" s="89"/>
      <c r="B1643" s="90"/>
      <c r="C1643" s="89"/>
      <c r="D1643" s="84"/>
      <c r="E1643" s="83"/>
      <c r="F1643" s="84"/>
      <c r="G1643" s="84"/>
      <c r="H1643" s="84"/>
      <c r="I1643" s="91"/>
      <c r="J1643" s="85"/>
      <c r="K1643" s="85"/>
      <c r="L1643" s="84"/>
      <c r="M1643" s="85"/>
      <c r="N1643" s="93"/>
      <c r="O1643" s="93"/>
      <c r="P1643" s="82"/>
    </row>
    <row r="1644">
      <c r="A1644" s="89"/>
      <c r="B1644" s="90"/>
      <c r="C1644" s="89"/>
      <c r="D1644" s="84"/>
      <c r="E1644" s="83"/>
      <c r="F1644" s="84"/>
      <c r="G1644" s="84"/>
      <c r="H1644" s="84"/>
      <c r="I1644" s="91"/>
      <c r="J1644" s="85"/>
      <c r="K1644" s="85"/>
      <c r="L1644" s="84"/>
      <c r="M1644" s="85"/>
      <c r="N1644" s="93"/>
      <c r="O1644" s="93"/>
      <c r="P1644" s="82"/>
    </row>
    <row r="1645">
      <c r="A1645" s="89"/>
      <c r="B1645" s="90"/>
      <c r="C1645" s="89"/>
      <c r="D1645" s="84"/>
      <c r="E1645" s="83"/>
      <c r="F1645" s="84"/>
      <c r="G1645" s="84"/>
      <c r="H1645" s="84"/>
      <c r="I1645" s="91"/>
      <c r="J1645" s="85"/>
      <c r="K1645" s="85"/>
      <c r="L1645" s="84"/>
      <c r="M1645" s="85"/>
      <c r="N1645" s="93"/>
      <c r="O1645" s="93"/>
      <c r="P1645" s="82"/>
    </row>
    <row r="1646">
      <c r="A1646" s="89"/>
      <c r="B1646" s="90"/>
      <c r="C1646" s="89"/>
      <c r="D1646" s="84"/>
      <c r="E1646" s="83"/>
      <c r="F1646" s="84"/>
      <c r="G1646" s="84"/>
      <c r="H1646" s="84"/>
      <c r="I1646" s="91"/>
      <c r="J1646" s="85"/>
      <c r="K1646" s="85"/>
      <c r="L1646" s="84"/>
      <c r="M1646" s="85"/>
      <c r="N1646" s="93"/>
      <c r="O1646" s="93"/>
      <c r="P1646" s="82"/>
    </row>
    <row r="1647">
      <c r="A1647" s="89"/>
      <c r="B1647" s="90"/>
      <c r="C1647" s="89"/>
      <c r="D1647" s="84"/>
      <c r="E1647" s="83"/>
      <c r="F1647" s="84"/>
      <c r="G1647" s="84"/>
      <c r="H1647" s="84"/>
      <c r="I1647" s="91"/>
      <c r="J1647" s="85"/>
      <c r="K1647" s="85"/>
      <c r="L1647" s="84"/>
      <c r="M1647" s="85"/>
      <c r="N1647" s="93"/>
      <c r="O1647" s="93"/>
      <c r="P1647" s="82"/>
    </row>
    <row r="1648">
      <c r="A1648" s="89"/>
      <c r="B1648" s="90"/>
      <c r="C1648" s="89"/>
      <c r="D1648" s="84"/>
      <c r="E1648" s="83"/>
      <c r="F1648" s="84"/>
      <c r="G1648" s="84"/>
      <c r="H1648" s="84"/>
      <c r="I1648" s="91"/>
      <c r="J1648" s="85"/>
      <c r="K1648" s="85"/>
      <c r="L1648" s="84"/>
      <c r="M1648" s="85"/>
      <c r="N1648" s="93"/>
      <c r="O1648" s="93"/>
      <c r="P1648" s="82"/>
    </row>
    <row r="1649">
      <c r="A1649" s="89"/>
      <c r="B1649" s="90"/>
      <c r="C1649" s="89"/>
      <c r="D1649" s="84"/>
      <c r="E1649" s="83"/>
      <c r="F1649" s="84"/>
      <c r="G1649" s="84"/>
      <c r="H1649" s="84"/>
      <c r="I1649" s="91"/>
      <c r="J1649" s="85"/>
      <c r="K1649" s="85"/>
      <c r="L1649" s="84"/>
      <c r="M1649" s="85"/>
      <c r="N1649" s="93"/>
      <c r="O1649" s="93"/>
      <c r="P1649" s="82"/>
    </row>
    <row r="1650">
      <c r="A1650" s="89"/>
      <c r="B1650" s="90"/>
      <c r="C1650" s="89"/>
      <c r="D1650" s="84"/>
      <c r="E1650" s="83"/>
      <c r="F1650" s="84"/>
      <c r="G1650" s="84"/>
      <c r="H1650" s="84"/>
      <c r="I1650" s="91"/>
      <c r="J1650" s="85"/>
      <c r="K1650" s="85"/>
      <c r="L1650" s="84"/>
      <c r="M1650" s="85"/>
      <c r="N1650" s="93"/>
      <c r="O1650" s="93"/>
      <c r="P1650" s="82"/>
    </row>
    <row r="1651">
      <c r="A1651" s="89"/>
      <c r="B1651" s="90"/>
      <c r="C1651" s="89"/>
      <c r="D1651" s="84"/>
      <c r="E1651" s="83"/>
      <c r="F1651" s="84"/>
      <c r="G1651" s="84"/>
      <c r="H1651" s="84"/>
      <c r="I1651" s="91"/>
      <c r="J1651" s="85"/>
      <c r="K1651" s="85"/>
      <c r="L1651" s="84"/>
      <c r="M1651" s="85"/>
      <c r="N1651" s="93"/>
      <c r="O1651" s="93"/>
      <c r="P1651" s="82"/>
    </row>
    <row r="1652">
      <c r="A1652" s="89"/>
      <c r="B1652" s="90"/>
      <c r="C1652" s="89"/>
      <c r="D1652" s="84"/>
      <c r="E1652" s="83"/>
      <c r="F1652" s="84"/>
      <c r="G1652" s="84"/>
      <c r="H1652" s="84"/>
      <c r="I1652" s="91"/>
      <c r="J1652" s="85"/>
      <c r="K1652" s="85"/>
      <c r="L1652" s="84"/>
      <c r="M1652" s="85"/>
      <c r="N1652" s="93"/>
      <c r="O1652" s="93"/>
      <c r="P1652" s="82"/>
    </row>
    <row r="1653">
      <c r="A1653" s="89"/>
      <c r="B1653" s="90"/>
      <c r="C1653" s="89"/>
      <c r="D1653" s="84"/>
      <c r="E1653" s="83"/>
      <c r="F1653" s="84"/>
      <c r="G1653" s="84"/>
      <c r="H1653" s="84"/>
      <c r="I1653" s="91"/>
      <c r="J1653" s="85"/>
      <c r="K1653" s="85"/>
      <c r="L1653" s="84"/>
      <c r="M1653" s="85"/>
      <c r="N1653" s="93"/>
      <c r="O1653" s="93"/>
      <c r="P1653" s="82"/>
    </row>
    <row r="1654">
      <c r="A1654" s="89"/>
      <c r="B1654" s="90"/>
      <c r="C1654" s="89"/>
      <c r="D1654" s="84"/>
      <c r="E1654" s="83"/>
      <c r="F1654" s="84"/>
      <c r="G1654" s="84"/>
      <c r="H1654" s="84"/>
      <c r="I1654" s="91"/>
      <c r="J1654" s="85"/>
      <c r="K1654" s="85"/>
      <c r="L1654" s="84"/>
      <c r="M1654" s="85"/>
      <c r="N1654" s="93"/>
      <c r="O1654" s="93"/>
      <c r="P1654" s="82"/>
    </row>
    <row r="1655">
      <c r="A1655" s="89"/>
      <c r="B1655" s="90"/>
      <c r="C1655" s="89"/>
      <c r="D1655" s="84"/>
      <c r="E1655" s="83"/>
      <c r="F1655" s="84"/>
      <c r="G1655" s="84"/>
      <c r="H1655" s="84"/>
      <c r="I1655" s="91"/>
      <c r="J1655" s="85"/>
      <c r="K1655" s="85"/>
      <c r="L1655" s="84"/>
      <c r="M1655" s="85"/>
      <c r="N1655" s="93"/>
      <c r="O1655" s="93"/>
      <c r="P1655" s="82"/>
    </row>
    <row r="1656">
      <c r="A1656" s="89"/>
      <c r="B1656" s="90"/>
      <c r="C1656" s="89"/>
      <c r="D1656" s="84"/>
      <c r="E1656" s="83"/>
      <c r="F1656" s="84"/>
      <c r="G1656" s="84"/>
      <c r="H1656" s="84"/>
      <c r="I1656" s="91"/>
      <c r="J1656" s="85"/>
      <c r="K1656" s="85"/>
      <c r="L1656" s="84"/>
      <c r="M1656" s="85"/>
      <c r="N1656" s="93"/>
      <c r="O1656" s="93"/>
      <c r="P1656" s="82"/>
    </row>
    <row r="1657">
      <c r="A1657" s="89"/>
      <c r="B1657" s="90"/>
      <c r="C1657" s="89"/>
      <c r="D1657" s="84"/>
      <c r="E1657" s="83"/>
      <c r="F1657" s="84"/>
      <c r="G1657" s="84"/>
      <c r="H1657" s="84"/>
      <c r="I1657" s="91"/>
      <c r="J1657" s="85"/>
      <c r="K1657" s="85"/>
      <c r="L1657" s="84"/>
      <c r="M1657" s="85"/>
      <c r="N1657" s="93"/>
      <c r="O1657" s="93"/>
      <c r="P1657" s="82"/>
    </row>
    <row r="1658">
      <c r="A1658" s="89"/>
      <c r="B1658" s="90"/>
      <c r="C1658" s="89"/>
      <c r="D1658" s="84"/>
      <c r="E1658" s="83"/>
      <c r="F1658" s="84"/>
      <c r="G1658" s="84"/>
      <c r="H1658" s="84"/>
      <c r="I1658" s="91"/>
      <c r="J1658" s="85"/>
      <c r="K1658" s="85"/>
      <c r="L1658" s="84"/>
      <c r="M1658" s="85"/>
      <c r="N1658" s="93"/>
      <c r="O1658" s="93"/>
      <c r="P1658" s="82"/>
    </row>
    <row r="1659">
      <c r="A1659" s="89"/>
      <c r="B1659" s="90"/>
      <c r="C1659" s="89"/>
      <c r="D1659" s="84"/>
      <c r="E1659" s="83"/>
      <c r="F1659" s="84"/>
      <c r="G1659" s="84"/>
      <c r="H1659" s="84"/>
      <c r="I1659" s="91"/>
      <c r="J1659" s="85"/>
      <c r="K1659" s="85"/>
      <c r="L1659" s="84"/>
      <c r="M1659" s="85"/>
      <c r="N1659" s="93"/>
      <c r="O1659" s="93"/>
      <c r="P1659" s="82"/>
    </row>
    <row r="1660">
      <c r="A1660" s="89"/>
      <c r="B1660" s="90"/>
      <c r="C1660" s="89"/>
      <c r="D1660" s="84"/>
      <c r="E1660" s="83"/>
      <c r="F1660" s="84"/>
      <c r="G1660" s="84"/>
      <c r="H1660" s="84"/>
      <c r="I1660" s="91"/>
      <c r="J1660" s="85"/>
      <c r="K1660" s="85"/>
      <c r="L1660" s="84"/>
      <c r="M1660" s="85"/>
      <c r="N1660" s="93"/>
      <c r="O1660" s="93"/>
      <c r="P1660" s="82"/>
    </row>
    <row r="1661">
      <c r="A1661" s="89"/>
      <c r="B1661" s="90"/>
      <c r="C1661" s="89"/>
      <c r="D1661" s="84"/>
      <c r="E1661" s="83"/>
      <c r="F1661" s="84"/>
      <c r="G1661" s="84"/>
      <c r="H1661" s="84"/>
      <c r="I1661" s="91"/>
      <c r="J1661" s="85"/>
      <c r="K1661" s="85"/>
      <c r="L1661" s="84"/>
      <c r="M1661" s="85"/>
      <c r="N1661" s="93"/>
      <c r="O1661" s="93"/>
      <c r="P1661" s="82"/>
    </row>
    <row r="1662">
      <c r="A1662" s="89"/>
      <c r="B1662" s="90"/>
      <c r="C1662" s="89"/>
      <c r="D1662" s="84"/>
      <c r="E1662" s="83"/>
      <c r="F1662" s="84"/>
      <c r="G1662" s="84"/>
      <c r="H1662" s="84"/>
      <c r="I1662" s="91"/>
      <c r="J1662" s="85"/>
      <c r="K1662" s="85"/>
      <c r="L1662" s="84"/>
      <c r="M1662" s="85"/>
      <c r="N1662" s="93"/>
      <c r="O1662" s="93"/>
      <c r="P1662" s="82"/>
    </row>
    <row r="1663">
      <c r="A1663" s="89"/>
      <c r="B1663" s="90"/>
      <c r="C1663" s="89"/>
      <c r="D1663" s="84"/>
      <c r="E1663" s="83"/>
      <c r="F1663" s="84"/>
      <c r="G1663" s="84"/>
      <c r="H1663" s="84"/>
      <c r="I1663" s="91"/>
      <c r="J1663" s="85"/>
      <c r="K1663" s="85"/>
      <c r="L1663" s="84"/>
      <c r="M1663" s="85"/>
      <c r="N1663" s="93"/>
      <c r="O1663" s="93"/>
      <c r="P1663" s="82"/>
    </row>
    <row r="1664">
      <c r="A1664" s="89"/>
      <c r="B1664" s="90"/>
      <c r="C1664" s="89"/>
      <c r="D1664" s="84"/>
      <c r="E1664" s="83"/>
      <c r="F1664" s="84"/>
      <c r="G1664" s="84"/>
      <c r="H1664" s="84"/>
      <c r="I1664" s="91"/>
      <c r="J1664" s="85"/>
      <c r="K1664" s="85"/>
      <c r="L1664" s="84"/>
      <c r="M1664" s="85"/>
      <c r="N1664" s="93"/>
      <c r="O1664" s="93"/>
      <c r="P1664" s="82"/>
    </row>
    <row r="1665">
      <c r="A1665" s="89"/>
      <c r="B1665" s="90"/>
      <c r="C1665" s="89"/>
      <c r="D1665" s="84"/>
      <c r="E1665" s="83"/>
      <c r="F1665" s="84"/>
      <c r="G1665" s="84"/>
      <c r="H1665" s="84"/>
      <c r="I1665" s="91"/>
      <c r="J1665" s="85"/>
      <c r="K1665" s="85"/>
      <c r="L1665" s="84"/>
      <c r="M1665" s="85"/>
      <c r="N1665" s="93"/>
      <c r="O1665" s="93"/>
      <c r="P1665" s="82"/>
    </row>
    <row r="1666">
      <c r="A1666" s="89"/>
      <c r="B1666" s="90"/>
      <c r="C1666" s="89"/>
      <c r="D1666" s="84"/>
      <c r="E1666" s="83"/>
      <c r="F1666" s="84"/>
      <c r="G1666" s="84"/>
      <c r="H1666" s="84"/>
      <c r="I1666" s="91"/>
      <c r="J1666" s="85"/>
      <c r="K1666" s="85"/>
      <c r="L1666" s="84"/>
      <c r="M1666" s="85"/>
      <c r="N1666" s="93"/>
      <c r="O1666" s="93"/>
      <c r="P1666" s="82"/>
    </row>
    <row r="1667">
      <c r="A1667" s="89"/>
      <c r="B1667" s="90"/>
      <c r="C1667" s="89"/>
      <c r="D1667" s="84"/>
      <c r="E1667" s="83"/>
      <c r="F1667" s="84"/>
      <c r="G1667" s="84"/>
      <c r="H1667" s="84"/>
      <c r="I1667" s="91"/>
      <c r="J1667" s="85"/>
      <c r="K1667" s="85"/>
      <c r="L1667" s="84"/>
      <c r="M1667" s="85"/>
      <c r="N1667" s="93"/>
      <c r="O1667" s="93"/>
      <c r="P1667" s="82"/>
    </row>
    <row r="1668">
      <c r="A1668" s="89"/>
      <c r="B1668" s="90"/>
      <c r="C1668" s="89"/>
      <c r="D1668" s="84"/>
      <c r="E1668" s="83"/>
      <c r="F1668" s="84"/>
      <c r="G1668" s="84"/>
      <c r="H1668" s="84"/>
      <c r="I1668" s="91"/>
      <c r="J1668" s="85"/>
      <c r="K1668" s="85"/>
      <c r="L1668" s="84"/>
      <c r="M1668" s="85"/>
      <c r="N1668" s="93"/>
      <c r="O1668" s="93"/>
      <c r="P1668" s="82"/>
    </row>
    <row r="1669">
      <c r="A1669" s="89"/>
      <c r="B1669" s="90"/>
      <c r="C1669" s="89"/>
      <c r="D1669" s="84"/>
      <c r="E1669" s="83"/>
      <c r="F1669" s="84"/>
      <c r="G1669" s="84"/>
      <c r="H1669" s="84"/>
      <c r="I1669" s="91"/>
      <c r="J1669" s="85"/>
      <c r="K1669" s="85"/>
      <c r="L1669" s="84"/>
      <c r="M1669" s="85"/>
      <c r="N1669" s="93"/>
      <c r="O1669" s="93"/>
      <c r="P1669" s="82"/>
    </row>
    <row r="1670">
      <c r="A1670" s="89"/>
      <c r="B1670" s="90"/>
      <c r="C1670" s="89"/>
      <c r="D1670" s="84"/>
      <c r="E1670" s="83"/>
      <c r="F1670" s="84"/>
      <c r="G1670" s="84"/>
      <c r="H1670" s="84"/>
      <c r="I1670" s="91"/>
      <c r="J1670" s="85"/>
      <c r="K1670" s="85"/>
      <c r="L1670" s="84"/>
      <c r="M1670" s="85"/>
      <c r="N1670" s="93"/>
      <c r="O1670" s="93"/>
      <c r="P1670" s="82"/>
    </row>
    <row r="1671">
      <c r="A1671" s="89"/>
      <c r="B1671" s="90"/>
      <c r="C1671" s="89"/>
      <c r="D1671" s="84"/>
      <c r="E1671" s="83"/>
      <c r="F1671" s="84"/>
      <c r="G1671" s="84"/>
      <c r="H1671" s="84"/>
      <c r="I1671" s="91"/>
      <c r="J1671" s="85"/>
      <c r="K1671" s="85"/>
      <c r="L1671" s="84"/>
      <c r="M1671" s="85"/>
      <c r="N1671" s="93"/>
      <c r="O1671" s="93"/>
      <c r="P1671" s="82"/>
    </row>
    <row r="1672">
      <c r="A1672" s="89"/>
      <c r="B1672" s="90"/>
      <c r="C1672" s="89"/>
      <c r="D1672" s="84"/>
      <c r="E1672" s="83"/>
      <c r="F1672" s="84"/>
      <c r="G1672" s="84"/>
      <c r="H1672" s="84"/>
      <c r="I1672" s="91"/>
      <c r="J1672" s="85"/>
      <c r="K1672" s="85"/>
      <c r="L1672" s="84"/>
      <c r="M1672" s="85"/>
      <c r="N1672" s="93"/>
      <c r="O1672" s="93"/>
      <c r="P1672" s="82"/>
    </row>
    <row r="1673">
      <c r="A1673" s="89"/>
      <c r="B1673" s="90"/>
      <c r="C1673" s="89"/>
      <c r="D1673" s="84"/>
      <c r="E1673" s="83"/>
      <c r="F1673" s="84"/>
      <c r="G1673" s="84"/>
      <c r="H1673" s="84"/>
      <c r="I1673" s="91"/>
      <c r="J1673" s="85"/>
      <c r="K1673" s="85"/>
      <c r="L1673" s="84"/>
      <c r="M1673" s="85"/>
      <c r="N1673" s="93"/>
      <c r="O1673" s="93"/>
      <c r="P1673" s="82"/>
    </row>
    <row r="1674">
      <c r="A1674" s="89"/>
      <c r="B1674" s="90"/>
      <c r="C1674" s="89"/>
      <c r="D1674" s="84"/>
      <c r="E1674" s="83"/>
      <c r="F1674" s="84"/>
      <c r="G1674" s="84"/>
      <c r="H1674" s="84"/>
      <c r="I1674" s="91"/>
      <c r="J1674" s="85"/>
      <c r="K1674" s="85"/>
      <c r="L1674" s="84"/>
      <c r="M1674" s="85"/>
      <c r="N1674" s="93"/>
      <c r="O1674" s="93"/>
      <c r="P1674" s="82"/>
    </row>
    <row r="1675">
      <c r="A1675" s="89"/>
      <c r="B1675" s="90"/>
      <c r="C1675" s="89"/>
      <c r="D1675" s="84"/>
      <c r="E1675" s="83"/>
      <c r="F1675" s="84"/>
      <c r="G1675" s="84"/>
      <c r="H1675" s="84"/>
      <c r="I1675" s="91"/>
      <c r="J1675" s="85"/>
      <c r="K1675" s="85"/>
      <c r="L1675" s="84"/>
      <c r="M1675" s="85"/>
      <c r="N1675" s="93"/>
      <c r="O1675" s="93"/>
      <c r="P1675" s="82"/>
    </row>
    <row r="1676">
      <c r="A1676" s="89"/>
      <c r="B1676" s="90"/>
      <c r="C1676" s="89"/>
      <c r="D1676" s="84"/>
      <c r="E1676" s="83"/>
      <c r="F1676" s="84"/>
      <c r="G1676" s="84"/>
      <c r="H1676" s="84"/>
      <c r="I1676" s="91"/>
      <c r="J1676" s="85"/>
      <c r="K1676" s="85"/>
      <c r="L1676" s="84"/>
      <c r="M1676" s="85"/>
      <c r="N1676" s="93"/>
      <c r="O1676" s="93"/>
      <c r="P1676" s="82"/>
    </row>
    <row r="1677">
      <c r="A1677" s="89"/>
      <c r="B1677" s="90"/>
      <c r="C1677" s="89"/>
      <c r="D1677" s="84"/>
      <c r="E1677" s="83"/>
      <c r="F1677" s="84"/>
      <c r="G1677" s="84"/>
      <c r="H1677" s="84"/>
      <c r="I1677" s="91"/>
      <c r="J1677" s="85"/>
      <c r="K1677" s="85"/>
      <c r="L1677" s="84"/>
      <c r="M1677" s="85"/>
      <c r="N1677" s="93"/>
      <c r="O1677" s="93"/>
      <c r="P1677" s="82"/>
    </row>
    <row r="1678">
      <c r="A1678" s="89"/>
      <c r="B1678" s="90"/>
      <c r="C1678" s="89"/>
      <c r="D1678" s="84"/>
      <c r="E1678" s="83"/>
      <c r="F1678" s="84"/>
      <c r="G1678" s="84"/>
      <c r="H1678" s="84"/>
      <c r="I1678" s="91"/>
      <c r="J1678" s="85"/>
      <c r="K1678" s="85"/>
      <c r="L1678" s="84"/>
      <c r="M1678" s="85"/>
      <c r="N1678" s="93"/>
      <c r="O1678" s="93"/>
      <c r="P1678" s="82"/>
    </row>
    <row r="1679">
      <c r="A1679" s="89"/>
      <c r="B1679" s="90"/>
      <c r="C1679" s="89"/>
      <c r="D1679" s="84"/>
      <c r="E1679" s="83"/>
      <c r="F1679" s="84"/>
      <c r="G1679" s="84"/>
      <c r="H1679" s="84"/>
      <c r="I1679" s="91"/>
      <c r="J1679" s="85"/>
      <c r="K1679" s="85"/>
      <c r="L1679" s="84"/>
      <c r="M1679" s="85"/>
      <c r="N1679" s="93"/>
      <c r="O1679" s="93"/>
      <c r="P1679" s="82"/>
    </row>
    <row r="1680">
      <c r="A1680" s="89"/>
      <c r="B1680" s="90"/>
      <c r="C1680" s="89"/>
      <c r="D1680" s="84"/>
      <c r="E1680" s="83"/>
      <c r="F1680" s="84"/>
      <c r="G1680" s="84"/>
      <c r="H1680" s="84"/>
      <c r="I1680" s="91"/>
      <c r="J1680" s="85"/>
      <c r="K1680" s="85"/>
      <c r="L1680" s="84"/>
      <c r="M1680" s="85"/>
      <c r="N1680" s="93"/>
      <c r="O1680" s="93"/>
      <c r="P1680" s="82"/>
    </row>
    <row r="1681">
      <c r="A1681" s="89"/>
      <c r="B1681" s="90"/>
      <c r="C1681" s="89"/>
      <c r="D1681" s="84"/>
      <c r="E1681" s="83"/>
      <c r="F1681" s="84"/>
      <c r="G1681" s="84"/>
      <c r="H1681" s="84"/>
      <c r="I1681" s="91"/>
      <c r="J1681" s="85"/>
      <c r="K1681" s="85"/>
      <c r="L1681" s="84"/>
      <c r="M1681" s="85"/>
      <c r="N1681" s="93"/>
      <c r="O1681" s="93"/>
      <c r="P1681" s="82"/>
    </row>
    <row r="1682">
      <c r="A1682" s="89"/>
      <c r="B1682" s="90"/>
      <c r="C1682" s="89"/>
      <c r="D1682" s="84"/>
      <c r="E1682" s="83"/>
      <c r="F1682" s="84"/>
      <c r="G1682" s="84"/>
      <c r="H1682" s="84"/>
      <c r="I1682" s="91"/>
      <c r="J1682" s="85"/>
      <c r="K1682" s="85"/>
      <c r="L1682" s="84"/>
      <c r="M1682" s="85"/>
      <c r="N1682" s="93"/>
      <c r="O1682" s="93"/>
      <c r="P1682" s="82"/>
    </row>
    <row r="1683">
      <c r="A1683" s="89"/>
      <c r="B1683" s="90"/>
      <c r="C1683" s="89"/>
      <c r="D1683" s="84"/>
      <c r="E1683" s="83"/>
      <c r="F1683" s="84"/>
      <c r="G1683" s="84"/>
      <c r="H1683" s="84"/>
      <c r="I1683" s="91"/>
      <c r="J1683" s="85"/>
      <c r="K1683" s="85"/>
      <c r="L1683" s="84"/>
      <c r="M1683" s="85"/>
      <c r="N1683" s="93"/>
      <c r="O1683" s="93"/>
      <c r="P1683" s="82"/>
    </row>
    <row r="1684">
      <c r="A1684" s="89"/>
      <c r="B1684" s="90"/>
      <c r="C1684" s="89"/>
      <c r="D1684" s="84"/>
      <c r="E1684" s="83"/>
      <c r="F1684" s="84"/>
      <c r="G1684" s="84"/>
      <c r="H1684" s="84"/>
      <c r="I1684" s="91"/>
      <c r="J1684" s="85"/>
      <c r="K1684" s="85"/>
      <c r="L1684" s="84"/>
      <c r="M1684" s="85"/>
      <c r="N1684" s="93"/>
      <c r="O1684" s="93"/>
      <c r="P1684" s="82"/>
    </row>
    <row r="1685">
      <c r="A1685" s="89"/>
      <c r="B1685" s="90"/>
      <c r="C1685" s="89"/>
      <c r="D1685" s="84"/>
      <c r="E1685" s="83"/>
      <c r="F1685" s="84"/>
      <c r="G1685" s="84"/>
      <c r="H1685" s="84"/>
      <c r="I1685" s="91"/>
      <c r="J1685" s="85"/>
      <c r="K1685" s="85"/>
      <c r="L1685" s="84"/>
      <c r="M1685" s="85"/>
      <c r="N1685" s="93"/>
      <c r="O1685" s="93"/>
      <c r="P1685" s="82"/>
    </row>
    <row r="1686">
      <c r="A1686" s="89"/>
      <c r="B1686" s="90"/>
      <c r="C1686" s="89"/>
      <c r="D1686" s="84"/>
      <c r="E1686" s="83"/>
      <c r="F1686" s="84"/>
      <c r="G1686" s="84"/>
      <c r="H1686" s="84"/>
      <c r="I1686" s="91"/>
      <c r="J1686" s="85"/>
      <c r="K1686" s="85"/>
      <c r="L1686" s="84"/>
      <c r="M1686" s="85"/>
      <c r="N1686" s="93"/>
      <c r="O1686" s="93"/>
      <c r="P1686" s="82"/>
    </row>
    <row r="1687">
      <c r="A1687" s="89"/>
      <c r="B1687" s="90"/>
      <c r="C1687" s="89"/>
      <c r="D1687" s="84"/>
      <c r="E1687" s="83"/>
      <c r="F1687" s="84"/>
      <c r="G1687" s="84"/>
      <c r="H1687" s="84"/>
      <c r="I1687" s="91"/>
      <c r="J1687" s="85"/>
      <c r="K1687" s="85"/>
      <c r="L1687" s="84"/>
      <c r="M1687" s="85"/>
      <c r="N1687" s="93"/>
      <c r="O1687" s="93"/>
      <c r="P1687" s="82"/>
    </row>
    <row r="1688">
      <c r="A1688" s="89"/>
      <c r="B1688" s="90"/>
      <c r="C1688" s="89"/>
      <c r="D1688" s="84"/>
      <c r="E1688" s="83"/>
      <c r="F1688" s="84"/>
      <c r="G1688" s="84"/>
      <c r="H1688" s="84"/>
      <c r="I1688" s="91"/>
      <c r="J1688" s="85"/>
      <c r="K1688" s="85"/>
      <c r="L1688" s="84"/>
      <c r="M1688" s="85"/>
      <c r="N1688" s="93"/>
      <c r="O1688" s="93"/>
      <c r="P1688" s="82"/>
    </row>
    <row r="1689">
      <c r="A1689" s="89"/>
      <c r="B1689" s="90"/>
      <c r="C1689" s="89"/>
      <c r="D1689" s="84"/>
      <c r="E1689" s="83"/>
      <c r="F1689" s="84"/>
      <c r="G1689" s="84"/>
      <c r="H1689" s="84"/>
      <c r="I1689" s="91"/>
      <c r="J1689" s="85"/>
      <c r="K1689" s="85"/>
      <c r="L1689" s="84"/>
      <c r="M1689" s="85"/>
      <c r="N1689" s="93"/>
      <c r="O1689" s="93"/>
      <c r="P1689" s="82"/>
    </row>
    <row r="1690">
      <c r="A1690" s="89"/>
      <c r="B1690" s="90"/>
      <c r="C1690" s="89"/>
      <c r="D1690" s="84"/>
      <c r="E1690" s="83"/>
      <c r="F1690" s="84"/>
      <c r="G1690" s="84"/>
      <c r="H1690" s="84"/>
      <c r="I1690" s="91"/>
      <c r="J1690" s="85"/>
      <c r="K1690" s="85"/>
      <c r="L1690" s="84"/>
      <c r="M1690" s="85"/>
      <c r="N1690" s="93"/>
      <c r="O1690" s="93"/>
      <c r="P1690" s="82"/>
    </row>
    <row r="1691">
      <c r="A1691" s="89"/>
      <c r="B1691" s="90"/>
      <c r="C1691" s="89"/>
      <c r="D1691" s="84"/>
      <c r="E1691" s="83"/>
      <c r="F1691" s="84"/>
      <c r="G1691" s="84"/>
      <c r="H1691" s="84"/>
      <c r="I1691" s="91"/>
      <c r="J1691" s="85"/>
      <c r="K1691" s="85"/>
      <c r="L1691" s="84"/>
      <c r="M1691" s="85"/>
      <c r="N1691" s="93"/>
      <c r="O1691" s="93"/>
      <c r="P1691" s="82"/>
    </row>
    <row r="1692">
      <c r="A1692" s="89"/>
      <c r="B1692" s="90"/>
      <c r="C1692" s="89"/>
      <c r="D1692" s="84"/>
      <c r="E1692" s="83"/>
      <c r="F1692" s="84"/>
      <c r="G1692" s="84"/>
      <c r="H1692" s="84"/>
      <c r="I1692" s="91"/>
      <c r="J1692" s="85"/>
      <c r="K1692" s="85"/>
      <c r="L1692" s="84"/>
      <c r="M1692" s="85"/>
      <c r="N1692" s="93"/>
      <c r="O1692" s="93"/>
      <c r="P1692" s="82"/>
    </row>
    <row r="1693">
      <c r="A1693" s="89"/>
      <c r="B1693" s="90"/>
      <c r="C1693" s="89"/>
      <c r="D1693" s="84"/>
      <c r="E1693" s="83"/>
      <c r="F1693" s="84"/>
      <c r="G1693" s="84"/>
      <c r="H1693" s="84"/>
      <c r="I1693" s="91"/>
      <c r="J1693" s="85"/>
      <c r="K1693" s="85"/>
      <c r="L1693" s="84"/>
      <c r="M1693" s="85"/>
      <c r="N1693" s="93"/>
      <c r="O1693" s="93"/>
      <c r="P1693" s="82"/>
    </row>
    <row r="1694">
      <c r="A1694" s="89"/>
      <c r="B1694" s="90"/>
      <c r="C1694" s="89"/>
      <c r="D1694" s="84"/>
      <c r="E1694" s="83"/>
      <c r="F1694" s="84"/>
      <c r="G1694" s="84"/>
      <c r="H1694" s="84"/>
      <c r="I1694" s="91"/>
      <c r="J1694" s="85"/>
      <c r="K1694" s="85"/>
      <c r="L1694" s="84"/>
      <c r="M1694" s="85"/>
      <c r="N1694" s="93"/>
      <c r="O1694" s="93"/>
      <c r="P1694" s="82"/>
    </row>
    <row r="1695">
      <c r="A1695" s="89"/>
      <c r="B1695" s="90"/>
      <c r="C1695" s="89"/>
      <c r="D1695" s="84"/>
      <c r="E1695" s="83"/>
      <c r="F1695" s="84"/>
      <c r="G1695" s="84"/>
      <c r="H1695" s="84"/>
      <c r="I1695" s="91"/>
      <c r="J1695" s="85"/>
      <c r="K1695" s="85"/>
      <c r="L1695" s="84"/>
      <c r="M1695" s="85"/>
      <c r="N1695" s="93"/>
      <c r="O1695" s="93"/>
      <c r="P1695" s="82"/>
    </row>
    <row r="1696">
      <c r="A1696" s="89"/>
      <c r="B1696" s="90"/>
      <c r="C1696" s="89"/>
      <c r="D1696" s="84"/>
      <c r="E1696" s="83"/>
      <c r="F1696" s="84"/>
      <c r="G1696" s="84"/>
      <c r="H1696" s="84"/>
      <c r="I1696" s="91"/>
      <c r="J1696" s="85"/>
      <c r="K1696" s="85"/>
      <c r="L1696" s="84"/>
      <c r="M1696" s="85"/>
      <c r="N1696" s="93"/>
      <c r="O1696" s="93"/>
      <c r="P1696" s="82"/>
    </row>
    <row r="1697">
      <c r="A1697" s="89"/>
      <c r="B1697" s="90"/>
      <c r="C1697" s="89"/>
      <c r="D1697" s="84"/>
      <c r="E1697" s="83"/>
      <c r="F1697" s="84"/>
      <c r="G1697" s="84"/>
      <c r="H1697" s="84"/>
      <c r="I1697" s="91"/>
      <c r="J1697" s="85"/>
      <c r="K1697" s="85"/>
      <c r="L1697" s="84"/>
      <c r="M1697" s="85"/>
      <c r="N1697" s="93"/>
      <c r="O1697" s="93"/>
      <c r="P1697" s="82"/>
    </row>
    <row r="1698">
      <c r="A1698" s="89"/>
      <c r="B1698" s="90"/>
      <c r="C1698" s="89"/>
      <c r="D1698" s="84"/>
      <c r="E1698" s="83"/>
      <c r="F1698" s="84"/>
      <c r="G1698" s="84"/>
      <c r="H1698" s="84"/>
      <c r="I1698" s="91"/>
      <c r="J1698" s="85"/>
      <c r="K1698" s="85"/>
      <c r="L1698" s="84"/>
      <c r="M1698" s="85"/>
      <c r="N1698" s="93"/>
      <c r="O1698" s="93"/>
      <c r="P1698" s="82"/>
    </row>
    <row r="1699">
      <c r="A1699" s="89"/>
      <c r="B1699" s="90"/>
      <c r="C1699" s="89"/>
      <c r="D1699" s="84"/>
      <c r="E1699" s="83"/>
      <c r="F1699" s="84"/>
      <c r="G1699" s="84"/>
      <c r="H1699" s="84"/>
      <c r="I1699" s="91"/>
      <c r="J1699" s="85"/>
      <c r="K1699" s="85"/>
      <c r="L1699" s="84"/>
      <c r="M1699" s="85"/>
      <c r="N1699" s="93"/>
      <c r="O1699" s="93"/>
      <c r="P1699" s="82"/>
    </row>
    <row r="1700">
      <c r="A1700" s="89"/>
      <c r="B1700" s="90"/>
      <c r="C1700" s="89"/>
      <c r="D1700" s="84"/>
      <c r="E1700" s="83"/>
      <c r="F1700" s="84"/>
      <c r="G1700" s="84"/>
      <c r="H1700" s="84"/>
      <c r="I1700" s="91"/>
      <c r="J1700" s="85"/>
      <c r="K1700" s="85"/>
      <c r="L1700" s="84"/>
      <c r="M1700" s="85"/>
      <c r="N1700" s="93"/>
      <c r="O1700" s="93"/>
      <c r="P1700" s="82"/>
    </row>
    <row r="1701">
      <c r="A1701" s="89"/>
      <c r="B1701" s="90"/>
      <c r="C1701" s="89"/>
      <c r="D1701" s="84"/>
      <c r="E1701" s="83"/>
      <c r="F1701" s="84"/>
      <c r="G1701" s="84"/>
      <c r="H1701" s="84"/>
      <c r="I1701" s="91"/>
      <c r="J1701" s="85"/>
      <c r="K1701" s="85"/>
      <c r="L1701" s="84"/>
      <c r="M1701" s="85"/>
      <c r="N1701" s="93"/>
      <c r="O1701" s="93"/>
      <c r="P1701" s="82"/>
    </row>
    <row r="1702">
      <c r="A1702" s="89"/>
      <c r="B1702" s="90"/>
      <c r="C1702" s="89"/>
      <c r="D1702" s="84"/>
      <c r="E1702" s="83"/>
      <c r="F1702" s="84"/>
      <c r="G1702" s="84"/>
      <c r="H1702" s="84"/>
      <c r="I1702" s="91"/>
      <c r="J1702" s="85"/>
      <c r="K1702" s="85"/>
      <c r="L1702" s="84"/>
      <c r="M1702" s="85"/>
      <c r="N1702" s="93"/>
      <c r="O1702" s="93"/>
      <c r="P1702" s="82"/>
    </row>
    <row r="1703">
      <c r="A1703" s="89"/>
      <c r="B1703" s="90"/>
      <c r="C1703" s="89"/>
      <c r="D1703" s="84"/>
      <c r="E1703" s="83"/>
      <c r="F1703" s="84"/>
      <c r="G1703" s="84"/>
      <c r="H1703" s="84"/>
      <c r="I1703" s="91"/>
      <c r="J1703" s="85"/>
      <c r="K1703" s="85"/>
      <c r="L1703" s="84"/>
      <c r="M1703" s="85"/>
      <c r="N1703" s="93"/>
      <c r="O1703" s="93"/>
      <c r="P1703" s="82"/>
    </row>
    <row r="1704">
      <c r="A1704" s="89"/>
      <c r="B1704" s="90"/>
      <c r="C1704" s="89"/>
      <c r="D1704" s="84"/>
      <c r="E1704" s="83"/>
      <c r="F1704" s="84"/>
      <c r="G1704" s="84"/>
      <c r="H1704" s="84"/>
      <c r="I1704" s="91"/>
      <c r="J1704" s="85"/>
      <c r="K1704" s="85"/>
      <c r="L1704" s="84"/>
      <c r="M1704" s="85"/>
      <c r="N1704" s="93"/>
      <c r="O1704" s="93"/>
      <c r="P1704" s="82"/>
    </row>
    <row r="1705">
      <c r="A1705" s="89"/>
      <c r="B1705" s="90"/>
      <c r="C1705" s="89"/>
      <c r="D1705" s="84"/>
      <c r="E1705" s="83"/>
      <c r="F1705" s="84"/>
      <c r="G1705" s="84"/>
      <c r="H1705" s="84"/>
      <c r="I1705" s="91"/>
      <c r="J1705" s="85"/>
      <c r="K1705" s="85"/>
      <c r="L1705" s="84"/>
      <c r="M1705" s="85"/>
      <c r="N1705" s="93"/>
      <c r="O1705" s="93"/>
      <c r="P1705" s="82"/>
    </row>
    <row r="1706">
      <c r="A1706" s="89"/>
      <c r="B1706" s="90"/>
      <c r="C1706" s="89"/>
      <c r="D1706" s="84"/>
      <c r="E1706" s="83"/>
      <c r="F1706" s="84"/>
      <c r="G1706" s="84"/>
      <c r="H1706" s="84"/>
      <c r="I1706" s="91"/>
      <c r="J1706" s="85"/>
      <c r="K1706" s="85"/>
      <c r="L1706" s="84"/>
      <c r="M1706" s="85"/>
      <c r="N1706" s="93"/>
      <c r="O1706" s="93"/>
      <c r="P1706" s="82"/>
    </row>
    <row r="1707">
      <c r="A1707" s="89"/>
      <c r="B1707" s="90"/>
      <c r="C1707" s="89"/>
      <c r="D1707" s="84"/>
      <c r="E1707" s="83"/>
      <c r="F1707" s="84"/>
      <c r="G1707" s="84"/>
      <c r="H1707" s="84"/>
      <c r="I1707" s="91"/>
      <c r="J1707" s="85"/>
      <c r="K1707" s="85"/>
      <c r="L1707" s="84"/>
      <c r="M1707" s="85"/>
      <c r="N1707" s="93"/>
      <c r="O1707" s="93"/>
      <c r="P1707" s="82"/>
    </row>
    <row r="1708">
      <c r="A1708" s="89"/>
      <c r="B1708" s="90"/>
      <c r="C1708" s="89"/>
      <c r="D1708" s="84"/>
      <c r="E1708" s="83"/>
      <c r="F1708" s="84"/>
      <c r="G1708" s="84"/>
      <c r="H1708" s="84"/>
      <c r="I1708" s="91"/>
      <c r="J1708" s="85"/>
      <c r="K1708" s="85"/>
      <c r="L1708" s="84"/>
      <c r="M1708" s="85"/>
      <c r="N1708" s="93"/>
      <c r="O1708" s="93"/>
      <c r="P1708" s="82"/>
    </row>
    <row r="1709">
      <c r="A1709" s="89"/>
      <c r="B1709" s="90"/>
      <c r="C1709" s="89"/>
      <c r="D1709" s="84"/>
      <c r="E1709" s="83"/>
      <c r="F1709" s="84"/>
      <c r="G1709" s="84"/>
      <c r="H1709" s="84"/>
      <c r="I1709" s="91"/>
      <c r="J1709" s="85"/>
      <c r="K1709" s="85"/>
      <c r="L1709" s="84"/>
      <c r="M1709" s="85"/>
      <c r="N1709" s="93"/>
      <c r="O1709" s="93"/>
      <c r="P1709" s="82"/>
    </row>
    <row r="1710">
      <c r="A1710" s="89"/>
      <c r="B1710" s="90"/>
      <c r="C1710" s="89"/>
      <c r="D1710" s="84"/>
      <c r="E1710" s="83"/>
      <c r="F1710" s="84"/>
      <c r="G1710" s="84"/>
      <c r="H1710" s="84"/>
      <c r="I1710" s="91"/>
      <c r="J1710" s="85"/>
      <c r="K1710" s="85"/>
      <c r="L1710" s="84"/>
      <c r="M1710" s="85"/>
      <c r="N1710" s="93"/>
      <c r="O1710" s="93"/>
      <c r="P1710" s="82"/>
    </row>
    <row r="1711">
      <c r="A1711" s="89"/>
      <c r="B1711" s="90"/>
      <c r="C1711" s="89"/>
      <c r="D1711" s="84"/>
      <c r="E1711" s="83"/>
      <c r="F1711" s="84"/>
      <c r="G1711" s="84"/>
      <c r="H1711" s="84"/>
      <c r="I1711" s="91"/>
      <c r="J1711" s="85"/>
      <c r="K1711" s="85"/>
      <c r="L1711" s="84"/>
      <c r="M1711" s="85"/>
      <c r="N1711" s="93"/>
      <c r="O1711" s="93"/>
      <c r="P1711" s="82"/>
    </row>
    <row r="1712">
      <c r="A1712" s="89"/>
      <c r="B1712" s="90"/>
      <c r="C1712" s="89"/>
      <c r="D1712" s="84"/>
      <c r="E1712" s="83"/>
      <c r="F1712" s="84"/>
      <c r="G1712" s="84"/>
      <c r="H1712" s="84"/>
      <c r="I1712" s="91"/>
      <c r="J1712" s="85"/>
      <c r="K1712" s="85"/>
      <c r="L1712" s="84"/>
      <c r="M1712" s="85"/>
      <c r="N1712" s="93"/>
      <c r="O1712" s="93"/>
      <c r="P1712" s="82"/>
    </row>
    <row r="1713">
      <c r="A1713" s="89"/>
      <c r="B1713" s="90"/>
      <c r="C1713" s="89"/>
      <c r="D1713" s="84"/>
      <c r="E1713" s="83"/>
      <c r="F1713" s="84"/>
      <c r="G1713" s="84"/>
      <c r="H1713" s="84"/>
      <c r="I1713" s="91"/>
      <c r="J1713" s="85"/>
      <c r="K1713" s="85"/>
      <c r="L1713" s="84"/>
      <c r="M1713" s="85"/>
      <c r="N1713" s="93"/>
      <c r="O1713" s="93"/>
      <c r="P1713" s="82"/>
    </row>
    <row r="1714">
      <c r="A1714" s="89"/>
      <c r="B1714" s="90"/>
      <c r="C1714" s="89"/>
      <c r="D1714" s="84"/>
      <c r="E1714" s="83"/>
      <c r="F1714" s="84"/>
      <c r="G1714" s="84"/>
      <c r="H1714" s="84"/>
      <c r="I1714" s="91"/>
      <c r="J1714" s="85"/>
      <c r="K1714" s="85"/>
      <c r="L1714" s="84"/>
      <c r="M1714" s="85"/>
      <c r="N1714" s="93"/>
      <c r="O1714" s="93"/>
      <c r="P1714" s="82"/>
    </row>
    <row r="1715">
      <c r="A1715" s="89"/>
      <c r="B1715" s="90"/>
      <c r="C1715" s="89"/>
      <c r="D1715" s="84"/>
      <c r="E1715" s="83"/>
      <c r="F1715" s="84"/>
      <c r="G1715" s="84"/>
      <c r="H1715" s="84"/>
      <c r="I1715" s="91"/>
      <c r="J1715" s="85"/>
      <c r="K1715" s="85"/>
      <c r="L1715" s="84"/>
      <c r="M1715" s="85"/>
      <c r="N1715" s="93"/>
      <c r="O1715" s="93"/>
      <c r="P1715" s="82"/>
    </row>
    <row r="1716">
      <c r="A1716" s="89"/>
      <c r="B1716" s="90"/>
      <c r="C1716" s="89"/>
      <c r="D1716" s="84"/>
      <c r="E1716" s="83"/>
      <c r="F1716" s="84"/>
      <c r="G1716" s="84"/>
      <c r="H1716" s="84"/>
      <c r="I1716" s="91"/>
      <c r="J1716" s="85"/>
      <c r="K1716" s="85"/>
      <c r="L1716" s="84"/>
      <c r="M1716" s="85"/>
      <c r="N1716" s="93"/>
      <c r="O1716" s="93"/>
      <c r="P1716" s="82"/>
    </row>
    <row r="1717">
      <c r="A1717" s="89"/>
      <c r="B1717" s="90"/>
      <c r="C1717" s="89"/>
      <c r="D1717" s="84"/>
      <c r="E1717" s="83"/>
      <c r="F1717" s="84"/>
      <c r="G1717" s="84"/>
      <c r="H1717" s="84"/>
      <c r="I1717" s="91"/>
      <c r="J1717" s="85"/>
      <c r="K1717" s="85"/>
      <c r="L1717" s="84"/>
      <c r="M1717" s="85"/>
      <c r="N1717" s="93"/>
      <c r="O1717" s="93"/>
      <c r="P1717" s="82"/>
    </row>
    <row r="1718">
      <c r="A1718" s="89"/>
      <c r="B1718" s="90"/>
      <c r="C1718" s="89"/>
      <c r="D1718" s="84"/>
      <c r="E1718" s="83"/>
      <c r="F1718" s="84"/>
      <c r="G1718" s="84"/>
      <c r="H1718" s="84"/>
      <c r="I1718" s="91"/>
      <c r="J1718" s="85"/>
      <c r="K1718" s="85"/>
      <c r="L1718" s="84"/>
      <c r="M1718" s="85"/>
      <c r="N1718" s="93"/>
      <c r="O1718" s="93"/>
      <c r="P1718" s="82"/>
    </row>
    <row r="1719">
      <c r="A1719" s="89"/>
      <c r="B1719" s="90"/>
      <c r="C1719" s="89"/>
      <c r="D1719" s="84"/>
      <c r="E1719" s="83"/>
      <c r="F1719" s="84"/>
      <c r="G1719" s="84"/>
      <c r="H1719" s="84"/>
      <c r="I1719" s="91"/>
      <c r="J1719" s="85"/>
      <c r="K1719" s="85"/>
      <c r="L1719" s="84"/>
      <c r="M1719" s="85"/>
      <c r="N1719" s="93"/>
      <c r="O1719" s="93"/>
      <c r="P1719" s="82"/>
    </row>
    <row r="1720">
      <c r="A1720" s="89"/>
      <c r="B1720" s="90"/>
      <c r="C1720" s="89"/>
      <c r="D1720" s="84"/>
      <c r="E1720" s="83"/>
      <c r="F1720" s="84"/>
      <c r="G1720" s="84"/>
      <c r="H1720" s="84"/>
      <c r="I1720" s="91"/>
      <c r="J1720" s="85"/>
      <c r="K1720" s="85"/>
      <c r="L1720" s="84"/>
      <c r="M1720" s="85"/>
      <c r="N1720" s="93"/>
      <c r="O1720" s="93"/>
      <c r="P1720" s="82"/>
    </row>
    <row r="1721">
      <c r="A1721" s="89"/>
      <c r="B1721" s="90"/>
      <c r="C1721" s="89"/>
      <c r="D1721" s="84"/>
      <c r="E1721" s="83"/>
      <c r="F1721" s="84"/>
      <c r="G1721" s="84"/>
      <c r="H1721" s="84"/>
      <c r="I1721" s="91"/>
      <c r="J1721" s="85"/>
      <c r="K1721" s="85"/>
      <c r="L1721" s="84"/>
      <c r="M1721" s="85"/>
      <c r="N1721" s="93"/>
      <c r="O1721" s="93"/>
      <c r="P1721" s="82"/>
    </row>
    <row r="1722">
      <c r="A1722" s="89"/>
      <c r="B1722" s="90"/>
      <c r="C1722" s="89"/>
      <c r="D1722" s="84"/>
      <c r="E1722" s="83"/>
      <c r="F1722" s="84"/>
      <c r="G1722" s="84"/>
      <c r="H1722" s="84"/>
      <c r="I1722" s="91"/>
      <c r="J1722" s="85"/>
      <c r="K1722" s="85"/>
      <c r="L1722" s="84"/>
      <c r="M1722" s="85"/>
      <c r="N1722" s="93"/>
      <c r="O1722" s="93"/>
      <c r="P1722" s="82"/>
    </row>
    <row r="1723">
      <c r="A1723" s="89"/>
      <c r="B1723" s="90"/>
      <c r="C1723" s="89"/>
      <c r="D1723" s="84"/>
      <c r="E1723" s="83"/>
      <c r="F1723" s="84"/>
      <c r="G1723" s="84"/>
      <c r="H1723" s="84"/>
      <c r="I1723" s="91"/>
      <c r="J1723" s="85"/>
      <c r="K1723" s="85"/>
      <c r="L1723" s="84"/>
      <c r="M1723" s="85"/>
      <c r="N1723" s="93"/>
      <c r="O1723" s="93"/>
      <c r="P1723" s="82"/>
    </row>
    <row r="1724">
      <c r="A1724" s="89"/>
      <c r="B1724" s="90"/>
      <c r="C1724" s="89"/>
      <c r="D1724" s="84"/>
      <c r="E1724" s="83"/>
      <c r="F1724" s="84"/>
      <c r="G1724" s="84"/>
      <c r="H1724" s="84"/>
      <c r="I1724" s="91"/>
      <c r="J1724" s="85"/>
      <c r="K1724" s="85"/>
      <c r="L1724" s="84"/>
      <c r="M1724" s="85"/>
      <c r="N1724" s="93"/>
      <c r="O1724" s="93"/>
      <c r="P1724" s="82"/>
    </row>
    <row r="1725">
      <c r="A1725" s="89"/>
      <c r="B1725" s="90"/>
      <c r="C1725" s="89"/>
      <c r="D1725" s="84"/>
      <c r="E1725" s="83"/>
      <c r="F1725" s="84"/>
      <c r="G1725" s="84"/>
      <c r="H1725" s="84"/>
      <c r="I1725" s="91"/>
      <c r="J1725" s="85"/>
      <c r="K1725" s="85"/>
      <c r="L1725" s="84"/>
      <c r="M1725" s="85"/>
      <c r="N1725" s="93"/>
      <c r="O1725" s="93"/>
      <c r="P1725" s="82"/>
    </row>
    <row r="1726">
      <c r="A1726" s="89"/>
      <c r="B1726" s="90"/>
      <c r="C1726" s="89"/>
      <c r="D1726" s="84"/>
      <c r="E1726" s="83"/>
      <c r="F1726" s="84"/>
      <c r="G1726" s="84"/>
      <c r="H1726" s="84"/>
      <c r="I1726" s="91"/>
      <c r="J1726" s="85"/>
      <c r="K1726" s="85"/>
      <c r="L1726" s="84"/>
      <c r="M1726" s="85"/>
      <c r="N1726" s="93"/>
      <c r="O1726" s="93"/>
      <c r="P1726" s="82"/>
    </row>
    <row r="1727">
      <c r="A1727" s="89"/>
      <c r="B1727" s="90"/>
      <c r="C1727" s="89"/>
      <c r="D1727" s="84"/>
      <c r="E1727" s="83"/>
      <c r="F1727" s="84"/>
      <c r="G1727" s="84"/>
      <c r="H1727" s="84"/>
      <c r="I1727" s="91"/>
      <c r="J1727" s="85"/>
      <c r="K1727" s="85"/>
      <c r="L1727" s="84"/>
      <c r="M1727" s="85"/>
      <c r="N1727" s="93"/>
      <c r="O1727" s="93"/>
      <c r="P1727" s="82"/>
    </row>
    <row r="1728">
      <c r="A1728" s="89"/>
      <c r="B1728" s="90"/>
      <c r="C1728" s="89"/>
      <c r="D1728" s="84"/>
      <c r="E1728" s="83"/>
      <c r="F1728" s="84"/>
      <c r="G1728" s="84"/>
      <c r="H1728" s="84"/>
      <c r="I1728" s="91"/>
      <c r="J1728" s="85"/>
      <c r="K1728" s="85"/>
      <c r="L1728" s="84"/>
      <c r="M1728" s="85"/>
      <c r="N1728" s="93"/>
      <c r="O1728" s="93"/>
      <c r="P1728" s="82"/>
    </row>
    <row r="1729">
      <c r="A1729" s="89"/>
      <c r="B1729" s="90"/>
      <c r="C1729" s="89"/>
      <c r="D1729" s="84"/>
      <c r="E1729" s="83"/>
      <c r="F1729" s="84"/>
      <c r="G1729" s="84"/>
      <c r="H1729" s="84"/>
      <c r="I1729" s="91"/>
      <c r="J1729" s="85"/>
      <c r="K1729" s="85"/>
      <c r="L1729" s="84"/>
      <c r="M1729" s="85"/>
      <c r="N1729" s="93"/>
      <c r="O1729" s="93"/>
      <c r="P1729" s="82"/>
    </row>
    <row r="1730">
      <c r="A1730" s="89"/>
      <c r="B1730" s="90"/>
      <c r="C1730" s="89"/>
      <c r="D1730" s="84"/>
      <c r="E1730" s="83"/>
      <c r="F1730" s="84"/>
      <c r="G1730" s="84"/>
      <c r="H1730" s="84"/>
      <c r="I1730" s="91"/>
      <c r="J1730" s="85"/>
      <c r="K1730" s="85"/>
      <c r="L1730" s="84"/>
      <c r="M1730" s="85"/>
      <c r="N1730" s="93"/>
      <c r="O1730" s="93"/>
      <c r="P1730" s="82"/>
    </row>
    <row r="1731">
      <c r="A1731" s="89"/>
      <c r="B1731" s="90"/>
      <c r="C1731" s="89"/>
      <c r="D1731" s="84"/>
      <c r="E1731" s="83"/>
      <c r="F1731" s="84"/>
      <c r="G1731" s="84"/>
      <c r="H1731" s="84"/>
      <c r="I1731" s="91"/>
      <c r="J1731" s="85"/>
      <c r="K1731" s="85"/>
      <c r="L1731" s="84"/>
      <c r="M1731" s="85"/>
      <c r="N1731" s="93"/>
      <c r="O1731" s="93"/>
      <c r="P1731" s="82"/>
    </row>
    <row r="1732">
      <c r="A1732" s="89"/>
      <c r="B1732" s="90"/>
      <c r="C1732" s="89"/>
      <c r="D1732" s="84"/>
      <c r="E1732" s="83"/>
      <c r="F1732" s="84"/>
      <c r="G1732" s="84"/>
      <c r="H1732" s="84"/>
      <c r="I1732" s="91"/>
      <c r="J1732" s="85"/>
      <c r="K1732" s="85"/>
      <c r="L1732" s="84"/>
      <c r="M1732" s="85"/>
      <c r="N1732" s="93"/>
      <c r="O1732" s="93"/>
      <c r="P1732" s="82"/>
    </row>
    <row r="1733">
      <c r="A1733" s="89"/>
      <c r="B1733" s="90"/>
      <c r="C1733" s="89"/>
      <c r="D1733" s="84"/>
      <c r="E1733" s="83"/>
      <c r="F1733" s="84"/>
      <c r="G1733" s="84"/>
      <c r="H1733" s="84"/>
      <c r="I1733" s="91"/>
      <c r="J1733" s="85"/>
      <c r="K1733" s="85"/>
      <c r="L1733" s="84"/>
      <c r="M1733" s="85"/>
      <c r="N1733" s="93"/>
      <c r="O1733" s="93"/>
      <c r="P1733" s="82"/>
    </row>
    <row r="1734">
      <c r="A1734" s="89"/>
      <c r="B1734" s="90"/>
      <c r="C1734" s="89"/>
      <c r="D1734" s="84"/>
      <c r="E1734" s="83"/>
      <c r="F1734" s="84"/>
      <c r="G1734" s="84"/>
      <c r="H1734" s="84"/>
      <c r="I1734" s="91"/>
      <c r="J1734" s="85"/>
      <c r="K1734" s="85"/>
      <c r="L1734" s="84"/>
      <c r="M1734" s="85"/>
      <c r="N1734" s="93"/>
      <c r="O1734" s="93"/>
      <c r="P1734" s="82"/>
    </row>
    <row r="1735">
      <c r="A1735" s="89"/>
      <c r="B1735" s="90"/>
      <c r="C1735" s="89"/>
      <c r="D1735" s="84"/>
      <c r="E1735" s="83"/>
      <c r="F1735" s="84"/>
      <c r="G1735" s="84"/>
      <c r="H1735" s="84"/>
      <c r="I1735" s="91"/>
      <c r="J1735" s="85"/>
      <c r="K1735" s="85"/>
      <c r="L1735" s="84"/>
      <c r="M1735" s="85"/>
      <c r="N1735" s="93"/>
      <c r="O1735" s="93"/>
      <c r="P1735" s="82"/>
    </row>
    <row r="1736">
      <c r="A1736" s="89"/>
      <c r="B1736" s="90"/>
      <c r="C1736" s="89"/>
      <c r="D1736" s="84"/>
      <c r="E1736" s="83"/>
      <c r="F1736" s="84"/>
      <c r="G1736" s="84"/>
      <c r="H1736" s="84"/>
      <c r="I1736" s="91"/>
      <c r="J1736" s="85"/>
      <c r="K1736" s="85"/>
      <c r="L1736" s="84"/>
      <c r="M1736" s="85"/>
      <c r="N1736" s="93"/>
      <c r="O1736" s="93"/>
      <c r="P1736" s="82"/>
    </row>
    <row r="1737">
      <c r="A1737" s="89"/>
      <c r="B1737" s="90"/>
      <c r="C1737" s="89"/>
      <c r="D1737" s="84"/>
      <c r="E1737" s="83"/>
      <c r="F1737" s="84"/>
      <c r="G1737" s="84"/>
      <c r="H1737" s="84"/>
      <c r="I1737" s="91"/>
      <c r="J1737" s="85"/>
      <c r="K1737" s="85"/>
      <c r="L1737" s="84"/>
      <c r="M1737" s="85"/>
      <c r="N1737" s="93"/>
      <c r="O1737" s="93"/>
      <c r="P1737" s="82"/>
    </row>
    <row r="1738">
      <c r="A1738" s="89"/>
      <c r="B1738" s="90"/>
      <c r="C1738" s="89"/>
      <c r="D1738" s="84"/>
      <c r="E1738" s="83"/>
      <c r="F1738" s="84"/>
      <c r="G1738" s="84"/>
      <c r="H1738" s="84"/>
      <c r="I1738" s="91"/>
      <c r="J1738" s="85"/>
      <c r="K1738" s="85"/>
      <c r="L1738" s="84"/>
      <c r="M1738" s="85"/>
      <c r="N1738" s="93"/>
      <c r="O1738" s="93"/>
      <c r="P1738" s="82"/>
    </row>
    <row r="1739">
      <c r="A1739" s="89"/>
      <c r="B1739" s="90"/>
      <c r="C1739" s="89"/>
      <c r="D1739" s="84"/>
      <c r="E1739" s="83"/>
      <c r="F1739" s="84"/>
      <c r="G1739" s="84"/>
      <c r="H1739" s="84"/>
      <c r="I1739" s="91"/>
      <c r="J1739" s="85"/>
      <c r="K1739" s="85"/>
      <c r="L1739" s="84"/>
      <c r="M1739" s="85"/>
      <c r="N1739" s="93"/>
      <c r="O1739" s="93"/>
      <c r="P1739" s="82"/>
    </row>
    <row r="1740">
      <c r="A1740" s="89"/>
      <c r="B1740" s="90"/>
      <c r="C1740" s="89"/>
      <c r="D1740" s="84"/>
      <c r="E1740" s="83"/>
      <c r="F1740" s="84"/>
      <c r="G1740" s="84"/>
      <c r="H1740" s="84"/>
      <c r="I1740" s="91"/>
      <c r="J1740" s="85"/>
      <c r="K1740" s="85"/>
      <c r="L1740" s="84"/>
      <c r="M1740" s="85"/>
      <c r="N1740" s="93"/>
      <c r="O1740" s="93"/>
      <c r="P1740" s="82"/>
    </row>
    <row r="1741">
      <c r="A1741" s="89"/>
      <c r="B1741" s="90"/>
      <c r="C1741" s="89"/>
      <c r="D1741" s="84"/>
      <c r="E1741" s="83"/>
      <c r="F1741" s="84"/>
      <c r="G1741" s="84"/>
      <c r="H1741" s="84"/>
      <c r="I1741" s="91"/>
      <c r="J1741" s="85"/>
      <c r="K1741" s="85"/>
      <c r="L1741" s="84"/>
      <c r="M1741" s="85"/>
      <c r="N1741" s="93"/>
      <c r="O1741" s="93"/>
      <c r="P1741" s="82"/>
    </row>
    <row r="1742">
      <c r="A1742" s="89"/>
      <c r="B1742" s="90"/>
      <c r="C1742" s="89"/>
      <c r="D1742" s="84"/>
      <c r="E1742" s="83"/>
      <c r="F1742" s="84"/>
      <c r="G1742" s="84"/>
      <c r="H1742" s="84"/>
      <c r="I1742" s="91"/>
      <c r="J1742" s="85"/>
      <c r="K1742" s="85"/>
      <c r="L1742" s="84"/>
      <c r="M1742" s="85"/>
      <c r="N1742" s="93"/>
      <c r="O1742" s="93"/>
      <c r="P1742" s="82"/>
    </row>
    <row r="1743">
      <c r="A1743" s="89"/>
      <c r="B1743" s="90"/>
      <c r="C1743" s="89"/>
      <c r="D1743" s="84"/>
      <c r="E1743" s="83"/>
      <c r="F1743" s="84"/>
      <c r="G1743" s="84"/>
      <c r="H1743" s="84"/>
      <c r="I1743" s="91"/>
      <c r="J1743" s="85"/>
      <c r="K1743" s="85"/>
      <c r="L1743" s="84"/>
      <c r="M1743" s="85"/>
      <c r="N1743" s="93"/>
      <c r="O1743" s="93"/>
      <c r="P1743" s="82"/>
    </row>
    <row r="1744">
      <c r="A1744" s="89"/>
      <c r="B1744" s="90"/>
      <c r="C1744" s="89"/>
      <c r="D1744" s="84"/>
      <c r="E1744" s="83"/>
      <c r="F1744" s="84"/>
      <c r="G1744" s="84"/>
      <c r="H1744" s="84"/>
      <c r="I1744" s="91"/>
      <c r="J1744" s="85"/>
      <c r="K1744" s="85"/>
      <c r="L1744" s="84"/>
      <c r="M1744" s="85"/>
      <c r="N1744" s="93"/>
      <c r="O1744" s="93"/>
      <c r="P1744" s="82"/>
    </row>
    <row r="1745">
      <c r="A1745" s="89"/>
      <c r="B1745" s="90"/>
      <c r="C1745" s="89"/>
      <c r="D1745" s="84"/>
      <c r="E1745" s="83"/>
      <c r="F1745" s="84"/>
      <c r="G1745" s="84"/>
      <c r="H1745" s="84"/>
      <c r="I1745" s="91"/>
      <c r="J1745" s="85"/>
      <c r="K1745" s="85"/>
      <c r="L1745" s="84"/>
      <c r="M1745" s="85"/>
      <c r="N1745" s="93"/>
      <c r="O1745" s="93"/>
      <c r="P1745" s="82"/>
    </row>
    <row r="1746">
      <c r="A1746" s="89"/>
      <c r="B1746" s="90"/>
      <c r="C1746" s="89"/>
      <c r="D1746" s="84"/>
      <c r="E1746" s="83"/>
      <c r="F1746" s="84"/>
      <c r="G1746" s="84"/>
      <c r="H1746" s="84"/>
      <c r="I1746" s="91"/>
      <c r="J1746" s="85"/>
      <c r="K1746" s="85"/>
      <c r="L1746" s="84"/>
      <c r="M1746" s="85"/>
      <c r="N1746" s="93"/>
      <c r="O1746" s="93"/>
      <c r="P1746" s="82"/>
    </row>
    <row r="1747">
      <c r="A1747" s="89"/>
      <c r="B1747" s="90"/>
      <c r="C1747" s="89"/>
      <c r="D1747" s="84"/>
      <c r="E1747" s="83"/>
      <c r="F1747" s="84"/>
      <c r="G1747" s="84"/>
      <c r="H1747" s="84"/>
      <c r="I1747" s="91"/>
      <c r="J1747" s="85"/>
      <c r="K1747" s="85"/>
      <c r="L1747" s="84"/>
      <c r="M1747" s="85"/>
      <c r="N1747" s="93"/>
      <c r="O1747" s="93"/>
      <c r="P1747" s="82"/>
    </row>
    <row r="1748">
      <c r="A1748" s="89"/>
      <c r="B1748" s="90"/>
      <c r="C1748" s="89"/>
      <c r="D1748" s="84"/>
      <c r="E1748" s="83"/>
      <c r="F1748" s="84"/>
      <c r="G1748" s="84"/>
      <c r="H1748" s="84"/>
      <c r="I1748" s="91"/>
      <c r="J1748" s="85"/>
      <c r="K1748" s="85"/>
      <c r="L1748" s="84"/>
      <c r="M1748" s="85"/>
      <c r="N1748" s="93"/>
      <c r="O1748" s="93"/>
      <c r="P1748" s="82"/>
    </row>
    <row r="1749">
      <c r="A1749" s="89"/>
      <c r="B1749" s="90"/>
      <c r="C1749" s="89"/>
      <c r="D1749" s="84"/>
      <c r="E1749" s="83"/>
      <c r="F1749" s="84"/>
      <c r="G1749" s="84"/>
      <c r="H1749" s="84"/>
      <c r="I1749" s="91"/>
      <c r="J1749" s="85"/>
      <c r="K1749" s="85"/>
      <c r="L1749" s="84"/>
      <c r="M1749" s="85"/>
      <c r="N1749" s="93"/>
      <c r="O1749" s="93"/>
      <c r="P1749" s="82"/>
    </row>
    <row r="1750">
      <c r="A1750" s="89"/>
      <c r="B1750" s="90"/>
      <c r="C1750" s="89"/>
      <c r="D1750" s="84"/>
      <c r="E1750" s="83"/>
      <c r="F1750" s="84"/>
      <c r="G1750" s="84"/>
      <c r="H1750" s="84"/>
      <c r="I1750" s="91"/>
      <c r="J1750" s="85"/>
      <c r="K1750" s="85"/>
      <c r="L1750" s="84"/>
      <c r="M1750" s="85"/>
      <c r="N1750" s="93"/>
      <c r="O1750" s="93"/>
      <c r="P1750" s="82"/>
    </row>
    <row r="1751">
      <c r="A1751" s="89"/>
      <c r="B1751" s="90"/>
      <c r="C1751" s="89"/>
      <c r="D1751" s="84"/>
      <c r="E1751" s="83"/>
      <c r="F1751" s="84"/>
      <c r="G1751" s="84"/>
      <c r="H1751" s="84"/>
      <c r="I1751" s="91"/>
      <c r="J1751" s="85"/>
      <c r="K1751" s="85"/>
      <c r="L1751" s="84"/>
      <c r="M1751" s="85"/>
      <c r="N1751" s="93"/>
      <c r="O1751" s="93"/>
      <c r="P1751" s="82"/>
    </row>
    <row r="1752">
      <c r="A1752" s="89"/>
      <c r="B1752" s="90"/>
      <c r="C1752" s="89"/>
      <c r="D1752" s="84"/>
      <c r="E1752" s="83"/>
      <c r="F1752" s="84"/>
      <c r="G1752" s="84"/>
      <c r="H1752" s="84"/>
      <c r="I1752" s="91"/>
      <c r="J1752" s="85"/>
      <c r="K1752" s="85"/>
      <c r="L1752" s="84"/>
      <c r="M1752" s="85"/>
      <c r="N1752" s="93"/>
      <c r="O1752" s="93"/>
      <c r="P1752" s="82"/>
    </row>
    <row r="1753">
      <c r="A1753" s="89"/>
      <c r="B1753" s="90"/>
      <c r="C1753" s="89"/>
      <c r="D1753" s="84"/>
      <c r="E1753" s="83"/>
      <c r="F1753" s="84"/>
      <c r="G1753" s="84"/>
      <c r="H1753" s="84"/>
      <c r="I1753" s="91"/>
      <c r="J1753" s="85"/>
      <c r="K1753" s="85"/>
      <c r="L1753" s="84"/>
      <c r="M1753" s="85"/>
      <c r="N1753" s="93"/>
      <c r="O1753" s="93"/>
      <c r="P1753" s="82"/>
    </row>
    <row r="1754">
      <c r="A1754" s="89"/>
      <c r="B1754" s="90"/>
      <c r="C1754" s="89"/>
      <c r="D1754" s="84"/>
      <c r="E1754" s="83"/>
      <c r="F1754" s="84"/>
      <c r="G1754" s="84"/>
      <c r="H1754" s="84"/>
      <c r="I1754" s="91"/>
      <c r="J1754" s="85"/>
      <c r="K1754" s="85"/>
      <c r="L1754" s="84"/>
      <c r="M1754" s="85"/>
      <c r="N1754" s="93"/>
      <c r="O1754" s="93"/>
      <c r="P1754" s="82"/>
    </row>
    <row r="1755">
      <c r="A1755" s="89"/>
      <c r="B1755" s="90"/>
      <c r="C1755" s="89"/>
      <c r="D1755" s="84"/>
      <c r="E1755" s="83"/>
      <c r="F1755" s="84"/>
      <c r="G1755" s="84"/>
      <c r="H1755" s="84"/>
      <c r="I1755" s="91"/>
      <c r="J1755" s="85"/>
      <c r="K1755" s="85"/>
      <c r="L1755" s="84"/>
      <c r="M1755" s="85"/>
      <c r="N1755" s="93"/>
      <c r="O1755" s="93"/>
      <c r="P1755" s="82"/>
    </row>
    <row r="1756">
      <c r="A1756" s="89"/>
      <c r="B1756" s="90"/>
      <c r="C1756" s="89"/>
      <c r="D1756" s="84"/>
      <c r="E1756" s="83"/>
      <c r="F1756" s="84"/>
      <c r="G1756" s="84"/>
      <c r="H1756" s="84"/>
      <c r="I1756" s="91"/>
      <c r="J1756" s="85"/>
      <c r="K1756" s="85"/>
      <c r="L1756" s="84"/>
      <c r="M1756" s="85"/>
      <c r="N1756" s="93"/>
      <c r="O1756" s="93"/>
      <c r="P1756" s="82"/>
    </row>
    <row r="1757">
      <c r="A1757" s="89"/>
      <c r="B1757" s="90"/>
      <c r="C1757" s="89"/>
      <c r="D1757" s="84"/>
      <c r="E1757" s="83"/>
      <c r="F1757" s="84"/>
      <c r="G1757" s="84"/>
      <c r="H1757" s="84"/>
      <c r="I1757" s="91"/>
      <c r="J1757" s="85"/>
      <c r="K1757" s="85"/>
      <c r="L1757" s="84"/>
      <c r="M1757" s="85"/>
      <c r="N1757" s="93"/>
      <c r="O1757" s="93"/>
      <c r="P1757" s="82"/>
    </row>
    <row r="1758">
      <c r="A1758" s="89"/>
      <c r="B1758" s="90"/>
      <c r="C1758" s="89"/>
      <c r="D1758" s="84"/>
      <c r="E1758" s="83"/>
      <c r="F1758" s="84"/>
      <c r="G1758" s="84"/>
      <c r="H1758" s="84"/>
      <c r="I1758" s="91"/>
      <c r="J1758" s="85"/>
      <c r="K1758" s="85"/>
      <c r="L1758" s="84"/>
      <c r="M1758" s="85"/>
      <c r="N1758" s="93"/>
      <c r="O1758" s="93"/>
      <c r="P1758" s="82"/>
    </row>
    <row r="1759">
      <c r="A1759" s="89"/>
      <c r="B1759" s="90"/>
      <c r="C1759" s="89"/>
      <c r="D1759" s="84"/>
      <c r="E1759" s="83"/>
      <c r="F1759" s="84"/>
      <c r="G1759" s="84"/>
      <c r="H1759" s="84"/>
      <c r="I1759" s="91"/>
      <c r="J1759" s="85"/>
      <c r="K1759" s="85"/>
      <c r="L1759" s="84"/>
      <c r="M1759" s="85"/>
      <c r="N1759" s="93"/>
      <c r="O1759" s="93"/>
      <c r="P1759" s="82"/>
    </row>
    <row r="1760">
      <c r="A1760" s="89"/>
      <c r="B1760" s="90"/>
      <c r="C1760" s="89"/>
      <c r="D1760" s="84"/>
      <c r="E1760" s="83"/>
      <c r="F1760" s="84"/>
      <c r="G1760" s="84"/>
      <c r="H1760" s="84"/>
      <c r="I1760" s="91"/>
      <c r="J1760" s="85"/>
      <c r="K1760" s="85"/>
      <c r="L1760" s="84"/>
      <c r="M1760" s="85"/>
      <c r="N1760" s="93"/>
      <c r="O1760" s="93"/>
      <c r="P1760" s="82"/>
    </row>
    <row r="1761">
      <c r="A1761" s="89"/>
      <c r="B1761" s="90"/>
      <c r="C1761" s="89"/>
      <c r="D1761" s="84"/>
      <c r="E1761" s="83"/>
      <c r="F1761" s="84"/>
      <c r="G1761" s="84"/>
      <c r="H1761" s="84"/>
      <c r="I1761" s="91"/>
      <c r="J1761" s="85"/>
      <c r="K1761" s="85"/>
      <c r="L1761" s="84"/>
      <c r="M1761" s="85"/>
      <c r="N1761" s="93"/>
      <c r="O1761" s="93"/>
      <c r="P1761" s="82"/>
    </row>
    <row r="1762">
      <c r="A1762" s="89"/>
      <c r="B1762" s="90"/>
      <c r="C1762" s="89"/>
      <c r="D1762" s="84"/>
      <c r="E1762" s="83"/>
      <c r="F1762" s="84"/>
      <c r="G1762" s="84"/>
      <c r="H1762" s="84"/>
      <c r="I1762" s="91"/>
      <c r="J1762" s="85"/>
      <c r="K1762" s="85"/>
      <c r="L1762" s="84"/>
      <c r="M1762" s="85"/>
      <c r="N1762" s="93"/>
      <c r="O1762" s="93"/>
      <c r="P1762" s="82"/>
    </row>
    <row r="1763">
      <c r="A1763" s="89"/>
      <c r="B1763" s="90"/>
      <c r="C1763" s="89"/>
      <c r="D1763" s="84"/>
      <c r="E1763" s="83"/>
      <c r="F1763" s="84"/>
      <c r="G1763" s="84"/>
      <c r="H1763" s="84"/>
      <c r="I1763" s="91"/>
      <c r="J1763" s="85"/>
      <c r="K1763" s="85"/>
      <c r="L1763" s="84"/>
      <c r="M1763" s="85"/>
      <c r="N1763" s="93"/>
      <c r="O1763" s="93"/>
      <c r="P1763" s="82"/>
    </row>
    <row r="1764">
      <c r="A1764" s="89"/>
      <c r="B1764" s="90"/>
      <c r="C1764" s="89"/>
      <c r="D1764" s="84"/>
      <c r="E1764" s="83"/>
      <c r="F1764" s="84"/>
      <c r="G1764" s="84"/>
      <c r="H1764" s="84"/>
      <c r="I1764" s="91"/>
      <c r="J1764" s="85"/>
      <c r="K1764" s="85"/>
      <c r="L1764" s="84"/>
      <c r="M1764" s="85"/>
      <c r="N1764" s="93"/>
      <c r="O1764" s="93"/>
      <c r="P1764" s="82"/>
    </row>
    <row r="1765">
      <c r="A1765" s="89"/>
      <c r="B1765" s="90"/>
      <c r="C1765" s="89"/>
      <c r="D1765" s="84"/>
      <c r="E1765" s="83"/>
      <c r="F1765" s="84"/>
      <c r="G1765" s="84"/>
      <c r="H1765" s="84"/>
      <c r="I1765" s="91"/>
      <c r="J1765" s="85"/>
      <c r="K1765" s="85"/>
      <c r="L1765" s="84"/>
      <c r="M1765" s="85"/>
      <c r="N1765" s="93"/>
      <c r="O1765" s="93"/>
      <c r="P1765" s="82"/>
    </row>
    <row r="1766">
      <c r="A1766" s="89"/>
      <c r="B1766" s="90"/>
      <c r="C1766" s="89"/>
      <c r="D1766" s="84"/>
      <c r="E1766" s="83"/>
      <c r="F1766" s="84"/>
      <c r="G1766" s="84"/>
      <c r="H1766" s="84"/>
      <c r="I1766" s="91"/>
      <c r="J1766" s="85"/>
      <c r="K1766" s="85"/>
      <c r="L1766" s="84"/>
      <c r="M1766" s="85"/>
      <c r="N1766" s="93"/>
      <c r="O1766" s="93"/>
      <c r="P1766" s="82"/>
    </row>
    <row r="1767">
      <c r="A1767" s="89"/>
      <c r="B1767" s="90"/>
      <c r="C1767" s="89"/>
      <c r="D1767" s="84"/>
      <c r="E1767" s="83"/>
      <c r="F1767" s="84"/>
      <c r="G1767" s="84"/>
      <c r="H1767" s="84"/>
      <c r="I1767" s="91"/>
      <c r="J1767" s="85"/>
      <c r="K1767" s="85"/>
      <c r="L1767" s="84"/>
      <c r="M1767" s="85"/>
      <c r="N1767" s="93"/>
      <c r="O1767" s="93"/>
      <c r="P1767" s="82"/>
    </row>
    <row r="1768">
      <c r="A1768" s="89"/>
      <c r="B1768" s="90"/>
      <c r="C1768" s="89"/>
      <c r="D1768" s="84"/>
      <c r="E1768" s="83"/>
      <c r="F1768" s="84"/>
      <c r="G1768" s="84"/>
      <c r="H1768" s="84"/>
      <c r="I1768" s="91"/>
      <c r="J1768" s="85"/>
      <c r="K1768" s="85"/>
      <c r="L1768" s="84"/>
      <c r="M1768" s="85"/>
      <c r="N1768" s="93"/>
      <c r="O1768" s="93"/>
      <c r="P1768" s="82"/>
    </row>
    <row r="1769">
      <c r="A1769" s="89"/>
      <c r="B1769" s="90"/>
      <c r="C1769" s="89"/>
      <c r="D1769" s="84"/>
      <c r="E1769" s="83"/>
      <c r="F1769" s="84"/>
      <c r="G1769" s="84"/>
      <c r="H1769" s="84"/>
      <c r="I1769" s="91"/>
      <c r="J1769" s="85"/>
      <c r="K1769" s="85"/>
      <c r="L1769" s="84"/>
      <c r="M1769" s="85"/>
      <c r="N1769" s="93"/>
      <c r="O1769" s="93"/>
      <c r="P1769" s="82"/>
    </row>
    <row r="1770">
      <c r="A1770" s="89"/>
      <c r="B1770" s="90"/>
      <c r="C1770" s="89"/>
      <c r="D1770" s="84"/>
      <c r="E1770" s="83"/>
      <c r="F1770" s="84"/>
      <c r="G1770" s="84"/>
      <c r="H1770" s="84"/>
      <c r="I1770" s="91"/>
      <c r="J1770" s="85"/>
      <c r="K1770" s="85"/>
      <c r="L1770" s="84"/>
      <c r="M1770" s="85"/>
      <c r="N1770" s="93"/>
      <c r="O1770" s="93"/>
      <c r="P1770" s="82"/>
    </row>
    <row r="1771">
      <c r="A1771" s="89"/>
      <c r="B1771" s="90"/>
      <c r="C1771" s="89"/>
      <c r="D1771" s="84"/>
      <c r="E1771" s="83"/>
      <c r="F1771" s="84"/>
      <c r="G1771" s="84"/>
      <c r="H1771" s="84"/>
      <c r="I1771" s="91"/>
      <c r="J1771" s="85"/>
      <c r="K1771" s="85"/>
      <c r="L1771" s="84"/>
      <c r="M1771" s="85"/>
      <c r="N1771" s="93"/>
      <c r="O1771" s="93"/>
      <c r="P1771" s="82"/>
    </row>
    <row r="1772">
      <c r="A1772" s="89"/>
      <c r="B1772" s="90"/>
      <c r="C1772" s="89"/>
      <c r="D1772" s="84"/>
      <c r="E1772" s="83"/>
      <c r="F1772" s="84"/>
      <c r="G1772" s="84"/>
      <c r="H1772" s="84"/>
      <c r="I1772" s="91"/>
      <c r="J1772" s="85"/>
      <c r="K1772" s="85"/>
      <c r="L1772" s="84"/>
      <c r="M1772" s="85"/>
      <c r="N1772" s="93"/>
      <c r="O1772" s="93"/>
      <c r="P1772" s="82"/>
    </row>
    <row r="1773">
      <c r="A1773" s="89"/>
      <c r="B1773" s="90"/>
      <c r="C1773" s="89"/>
      <c r="D1773" s="84"/>
      <c r="E1773" s="83"/>
      <c r="F1773" s="84"/>
      <c r="G1773" s="84"/>
      <c r="H1773" s="84"/>
      <c r="I1773" s="91"/>
      <c r="J1773" s="85"/>
      <c r="K1773" s="85"/>
      <c r="L1773" s="84"/>
      <c r="M1773" s="85"/>
      <c r="N1773" s="93"/>
      <c r="O1773" s="93"/>
      <c r="P1773" s="82"/>
    </row>
    <row r="1774">
      <c r="A1774" s="89"/>
      <c r="B1774" s="90"/>
      <c r="C1774" s="89"/>
      <c r="D1774" s="84"/>
      <c r="E1774" s="83"/>
      <c r="F1774" s="84"/>
      <c r="G1774" s="84"/>
      <c r="H1774" s="84"/>
      <c r="I1774" s="91"/>
      <c r="J1774" s="85"/>
      <c r="K1774" s="85"/>
      <c r="L1774" s="84"/>
      <c r="M1774" s="85"/>
      <c r="N1774" s="93"/>
      <c r="O1774" s="93"/>
      <c r="P1774" s="82"/>
    </row>
    <row r="1775">
      <c r="A1775" s="89"/>
      <c r="B1775" s="90"/>
      <c r="C1775" s="89"/>
      <c r="D1775" s="84"/>
      <c r="E1775" s="83"/>
      <c r="F1775" s="84"/>
      <c r="G1775" s="84"/>
      <c r="H1775" s="84"/>
      <c r="I1775" s="91"/>
      <c r="J1775" s="85"/>
      <c r="K1775" s="85"/>
      <c r="L1775" s="84"/>
      <c r="M1775" s="85"/>
      <c r="N1775" s="93"/>
      <c r="O1775" s="93"/>
      <c r="P1775" s="82"/>
    </row>
    <row r="1776">
      <c r="A1776" s="89"/>
      <c r="B1776" s="90"/>
      <c r="C1776" s="89"/>
      <c r="D1776" s="84"/>
      <c r="E1776" s="83"/>
      <c r="F1776" s="84"/>
      <c r="G1776" s="84"/>
      <c r="H1776" s="84"/>
      <c r="I1776" s="91"/>
      <c r="J1776" s="85"/>
      <c r="K1776" s="85"/>
      <c r="L1776" s="84"/>
      <c r="M1776" s="85"/>
      <c r="N1776" s="93"/>
      <c r="O1776" s="93"/>
      <c r="P1776" s="82"/>
    </row>
    <row r="1777">
      <c r="A1777" s="89"/>
      <c r="B1777" s="90"/>
      <c r="C1777" s="89"/>
      <c r="D1777" s="84"/>
      <c r="E1777" s="83"/>
      <c r="F1777" s="84"/>
      <c r="G1777" s="84"/>
      <c r="H1777" s="84"/>
      <c r="I1777" s="91"/>
      <c r="J1777" s="85"/>
      <c r="K1777" s="85"/>
      <c r="L1777" s="84"/>
      <c r="M1777" s="85"/>
      <c r="N1777" s="93"/>
      <c r="O1777" s="93"/>
      <c r="P1777" s="82"/>
    </row>
    <row r="1778">
      <c r="A1778" s="89"/>
      <c r="B1778" s="90"/>
      <c r="C1778" s="89"/>
      <c r="D1778" s="84"/>
      <c r="E1778" s="83"/>
      <c r="F1778" s="84"/>
      <c r="G1778" s="84"/>
      <c r="H1778" s="84"/>
      <c r="I1778" s="91"/>
      <c r="J1778" s="85"/>
      <c r="K1778" s="85"/>
      <c r="L1778" s="84"/>
      <c r="M1778" s="85"/>
      <c r="N1778" s="93"/>
      <c r="O1778" s="93"/>
      <c r="P1778" s="82"/>
    </row>
    <row r="1779">
      <c r="A1779" s="89"/>
      <c r="B1779" s="90"/>
      <c r="C1779" s="89"/>
      <c r="D1779" s="84"/>
      <c r="E1779" s="83"/>
      <c r="F1779" s="84"/>
      <c r="G1779" s="84"/>
      <c r="H1779" s="84"/>
      <c r="I1779" s="91"/>
      <c r="J1779" s="85"/>
      <c r="K1779" s="85"/>
      <c r="L1779" s="84"/>
      <c r="M1779" s="85"/>
      <c r="N1779" s="93"/>
      <c r="O1779" s="93"/>
      <c r="P1779" s="82"/>
    </row>
    <row r="1780">
      <c r="A1780" s="89"/>
      <c r="B1780" s="90"/>
      <c r="C1780" s="89"/>
      <c r="D1780" s="84"/>
      <c r="E1780" s="83"/>
      <c r="F1780" s="84"/>
      <c r="G1780" s="84"/>
      <c r="H1780" s="84"/>
      <c r="I1780" s="91"/>
      <c r="J1780" s="85"/>
      <c r="K1780" s="85"/>
      <c r="L1780" s="84"/>
      <c r="M1780" s="85"/>
      <c r="N1780" s="93"/>
      <c r="O1780" s="93"/>
      <c r="P1780" s="82"/>
    </row>
    <row r="1781">
      <c r="A1781" s="89"/>
      <c r="B1781" s="90"/>
      <c r="C1781" s="89"/>
      <c r="D1781" s="84"/>
      <c r="E1781" s="83"/>
      <c r="F1781" s="84"/>
      <c r="G1781" s="84"/>
      <c r="H1781" s="84"/>
      <c r="I1781" s="91"/>
      <c r="J1781" s="85"/>
      <c r="K1781" s="85"/>
      <c r="L1781" s="84"/>
      <c r="M1781" s="85"/>
      <c r="N1781" s="93"/>
      <c r="O1781" s="93"/>
      <c r="P1781" s="82"/>
    </row>
    <row r="1782">
      <c r="A1782" s="89"/>
      <c r="B1782" s="90"/>
      <c r="C1782" s="89"/>
      <c r="D1782" s="84"/>
      <c r="E1782" s="83"/>
      <c r="F1782" s="84"/>
      <c r="G1782" s="84"/>
      <c r="H1782" s="84"/>
      <c r="I1782" s="91"/>
      <c r="J1782" s="85"/>
      <c r="K1782" s="85"/>
      <c r="L1782" s="84"/>
      <c r="M1782" s="85"/>
      <c r="N1782" s="93"/>
      <c r="O1782" s="93"/>
      <c r="P1782" s="82"/>
    </row>
    <row r="1783">
      <c r="A1783" s="89"/>
      <c r="B1783" s="90"/>
      <c r="C1783" s="89"/>
      <c r="D1783" s="84"/>
      <c r="E1783" s="83"/>
      <c r="F1783" s="84"/>
      <c r="G1783" s="84"/>
      <c r="H1783" s="84"/>
      <c r="I1783" s="91"/>
      <c r="J1783" s="85"/>
      <c r="K1783" s="85"/>
      <c r="L1783" s="84"/>
      <c r="M1783" s="85"/>
      <c r="N1783" s="93"/>
      <c r="O1783" s="93"/>
      <c r="P1783" s="82"/>
    </row>
    <row r="1784">
      <c r="A1784" s="89"/>
      <c r="B1784" s="90"/>
      <c r="C1784" s="89"/>
      <c r="D1784" s="84"/>
      <c r="E1784" s="83"/>
      <c r="F1784" s="84"/>
      <c r="G1784" s="84"/>
      <c r="H1784" s="84"/>
      <c r="I1784" s="91"/>
      <c r="J1784" s="85"/>
      <c r="K1784" s="85"/>
      <c r="L1784" s="84"/>
      <c r="M1784" s="85"/>
      <c r="N1784" s="93"/>
      <c r="O1784" s="93"/>
      <c r="P1784" s="82"/>
    </row>
    <row r="1785">
      <c r="A1785" s="89"/>
      <c r="B1785" s="90"/>
      <c r="C1785" s="89"/>
      <c r="D1785" s="84"/>
      <c r="E1785" s="83"/>
      <c r="F1785" s="84"/>
      <c r="G1785" s="84"/>
      <c r="H1785" s="84"/>
      <c r="I1785" s="91"/>
      <c r="J1785" s="85"/>
      <c r="K1785" s="85"/>
      <c r="L1785" s="84"/>
      <c r="M1785" s="85"/>
      <c r="N1785" s="93"/>
      <c r="O1785" s="93"/>
      <c r="P1785" s="82"/>
    </row>
    <row r="1786">
      <c r="A1786" s="89"/>
      <c r="B1786" s="90"/>
      <c r="C1786" s="89"/>
      <c r="D1786" s="84"/>
      <c r="E1786" s="83"/>
      <c r="F1786" s="84"/>
      <c r="G1786" s="84"/>
      <c r="H1786" s="84"/>
      <c r="I1786" s="91"/>
      <c r="J1786" s="85"/>
      <c r="K1786" s="85"/>
      <c r="L1786" s="84"/>
      <c r="M1786" s="85"/>
      <c r="N1786" s="93"/>
      <c r="O1786" s="93"/>
      <c r="P1786" s="82"/>
    </row>
    <row r="1787">
      <c r="A1787" s="89"/>
      <c r="B1787" s="90"/>
      <c r="C1787" s="89"/>
      <c r="D1787" s="84"/>
      <c r="E1787" s="83"/>
      <c r="F1787" s="84"/>
      <c r="G1787" s="84"/>
      <c r="H1787" s="84"/>
      <c r="I1787" s="91"/>
      <c r="J1787" s="85"/>
      <c r="K1787" s="85"/>
      <c r="L1787" s="84"/>
      <c r="M1787" s="85"/>
      <c r="N1787" s="93"/>
      <c r="O1787" s="93"/>
      <c r="P1787" s="82"/>
    </row>
    <row r="1788">
      <c r="A1788" s="89"/>
      <c r="B1788" s="90"/>
      <c r="C1788" s="89"/>
      <c r="D1788" s="84"/>
      <c r="E1788" s="83"/>
      <c r="F1788" s="84"/>
      <c r="G1788" s="84"/>
      <c r="H1788" s="84"/>
      <c r="I1788" s="91"/>
      <c r="J1788" s="85"/>
      <c r="K1788" s="85"/>
      <c r="L1788" s="84"/>
      <c r="M1788" s="85"/>
      <c r="N1788" s="93"/>
      <c r="O1788" s="93"/>
      <c r="P1788" s="82"/>
    </row>
    <row r="1789">
      <c r="A1789" s="89"/>
      <c r="B1789" s="90"/>
      <c r="C1789" s="89"/>
      <c r="D1789" s="84"/>
      <c r="E1789" s="83"/>
      <c r="F1789" s="84"/>
      <c r="G1789" s="84"/>
      <c r="H1789" s="84"/>
      <c r="I1789" s="91"/>
      <c r="J1789" s="85"/>
      <c r="K1789" s="85"/>
      <c r="L1789" s="84"/>
      <c r="M1789" s="85"/>
      <c r="N1789" s="93"/>
      <c r="O1789" s="93"/>
      <c r="P1789" s="82"/>
    </row>
    <row r="1790">
      <c r="A1790" s="89"/>
      <c r="B1790" s="90"/>
      <c r="C1790" s="89"/>
      <c r="D1790" s="84"/>
      <c r="E1790" s="83"/>
      <c r="F1790" s="84"/>
      <c r="G1790" s="84"/>
      <c r="H1790" s="84"/>
      <c r="I1790" s="91"/>
      <c r="J1790" s="85"/>
      <c r="K1790" s="85"/>
      <c r="L1790" s="84"/>
      <c r="M1790" s="85"/>
      <c r="N1790" s="93"/>
      <c r="O1790" s="93"/>
      <c r="P1790" s="82"/>
    </row>
    <row r="1791">
      <c r="A1791" s="89"/>
      <c r="B1791" s="90"/>
      <c r="C1791" s="89"/>
      <c r="D1791" s="84"/>
      <c r="E1791" s="83"/>
      <c r="F1791" s="84"/>
      <c r="G1791" s="84"/>
      <c r="H1791" s="84"/>
      <c r="I1791" s="91"/>
      <c r="J1791" s="85"/>
      <c r="K1791" s="85"/>
      <c r="L1791" s="84"/>
      <c r="M1791" s="85"/>
      <c r="N1791" s="93"/>
      <c r="O1791" s="93"/>
      <c r="P1791" s="82"/>
    </row>
    <row r="1792">
      <c r="A1792" s="89"/>
      <c r="B1792" s="90"/>
      <c r="C1792" s="89"/>
      <c r="D1792" s="84"/>
      <c r="E1792" s="83"/>
      <c r="F1792" s="84"/>
      <c r="G1792" s="84"/>
      <c r="H1792" s="84"/>
      <c r="I1792" s="91"/>
      <c r="J1792" s="85"/>
      <c r="K1792" s="85"/>
      <c r="L1792" s="84"/>
      <c r="M1792" s="85"/>
      <c r="N1792" s="93"/>
      <c r="O1792" s="93"/>
      <c r="P1792" s="82"/>
    </row>
    <row r="1793">
      <c r="A1793" s="89"/>
      <c r="B1793" s="90"/>
      <c r="C1793" s="89"/>
      <c r="D1793" s="84"/>
      <c r="E1793" s="83"/>
      <c r="F1793" s="84"/>
      <c r="G1793" s="84"/>
      <c r="H1793" s="84"/>
      <c r="I1793" s="91"/>
      <c r="J1793" s="85"/>
      <c r="K1793" s="85"/>
      <c r="L1793" s="84"/>
      <c r="M1793" s="85"/>
      <c r="N1793" s="93"/>
      <c r="O1793" s="93"/>
      <c r="P1793" s="82"/>
    </row>
    <row r="1794">
      <c r="A1794" s="89"/>
      <c r="B1794" s="90"/>
      <c r="C1794" s="89"/>
      <c r="D1794" s="84"/>
      <c r="E1794" s="83"/>
      <c r="F1794" s="84"/>
      <c r="G1794" s="84"/>
      <c r="H1794" s="84"/>
      <c r="I1794" s="91"/>
      <c r="J1794" s="85"/>
      <c r="K1794" s="85"/>
      <c r="L1794" s="84"/>
      <c r="M1794" s="85"/>
      <c r="N1794" s="93"/>
      <c r="O1794" s="93"/>
      <c r="P1794" s="82"/>
    </row>
    <row r="1795">
      <c r="A1795" s="89"/>
      <c r="B1795" s="90"/>
      <c r="C1795" s="89"/>
      <c r="D1795" s="84"/>
      <c r="E1795" s="83"/>
      <c r="F1795" s="84"/>
      <c r="G1795" s="84"/>
      <c r="H1795" s="84"/>
      <c r="I1795" s="91"/>
      <c r="J1795" s="85"/>
      <c r="K1795" s="85"/>
      <c r="L1795" s="84"/>
      <c r="M1795" s="85"/>
      <c r="N1795" s="93"/>
      <c r="O1795" s="93"/>
      <c r="P1795" s="82"/>
    </row>
    <row r="1796">
      <c r="A1796" s="89"/>
      <c r="B1796" s="90"/>
      <c r="C1796" s="89"/>
      <c r="D1796" s="84"/>
      <c r="E1796" s="83"/>
      <c r="F1796" s="84"/>
      <c r="G1796" s="84"/>
      <c r="H1796" s="84"/>
      <c r="I1796" s="91"/>
      <c r="J1796" s="85"/>
      <c r="K1796" s="85"/>
      <c r="L1796" s="84"/>
      <c r="M1796" s="85"/>
      <c r="N1796" s="93"/>
      <c r="O1796" s="93"/>
      <c r="P1796" s="82"/>
    </row>
    <row r="1797">
      <c r="A1797" s="89"/>
      <c r="B1797" s="90"/>
      <c r="C1797" s="89"/>
      <c r="D1797" s="84"/>
      <c r="E1797" s="83"/>
      <c r="F1797" s="84"/>
      <c r="G1797" s="84"/>
      <c r="H1797" s="84"/>
      <c r="I1797" s="91"/>
      <c r="J1797" s="85"/>
      <c r="K1797" s="85"/>
      <c r="L1797" s="84"/>
      <c r="M1797" s="85"/>
      <c r="N1797" s="93"/>
      <c r="O1797" s="93"/>
      <c r="P1797" s="82"/>
    </row>
    <row r="1798">
      <c r="A1798" s="89"/>
      <c r="B1798" s="90"/>
      <c r="C1798" s="89"/>
      <c r="D1798" s="84"/>
      <c r="E1798" s="83"/>
      <c r="F1798" s="84"/>
      <c r="G1798" s="84"/>
      <c r="H1798" s="84"/>
      <c r="I1798" s="91"/>
      <c r="J1798" s="85"/>
      <c r="K1798" s="85"/>
      <c r="L1798" s="84"/>
      <c r="M1798" s="85"/>
      <c r="N1798" s="93"/>
      <c r="O1798" s="93"/>
      <c r="P1798" s="82"/>
    </row>
    <row r="1799">
      <c r="A1799" s="89"/>
      <c r="B1799" s="90"/>
      <c r="C1799" s="89"/>
      <c r="D1799" s="84"/>
      <c r="E1799" s="83"/>
      <c r="F1799" s="84"/>
      <c r="G1799" s="84"/>
      <c r="H1799" s="84"/>
      <c r="I1799" s="91"/>
      <c r="J1799" s="85"/>
      <c r="K1799" s="85"/>
      <c r="L1799" s="84"/>
      <c r="M1799" s="85"/>
      <c r="N1799" s="93"/>
      <c r="O1799" s="93"/>
      <c r="P1799" s="82"/>
    </row>
    <row r="1800">
      <c r="A1800" s="89"/>
      <c r="B1800" s="90"/>
      <c r="C1800" s="89"/>
      <c r="D1800" s="84"/>
      <c r="E1800" s="83"/>
      <c r="F1800" s="84"/>
      <c r="G1800" s="84"/>
      <c r="H1800" s="84"/>
      <c r="I1800" s="91"/>
      <c r="J1800" s="85"/>
      <c r="K1800" s="85"/>
      <c r="L1800" s="84"/>
      <c r="M1800" s="85"/>
      <c r="N1800" s="93"/>
      <c r="O1800" s="93"/>
      <c r="P1800" s="82"/>
    </row>
    <row r="1801">
      <c r="A1801" s="89"/>
      <c r="B1801" s="90"/>
      <c r="C1801" s="89"/>
      <c r="D1801" s="84"/>
      <c r="E1801" s="83"/>
      <c r="F1801" s="84"/>
      <c r="G1801" s="84"/>
      <c r="H1801" s="84"/>
      <c r="I1801" s="91"/>
      <c r="J1801" s="85"/>
      <c r="K1801" s="85"/>
      <c r="L1801" s="84"/>
      <c r="M1801" s="85"/>
      <c r="N1801" s="93"/>
      <c r="O1801" s="93"/>
      <c r="P1801" s="82"/>
    </row>
    <row r="1802">
      <c r="A1802" s="89"/>
      <c r="B1802" s="90"/>
      <c r="C1802" s="89"/>
      <c r="D1802" s="84"/>
      <c r="E1802" s="83"/>
      <c r="F1802" s="84"/>
      <c r="G1802" s="84"/>
      <c r="H1802" s="84"/>
      <c r="I1802" s="91"/>
      <c r="J1802" s="85"/>
      <c r="K1802" s="85"/>
      <c r="L1802" s="84"/>
      <c r="M1802" s="85"/>
      <c r="N1802" s="93"/>
      <c r="O1802" s="93"/>
      <c r="P1802" s="82"/>
    </row>
    <row r="1803">
      <c r="A1803" s="89"/>
      <c r="B1803" s="90"/>
      <c r="C1803" s="89"/>
      <c r="D1803" s="84"/>
      <c r="E1803" s="83"/>
      <c r="F1803" s="84"/>
      <c r="G1803" s="84"/>
      <c r="H1803" s="84"/>
      <c r="I1803" s="91"/>
      <c r="J1803" s="85"/>
      <c r="K1803" s="85"/>
      <c r="L1803" s="84"/>
      <c r="M1803" s="85"/>
      <c r="N1803" s="93"/>
      <c r="O1803" s="93"/>
      <c r="P1803" s="82"/>
    </row>
    <row r="1804">
      <c r="A1804" s="89"/>
      <c r="B1804" s="90"/>
      <c r="C1804" s="89"/>
      <c r="D1804" s="84"/>
      <c r="E1804" s="83"/>
      <c r="F1804" s="84"/>
      <c r="G1804" s="84"/>
      <c r="H1804" s="84"/>
      <c r="I1804" s="91"/>
      <c r="J1804" s="85"/>
      <c r="K1804" s="85"/>
      <c r="L1804" s="84"/>
      <c r="M1804" s="85"/>
      <c r="N1804" s="93"/>
      <c r="O1804" s="93"/>
      <c r="P1804" s="82"/>
    </row>
    <row r="1805">
      <c r="A1805" s="89"/>
      <c r="B1805" s="90"/>
      <c r="C1805" s="89"/>
      <c r="D1805" s="84"/>
      <c r="E1805" s="83"/>
      <c r="F1805" s="84"/>
      <c r="G1805" s="84"/>
      <c r="H1805" s="84"/>
      <c r="I1805" s="91"/>
      <c r="J1805" s="85"/>
      <c r="K1805" s="85"/>
      <c r="L1805" s="84"/>
      <c r="M1805" s="85"/>
      <c r="N1805" s="93"/>
      <c r="O1805" s="93"/>
      <c r="P1805" s="82"/>
    </row>
    <row r="1806">
      <c r="A1806" s="89"/>
      <c r="B1806" s="90"/>
      <c r="C1806" s="89"/>
      <c r="D1806" s="84"/>
      <c r="E1806" s="83"/>
      <c r="F1806" s="84"/>
      <c r="G1806" s="84"/>
      <c r="H1806" s="84"/>
      <c r="I1806" s="91"/>
      <c r="J1806" s="85"/>
      <c r="K1806" s="85"/>
      <c r="L1806" s="84"/>
      <c r="M1806" s="85"/>
      <c r="N1806" s="93"/>
      <c r="O1806" s="93"/>
      <c r="P1806" s="82"/>
    </row>
    <row r="1807">
      <c r="A1807" s="89"/>
      <c r="B1807" s="90"/>
      <c r="C1807" s="89"/>
      <c r="D1807" s="84"/>
      <c r="E1807" s="83"/>
      <c r="F1807" s="84"/>
      <c r="G1807" s="84"/>
      <c r="H1807" s="84"/>
      <c r="I1807" s="91"/>
      <c r="J1807" s="85"/>
      <c r="K1807" s="85"/>
      <c r="L1807" s="84"/>
      <c r="M1807" s="85"/>
      <c r="N1807" s="93"/>
      <c r="O1807" s="93"/>
      <c r="P1807" s="82"/>
    </row>
    <row r="1808">
      <c r="A1808" s="89"/>
      <c r="B1808" s="90"/>
      <c r="C1808" s="89"/>
      <c r="D1808" s="84"/>
      <c r="E1808" s="83"/>
      <c r="F1808" s="84"/>
      <c r="G1808" s="84"/>
      <c r="H1808" s="84"/>
      <c r="I1808" s="91"/>
      <c r="J1808" s="85"/>
      <c r="K1808" s="85"/>
      <c r="L1808" s="84"/>
      <c r="M1808" s="85"/>
      <c r="N1808" s="93"/>
      <c r="O1808" s="93"/>
      <c r="P1808" s="82"/>
    </row>
    <row r="1809">
      <c r="A1809" s="89"/>
      <c r="B1809" s="90"/>
      <c r="C1809" s="89"/>
      <c r="D1809" s="84"/>
      <c r="E1809" s="83"/>
      <c r="F1809" s="84"/>
      <c r="G1809" s="84"/>
      <c r="H1809" s="84"/>
      <c r="I1809" s="91"/>
      <c r="J1809" s="85"/>
      <c r="K1809" s="85"/>
      <c r="L1809" s="84"/>
      <c r="M1809" s="85"/>
      <c r="N1809" s="93"/>
      <c r="O1809" s="93"/>
      <c r="P1809" s="82"/>
    </row>
    <row r="1810">
      <c r="A1810" s="89"/>
      <c r="B1810" s="90"/>
      <c r="C1810" s="89"/>
      <c r="D1810" s="84"/>
      <c r="E1810" s="83"/>
      <c r="F1810" s="84"/>
      <c r="G1810" s="84"/>
      <c r="H1810" s="84"/>
      <c r="I1810" s="91"/>
      <c r="J1810" s="85"/>
      <c r="K1810" s="85"/>
      <c r="L1810" s="84"/>
      <c r="M1810" s="85"/>
      <c r="N1810" s="93"/>
      <c r="O1810" s="93"/>
      <c r="P1810" s="82"/>
    </row>
    <row r="1811">
      <c r="A1811" s="89"/>
      <c r="B1811" s="90"/>
      <c r="C1811" s="89"/>
      <c r="D1811" s="84"/>
      <c r="E1811" s="83"/>
      <c r="F1811" s="84"/>
      <c r="G1811" s="84"/>
      <c r="H1811" s="84"/>
      <c r="I1811" s="91"/>
      <c r="J1811" s="85"/>
      <c r="K1811" s="85"/>
      <c r="L1811" s="84"/>
      <c r="M1811" s="85"/>
      <c r="N1811" s="93"/>
      <c r="O1811" s="93"/>
      <c r="P1811" s="82"/>
    </row>
    <row r="1812">
      <c r="A1812" s="89"/>
      <c r="B1812" s="90"/>
      <c r="C1812" s="89"/>
      <c r="D1812" s="84"/>
      <c r="E1812" s="83"/>
      <c r="F1812" s="84"/>
      <c r="G1812" s="84"/>
      <c r="H1812" s="84"/>
      <c r="I1812" s="91"/>
      <c r="J1812" s="85"/>
      <c r="K1812" s="85"/>
      <c r="L1812" s="84"/>
      <c r="M1812" s="85"/>
      <c r="N1812" s="93"/>
      <c r="O1812" s="93"/>
      <c r="P1812" s="82"/>
    </row>
    <row r="1813">
      <c r="A1813" s="89"/>
      <c r="B1813" s="90"/>
      <c r="C1813" s="89"/>
      <c r="D1813" s="84"/>
      <c r="E1813" s="83"/>
      <c r="F1813" s="84"/>
      <c r="G1813" s="84"/>
      <c r="H1813" s="84"/>
      <c r="I1813" s="91"/>
      <c r="J1813" s="85"/>
      <c r="K1813" s="85"/>
      <c r="L1813" s="84"/>
      <c r="M1813" s="85"/>
      <c r="N1813" s="93"/>
      <c r="O1813" s="93"/>
      <c r="P1813" s="82"/>
    </row>
    <row r="1814">
      <c r="A1814" s="89"/>
      <c r="B1814" s="90"/>
      <c r="C1814" s="89"/>
      <c r="D1814" s="84"/>
      <c r="E1814" s="83"/>
      <c r="F1814" s="84"/>
      <c r="G1814" s="84"/>
      <c r="H1814" s="84"/>
      <c r="I1814" s="91"/>
      <c r="J1814" s="85"/>
      <c r="K1814" s="85"/>
      <c r="L1814" s="84"/>
      <c r="M1814" s="85"/>
      <c r="N1814" s="93"/>
      <c r="O1814" s="93"/>
      <c r="P1814" s="82"/>
    </row>
    <row r="1815">
      <c r="A1815" s="89"/>
      <c r="B1815" s="90"/>
      <c r="C1815" s="89"/>
      <c r="D1815" s="84"/>
      <c r="E1815" s="83"/>
      <c r="F1815" s="84"/>
      <c r="G1815" s="84"/>
      <c r="H1815" s="84"/>
      <c r="I1815" s="91"/>
      <c r="J1815" s="85"/>
      <c r="K1815" s="85"/>
      <c r="L1815" s="84"/>
      <c r="M1815" s="85"/>
      <c r="N1815" s="93"/>
      <c r="O1815" s="93"/>
      <c r="P1815" s="82"/>
    </row>
    <row r="1816">
      <c r="A1816" s="89"/>
      <c r="B1816" s="90"/>
      <c r="C1816" s="89"/>
      <c r="D1816" s="84"/>
      <c r="E1816" s="83"/>
      <c r="F1816" s="84"/>
      <c r="G1816" s="84"/>
      <c r="H1816" s="84"/>
      <c r="I1816" s="91"/>
      <c r="J1816" s="85"/>
      <c r="K1816" s="85"/>
      <c r="L1816" s="84"/>
      <c r="M1816" s="85"/>
      <c r="N1816" s="93"/>
      <c r="O1816" s="93"/>
      <c r="P1816" s="82"/>
    </row>
    <row r="1817">
      <c r="A1817" s="89"/>
      <c r="B1817" s="90"/>
      <c r="C1817" s="89"/>
      <c r="D1817" s="84"/>
      <c r="E1817" s="83"/>
      <c r="F1817" s="84"/>
      <c r="G1817" s="84"/>
      <c r="H1817" s="84"/>
      <c r="I1817" s="91"/>
      <c r="J1817" s="85"/>
      <c r="K1817" s="85"/>
      <c r="L1817" s="84"/>
      <c r="M1817" s="85"/>
      <c r="N1817" s="93"/>
      <c r="O1817" s="93"/>
      <c r="P1817" s="82"/>
    </row>
    <row r="1818">
      <c r="A1818" s="89"/>
      <c r="B1818" s="90"/>
      <c r="C1818" s="89"/>
      <c r="D1818" s="84"/>
      <c r="E1818" s="83"/>
      <c r="F1818" s="84"/>
      <c r="G1818" s="84"/>
      <c r="H1818" s="84"/>
      <c r="I1818" s="91"/>
      <c r="J1818" s="85"/>
      <c r="K1818" s="85"/>
      <c r="L1818" s="84"/>
      <c r="M1818" s="85"/>
      <c r="N1818" s="93"/>
      <c r="O1818" s="93"/>
      <c r="P1818" s="82"/>
    </row>
    <row r="1819">
      <c r="A1819" s="89"/>
      <c r="B1819" s="90"/>
      <c r="C1819" s="89"/>
      <c r="D1819" s="84"/>
      <c r="E1819" s="83"/>
      <c r="F1819" s="84"/>
      <c r="G1819" s="84"/>
      <c r="H1819" s="84"/>
      <c r="I1819" s="91"/>
      <c r="J1819" s="85"/>
      <c r="K1819" s="85"/>
      <c r="L1819" s="84"/>
      <c r="M1819" s="85"/>
      <c r="N1819" s="93"/>
      <c r="O1819" s="93"/>
      <c r="P1819" s="82"/>
    </row>
    <row r="1820">
      <c r="A1820" s="89"/>
      <c r="B1820" s="90"/>
      <c r="C1820" s="89"/>
      <c r="D1820" s="84"/>
      <c r="E1820" s="83"/>
      <c r="F1820" s="84"/>
      <c r="G1820" s="84"/>
      <c r="H1820" s="84"/>
      <c r="I1820" s="91"/>
      <c r="J1820" s="85"/>
      <c r="K1820" s="85"/>
      <c r="L1820" s="84"/>
      <c r="M1820" s="85"/>
      <c r="N1820" s="93"/>
      <c r="O1820" s="93"/>
      <c r="P1820" s="82"/>
    </row>
    <row r="1821">
      <c r="A1821" s="89"/>
      <c r="B1821" s="90"/>
      <c r="C1821" s="89"/>
      <c r="D1821" s="84"/>
      <c r="E1821" s="83"/>
      <c r="F1821" s="84"/>
      <c r="G1821" s="84"/>
      <c r="H1821" s="84"/>
      <c r="I1821" s="91"/>
      <c r="J1821" s="85"/>
      <c r="K1821" s="85"/>
      <c r="L1821" s="84"/>
      <c r="M1821" s="85"/>
      <c r="N1821" s="93"/>
      <c r="O1821" s="93"/>
      <c r="P1821" s="82"/>
    </row>
    <row r="1822">
      <c r="A1822" s="89"/>
      <c r="B1822" s="90"/>
      <c r="C1822" s="89"/>
      <c r="D1822" s="84"/>
      <c r="E1822" s="83"/>
      <c r="F1822" s="84"/>
      <c r="G1822" s="84"/>
      <c r="H1822" s="84"/>
      <c r="I1822" s="91"/>
      <c r="J1822" s="85"/>
      <c r="K1822" s="85"/>
      <c r="L1822" s="84"/>
      <c r="M1822" s="85"/>
      <c r="N1822" s="93"/>
      <c r="O1822" s="93"/>
      <c r="P1822" s="82"/>
    </row>
    <row r="1823">
      <c r="A1823" s="89"/>
      <c r="B1823" s="90"/>
      <c r="C1823" s="89"/>
      <c r="D1823" s="84"/>
      <c r="E1823" s="83"/>
      <c r="F1823" s="84"/>
      <c r="G1823" s="84"/>
      <c r="H1823" s="84"/>
      <c r="I1823" s="91"/>
      <c r="J1823" s="85"/>
      <c r="K1823" s="85"/>
      <c r="L1823" s="84"/>
      <c r="M1823" s="85"/>
      <c r="N1823" s="93"/>
      <c r="O1823" s="93"/>
      <c r="P1823" s="82"/>
    </row>
    <row r="1824">
      <c r="A1824" s="89"/>
      <c r="B1824" s="90"/>
      <c r="C1824" s="89"/>
      <c r="D1824" s="84"/>
      <c r="E1824" s="83"/>
      <c r="F1824" s="84"/>
      <c r="G1824" s="84"/>
      <c r="H1824" s="84"/>
      <c r="I1824" s="91"/>
      <c r="J1824" s="85"/>
      <c r="K1824" s="85"/>
      <c r="L1824" s="84"/>
      <c r="M1824" s="85"/>
      <c r="N1824" s="93"/>
      <c r="O1824" s="93"/>
      <c r="P1824" s="82"/>
    </row>
    <row r="1825">
      <c r="A1825" s="89"/>
      <c r="B1825" s="90"/>
      <c r="C1825" s="89"/>
      <c r="D1825" s="84"/>
      <c r="E1825" s="83"/>
      <c r="F1825" s="84"/>
      <c r="G1825" s="84"/>
      <c r="H1825" s="84"/>
      <c r="I1825" s="91"/>
      <c r="J1825" s="85"/>
      <c r="K1825" s="85"/>
      <c r="L1825" s="84"/>
      <c r="M1825" s="85"/>
      <c r="N1825" s="93"/>
      <c r="O1825" s="93"/>
      <c r="P1825" s="82"/>
    </row>
    <row r="1826">
      <c r="A1826" s="89"/>
      <c r="B1826" s="90"/>
      <c r="C1826" s="89"/>
      <c r="D1826" s="84"/>
      <c r="E1826" s="83"/>
      <c r="F1826" s="84"/>
      <c r="G1826" s="84"/>
      <c r="H1826" s="84"/>
      <c r="I1826" s="91"/>
      <c r="J1826" s="85"/>
      <c r="K1826" s="85"/>
      <c r="L1826" s="84"/>
      <c r="M1826" s="85"/>
      <c r="N1826" s="93"/>
      <c r="O1826" s="93"/>
      <c r="P1826" s="82"/>
    </row>
    <row r="1827">
      <c r="A1827" s="89"/>
      <c r="B1827" s="90"/>
      <c r="C1827" s="89"/>
      <c r="D1827" s="84"/>
      <c r="E1827" s="83"/>
      <c r="F1827" s="84"/>
      <c r="G1827" s="84"/>
      <c r="H1827" s="84"/>
      <c r="I1827" s="91"/>
      <c r="J1827" s="85"/>
      <c r="K1827" s="85"/>
      <c r="L1827" s="84"/>
      <c r="M1827" s="85"/>
      <c r="N1827" s="93"/>
      <c r="O1827" s="93"/>
      <c r="P1827" s="82"/>
    </row>
    <row r="1828">
      <c r="A1828" s="89"/>
      <c r="B1828" s="90"/>
      <c r="C1828" s="89"/>
      <c r="D1828" s="84"/>
      <c r="E1828" s="83"/>
      <c r="F1828" s="84"/>
      <c r="G1828" s="84"/>
      <c r="H1828" s="84"/>
      <c r="I1828" s="91"/>
      <c r="J1828" s="85"/>
      <c r="K1828" s="85"/>
      <c r="L1828" s="84"/>
      <c r="M1828" s="85"/>
      <c r="N1828" s="93"/>
      <c r="O1828" s="93"/>
      <c r="P1828" s="82"/>
    </row>
    <row r="1829">
      <c r="A1829" s="89"/>
      <c r="B1829" s="90"/>
      <c r="C1829" s="89"/>
      <c r="D1829" s="84"/>
      <c r="E1829" s="83"/>
      <c r="F1829" s="84"/>
      <c r="G1829" s="84"/>
      <c r="H1829" s="84"/>
      <c r="I1829" s="91"/>
      <c r="J1829" s="85"/>
      <c r="K1829" s="85"/>
      <c r="L1829" s="84"/>
      <c r="M1829" s="85"/>
      <c r="N1829" s="93"/>
      <c r="O1829" s="93"/>
      <c r="P1829" s="82"/>
    </row>
    <row r="1830">
      <c r="A1830" s="89"/>
      <c r="B1830" s="90"/>
      <c r="C1830" s="89"/>
      <c r="D1830" s="84"/>
      <c r="E1830" s="83"/>
      <c r="F1830" s="84"/>
      <c r="G1830" s="84"/>
      <c r="H1830" s="84"/>
      <c r="I1830" s="91"/>
      <c r="J1830" s="85"/>
      <c r="K1830" s="85"/>
      <c r="L1830" s="84"/>
      <c r="M1830" s="85"/>
      <c r="N1830" s="93"/>
      <c r="O1830" s="93"/>
      <c r="P1830" s="82"/>
    </row>
    <row r="1831">
      <c r="A1831" s="89"/>
      <c r="B1831" s="90"/>
      <c r="C1831" s="89"/>
      <c r="D1831" s="84"/>
      <c r="E1831" s="83"/>
      <c r="F1831" s="84"/>
      <c r="G1831" s="84"/>
      <c r="H1831" s="84"/>
      <c r="I1831" s="91"/>
      <c r="J1831" s="85"/>
      <c r="K1831" s="85"/>
      <c r="L1831" s="84"/>
      <c r="M1831" s="85"/>
      <c r="N1831" s="93"/>
      <c r="O1831" s="93"/>
      <c r="P1831" s="82"/>
    </row>
    <row r="1832">
      <c r="A1832" s="89"/>
      <c r="B1832" s="90"/>
      <c r="C1832" s="89"/>
      <c r="D1832" s="84"/>
      <c r="E1832" s="83"/>
      <c r="F1832" s="84"/>
      <c r="G1832" s="84"/>
      <c r="H1832" s="84"/>
      <c r="I1832" s="91"/>
      <c r="J1832" s="85"/>
      <c r="K1832" s="85"/>
      <c r="L1832" s="84"/>
      <c r="M1832" s="85"/>
      <c r="N1832" s="93"/>
      <c r="O1832" s="93"/>
      <c r="P1832" s="82"/>
    </row>
    <row r="1833">
      <c r="A1833" s="89"/>
      <c r="B1833" s="90"/>
      <c r="C1833" s="89"/>
      <c r="D1833" s="84"/>
      <c r="E1833" s="83"/>
      <c r="F1833" s="84"/>
      <c r="G1833" s="84"/>
      <c r="H1833" s="84"/>
      <c r="I1833" s="91"/>
      <c r="J1833" s="85"/>
      <c r="K1833" s="85"/>
      <c r="L1833" s="84"/>
      <c r="M1833" s="85"/>
      <c r="N1833" s="93"/>
      <c r="O1833" s="93"/>
      <c r="P1833" s="82"/>
    </row>
    <row r="1834">
      <c r="A1834" s="89"/>
      <c r="B1834" s="90"/>
      <c r="C1834" s="89"/>
      <c r="D1834" s="84"/>
      <c r="E1834" s="83"/>
      <c r="F1834" s="84"/>
      <c r="G1834" s="84"/>
      <c r="H1834" s="84"/>
      <c r="I1834" s="91"/>
      <c r="J1834" s="85"/>
      <c r="K1834" s="85"/>
      <c r="L1834" s="84"/>
      <c r="M1834" s="85"/>
      <c r="N1834" s="93"/>
      <c r="O1834" s="93"/>
      <c r="P1834" s="82"/>
    </row>
    <row r="1835">
      <c r="A1835" s="89"/>
      <c r="B1835" s="90"/>
      <c r="C1835" s="89"/>
      <c r="D1835" s="84"/>
      <c r="E1835" s="83"/>
      <c r="F1835" s="84"/>
      <c r="G1835" s="84"/>
      <c r="H1835" s="84"/>
      <c r="I1835" s="91"/>
      <c r="J1835" s="85"/>
      <c r="K1835" s="85"/>
      <c r="L1835" s="84"/>
      <c r="M1835" s="85"/>
      <c r="N1835" s="93"/>
      <c r="O1835" s="93"/>
      <c r="P1835" s="82"/>
    </row>
    <row r="1836">
      <c r="A1836" s="89"/>
      <c r="B1836" s="90"/>
      <c r="C1836" s="89"/>
      <c r="D1836" s="84"/>
      <c r="E1836" s="83"/>
      <c r="F1836" s="84"/>
      <c r="G1836" s="84"/>
      <c r="H1836" s="84"/>
      <c r="I1836" s="91"/>
      <c r="J1836" s="85"/>
      <c r="K1836" s="85"/>
      <c r="L1836" s="84"/>
      <c r="M1836" s="85"/>
      <c r="N1836" s="93"/>
      <c r="O1836" s="93"/>
      <c r="P1836" s="82"/>
    </row>
    <row r="1837">
      <c r="A1837" s="89"/>
      <c r="B1837" s="90"/>
      <c r="C1837" s="89"/>
      <c r="D1837" s="84"/>
      <c r="E1837" s="83"/>
      <c r="F1837" s="84"/>
      <c r="G1837" s="84"/>
      <c r="H1837" s="84"/>
      <c r="I1837" s="91"/>
      <c r="J1837" s="85"/>
      <c r="K1837" s="85"/>
      <c r="L1837" s="84"/>
      <c r="M1837" s="85"/>
      <c r="N1837" s="93"/>
      <c r="O1837" s="93"/>
      <c r="P1837" s="82"/>
    </row>
    <row r="1838">
      <c r="A1838" s="89"/>
      <c r="B1838" s="90"/>
      <c r="C1838" s="89"/>
      <c r="D1838" s="84"/>
      <c r="E1838" s="83"/>
      <c r="F1838" s="84"/>
      <c r="G1838" s="84"/>
      <c r="H1838" s="84"/>
      <c r="I1838" s="91"/>
      <c r="J1838" s="85"/>
      <c r="K1838" s="85"/>
      <c r="L1838" s="84"/>
      <c r="M1838" s="85"/>
      <c r="N1838" s="93"/>
      <c r="O1838" s="93"/>
      <c r="P1838" s="82"/>
    </row>
    <row r="1839">
      <c r="A1839" s="89"/>
      <c r="B1839" s="90"/>
      <c r="C1839" s="89"/>
      <c r="D1839" s="84"/>
      <c r="E1839" s="83"/>
      <c r="F1839" s="84"/>
      <c r="G1839" s="84"/>
      <c r="H1839" s="84"/>
      <c r="I1839" s="91"/>
      <c r="J1839" s="85"/>
      <c r="K1839" s="85"/>
      <c r="L1839" s="84"/>
      <c r="M1839" s="85"/>
      <c r="N1839" s="93"/>
      <c r="O1839" s="93"/>
      <c r="P1839" s="82"/>
    </row>
    <row r="1840">
      <c r="A1840" s="89"/>
      <c r="B1840" s="90"/>
      <c r="C1840" s="89"/>
      <c r="D1840" s="84"/>
      <c r="E1840" s="83"/>
      <c r="F1840" s="84"/>
      <c r="G1840" s="84"/>
      <c r="H1840" s="84"/>
      <c r="I1840" s="91"/>
      <c r="J1840" s="85"/>
      <c r="K1840" s="85"/>
      <c r="L1840" s="84"/>
      <c r="M1840" s="85"/>
      <c r="N1840" s="93"/>
      <c r="O1840" s="93"/>
      <c r="P1840" s="82"/>
    </row>
    <row r="1841">
      <c r="A1841" s="89"/>
      <c r="B1841" s="90"/>
      <c r="C1841" s="89"/>
      <c r="D1841" s="84"/>
      <c r="E1841" s="83"/>
      <c r="F1841" s="84"/>
      <c r="G1841" s="84"/>
      <c r="H1841" s="84"/>
      <c r="I1841" s="91"/>
      <c r="J1841" s="85"/>
      <c r="K1841" s="85"/>
      <c r="L1841" s="84"/>
      <c r="M1841" s="85"/>
      <c r="N1841" s="93"/>
      <c r="O1841" s="93"/>
      <c r="P1841" s="82"/>
    </row>
    <row r="1842">
      <c r="A1842" s="89"/>
      <c r="B1842" s="90"/>
      <c r="C1842" s="89"/>
      <c r="D1842" s="84"/>
      <c r="E1842" s="83"/>
      <c r="F1842" s="84"/>
      <c r="G1842" s="84"/>
      <c r="H1842" s="84"/>
      <c r="I1842" s="91"/>
      <c r="J1842" s="85"/>
      <c r="K1842" s="85"/>
      <c r="L1842" s="84"/>
      <c r="M1842" s="85"/>
      <c r="N1842" s="93"/>
      <c r="O1842" s="93"/>
      <c r="P1842" s="82"/>
    </row>
    <row r="1843">
      <c r="A1843" s="89"/>
      <c r="B1843" s="90"/>
      <c r="C1843" s="89"/>
      <c r="D1843" s="84"/>
      <c r="E1843" s="83"/>
      <c r="F1843" s="84"/>
      <c r="G1843" s="84"/>
      <c r="H1843" s="84"/>
      <c r="I1843" s="91"/>
      <c r="J1843" s="85"/>
      <c r="K1843" s="85"/>
      <c r="L1843" s="84"/>
      <c r="M1843" s="85"/>
      <c r="N1843" s="93"/>
      <c r="O1843" s="93"/>
      <c r="P1843" s="82"/>
    </row>
    <row r="1844">
      <c r="A1844" s="89"/>
      <c r="B1844" s="90"/>
      <c r="C1844" s="89"/>
      <c r="D1844" s="84"/>
      <c r="E1844" s="83"/>
      <c r="F1844" s="84"/>
      <c r="G1844" s="84"/>
      <c r="H1844" s="84"/>
      <c r="I1844" s="91"/>
      <c r="J1844" s="85"/>
      <c r="K1844" s="85"/>
      <c r="L1844" s="84"/>
      <c r="M1844" s="85"/>
      <c r="N1844" s="93"/>
      <c r="O1844" s="93"/>
      <c r="P1844" s="82"/>
    </row>
    <row r="1845">
      <c r="A1845" s="89"/>
      <c r="B1845" s="90"/>
      <c r="C1845" s="89"/>
      <c r="D1845" s="84"/>
      <c r="E1845" s="83"/>
      <c r="F1845" s="84"/>
      <c r="G1845" s="84"/>
      <c r="H1845" s="84"/>
      <c r="I1845" s="91"/>
      <c r="J1845" s="85"/>
      <c r="K1845" s="85"/>
      <c r="L1845" s="84"/>
      <c r="M1845" s="85"/>
      <c r="N1845" s="93"/>
      <c r="O1845" s="93"/>
      <c r="P1845" s="82"/>
    </row>
    <row r="1846">
      <c r="A1846" s="89"/>
      <c r="B1846" s="90"/>
      <c r="C1846" s="89"/>
      <c r="D1846" s="84"/>
      <c r="E1846" s="83"/>
      <c r="F1846" s="84"/>
      <c r="G1846" s="84"/>
      <c r="H1846" s="84"/>
      <c r="I1846" s="91"/>
      <c r="J1846" s="85"/>
      <c r="K1846" s="85"/>
      <c r="L1846" s="84"/>
      <c r="M1846" s="85"/>
      <c r="N1846" s="93"/>
      <c r="O1846" s="93"/>
      <c r="P1846" s="82"/>
    </row>
    <row r="1847">
      <c r="A1847" s="89"/>
      <c r="B1847" s="90"/>
      <c r="C1847" s="89"/>
      <c r="D1847" s="84"/>
      <c r="E1847" s="83"/>
      <c r="F1847" s="84"/>
      <c r="G1847" s="84"/>
      <c r="H1847" s="84"/>
      <c r="I1847" s="91"/>
      <c r="J1847" s="85"/>
      <c r="K1847" s="85"/>
      <c r="L1847" s="84"/>
      <c r="M1847" s="85"/>
      <c r="N1847" s="93"/>
      <c r="O1847" s="93"/>
      <c r="P1847" s="82"/>
    </row>
    <row r="1848">
      <c r="A1848" s="89"/>
      <c r="B1848" s="90"/>
      <c r="C1848" s="89"/>
      <c r="D1848" s="84"/>
      <c r="E1848" s="83"/>
      <c r="F1848" s="84"/>
      <c r="G1848" s="84"/>
      <c r="H1848" s="84"/>
      <c r="I1848" s="91"/>
      <c r="J1848" s="85"/>
      <c r="K1848" s="85"/>
      <c r="L1848" s="84"/>
      <c r="M1848" s="85"/>
      <c r="N1848" s="93"/>
      <c r="O1848" s="93"/>
      <c r="P1848" s="82"/>
    </row>
    <row r="1849">
      <c r="A1849" s="89"/>
      <c r="B1849" s="90"/>
      <c r="C1849" s="89"/>
      <c r="D1849" s="84"/>
      <c r="E1849" s="83"/>
      <c r="F1849" s="84"/>
      <c r="G1849" s="84"/>
      <c r="H1849" s="84"/>
      <c r="I1849" s="91"/>
      <c r="J1849" s="85"/>
      <c r="K1849" s="85"/>
      <c r="L1849" s="84"/>
      <c r="M1849" s="85"/>
      <c r="N1849" s="93"/>
      <c r="O1849" s="93"/>
      <c r="P1849" s="82"/>
    </row>
    <row r="1850">
      <c r="A1850" s="89"/>
      <c r="B1850" s="90"/>
      <c r="C1850" s="89"/>
      <c r="D1850" s="84"/>
      <c r="E1850" s="83"/>
      <c r="F1850" s="84"/>
      <c r="G1850" s="84"/>
      <c r="H1850" s="84"/>
      <c r="I1850" s="91"/>
      <c r="J1850" s="85"/>
      <c r="K1850" s="85"/>
      <c r="L1850" s="84"/>
      <c r="M1850" s="85"/>
      <c r="N1850" s="93"/>
      <c r="O1850" s="93"/>
      <c r="P1850" s="82"/>
    </row>
    <row r="1851">
      <c r="A1851" s="89"/>
      <c r="B1851" s="90"/>
      <c r="C1851" s="89"/>
      <c r="D1851" s="84"/>
      <c r="E1851" s="83"/>
      <c r="F1851" s="84"/>
      <c r="G1851" s="84"/>
      <c r="H1851" s="84"/>
      <c r="I1851" s="91"/>
      <c r="J1851" s="85"/>
      <c r="K1851" s="85"/>
      <c r="L1851" s="84"/>
      <c r="M1851" s="85"/>
      <c r="N1851" s="93"/>
      <c r="O1851" s="93"/>
      <c r="P1851" s="82"/>
    </row>
    <row r="1852">
      <c r="A1852" s="89"/>
      <c r="B1852" s="90"/>
      <c r="C1852" s="89"/>
      <c r="D1852" s="84"/>
      <c r="E1852" s="83"/>
      <c r="F1852" s="84"/>
      <c r="G1852" s="84"/>
      <c r="H1852" s="84"/>
      <c r="I1852" s="91"/>
      <c r="J1852" s="85"/>
      <c r="K1852" s="85"/>
      <c r="L1852" s="84"/>
      <c r="M1852" s="85"/>
      <c r="N1852" s="93"/>
      <c r="O1852" s="93"/>
      <c r="P1852" s="82"/>
    </row>
    <row r="1853">
      <c r="A1853" s="89"/>
      <c r="B1853" s="90"/>
      <c r="C1853" s="89"/>
      <c r="D1853" s="84"/>
      <c r="E1853" s="83"/>
      <c r="F1853" s="84"/>
      <c r="G1853" s="84"/>
      <c r="H1853" s="84"/>
      <c r="I1853" s="91"/>
      <c r="J1853" s="85"/>
      <c r="K1853" s="85"/>
      <c r="L1853" s="84"/>
      <c r="M1853" s="85"/>
      <c r="N1853" s="93"/>
      <c r="O1853" s="93"/>
      <c r="P1853" s="82"/>
    </row>
    <row r="1854">
      <c r="A1854" s="89"/>
      <c r="B1854" s="90"/>
      <c r="C1854" s="89"/>
      <c r="D1854" s="84"/>
      <c r="E1854" s="83"/>
      <c r="F1854" s="84"/>
      <c r="G1854" s="84"/>
      <c r="H1854" s="84"/>
      <c r="I1854" s="91"/>
      <c r="J1854" s="85"/>
      <c r="K1854" s="85"/>
      <c r="L1854" s="84"/>
      <c r="M1854" s="85"/>
      <c r="N1854" s="93"/>
      <c r="O1854" s="93"/>
      <c r="P1854" s="82"/>
    </row>
    <row r="1855">
      <c r="A1855" s="89"/>
      <c r="B1855" s="90"/>
      <c r="C1855" s="89"/>
      <c r="D1855" s="84"/>
      <c r="E1855" s="83"/>
      <c r="F1855" s="84"/>
      <c r="G1855" s="84"/>
      <c r="H1855" s="84"/>
      <c r="I1855" s="91"/>
      <c r="J1855" s="85"/>
      <c r="K1855" s="85"/>
      <c r="L1855" s="84"/>
      <c r="M1855" s="85"/>
      <c r="N1855" s="93"/>
      <c r="O1855" s="93"/>
      <c r="P1855" s="82"/>
    </row>
    <row r="1856">
      <c r="A1856" s="89"/>
      <c r="B1856" s="90"/>
      <c r="C1856" s="89"/>
      <c r="D1856" s="84"/>
      <c r="E1856" s="83"/>
      <c r="F1856" s="84"/>
      <c r="G1856" s="84"/>
      <c r="H1856" s="84"/>
      <c r="I1856" s="91"/>
      <c r="J1856" s="85"/>
      <c r="K1856" s="85"/>
      <c r="L1856" s="84"/>
      <c r="M1856" s="85"/>
      <c r="N1856" s="93"/>
      <c r="O1856" s="93"/>
      <c r="P1856" s="82"/>
    </row>
    <row r="1857">
      <c r="A1857" s="89"/>
      <c r="B1857" s="90"/>
      <c r="C1857" s="89"/>
      <c r="D1857" s="84"/>
      <c r="E1857" s="83"/>
      <c r="F1857" s="84"/>
      <c r="G1857" s="84"/>
      <c r="H1857" s="84"/>
      <c r="I1857" s="91"/>
      <c r="J1857" s="85"/>
      <c r="K1857" s="85"/>
      <c r="L1857" s="84"/>
      <c r="M1857" s="85"/>
      <c r="N1857" s="93"/>
      <c r="O1857" s="93"/>
      <c r="P1857" s="82"/>
    </row>
    <row r="1858">
      <c r="A1858" s="89"/>
      <c r="B1858" s="90"/>
      <c r="C1858" s="89"/>
      <c r="D1858" s="84"/>
      <c r="E1858" s="83"/>
      <c r="F1858" s="84"/>
      <c r="G1858" s="84"/>
      <c r="H1858" s="84"/>
      <c r="I1858" s="91"/>
      <c r="J1858" s="85"/>
      <c r="K1858" s="85"/>
      <c r="L1858" s="84"/>
      <c r="M1858" s="85"/>
      <c r="N1858" s="93"/>
      <c r="O1858" s="93"/>
      <c r="P1858" s="82"/>
    </row>
    <row r="1859">
      <c r="A1859" s="89"/>
      <c r="B1859" s="90"/>
      <c r="C1859" s="89"/>
      <c r="D1859" s="84"/>
      <c r="E1859" s="83"/>
      <c r="F1859" s="84"/>
      <c r="G1859" s="84"/>
      <c r="H1859" s="84"/>
      <c r="I1859" s="91"/>
      <c r="J1859" s="85"/>
      <c r="K1859" s="85"/>
      <c r="L1859" s="84"/>
      <c r="M1859" s="85"/>
      <c r="N1859" s="93"/>
      <c r="O1859" s="93"/>
      <c r="P1859" s="82"/>
    </row>
    <row r="1860">
      <c r="A1860" s="89"/>
      <c r="B1860" s="90"/>
      <c r="C1860" s="89"/>
      <c r="D1860" s="84"/>
      <c r="E1860" s="83"/>
      <c r="F1860" s="84"/>
      <c r="G1860" s="84"/>
      <c r="H1860" s="84"/>
      <c r="I1860" s="91"/>
      <c r="J1860" s="85"/>
      <c r="K1860" s="85"/>
      <c r="L1860" s="84"/>
      <c r="M1860" s="85"/>
      <c r="N1860" s="93"/>
      <c r="O1860" s="93"/>
      <c r="P1860" s="82"/>
    </row>
    <row r="1861">
      <c r="A1861" s="89"/>
      <c r="B1861" s="90"/>
      <c r="C1861" s="89"/>
      <c r="D1861" s="84"/>
      <c r="E1861" s="83"/>
      <c r="F1861" s="84"/>
      <c r="G1861" s="84"/>
      <c r="H1861" s="84"/>
      <c r="I1861" s="91"/>
      <c r="J1861" s="85"/>
      <c r="K1861" s="85"/>
      <c r="L1861" s="84"/>
      <c r="M1861" s="85"/>
      <c r="N1861" s="93"/>
      <c r="O1861" s="93"/>
      <c r="P1861" s="82"/>
    </row>
    <row r="1862">
      <c r="A1862" s="89"/>
      <c r="B1862" s="90"/>
      <c r="C1862" s="89"/>
      <c r="D1862" s="84"/>
      <c r="E1862" s="83"/>
      <c r="F1862" s="84"/>
      <c r="G1862" s="84"/>
      <c r="H1862" s="84"/>
      <c r="I1862" s="91"/>
      <c r="J1862" s="85"/>
      <c r="K1862" s="85"/>
      <c r="L1862" s="84"/>
      <c r="M1862" s="85"/>
      <c r="N1862" s="93"/>
      <c r="O1862" s="93"/>
      <c r="P1862" s="82"/>
    </row>
    <row r="1863">
      <c r="A1863" s="89"/>
      <c r="B1863" s="90"/>
      <c r="C1863" s="89"/>
      <c r="D1863" s="84"/>
      <c r="E1863" s="83"/>
      <c r="F1863" s="84"/>
      <c r="G1863" s="84"/>
      <c r="H1863" s="84"/>
      <c r="I1863" s="91"/>
      <c r="J1863" s="85"/>
      <c r="K1863" s="85"/>
      <c r="L1863" s="84"/>
      <c r="M1863" s="85"/>
      <c r="N1863" s="93"/>
      <c r="O1863" s="93"/>
      <c r="P1863" s="82"/>
    </row>
    <row r="1864">
      <c r="A1864" s="89"/>
      <c r="B1864" s="90"/>
      <c r="C1864" s="89"/>
      <c r="D1864" s="84"/>
      <c r="E1864" s="83"/>
      <c r="F1864" s="84"/>
      <c r="G1864" s="84"/>
      <c r="H1864" s="84"/>
      <c r="I1864" s="91"/>
      <c r="J1864" s="85"/>
      <c r="K1864" s="85"/>
      <c r="L1864" s="84"/>
      <c r="M1864" s="85"/>
      <c r="N1864" s="93"/>
      <c r="O1864" s="93"/>
      <c r="P1864" s="82"/>
    </row>
    <row r="1865">
      <c r="A1865" s="89"/>
      <c r="B1865" s="90"/>
      <c r="C1865" s="89"/>
      <c r="D1865" s="84"/>
      <c r="E1865" s="83"/>
      <c r="F1865" s="84"/>
      <c r="G1865" s="84"/>
      <c r="H1865" s="84"/>
      <c r="I1865" s="91"/>
      <c r="J1865" s="85"/>
      <c r="K1865" s="85"/>
      <c r="L1865" s="84"/>
      <c r="M1865" s="85"/>
      <c r="N1865" s="93"/>
      <c r="O1865" s="93"/>
      <c r="P1865" s="82"/>
    </row>
    <row r="1866">
      <c r="A1866" s="89"/>
      <c r="B1866" s="90"/>
      <c r="C1866" s="89"/>
      <c r="D1866" s="84"/>
      <c r="E1866" s="83"/>
      <c r="F1866" s="84"/>
      <c r="G1866" s="84"/>
      <c r="H1866" s="84"/>
      <c r="I1866" s="91"/>
      <c r="J1866" s="85"/>
      <c r="K1866" s="85"/>
      <c r="L1866" s="84"/>
      <c r="M1866" s="85"/>
      <c r="N1866" s="93"/>
      <c r="O1866" s="93"/>
      <c r="P1866" s="82"/>
    </row>
    <row r="1867">
      <c r="A1867" s="89"/>
      <c r="B1867" s="90"/>
      <c r="C1867" s="89"/>
      <c r="D1867" s="84"/>
      <c r="E1867" s="83"/>
      <c r="F1867" s="84"/>
      <c r="G1867" s="84"/>
      <c r="H1867" s="84"/>
      <c r="I1867" s="91"/>
      <c r="J1867" s="85"/>
      <c r="K1867" s="85"/>
      <c r="L1867" s="84"/>
      <c r="M1867" s="85"/>
      <c r="N1867" s="93"/>
      <c r="O1867" s="93"/>
      <c r="P1867" s="82"/>
    </row>
    <row r="1868">
      <c r="A1868" s="89"/>
      <c r="B1868" s="90"/>
      <c r="C1868" s="89"/>
      <c r="D1868" s="84"/>
      <c r="E1868" s="83"/>
      <c r="F1868" s="84"/>
      <c r="G1868" s="84"/>
      <c r="H1868" s="84"/>
      <c r="I1868" s="91"/>
      <c r="J1868" s="85"/>
      <c r="K1868" s="85"/>
      <c r="L1868" s="84"/>
      <c r="M1868" s="85"/>
      <c r="N1868" s="93"/>
      <c r="O1868" s="93"/>
      <c r="P1868" s="82"/>
    </row>
    <row r="1869">
      <c r="A1869" s="89"/>
      <c r="B1869" s="90"/>
      <c r="C1869" s="89"/>
      <c r="D1869" s="84"/>
      <c r="E1869" s="83"/>
      <c r="F1869" s="84"/>
      <c r="G1869" s="84"/>
      <c r="H1869" s="84"/>
      <c r="I1869" s="91"/>
      <c r="J1869" s="85"/>
      <c r="K1869" s="85"/>
      <c r="L1869" s="84"/>
      <c r="M1869" s="85"/>
      <c r="N1869" s="93"/>
      <c r="O1869" s="93"/>
      <c r="P1869" s="82"/>
    </row>
    <row r="1870">
      <c r="A1870" s="89"/>
      <c r="B1870" s="90"/>
      <c r="C1870" s="89"/>
      <c r="D1870" s="84"/>
      <c r="E1870" s="83"/>
      <c r="F1870" s="84"/>
      <c r="G1870" s="84"/>
      <c r="H1870" s="84"/>
      <c r="I1870" s="91"/>
      <c r="J1870" s="85"/>
      <c r="K1870" s="85"/>
      <c r="L1870" s="84"/>
      <c r="M1870" s="85"/>
      <c r="N1870" s="93"/>
      <c r="O1870" s="93"/>
      <c r="P1870" s="82"/>
    </row>
    <row r="1871">
      <c r="A1871" s="89"/>
      <c r="B1871" s="90"/>
      <c r="C1871" s="89"/>
      <c r="D1871" s="84"/>
      <c r="E1871" s="83"/>
      <c r="F1871" s="84"/>
      <c r="G1871" s="84"/>
      <c r="H1871" s="84"/>
      <c r="I1871" s="91"/>
      <c r="J1871" s="85"/>
      <c r="K1871" s="85"/>
      <c r="L1871" s="84"/>
      <c r="M1871" s="85"/>
      <c r="N1871" s="93"/>
      <c r="O1871" s="93"/>
      <c r="P1871" s="82"/>
    </row>
    <row r="1872">
      <c r="A1872" s="89"/>
      <c r="B1872" s="90"/>
      <c r="C1872" s="89"/>
      <c r="D1872" s="84"/>
      <c r="E1872" s="83"/>
      <c r="F1872" s="84"/>
      <c r="G1872" s="84"/>
      <c r="H1872" s="84"/>
      <c r="I1872" s="91"/>
      <c r="J1872" s="85"/>
      <c r="K1872" s="85"/>
      <c r="L1872" s="84"/>
      <c r="M1872" s="85"/>
      <c r="N1872" s="93"/>
      <c r="O1872" s="93"/>
      <c r="P1872" s="82"/>
    </row>
    <row r="1873">
      <c r="A1873" s="89"/>
      <c r="B1873" s="90"/>
      <c r="C1873" s="89"/>
      <c r="D1873" s="84"/>
      <c r="E1873" s="83"/>
      <c r="F1873" s="84"/>
      <c r="G1873" s="84"/>
      <c r="H1873" s="84"/>
      <c r="I1873" s="91"/>
      <c r="J1873" s="85"/>
      <c r="K1873" s="85"/>
      <c r="L1873" s="84"/>
      <c r="M1873" s="85"/>
      <c r="N1873" s="93"/>
      <c r="O1873" s="93"/>
      <c r="P1873" s="82"/>
    </row>
    <row r="1874">
      <c r="A1874" s="89"/>
      <c r="B1874" s="90"/>
      <c r="C1874" s="89"/>
      <c r="D1874" s="84"/>
      <c r="E1874" s="83"/>
      <c r="F1874" s="84"/>
      <c r="G1874" s="84"/>
      <c r="H1874" s="84"/>
      <c r="I1874" s="91"/>
      <c r="J1874" s="85"/>
      <c r="K1874" s="85"/>
      <c r="L1874" s="84"/>
      <c r="M1874" s="85"/>
      <c r="N1874" s="93"/>
      <c r="O1874" s="93"/>
      <c r="P1874" s="82"/>
    </row>
    <row r="1875">
      <c r="A1875" s="89"/>
      <c r="B1875" s="90"/>
      <c r="C1875" s="89"/>
      <c r="D1875" s="84"/>
      <c r="E1875" s="83"/>
      <c r="F1875" s="84"/>
      <c r="G1875" s="84"/>
      <c r="H1875" s="84"/>
      <c r="I1875" s="91"/>
      <c r="J1875" s="85"/>
      <c r="K1875" s="85"/>
      <c r="L1875" s="84"/>
      <c r="M1875" s="85"/>
      <c r="N1875" s="93"/>
      <c r="O1875" s="93"/>
      <c r="P1875" s="82"/>
    </row>
    <row r="1876">
      <c r="A1876" s="89"/>
      <c r="B1876" s="90"/>
      <c r="C1876" s="89"/>
      <c r="D1876" s="84"/>
      <c r="E1876" s="83"/>
      <c r="F1876" s="84"/>
      <c r="G1876" s="84"/>
      <c r="H1876" s="84"/>
      <c r="I1876" s="91"/>
      <c r="J1876" s="85"/>
      <c r="K1876" s="85"/>
      <c r="L1876" s="84"/>
      <c r="M1876" s="85"/>
      <c r="N1876" s="93"/>
      <c r="O1876" s="93"/>
      <c r="P1876" s="82"/>
    </row>
    <row r="1877">
      <c r="A1877" s="89"/>
      <c r="B1877" s="90"/>
      <c r="C1877" s="89"/>
      <c r="D1877" s="84"/>
      <c r="E1877" s="83"/>
      <c r="F1877" s="84"/>
      <c r="G1877" s="84"/>
      <c r="H1877" s="84"/>
      <c r="I1877" s="91"/>
      <c r="J1877" s="85"/>
      <c r="K1877" s="85"/>
      <c r="L1877" s="84"/>
      <c r="M1877" s="85"/>
      <c r="N1877" s="93"/>
      <c r="O1877" s="93"/>
      <c r="P1877" s="82"/>
    </row>
    <row r="1878">
      <c r="A1878" s="89"/>
      <c r="B1878" s="90"/>
      <c r="C1878" s="89"/>
      <c r="D1878" s="84"/>
      <c r="E1878" s="83"/>
      <c r="F1878" s="84"/>
      <c r="G1878" s="84"/>
      <c r="H1878" s="84"/>
      <c r="I1878" s="91"/>
      <c r="J1878" s="85"/>
      <c r="K1878" s="85"/>
      <c r="L1878" s="84"/>
      <c r="M1878" s="85"/>
      <c r="N1878" s="93"/>
      <c r="O1878" s="93"/>
      <c r="P1878" s="82"/>
    </row>
    <row r="1879">
      <c r="A1879" s="89"/>
      <c r="B1879" s="90"/>
      <c r="C1879" s="89"/>
      <c r="D1879" s="84"/>
      <c r="E1879" s="83"/>
      <c r="F1879" s="84"/>
      <c r="G1879" s="84"/>
      <c r="H1879" s="84"/>
      <c r="I1879" s="91"/>
      <c r="J1879" s="85"/>
      <c r="K1879" s="85"/>
      <c r="L1879" s="84"/>
      <c r="M1879" s="85"/>
      <c r="N1879" s="93"/>
      <c r="O1879" s="93"/>
      <c r="P1879" s="82"/>
    </row>
    <row r="1880">
      <c r="A1880" s="89"/>
      <c r="B1880" s="90"/>
      <c r="C1880" s="89"/>
      <c r="D1880" s="84"/>
      <c r="E1880" s="83"/>
      <c r="F1880" s="84"/>
      <c r="G1880" s="84"/>
      <c r="H1880" s="84"/>
      <c r="I1880" s="91"/>
      <c r="J1880" s="85"/>
      <c r="K1880" s="85"/>
      <c r="L1880" s="84"/>
      <c r="M1880" s="85"/>
      <c r="N1880" s="93"/>
      <c r="O1880" s="93"/>
      <c r="P1880" s="82"/>
    </row>
    <row r="1881">
      <c r="A1881" s="89"/>
      <c r="B1881" s="90"/>
      <c r="C1881" s="89"/>
      <c r="D1881" s="84"/>
      <c r="E1881" s="83"/>
      <c r="F1881" s="84"/>
      <c r="G1881" s="84"/>
      <c r="H1881" s="84"/>
      <c r="I1881" s="91"/>
      <c r="J1881" s="85"/>
      <c r="K1881" s="85"/>
      <c r="L1881" s="84"/>
      <c r="M1881" s="85"/>
      <c r="N1881" s="93"/>
      <c r="O1881" s="93"/>
      <c r="P1881" s="82"/>
    </row>
    <row r="1882">
      <c r="A1882" s="89"/>
      <c r="B1882" s="90"/>
      <c r="C1882" s="89"/>
      <c r="D1882" s="84"/>
      <c r="E1882" s="83"/>
      <c r="F1882" s="84"/>
      <c r="G1882" s="84"/>
      <c r="H1882" s="84"/>
      <c r="I1882" s="91"/>
      <c r="J1882" s="85"/>
      <c r="K1882" s="85"/>
      <c r="L1882" s="84"/>
      <c r="M1882" s="85"/>
      <c r="N1882" s="93"/>
      <c r="O1882" s="93"/>
      <c r="P1882" s="82"/>
    </row>
    <row r="1883">
      <c r="A1883" s="89"/>
      <c r="B1883" s="90"/>
      <c r="C1883" s="89"/>
      <c r="D1883" s="84"/>
      <c r="E1883" s="83"/>
      <c r="F1883" s="84"/>
      <c r="G1883" s="84"/>
      <c r="H1883" s="84"/>
      <c r="I1883" s="91"/>
      <c r="J1883" s="85"/>
      <c r="K1883" s="85"/>
      <c r="L1883" s="84"/>
      <c r="M1883" s="85"/>
      <c r="N1883" s="93"/>
      <c r="O1883" s="93"/>
      <c r="P1883" s="82"/>
    </row>
    <row r="1884">
      <c r="A1884" s="89"/>
      <c r="B1884" s="90"/>
      <c r="C1884" s="89"/>
      <c r="D1884" s="84"/>
      <c r="E1884" s="83"/>
      <c r="F1884" s="84"/>
      <c r="G1884" s="84"/>
      <c r="H1884" s="84"/>
      <c r="I1884" s="91"/>
      <c r="J1884" s="85"/>
      <c r="K1884" s="85"/>
      <c r="L1884" s="84"/>
      <c r="M1884" s="85"/>
      <c r="N1884" s="93"/>
      <c r="O1884" s="93"/>
      <c r="P1884" s="82"/>
    </row>
    <row r="1885">
      <c r="A1885" s="89"/>
      <c r="B1885" s="90"/>
      <c r="C1885" s="89"/>
      <c r="D1885" s="84"/>
      <c r="E1885" s="83"/>
      <c r="F1885" s="84"/>
      <c r="G1885" s="84"/>
      <c r="H1885" s="84"/>
      <c r="I1885" s="91"/>
      <c r="J1885" s="85"/>
      <c r="K1885" s="85"/>
      <c r="L1885" s="84"/>
      <c r="M1885" s="85"/>
      <c r="N1885" s="93"/>
      <c r="O1885" s="93"/>
      <c r="P1885" s="82"/>
    </row>
    <row r="1886">
      <c r="A1886" s="89"/>
      <c r="B1886" s="90"/>
      <c r="C1886" s="89"/>
      <c r="D1886" s="84"/>
      <c r="E1886" s="83"/>
      <c r="F1886" s="84"/>
      <c r="G1886" s="84"/>
      <c r="H1886" s="84"/>
      <c r="I1886" s="91"/>
      <c r="J1886" s="85"/>
      <c r="K1886" s="85"/>
      <c r="L1886" s="84"/>
      <c r="M1886" s="85"/>
      <c r="N1886" s="93"/>
      <c r="O1886" s="93"/>
      <c r="P1886" s="82"/>
    </row>
    <row r="1887">
      <c r="A1887" s="89"/>
      <c r="B1887" s="90"/>
      <c r="C1887" s="89"/>
      <c r="D1887" s="84"/>
      <c r="E1887" s="83"/>
      <c r="F1887" s="84"/>
      <c r="G1887" s="84"/>
      <c r="H1887" s="84"/>
      <c r="I1887" s="91"/>
      <c r="J1887" s="85"/>
      <c r="K1887" s="85"/>
      <c r="L1887" s="84"/>
      <c r="M1887" s="85"/>
      <c r="N1887" s="93"/>
      <c r="O1887" s="93"/>
      <c r="P1887" s="82"/>
    </row>
    <row r="1888">
      <c r="A1888" s="89"/>
      <c r="B1888" s="90"/>
      <c r="C1888" s="89"/>
      <c r="D1888" s="84"/>
      <c r="E1888" s="83"/>
      <c r="F1888" s="84"/>
      <c r="G1888" s="84"/>
      <c r="H1888" s="84"/>
      <c r="I1888" s="91"/>
      <c r="J1888" s="85"/>
      <c r="K1888" s="85"/>
      <c r="L1888" s="84"/>
      <c r="M1888" s="85"/>
      <c r="N1888" s="93"/>
      <c r="O1888" s="93"/>
      <c r="P1888" s="82"/>
    </row>
    <row r="1889">
      <c r="A1889" s="89"/>
      <c r="B1889" s="90"/>
      <c r="C1889" s="89"/>
      <c r="D1889" s="84"/>
      <c r="E1889" s="83"/>
      <c r="F1889" s="84"/>
      <c r="G1889" s="84"/>
      <c r="H1889" s="84"/>
      <c r="I1889" s="91"/>
      <c r="J1889" s="85"/>
      <c r="K1889" s="85"/>
      <c r="L1889" s="84"/>
      <c r="M1889" s="85"/>
      <c r="N1889" s="93"/>
      <c r="O1889" s="93"/>
      <c r="P1889" s="82"/>
    </row>
    <row r="1890">
      <c r="A1890" s="89"/>
      <c r="B1890" s="90"/>
      <c r="C1890" s="89"/>
      <c r="D1890" s="84"/>
      <c r="E1890" s="83"/>
      <c r="F1890" s="84"/>
      <c r="G1890" s="84"/>
      <c r="H1890" s="84"/>
      <c r="I1890" s="91"/>
      <c r="J1890" s="85"/>
      <c r="K1890" s="85"/>
      <c r="L1890" s="84"/>
      <c r="M1890" s="85"/>
      <c r="N1890" s="93"/>
      <c r="O1890" s="93"/>
      <c r="P1890" s="82"/>
    </row>
    <row r="1891">
      <c r="A1891" s="89"/>
      <c r="B1891" s="90"/>
      <c r="C1891" s="89"/>
      <c r="D1891" s="84"/>
      <c r="E1891" s="83"/>
      <c r="F1891" s="84"/>
      <c r="G1891" s="84"/>
      <c r="H1891" s="84"/>
      <c r="I1891" s="91"/>
      <c r="J1891" s="85"/>
      <c r="K1891" s="85"/>
      <c r="L1891" s="84"/>
      <c r="M1891" s="85"/>
      <c r="N1891" s="93"/>
      <c r="O1891" s="93"/>
      <c r="P1891" s="82"/>
    </row>
    <row r="1892">
      <c r="A1892" s="89"/>
      <c r="B1892" s="90"/>
      <c r="C1892" s="89"/>
      <c r="D1892" s="84"/>
      <c r="E1892" s="83"/>
      <c r="F1892" s="84"/>
      <c r="G1892" s="84"/>
      <c r="H1892" s="84"/>
      <c r="I1892" s="91"/>
      <c r="J1892" s="85"/>
      <c r="K1892" s="85"/>
      <c r="L1892" s="84"/>
      <c r="M1892" s="85"/>
      <c r="N1892" s="93"/>
      <c r="O1892" s="93"/>
      <c r="P1892" s="82"/>
    </row>
    <row r="1893">
      <c r="A1893" s="89"/>
      <c r="B1893" s="90"/>
      <c r="C1893" s="89"/>
      <c r="D1893" s="84"/>
      <c r="E1893" s="83"/>
      <c r="F1893" s="84"/>
      <c r="G1893" s="84"/>
      <c r="H1893" s="84"/>
      <c r="I1893" s="91"/>
      <c r="J1893" s="85"/>
      <c r="K1893" s="85"/>
      <c r="L1893" s="84"/>
      <c r="M1893" s="85"/>
      <c r="N1893" s="93"/>
      <c r="O1893" s="93"/>
      <c r="P1893" s="82"/>
    </row>
    <row r="1894">
      <c r="A1894" s="89"/>
      <c r="B1894" s="90"/>
      <c r="C1894" s="89"/>
      <c r="D1894" s="84"/>
      <c r="E1894" s="83"/>
      <c r="F1894" s="84"/>
      <c r="G1894" s="84"/>
      <c r="H1894" s="84"/>
      <c r="I1894" s="91"/>
      <c r="J1894" s="85"/>
      <c r="K1894" s="85"/>
      <c r="L1894" s="84"/>
      <c r="M1894" s="85"/>
      <c r="N1894" s="93"/>
      <c r="O1894" s="93"/>
      <c r="P1894" s="82"/>
    </row>
    <row r="1895">
      <c r="A1895" s="89"/>
      <c r="B1895" s="90"/>
      <c r="C1895" s="89"/>
      <c r="D1895" s="84"/>
      <c r="E1895" s="83"/>
      <c r="F1895" s="84"/>
      <c r="G1895" s="84"/>
      <c r="H1895" s="84"/>
      <c r="I1895" s="91"/>
      <c r="J1895" s="85"/>
      <c r="K1895" s="85"/>
      <c r="L1895" s="84"/>
      <c r="M1895" s="85"/>
      <c r="N1895" s="93"/>
      <c r="O1895" s="93"/>
      <c r="P1895" s="82"/>
    </row>
    <row r="1896">
      <c r="A1896" s="89"/>
      <c r="B1896" s="90"/>
      <c r="C1896" s="89"/>
      <c r="D1896" s="84"/>
      <c r="E1896" s="83"/>
      <c r="F1896" s="84"/>
      <c r="G1896" s="84"/>
      <c r="H1896" s="84"/>
      <c r="I1896" s="91"/>
      <c r="J1896" s="85"/>
      <c r="K1896" s="85"/>
      <c r="L1896" s="84"/>
      <c r="M1896" s="85"/>
      <c r="N1896" s="93"/>
      <c r="O1896" s="93"/>
      <c r="P1896" s="82"/>
    </row>
    <row r="1897">
      <c r="A1897" s="89"/>
      <c r="B1897" s="90"/>
      <c r="C1897" s="89"/>
      <c r="D1897" s="84"/>
      <c r="E1897" s="83"/>
      <c r="F1897" s="84"/>
      <c r="G1897" s="84"/>
      <c r="H1897" s="84"/>
      <c r="I1897" s="91"/>
      <c r="J1897" s="85"/>
      <c r="K1897" s="85"/>
      <c r="L1897" s="84"/>
      <c r="M1897" s="85"/>
      <c r="N1897" s="93"/>
      <c r="O1897" s="93"/>
      <c r="P1897" s="82"/>
    </row>
    <row r="1898">
      <c r="A1898" s="89"/>
      <c r="B1898" s="90"/>
      <c r="C1898" s="89"/>
      <c r="D1898" s="84"/>
      <c r="E1898" s="83"/>
      <c r="F1898" s="84"/>
      <c r="G1898" s="84"/>
      <c r="H1898" s="84"/>
      <c r="I1898" s="91"/>
      <c r="J1898" s="85"/>
      <c r="K1898" s="85"/>
      <c r="L1898" s="84"/>
      <c r="M1898" s="85"/>
      <c r="N1898" s="93"/>
      <c r="O1898" s="93"/>
      <c r="P1898" s="82"/>
    </row>
    <row r="1899">
      <c r="A1899" s="89"/>
      <c r="B1899" s="90"/>
      <c r="C1899" s="89"/>
      <c r="D1899" s="84"/>
      <c r="E1899" s="83"/>
      <c r="F1899" s="84"/>
      <c r="G1899" s="84"/>
      <c r="H1899" s="84"/>
      <c r="I1899" s="91"/>
      <c r="J1899" s="85"/>
      <c r="K1899" s="85"/>
      <c r="L1899" s="84"/>
      <c r="M1899" s="85"/>
      <c r="N1899" s="93"/>
      <c r="O1899" s="93"/>
      <c r="P1899" s="82"/>
    </row>
    <row r="1900">
      <c r="A1900" s="89"/>
      <c r="B1900" s="90"/>
      <c r="C1900" s="89"/>
      <c r="D1900" s="84"/>
      <c r="E1900" s="83"/>
      <c r="F1900" s="84"/>
      <c r="G1900" s="84"/>
      <c r="H1900" s="84"/>
      <c r="I1900" s="91"/>
      <c r="J1900" s="85"/>
      <c r="K1900" s="85"/>
      <c r="L1900" s="84"/>
      <c r="M1900" s="85"/>
      <c r="N1900" s="93"/>
      <c r="O1900" s="93"/>
      <c r="P1900" s="82"/>
    </row>
    <row r="1901">
      <c r="A1901" s="89"/>
      <c r="B1901" s="90"/>
      <c r="C1901" s="89"/>
      <c r="D1901" s="84"/>
      <c r="E1901" s="83"/>
      <c r="F1901" s="84"/>
      <c r="G1901" s="84"/>
      <c r="H1901" s="84"/>
      <c r="I1901" s="91"/>
      <c r="J1901" s="85"/>
      <c r="K1901" s="85"/>
      <c r="L1901" s="84"/>
      <c r="M1901" s="85"/>
      <c r="N1901" s="93"/>
      <c r="O1901" s="93"/>
      <c r="P1901" s="82"/>
    </row>
    <row r="1902">
      <c r="A1902" s="89"/>
      <c r="B1902" s="90"/>
      <c r="C1902" s="89"/>
      <c r="D1902" s="84"/>
      <c r="E1902" s="83"/>
      <c r="F1902" s="84"/>
      <c r="G1902" s="84"/>
      <c r="H1902" s="84"/>
      <c r="I1902" s="91"/>
      <c r="J1902" s="85"/>
      <c r="K1902" s="85"/>
      <c r="L1902" s="84"/>
      <c r="M1902" s="85"/>
      <c r="N1902" s="93"/>
      <c r="O1902" s="93"/>
      <c r="P1902" s="82"/>
    </row>
    <row r="1903">
      <c r="A1903" s="89"/>
      <c r="B1903" s="90"/>
      <c r="C1903" s="89"/>
      <c r="D1903" s="84"/>
      <c r="E1903" s="83"/>
      <c r="F1903" s="84"/>
      <c r="G1903" s="84"/>
      <c r="H1903" s="84"/>
      <c r="I1903" s="91"/>
      <c r="J1903" s="85"/>
      <c r="K1903" s="85"/>
      <c r="L1903" s="84"/>
      <c r="M1903" s="85"/>
      <c r="N1903" s="93"/>
      <c r="O1903" s="93"/>
      <c r="P1903" s="82"/>
    </row>
    <row r="1904">
      <c r="A1904" s="89"/>
      <c r="B1904" s="90"/>
      <c r="C1904" s="89"/>
      <c r="D1904" s="84"/>
      <c r="E1904" s="83"/>
      <c r="F1904" s="84"/>
      <c r="G1904" s="84"/>
      <c r="H1904" s="84"/>
      <c r="I1904" s="91"/>
      <c r="J1904" s="85"/>
      <c r="K1904" s="85"/>
      <c r="L1904" s="84"/>
      <c r="M1904" s="85"/>
      <c r="N1904" s="93"/>
      <c r="O1904" s="93"/>
      <c r="P1904" s="82"/>
    </row>
    <row r="1905">
      <c r="A1905" s="89"/>
      <c r="B1905" s="90"/>
      <c r="C1905" s="89"/>
      <c r="D1905" s="84"/>
      <c r="E1905" s="83"/>
      <c r="F1905" s="84"/>
      <c r="G1905" s="84"/>
      <c r="H1905" s="84"/>
      <c r="I1905" s="91"/>
      <c r="J1905" s="85"/>
      <c r="K1905" s="85"/>
      <c r="L1905" s="84"/>
      <c r="M1905" s="85"/>
      <c r="N1905" s="93"/>
      <c r="O1905" s="93"/>
      <c r="P1905" s="82"/>
    </row>
    <row r="1906">
      <c r="A1906" s="89"/>
      <c r="B1906" s="90"/>
      <c r="C1906" s="89"/>
      <c r="D1906" s="84"/>
      <c r="E1906" s="83"/>
      <c r="F1906" s="84"/>
      <c r="G1906" s="84"/>
      <c r="H1906" s="84"/>
      <c r="I1906" s="91"/>
      <c r="J1906" s="85"/>
      <c r="K1906" s="85"/>
      <c r="L1906" s="84"/>
      <c r="M1906" s="85"/>
      <c r="N1906" s="93"/>
      <c r="O1906" s="93"/>
      <c r="P1906" s="82"/>
    </row>
    <row r="1907">
      <c r="A1907" s="89"/>
      <c r="B1907" s="90"/>
      <c r="C1907" s="89"/>
      <c r="D1907" s="84"/>
      <c r="E1907" s="83"/>
      <c r="F1907" s="84"/>
      <c r="G1907" s="84"/>
      <c r="H1907" s="84"/>
      <c r="I1907" s="91"/>
      <c r="J1907" s="85"/>
      <c r="K1907" s="85"/>
      <c r="L1907" s="84"/>
      <c r="M1907" s="85"/>
      <c r="N1907" s="93"/>
      <c r="O1907" s="93"/>
      <c r="P1907" s="82"/>
    </row>
    <row r="1908">
      <c r="A1908" s="89"/>
      <c r="B1908" s="90"/>
      <c r="C1908" s="89"/>
      <c r="D1908" s="84"/>
      <c r="E1908" s="83"/>
      <c r="F1908" s="84"/>
      <c r="G1908" s="84"/>
      <c r="H1908" s="84"/>
      <c r="I1908" s="91"/>
      <c r="J1908" s="85"/>
      <c r="K1908" s="85"/>
      <c r="L1908" s="84"/>
      <c r="M1908" s="85"/>
      <c r="N1908" s="93"/>
      <c r="O1908" s="93"/>
      <c r="P1908" s="82"/>
    </row>
    <row r="1909">
      <c r="A1909" s="89"/>
      <c r="B1909" s="90"/>
      <c r="C1909" s="89"/>
      <c r="D1909" s="84"/>
      <c r="E1909" s="83"/>
      <c r="F1909" s="84"/>
      <c r="G1909" s="84"/>
      <c r="H1909" s="84"/>
      <c r="I1909" s="91"/>
      <c r="J1909" s="85"/>
      <c r="K1909" s="85"/>
      <c r="L1909" s="84"/>
      <c r="M1909" s="85"/>
      <c r="N1909" s="93"/>
      <c r="O1909" s="93"/>
      <c r="P1909" s="82"/>
    </row>
    <row r="1910">
      <c r="A1910" s="89"/>
      <c r="B1910" s="90"/>
      <c r="C1910" s="89"/>
      <c r="D1910" s="84"/>
      <c r="E1910" s="83"/>
      <c r="F1910" s="84"/>
      <c r="G1910" s="84"/>
      <c r="H1910" s="84"/>
      <c r="I1910" s="91"/>
      <c r="J1910" s="85"/>
      <c r="K1910" s="85"/>
      <c r="L1910" s="84"/>
      <c r="M1910" s="85"/>
      <c r="N1910" s="93"/>
      <c r="O1910" s="93"/>
      <c r="P1910" s="82"/>
    </row>
    <row r="1911">
      <c r="A1911" s="89"/>
      <c r="B1911" s="90"/>
      <c r="C1911" s="89"/>
      <c r="D1911" s="84"/>
      <c r="E1911" s="83"/>
      <c r="F1911" s="84"/>
      <c r="G1911" s="84"/>
      <c r="H1911" s="84"/>
      <c r="I1911" s="91"/>
      <c r="J1911" s="85"/>
      <c r="K1911" s="85"/>
      <c r="L1911" s="84"/>
      <c r="M1911" s="85"/>
      <c r="N1911" s="93"/>
      <c r="O1911" s="93"/>
      <c r="P1911" s="82"/>
    </row>
    <row r="1912">
      <c r="A1912" s="89"/>
      <c r="B1912" s="90"/>
      <c r="C1912" s="89"/>
      <c r="D1912" s="84"/>
      <c r="E1912" s="83"/>
      <c r="F1912" s="84"/>
      <c r="G1912" s="84"/>
      <c r="H1912" s="84"/>
      <c r="I1912" s="91"/>
      <c r="J1912" s="85"/>
      <c r="K1912" s="85"/>
      <c r="L1912" s="84"/>
      <c r="M1912" s="85"/>
      <c r="N1912" s="93"/>
      <c r="O1912" s="93"/>
      <c r="P1912" s="82"/>
    </row>
    <row r="1913">
      <c r="A1913" s="89"/>
      <c r="B1913" s="90"/>
      <c r="C1913" s="89"/>
      <c r="D1913" s="84"/>
      <c r="E1913" s="83"/>
      <c r="F1913" s="84"/>
      <c r="G1913" s="84"/>
      <c r="H1913" s="84"/>
      <c r="I1913" s="91"/>
      <c r="J1913" s="85"/>
      <c r="K1913" s="85"/>
      <c r="L1913" s="84"/>
      <c r="M1913" s="85"/>
      <c r="N1913" s="93"/>
      <c r="O1913" s="93"/>
      <c r="P1913" s="82"/>
    </row>
    <row r="1914">
      <c r="A1914" s="89"/>
      <c r="B1914" s="90"/>
      <c r="C1914" s="89"/>
      <c r="D1914" s="84"/>
      <c r="E1914" s="83"/>
      <c r="F1914" s="84"/>
      <c r="G1914" s="84"/>
      <c r="H1914" s="84"/>
      <c r="I1914" s="91"/>
      <c r="J1914" s="85"/>
      <c r="K1914" s="85"/>
      <c r="L1914" s="84"/>
      <c r="M1914" s="85"/>
      <c r="N1914" s="93"/>
      <c r="O1914" s="93"/>
      <c r="P1914" s="82"/>
    </row>
    <row r="1915">
      <c r="A1915" s="89"/>
      <c r="B1915" s="90"/>
      <c r="C1915" s="89"/>
      <c r="D1915" s="84"/>
      <c r="E1915" s="83"/>
      <c r="F1915" s="84"/>
      <c r="G1915" s="84"/>
      <c r="H1915" s="84"/>
      <c r="I1915" s="91"/>
      <c r="J1915" s="85"/>
      <c r="K1915" s="85"/>
      <c r="L1915" s="84"/>
      <c r="M1915" s="85"/>
      <c r="N1915" s="93"/>
      <c r="O1915" s="93"/>
      <c r="P1915" s="82"/>
    </row>
    <row r="1916">
      <c r="A1916" s="89"/>
      <c r="B1916" s="90"/>
      <c r="C1916" s="89"/>
      <c r="D1916" s="84"/>
      <c r="E1916" s="83"/>
      <c r="F1916" s="84"/>
      <c r="G1916" s="84"/>
      <c r="H1916" s="84"/>
      <c r="I1916" s="91"/>
      <c r="J1916" s="85"/>
      <c r="K1916" s="85"/>
      <c r="L1916" s="84"/>
      <c r="M1916" s="85"/>
      <c r="N1916" s="93"/>
      <c r="O1916" s="93"/>
      <c r="P1916" s="82"/>
    </row>
    <row r="1917">
      <c r="A1917" s="89"/>
      <c r="B1917" s="90"/>
      <c r="C1917" s="89"/>
      <c r="D1917" s="84"/>
      <c r="E1917" s="83"/>
      <c r="F1917" s="84"/>
      <c r="G1917" s="84"/>
      <c r="H1917" s="84"/>
      <c r="I1917" s="91"/>
      <c r="J1917" s="85"/>
      <c r="K1917" s="85"/>
      <c r="L1917" s="84"/>
      <c r="M1917" s="85"/>
      <c r="N1917" s="93"/>
      <c r="O1917" s="93"/>
      <c r="P1917" s="82"/>
    </row>
    <row r="1918">
      <c r="A1918" s="89"/>
      <c r="B1918" s="90"/>
      <c r="C1918" s="89"/>
      <c r="D1918" s="84"/>
      <c r="E1918" s="83"/>
      <c r="F1918" s="84"/>
      <c r="G1918" s="84"/>
      <c r="H1918" s="84"/>
      <c r="I1918" s="91"/>
      <c r="J1918" s="85"/>
      <c r="K1918" s="85"/>
      <c r="L1918" s="84"/>
      <c r="M1918" s="85"/>
      <c r="N1918" s="93"/>
      <c r="O1918" s="93"/>
      <c r="P1918" s="82"/>
    </row>
    <row r="1919">
      <c r="A1919" s="89"/>
      <c r="B1919" s="90"/>
      <c r="C1919" s="89"/>
      <c r="D1919" s="84"/>
      <c r="E1919" s="83"/>
      <c r="F1919" s="84"/>
      <c r="G1919" s="84"/>
      <c r="H1919" s="84"/>
      <c r="I1919" s="91"/>
      <c r="J1919" s="85"/>
      <c r="K1919" s="85"/>
      <c r="L1919" s="84"/>
      <c r="M1919" s="85"/>
      <c r="N1919" s="93"/>
      <c r="O1919" s="93"/>
      <c r="P1919" s="82"/>
    </row>
    <row r="1920">
      <c r="A1920" s="89"/>
      <c r="B1920" s="90"/>
      <c r="C1920" s="89"/>
      <c r="D1920" s="84"/>
      <c r="E1920" s="83"/>
      <c r="F1920" s="84"/>
      <c r="G1920" s="84"/>
      <c r="H1920" s="84"/>
      <c r="I1920" s="91"/>
      <c r="J1920" s="85"/>
      <c r="K1920" s="85"/>
      <c r="L1920" s="84"/>
      <c r="M1920" s="85"/>
      <c r="N1920" s="93"/>
      <c r="O1920" s="93"/>
      <c r="P1920" s="82"/>
    </row>
    <row r="1921">
      <c r="A1921" s="89"/>
      <c r="B1921" s="90"/>
      <c r="C1921" s="89"/>
      <c r="D1921" s="84"/>
      <c r="E1921" s="83"/>
      <c r="F1921" s="84"/>
      <c r="G1921" s="84"/>
      <c r="H1921" s="84"/>
      <c r="I1921" s="91"/>
      <c r="J1921" s="85"/>
      <c r="K1921" s="85"/>
      <c r="L1921" s="84"/>
      <c r="M1921" s="85"/>
      <c r="N1921" s="93"/>
      <c r="O1921" s="93"/>
      <c r="P1921" s="82"/>
    </row>
    <row r="1922">
      <c r="A1922" s="89"/>
      <c r="B1922" s="90"/>
      <c r="C1922" s="89"/>
      <c r="D1922" s="84"/>
      <c r="E1922" s="83"/>
      <c r="F1922" s="84"/>
      <c r="G1922" s="84"/>
      <c r="H1922" s="84"/>
      <c r="I1922" s="91"/>
      <c r="J1922" s="85"/>
      <c r="K1922" s="85"/>
      <c r="L1922" s="84"/>
      <c r="M1922" s="85"/>
      <c r="N1922" s="93"/>
      <c r="O1922" s="93"/>
      <c r="P1922" s="82"/>
    </row>
    <row r="1923">
      <c r="A1923" s="89"/>
      <c r="B1923" s="90"/>
      <c r="C1923" s="89"/>
      <c r="D1923" s="84"/>
      <c r="E1923" s="83"/>
      <c r="F1923" s="84"/>
      <c r="G1923" s="84"/>
      <c r="H1923" s="84"/>
      <c r="I1923" s="91"/>
      <c r="J1923" s="85"/>
      <c r="K1923" s="85"/>
      <c r="L1923" s="84"/>
      <c r="M1923" s="85"/>
      <c r="N1923" s="93"/>
      <c r="O1923" s="93"/>
      <c r="P1923" s="82"/>
    </row>
    <row r="1924">
      <c r="A1924" s="89"/>
      <c r="B1924" s="90"/>
      <c r="C1924" s="89"/>
      <c r="D1924" s="84"/>
      <c r="E1924" s="83"/>
      <c r="F1924" s="84"/>
      <c r="G1924" s="84"/>
      <c r="H1924" s="84"/>
      <c r="I1924" s="91"/>
      <c r="J1924" s="85"/>
      <c r="K1924" s="85"/>
      <c r="L1924" s="84"/>
      <c r="M1924" s="85"/>
      <c r="N1924" s="93"/>
      <c r="O1924" s="93"/>
      <c r="P1924" s="82"/>
    </row>
    <row r="1925">
      <c r="A1925" s="89"/>
      <c r="B1925" s="90"/>
      <c r="C1925" s="89"/>
      <c r="D1925" s="84"/>
      <c r="E1925" s="83"/>
      <c r="F1925" s="84"/>
      <c r="G1925" s="84"/>
      <c r="H1925" s="84"/>
      <c r="I1925" s="91"/>
      <c r="J1925" s="85"/>
      <c r="K1925" s="85"/>
      <c r="L1925" s="84"/>
      <c r="M1925" s="85"/>
      <c r="N1925" s="93"/>
      <c r="O1925" s="93"/>
      <c r="P1925" s="82"/>
    </row>
    <row r="1926">
      <c r="A1926" s="89"/>
      <c r="B1926" s="90"/>
      <c r="C1926" s="89"/>
      <c r="D1926" s="84"/>
      <c r="E1926" s="83"/>
      <c r="F1926" s="84"/>
      <c r="G1926" s="84"/>
      <c r="H1926" s="84"/>
      <c r="I1926" s="91"/>
      <c r="J1926" s="85"/>
      <c r="K1926" s="85"/>
      <c r="L1926" s="84"/>
      <c r="M1926" s="85"/>
      <c r="N1926" s="93"/>
      <c r="O1926" s="93"/>
      <c r="P1926" s="82"/>
    </row>
    <row r="1927">
      <c r="A1927" s="89"/>
      <c r="B1927" s="90"/>
      <c r="C1927" s="89"/>
      <c r="D1927" s="84"/>
      <c r="E1927" s="83"/>
      <c r="F1927" s="84"/>
      <c r="G1927" s="84"/>
      <c r="H1927" s="84"/>
      <c r="I1927" s="91"/>
      <c r="J1927" s="85"/>
      <c r="K1927" s="85"/>
      <c r="L1927" s="84"/>
      <c r="M1927" s="85"/>
      <c r="N1927" s="93"/>
      <c r="O1927" s="93"/>
      <c r="P1927" s="82"/>
    </row>
    <row r="1928">
      <c r="A1928" s="89"/>
      <c r="B1928" s="90"/>
      <c r="C1928" s="89"/>
      <c r="D1928" s="84"/>
      <c r="E1928" s="83"/>
      <c r="F1928" s="84"/>
      <c r="G1928" s="84"/>
      <c r="H1928" s="84"/>
      <c r="I1928" s="91"/>
      <c r="J1928" s="85"/>
      <c r="K1928" s="85"/>
      <c r="L1928" s="84"/>
      <c r="M1928" s="85"/>
      <c r="N1928" s="93"/>
      <c r="O1928" s="93"/>
      <c r="P1928" s="82"/>
    </row>
    <row r="1929">
      <c r="A1929" s="89"/>
      <c r="B1929" s="90"/>
      <c r="C1929" s="89"/>
      <c r="D1929" s="84"/>
      <c r="E1929" s="83"/>
      <c r="F1929" s="84"/>
      <c r="G1929" s="84"/>
      <c r="H1929" s="84"/>
      <c r="I1929" s="91"/>
      <c r="J1929" s="85"/>
      <c r="K1929" s="85"/>
      <c r="L1929" s="84"/>
      <c r="M1929" s="85"/>
      <c r="N1929" s="93"/>
      <c r="O1929" s="93"/>
      <c r="P1929" s="82"/>
    </row>
    <row r="1930">
      <c r="A1930" s="89"/>
      <c r="B1930" s="90"/>
      <c r="C1930" s="89"/>
      <c r="D1930" s="84"/>
      <c r="E1930" s="83"/>
      <c r="F1930" s="84"/>
      <c r="G1930" s="84"/>
      <c r="H1930" s="84"/>
      <c r="I1930" s="91"/>
      <c r="J1930" s="85"/>
      <c r="K1930" s="85"/>
      <c r="L1930" s="84"/>
      <c r="M1930" s="85"/>
      <c r="N1930" s="93"/>
      <c r="O1930" s="93"/>
      <c r="P1930" s="82"/>
    </row>
    <row r="1931">
      <c r="A1931" s="89"/>
      <c r="B1931" s="90"/>
      <c r="C1931" s="89"/>
      <c r="D1931" s="84"/>
      <c r="E1931" s="83"/>
      <c r="F1931" s="84"/>
      <c r="G1931" s="84"/>
      <c r="H1931" s="84"/>
      <c r="I1931" s="91"/>
      <c r="J1931" s="85"/>
      <c r="K1931" s="85"/>
      <c r="L1931" s="84"/>
      <c r="M1931" s="85"/>
      <c r="N1931" s="93"/>
      <c r="O1931" s="93"/>
      <c r="P1931" s="82"/>
    </row>
    <row r="1932">
      <c r="A1932" s="89"/>
      <c r="B1932" s="90"/>
      <c r="C1932" s="89"/>
      <c r="D1932" s="84"/>
      <c r="E1932" s="83"/>
      <c r="F1932" s="84"/>
      <c r="G1932" s="84"/>
      <c r="H1932" s="84"/>
      <c r="I1932" s="91"/>
      <c r="J1932" s="85"/>
      <c r="K1932" s="85"/>
      <c r="L1932" s="84"/>
      <c r="M1932" s="85"/>
      <c r="N1932" s="93"/>
      <c r="O1932" s="93"/>
      <c r="P1932" s="82"/>
    </row>
    <row r="1933">
      <c r="A1933" s="89"/>
      <c r="B1933" s="90"/>
      <c r="C1933" s="89"/>
      <c r="D1933" s="84"/>
      <c r="E1933" s="83"/>
      <c r="F1933" s="84"/>
      <c r="G1933" s="84"/>
      <c r="H1933" s="84"/>
      <c r="I1933" s="91"/>
      <c r="J1933" s="85"/>
      <c r="K1933" s="85"/>
      <c r="L1933" s="84"/>
      <c r="M1933" s="85"/>
      <c r="N1933" s="93"/>
      <c r="O1933" s="93"/>
      <c r="P1933" s="82"/>
    </row>
    <row r="1934">
      <c r="A1934" s="89"/>
      <c r="B1934" s="90"/>
      <c r="C1934" s="89"/>
      <c r="D1934" s="84"/>
      <c r="E1934" s="83"/>
      <c r="F1934" s="84"/>
      <c r="G1934" s="84"/>
      <c r="H1934" s="84"/>
      <c r="I1934" s="91"/>
      <c r="J1934" s="85"/>
      <c r="K1934" s="85"/>
      <c r="L1934" s="84"/>
      <c r="M1934" s="85"/>
      <c r="N1934" s="93"/>
      <c r="O1934" s="93"/>
      <c r="P1934" s="82"/>
    </row>
    <row r="1935">
      <c r="A1935" s="89"/>
      <c r="B1935" s="90"/>
      <c r="C1935" s="89"/>
      <c r="D1935" s="84"/>
      <c r="E1935" s="83"/>
      <c r="F1935" s="84"/>
      <c r="G1935" s="84"/>
      <c r="H1935" s="84"/>
      <c r="I1935" s="91"/>
      <c r="J1935" s="85"/>
      <c r="K1935" s="85"/>
      <c r="L1935" s="84"/>
      <c r="M1935" s="85"/>
      <c r="N1935" s="93"/>
      <c r="O1935" s="93"/>
      <c r="P1935" s="82"/>
    </row>
    <row r="1936">
      <c r="A1936" s="89"/>
      <c r="B1936" s="90"/>
      <c r="C1936" s="89"/>
      <c r="D1936" s="84"/>
      <c r="E1936" s="83"/>
      <c r="F1936" s="84"/>
      <c r="G1936" s="84"/>
      <c r="H1936" s="84"/>
      <c r="I1936" s="91"/>
      <c r="J1936" s="85"/>
      <c r="K1936" s="85"/>
      <c r="L1936" s="84"/>
      <c r="M1936" s="85"/>
      <c r="N1936" s="93"/>
      <c r="O1936" s="93"/>
      <c r="P1936" s="82"/>
    </row>
    <row r="1937">
      <c r="A1937" s="89"/>
      <c r="B1937" s="90"/>
      <c r="C1937" s="89"/>
      <c r="D1937" s="84"/>
      <c r="E1937" s="83"/>
      <c r="F1937" s="84"/>
      <c r="G1937" s="84"/>
      <c r="H1937" s="84"/>
      <c r="I1937" s="91"/>
      <c r="J1937" s="85"/>
      <c r="K1937" s="85"/>
      <c r="L1937" s="84"/>
      <c r="M1937" s="85"/>
      <c r="N1937" s="93"/>
      <c r="O1937" s="93"/>
      <c r="P1937" s="82"/>
    </row>
    <row r="1938">
      <c r="A1938" s="89"/>
      <c r="B1938" s="90"/>
      <c r="C1938" s="89"/>
      <c r="D1938" s="84"/>
      <c r="E1938" s="83"/>
      <c r="F1938" s="84"/>
      <c r="G1938" s="84"/>
      <c r="H1938" s="84"/>
      <c r="I1938" s="91"/>
      <c r="J1938" s="85"/>
      <c r="K1938" s="85"/>
      <c r="L1938" s="84"/>
      <c r="M1938" s="85"/>
      <c r="N1938" s="93"/>
      <c r="O1938" s="93"/>
      <c r="P1938" s="82"/>
    </row>
    <row r="1939">
      <c r="A1939" s="89"/>
      <c r="B1939" s="90"/>
      <c r="C1939" s="89"/>
      <c r="D1939" s="84"/>
      <c r="E1939" s="83"/>
      <c r="F1939" s="84"/>
      <c r="G1939" s="84"/>
      <c r="H1939" s="84"/>
      <c r="I1939" s="91"/>
      <c r="J1939" s="85"/>
      <c r="K1939" s="85"/>
      <c r="L1939" s="84"/>
      <c r="M1939" s="85"/>
      <c r="N1939" s="93"/>
      <c r="O1939" s="93"/>
      <c r="P1939" s="82"/>
    </row>
    <row r="1940">
      <c r="A1940" s="89"/>
      <c r="B1940" s="90"/>
      <c r="C1940" s="89"/>
      <c r="D1940" s="84"/>
      <c r="E1940" s="83"/>
      <c r="F1940" s="84"/>
      <c r="G1940" s="84"/>
      <c r="H1940" s="84"/>
      <c r="I1940" s="91"/>
      <c r="J1940" s="85"/>
      <c r="K1940" s="85"/>
      <c r="L1940" s="84"/>
      <c r="M1940" s="85"/>
      <c r="N1940" s="93"/>
      <c r="O1940" s="93"/>
      <c r="P1940" s="82"/>
    </row>
    <row r="1941">
      <c r="A1941" s="89"/>
      <c r="B1941" s="90"/>
      <c r="C1941" s="89"/>
      <c r="D1941" s="84"/>
      <c r="E1941" s="83"/>
      <c r="F1941" s="84"/>
      <c r="G1941" s="84"/>
      <c r="H1941" s="84"/>
      <c r="I1941" s="91"/>
      <c r="J1941" s="85"/>
      <c r="K1941" s="85"/>
      <c r="L1941" s="84"/>
      <c r="M1941" s="85"/>
      <c r="N1941" s="93"/>
      <c r="O1941" s="93"/>
      <c r="P1941" s="82"/>
    </row>
  </sheetData>
  <mergeCells count="2">
    <mergeCell ref="A1:P1"/>
    <mergeCell ref="A2:P2"/>
  </mergeCells>
  <dataValidations>
    <dataValidation type="list" allowBlank="1" showErrorMessage="1" sqref="P4:P1941">
      <formula1>"DEAL,Check"</formula1>
    </dataValidation>
    <dataValidation type="list" allowBlank="1" showErrorMessage="1" sqref="E4:E1941">
      <formula1>"Activa,Apagada,Deal"</formula1>
    </dataValidation>
  </dataValidations>
  <hyperlinks>
    <hyperlink r:id="rId1" ref="A4"/>
    <hyperlink r:id="rId2" ref="A5"/>
    <hyperlink r:id="rId3" ref="A6"/>
    <hyperlink r:id="rId4" ref="A7"/>
    <hyperlink r:id="rId5" ref="A11"/>
    <hyperlink r:id="rId6" ref="A12"/>
    <hyperlink r:id="rId7" ref="A13"/>
    <hyperlink r:id="rId8" ref="A14"/>
    <hyperlink r:id="rId9" ref="A15"/>
    <hyperlink r:id="rId10" ref="A16"/>
    <hyperlink r:id="rId11" ref="B17"/>
    <hyperlink r:id="rId12" ref="A18"/>
    <hyperlink r:id="rId13" ref="A19"/>
    <hyperlink r:id="rId14" ref="A20"/>
    <hyperlink r:id="rId15" ref="A23"/>
    <hyperlink r:id="rId16" ref="A94"/>
    <hyperlink r:id="rId17" ref="A95"/>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17" t="s">
        <v>1975</v>
      </c>
      <c r="B1" s="118" t="s">
        <v>4695</v>
      </c>
      <c r="H1" s="1" t="s">
        <v>2718</v>
      </c>
      <c r="I1" s="1" t="s">
        <v>4696</v>
      </c>
    </row>
    <row r="2">
      <c r="A2" s="117" t="s">
        <v>1972</v>
      </c>
      <c r="H2" s="119" t="s">
        <v>4573</v>
      </c>
      <c r="I2" s="119">
        <v>0.099</v>
      </c>
    </row>
    <row r="3">
      <c r="A3" s="117" t="s">
        <v>1978</v>
      </c>
      <c r="H3" s="119" t="s">
        <v>4577</v>
      </c>
      <c r="I3" s="119">
        <v>0.099</v>
      </c>
    </row>
    <row r="4">
      <c r="A4" s="117" t="s">
        <v>2144</v>
      </c>
      <c r="B4" s="118" t="s">
        <v>2147</v>
      </c>
      <c r="H4" s="119" t="s">
        <v>4579</v>
      </c>
      <c r="I4" s="119">
        <v>0.098934</v>
      </c>
    </row>
    <row r="5">
      <c r="A5" s="117" t="s">
        <v>2146</v>
      </c>
      <c r="H5" s="119" t="s">
        <v>4581</v>
      </c>
      <c r="I5" s="119">
        <v>0.083292</v>
      </c>
    </row>
    <row r="6">
      <c r="A6" s="117" t="s">
        <v>1983</v>
      </c>
      <c r="B6" s="118" t="s">
        <v>1984</v>
      </c>
      <c r="H6" s="119" t="s">
        <v>4583</v>
      </c>
      <c r="I6" s="119">
        <v>0.099</v>
      </c>
    </row>
    <row r="7">
      <c r="A7" s="117" t="s">
        <v>2253</v>
      </c>
      <c r="B7" s="118" t="s">
        <v>2254</v>
      </c>
      <c r="H7" s="120" t="s">
        <v>4563</v>
      </c>
      <c r="I7" s="120">
        <v>0.079134</v>
      </c>
    </row>
    <row r="8">
      <c r="A8" s="117" t="s">
        <v>2148</v>
      </c>
      <c r="B8" s="118" t="s">
        <v>2149</v>
      </c>
      <c r="H8" s="120" t="s">
        <v>4566</v>
      </c>
      <c r="I8" s="120">
        <v>0.098802</v>
      </c>
    </row>
    <row r="9">
      <c r="A9" s="117" t="s">
        <v>2209</v>
      </c>
      <c r="H9" s="119" t="s">
        <v>4585</v>
      </c>
      <c r="I9" s="119">
        <v>0.099</v>
      </c>
    </row>
    <row r="10">
      <c r="A10" s="117"/>
      <c r="B10" s="118" t="s">
        <v>4697</v>
      </c>
      <c r="H10" s="120" t="s">
        <v>3860</v>
      </c>
      <c r="I10" s="120">
        <v>0.098274</v>
      </c>
    </row>
    <row r="11">
      <c r="A11" s="117" t="s">
        <v>1998</v>
      </c>
      <c r="B11" s="118" t="s">
        <v>4698</v>
      </c>
      <c r="H11" s="119" t="s">
        <v>4588</v>
      </c>
      <c r="I11" s="119">
        <v>0.065934</v>
      </c>
    </row>
    <row r="12">
      <c r="A12" s="117"/>
      <c r="B12" s="118" t="s">
        <v>4699</v>
      </c>
      <c r="H12" s="119" t="s">
        <v>4591</v>
      </c>
      <c r="I12" s="119">
        <v>0.099</v>
      </c>
    </row>
    <row r="13">
      <c r="A13" s="117" t="s">
        <v>1992</v>
      </c>
      <c r="B13" s="121" t="s">
        <v>1993</v>
      </c>
      <c r="H13" s="119" t="s">
        <v>4594</v>
      </c>
      <c r="I13" s="119">
        <v>0.065868</v>
      </c>
    </row>
    <row r="14">
      <c r="A14" s="117" t="s">
        <v>1999</v>
      </c>
      <c r="B14" s="121" t="s">
        <v>4700</v>
      </c>
      <c r="H14" s="120" t="s">
        <v>4072</v>
      </c>
      <c r="I14" s="120">
        <v>0.065934</v>
      </c>
    </row>
    <row r="15">
      <c r="A15" s="117" t="s">
        <v>1996</v>
      </c>
      <c r="B15" s="121" t="s">
        <v>1997</v>
      </c>
      <c r="H15" s="119" t="s">
        <v>4596</v>
      </c>
      <c r="I15" s="119">
        <v>0.066</v>
      </c>
    </row>
    <row r="16">
      <c r="A16" s="117"/>
      <c r="B16" s="121" t="s">
        <v>4701</v>
      </c>
      <c r="H16" s="119" t="s">
        <v>4598</v>
      </c>
      <c r="I16" s="119">
        <v>0.066</v>
      </c>
    </row>
    <row r="17">
      <c r="A17" s="117" t="s">
        <v>2009</v>
      </c>
      <c r="B17" s="118" t="s">
        <v>4702</v>
      </c>
      <c r="H17" s="119" t="s">
        <v>4600</v>
      </c>
      <c r="I17" s="119">
        <v>0.065736</v>
      </c>
    </row>
    <row r="18">
      <c r="A18" s="117"/>
      <c r="B18" s="118" t="s">
        <v>4703</v>
      </c>
      <c r="H18" s="119" t="s">
        <v>4602</v>
      </c>
      <c r="I18" s="119">
        <v>0.065934</v>
      </c>
    </row>
    <row r="19">
      <c r="A19" s="117" t="s">
        <v>2006</v>
      </c>
      <c r="B19" s="118" t="s">
        <v>4704</v>
      </c>
      <c r="H19" s="119" t="s">
        <v>4604</v>
      </c>
      <c r="I19" s="119">
        <v>0.066</v>
      </c>
    </row>
    <row r="20">
      <c r="A20" s="117" t="s">
        <v>2396</v>
      </c>
      <c r="B20" s="118" t="s">
        <v>4705</v>
      </c>
      <c r="H20" s="119" t="s">
        <v>4605</v>
      </c>
      <c r="I20" s="119">
        <v>0.065802</v>
      </c>
    </row>
    <row r="21">
      <c r="A21" s="117" t="s">
        <v>2392</v>
      </c>
      <c r="H21" s="120" t="s">
        <v>3936</v>
      </c>
      <c r="I21" s="120">
        <v>0.098934</v>
      </c>
    </row>
    <row r="22">
      <c r="A22" s="117" t="s">
        <v>2267</v>
      </c>
      <c r="H22" s="119" t="s">
        <v>4607</v>
      </c>
      <c r="I22" s="119">
        <v>0.070488</v>
      </c>
    </row>
    <row r="23">
      <c r="A23" s="117" t="s">
        <v>2106</v>
      </c>
      <c r="B23" s="118" t="s">
        <v>2107</v>
      </c>
      <c r="H23" s="119" t="s">
        <v>4609</v>
      </c>
      <c r="I23" s="119">
        <v>0.066</v>
      </c>
    </row>
    <row r="24">
      <c r="A24" s="117" t="s">
        <v>2051</v>
      </c>
      <c r="B24" s="118" t="s">
        <v>4266</v>
      </c>
      <c r="H24" s="120" t="s">
        <v>4571</v>
      </c>
      <c r="I24" s="120">
        <v>0.065934</v>
      </c>
    </row>
    <row r="25">
      <c r="A25" s="117"/>
      <c r="B25" s="118" t="s">
        <v>4706</v>
      </c>
      <c r="H25" s="120" t="s">
        <v>4610</v>
      </c>
      <c r="I25" s="120">
        <v>0.096558</v>
      </c>
    </row>
    <row r="26">
      <c r="A26" s="117" t="s">
        <v>2406</v>
      </c>
      <c r="B26" s="118" t="s">
        <v>4707</v>
      </c>
      <c r="H26" s="120" t="s">
        <v>4568</v>
      </c>
      <c r="I26" s="120">
        <v>0.098934</v>
      </c>
    </row>
    <row r="27">
      <c r="A27" s="117" t="s">
        <v>1658</v>
      </c>
      <c r="B27" s="118" t="s">
        <v>4708</v>
      </c>
      <c r="H27" s="119" t="s">
        <v>4613</v>
      </c>
      <c r="I27" s="119">
        <v>0.099</v>
      </c>
    </row>
    <row r="28">
      <c r="A28" s="117" t="s">
        <v>2120</v>
      </c>
    </row>
    <row r="29">
      <c r="A29" s="117" t="s">
        <v>4709</v>
      </c>
      <c r="B29" s="118" t="s">
        <v>4710</v>
      </c>
    </row>
    <row r="30">
      <c r="A30" s="117" t="s">
        <v>2179</v>
      </c>
      <c r="B30" s="118" t="s">
        <v>4711</v>
      </c>
    </row>
    <row r="31">
      <c r="A31" s="117" t="s">
        <v>2212</v>
      </c>
      <c r="B31" s="118" t="s">
        <v>2213</v>
      </c>
    </row>
    <row r="32">
      <c r="A32" s="117" t="s">
        <v>2177</v>
      </c>
      <c r="B32" s="118" t="s">
        <v>2178</v>
      </c>
    </row>
    <row r="33">
      <c r="A33" s="117" t="s">
        <v>2220</v>
      </c>
      <c r="B33" s="118" t="s">
        <v>2221</v>
      </c>
    </row>
    <row r="34">
      <c r="A34" s="117" t="s">
        <v>2192</v>
      </c>
      <c r="B34" s="118" t="s">
        <v>4712</v>
      </c>
    </row>
    <row r="35">
      <c r="A35" s="117" t="s">
        <v>2194</v>
      </c>
      <c r="B35" s="118" t="s">
        <v>2195</v>
      </c>
    </row>
    <row r="36">
      <c r="A36" s="117" t="s">
        <v>2261</v>
      </c>
      <c r="B36" s="118" t="s">
        <v>4713</v>
      </c>
    </row>
    <row r="37">
      <c r="A37" s="117"/>
      <c r="B37" s="118" t="s">
        <v>4714</v>
      </c>
    </row>
    <row r="38">
      <c r="A38" s="117" t="s">
        <v>2217</v>
      </c>
      <c r="B38" s="118" t="s">
        <v>4715</v>
      </c>
    </row>
    <row r="39">
      <c r="A39" s="117"/>
      <c r="B39" s="118" t="s">
        <v>4716</v>
      </c>
    </row>
    <row r="40">
      <c r="A40" s="117" t="s">
        <v>2207</v>
      </c>
      <c r="B40" s="118" t="s">
        <v>2208</v>
      </c>
    </row>
    <row r="41">
      <c r="A41" s="117"/>
      <c r="B41" s="118" t="s">
        <v>4717</v>
      </c>
    </row>
    <row r="42">
      <c r="A42" s="117"/>
      <c r="B42" s="118" t="s">
        <v>4718</v>
      </c>
    </row>
    <row r="43">
      <c r="A43" s="117"/>
      <c r="B43" s="118" t="s">
        <v>4719</v>
      </c>
    </row>
    <row r="44">
      <c r="A44" s="117"/>
      <c r="B44" s="118" t="s">
        <v>4720</v>
      </c>
    </row>
    <row r="45">
      <c r="A45" s="117"/>
      <c r="B45" s="118" t="s">
        <v>4721</v>
      </c>
    </row>
    <row r="46">
      <c r="A46" s="117" t="s">
        <v>1739</v>
      </c>
      <c r="B46" s="118" t="s">
        <v>4722</v>
      </c>
    </row>
    <row r="47">
      <c r="A47" s="117" t="s">
        <v>2093</v>
      </c>
    </row>
    <row r="48">
      <c r="A48" s="117"/>
      <c r="B48" s="118" t="s">
        <v>4723</v>
      </c>
    </row>
    <row r="49">
      <c r="A49" s="117"/>
      <c r="B49" s="118" t="s">
        <v>4724</v>
      </c>
    </row>
    <row r="50">
      <c r="A50" s="117"/>
      <c r="B50" s="118" t="s">
        <v>4725</v>
      </c>
    </row>
    <row r="51">
      <c r="A51" s="117"/>
      <c r="B51" s="118" t="s">
        <v>4726</v>
      </c>
    </row>
    <row r="52">
      <c r="A52" s="117"/>
      <c r="B52" s="118" t="s">
        <v>4727</v>
      </c>
    </row>
    <row r="53">
      <c r="A53" s="117"/>
      <c r="B53" s="118" t="s">
        <v>4728</v>
      </c>
    </row>
    <row r="54">
      <c r="A54" s="117"/>
      <c r="B54" s="118" t="s">
        <v>4729</v>
      </c>
    </row>
    <row r="55">
      <c r="A55" s="117" t="s">
        <v>2234</v>
      </c>
      <c r="B55" s="118" t="s">
        <v>2235</v>
      </c>
    </row>
    <row r="56">
      <c r="A56" s="117"/>
    </row>
    <row r="57">
      <c r="A57" s="117"/>
    </row>
    <row r="58">
      <c r="A58" s="117"/>
    </row>
    <row r="59">
      <c r="A59" s="117"/>
    </row>
    <row r="60">
      <c r="A60" s="117"/>
    </row>
    <row r="61">
      <c r="A61" s="117"/>
    </row>
    <row r="62">
      <c r="A62" s="117"/>
    </row>
    <row r="63">
      <c r="A63" s="117"/>
    </row>
    <row r="64">
      <c r="A64" s="117"/>
    </row>
    <row r="65">
      <c r="A65" s="117"/>
    </row>
    <row r="66">
      <c r="A66" s="117"/>
    </row>
    <row r="67">
      <c r="A67" s="117"/>
    </row>
    <row r="68">
      <c r="A68" s="117"/>
    </row>
    <row r="69">
      <c r="A69" s="117"/>
    </row>
    <row r="70">
      <c r="A70" s="117"/>
    </row>
    <row r="71">
      <c r="A71" s="117"/>
    </row>
    <row r="72">
      <c r="A72" s="117"/>
    </row>
    <row r="73">
      <c r="A73" s="117"/>
    </row>
    <row r="74">
      <c r="A74" s="117"/>
    </row>
    <row r="75">
      <c r="A75" s="117"/>
    </row>
    <row r="76">
      <c r="A76" s="117"/>
    </row>
    <row r="77">
      <c r="A77" s="117"/>
    </row>
    <row r="78">
      <c r="A78" s="117"/>
    </row>
    <row r="79">
      <c r="A79" s="117"/>
    </row>
    <row r="80">
      <c r="A80" s="117"/>
    </row>
    <row r="81">
      <c r="A81" s="117"/>
    </row>
    <row r="82">
      <c r="A82" s="117"/>
    </row>
    <row r="83">
      <c r="A83" s="117"/>
    </row>
    <row r="84">
      <c r="A84" s="117"/>
    </row>
    <row r="85">
      <c r="A85" s="117"/>
    </row>
    <row r="86">
      <c r="A86" s="117"/>
    </row>
    <row r="87">
      <c r="A87" s="117"/>
    </row>
    <row r="88">
      <c r="A88" s="117"/>
    </row>
    <row r="89">
      <c r="A89" s="117"/>
    </row>
    <row r="90">
      <c r="A90" s="117"/>
    </row>
    <row r="91">
      <c r="A91" s="117"/>
    </row>
    <row r="92">
      <c r="A92" s="117"/>
    </row>
    <row r="93">
      <c r="A93" s="117"/>
    </row>
    <row r="94">
      <c r="A94" s="117"/>
    </row>
    <row r="95">
      <c r="A95" s="117"/>
    </row>
    <row r="96">
      <c r="A96" s="117"/>
    </row>
    <row r="97">
      <c r="A97" s="117"/>
    </row>
    <row r="98">
      <c r="A98" s="117"/>
    </row>
    <row r="99">
      <c r="A99" s="117"/>
    </row>
    <row r="100">
      <c r="A100" s="117"/>
    </row>
    <row r="101">
      <c r="A101" s="117"/>
    </row>
    <row r="102">
      <c r="A102" s="117"/>
    </row>
    <row r="103">
      <c r="A103" s="117"/>
    </row>
    <row r="104">
      <c r="A104" s="117"/>
    </row>
    <row r="105">
      <c r="A105" s="117"/>
    </row>
    <row r="106">
      <c r="A106" s="117"/>
    </row>
    <row r="107">
      <c r="A107" s="117"/>
    </row>
    <row r="108">
      <c r="A108" s="117"/>
    </row>
    <row r="109">
      <c r="A109" s="117"/>
    </row>
    <row r="110">
      <c r="A110" s="117"/>
    </row>
    <row r="111">
      <c r="A111" s="117"/>
    </row>
    <row r="112">
      <c r="A112" s="117"/>
    </row>
    <row r="113">
      <c r="A113" s="117"/>
    </row>
    <row r="114">
      <c r="A114" s="117"/>
    </row>
    <row r="115">
      <c r="A115" s="117"/>
    </row>
    <row r="116">
      <c r="A116" s="117"/>
    </row>
    <row r="117">
      <c r="A117" s="117"/>
    </row>
    <row r="118">
      <c r="A118" s="117"/>
    </row>
    <row r="119">
      <c r="A119" s="117"/>
    </row>
    <row r="120">
      <c r="A120" s="117"/>
    </row>
    <row r="121">
      <c r="A121" s="117"/>
    </row>
    <row r="122">
      <c r="A122" s="117"/>
    </row>
    <row r="123">
      <c r="A123" s="117"/>
    </row>
    <row r="124">
      <c r="A124" s="117"/>
    </row>
    <row r="125">
      <c r="A125" s="117"/>
    </row>
    <row r="126">
      <c r="A126" s="117"/>
    </row>
    <row r="127">
      <c r="A127" s="117"/>
    </row>
    <row r="128">
      <c r="A128" s="117"/>
    </row>
    <row r="129">
      <c r="A129" s="117"/>
    </row>
    <row r="130">
      <c r="A130" s="117"/>
    </row>
    <row r="131">
      <c r="A131" s="117"/>
    </row>
    <row r="132">
      <c r="A132" s="117"/>
    </row>
    <row r="133">
      <c r="A133" s="117"/>
    </row>
    <row r="134">
      <c r="A134" s="117"/>
    </row>
    <row r="135">
      <c r="A135" s="117"/>
    </row>
    <row r="136">
      <c r="A136" s="117"/>
    </row>
    <row r="137">
      <c r="A137" s="117"/>
    </row>
    <row r="138">
      <c r="A138" s="117"/>
    </row>
    <row r="139">
      <c r="A139" s="117"/>
    </row>
    <row r="140">
      <c r="A140" s="117"/>
    </row>
    <row r="141">
      <c r="A141" s="117"/>
    </row>
    <row r="142">
      <c r="A142" s="117"/>
    </row>
    <row r="143">
      <c r="A143" s="117"/>
    </row>
    <row r="144">
      <c r="A144" s="117"/>
    </row>
    <row r="145">
      <c r="A145" s="117"/>
    </row>
    <row r="146">
      <c r="A146" s="117"/>
    </row>
    <row r="147">
      <c r="A147" s="117"/>
    </row>
    <row r="148">
      <c r="A148" s="117"/>
    </row>
    <row r="149">
      <c r="A149" s="117"/>
    </row>
    <row r="150">
      <c r="A150" s="117"/>
    </row>
    <row r="151">
      <c r="A151" s="117"/>
    </row>
    <row r="152">
      <c r="A152" s="117"/>
    </row>
    <row r="153">
      <c r="A153" s="117"/>
    </row>
    <row r="154">
      <c r="A154" s="117"/>
    </row>
    <row r="155">
      <c r="A155" s="117"/>
    </row>
    <row r="156">
      <c r="A156" s="117"/>
    </row>
    <row r="157">
      <c r="A157" s="117"/>
    </row>
    <row r="158">
      <c r="A158" s="117"/>
    </row>
    <row r="159">
      <c r="A159" s="117"/>
    </row>
    <row r="160">
      <c r="A160" s="117"/>
    </row>
    <row r="161">
      <c r="A161" s="117"/>
    </row>
    <row r="162">
      <c r="A162" s="117"/>
    </row>
    <row r="163">
      <c r="A163" s="117"/>
    </row>
    <row r="164">
      <c r="A164" s="117"/>
    </row>
    <row r="165">
      <c r="A165" s="117"/>
    </row>
    <row r="166">
      <c r="A166" s="117"/>
    </row>
    <row r="167">
      <c r="A167" s="117"/>
    </row>
    <row r="168">
      <c r="A168" s="117"/>
    </row>
    <row r="169">
      <c r="A169" s="117"/>
    </row>
    <row r="170">
      <c r="A170" s="117"/>
    </row>
    <row r="171">
      <c r="A171" s="117"/>
    </row>
    <row r="172">
      <c r="A172" s="117"/>
    </row>
    <row r="173">
      <c r="A173" s="117"/>
    </row>
    <row r="174">
      <c r="A174" s="117"/>
    </row>
    <row r="175">
      <c r="A175" s="117"/>
    </row>
    <row r="176">
      <c r="A176" s="117"/>
    </row>
    <row r="177">
      <c r="A177" s="117"/>
    </row>
    <row r="178">
      <c r="A178" s="117"/>
    </row>
    <row r="179">
      <c r="A179" s="117"/>
    </row>
    <row r="180">
      <c r="A180" s="117"/>
    </row>
    <row r="181">
      <c r="A181" s="117"/>
    </row>
    <row r="182">
      <c r="A182" s="117"/>
    </row>
    <row r="183">
      <c r="A183" s="117"/>
    </row>
    <row r="184">
      <c r="A184" s="117"/>
    </row>
    <row r="185">
      <c r="A185" s="117"/>
    </row>
    <row r="186">
      <c r="A186" s="117"/>
    </row>
    <row r="187">
      <c r="A187" s="117"/>
    </row>
    <row r="188">
      <c r="A188" s="117"/>
    </row>
    <row r="189">
      <c r="A189" s="117"/>
    </row>
    <row r="190">
      <c r="A190" s="117"/>
    </row>
    <row r="191">
      <c r="A191" s="117"/>
    </row>
    <row r="192">
      <c r="A192" s="117"/>
    </row>
    <row r="193">
      <c r="A193" s="117"/>
    </row>
    <row r="194">
      <c r="A194" s="117"/>
    </row>
    <row r="195">
      <c r="A195" s="117"/>
    </row>
    <row r="196">
      <c r="A196" s="117"/>
    </row>
    <row r="197">
      <c r="A197" s="117"/>
    </row>
    <row r="198">
      <c r="A198" s="117"/>
    </row>
    <row r="199">
      <c r="A199" s="117"/>
    </row>
    <row r="200">
      <c r="A200" s="117"/>
    </row>
    <row r="201">
      <c r="A201" s="117"/>
    </row>
    <row r="202">
      <c r="A202" s="117"/>
    </row>
    <row r="203">
      <c r="A203" s="117"/>
    </row>
    <row r="204">
      <c r="A204" s="117"/>
    </row>
    <row r="205">
      <c r="A205" s="117"/>
    </row>
    <row r="206">
      <c r="A206" s="117"/>
    </row>
    <row r="207">
      <c r="A207" s="117"/>
    </row>
    <row r="208">
      <c r="A208" s="117"/>
    </row>
    <row r="209">
      <c r="A209" s="117"/>
    </row>
    <row r="210">
      <c r="A210" s="117"/>
    </row>
    <row r="211">
      <c r="A211" s="117"/>
    </row>
    <row r="212">
      <c r="A212" s="117"/>
    </row>
    <row r="213">
      <c r="A213" s="117"/>
    </row>
    <row r="214">
      <c r="A214" s="117"/>
    </row>
    <row r="215">
      <c r="A215" s="117"/>
    </row>
    <row r="216">
      <c r="A216" s="117"/>
    </row>
    <row r="217">
      <c r="A217" s="117"/>
    </row>
    <row r="218">
      <c r="A218" s="117"/>
    </row>
    <row r="219">
      <c r="A219" s="117"/>
    </row>
    <row r="220">
      <c r="A220" s="117"/>
    </row>
    <row r="221">
      <c r="A221" s="117"/>
    </row>
    <row r="222">
      <c r="A222" s="117"/>
    </row>
    <row r="223">
      <c r="A223" s="117"/>
    </row>
    <row r="224">
      <c r="A224" s="117"/>
    </row>
    <row r="225">
      <c r="A225" s="117"/>
    </row>
    <row r="226">
      <c r="A226" s="117"/>
    </row>
    <row r="227">
      <c r="A227" s="117"/>
    </row>
    <row r="228">
      <c r="A228" s="117"/>
    </row>
    <row r="229">
      <c r="A229" s="117"/>
    </row>
    <row r="230">
      <c r="A230" s="117"/>
    </row>
    <row r="231">
      <c r="A231" s="117"/>
    </row>
    <row r="232">
      <c r="A232" s="117"/>
    </row>
    <row r="233">
      <c r="A233" s="117"/>
    </row>
    <row r="234">
      <c r="A234" s="117"/>
    </row>
    <row r="235">
      <c r="A235" s="117"/>
    </row>
    <row r="236">
      <c r="A236" s="117"/>
    </row>
    <row r="237">
      <c r="A237" s="117"/>
    </row>
    <row r="238">
      <c r="A238" s="117"/>
    </row>
    <row r="239">
      <c r="A239" s="117"/>
    </row>
    <row r="240">
      <c r="A240" s="117"/>
    </row>
    <row r="241">
      <c r="A241" s="117"/>
    </row>
    <row r="242">
      <c r="A242" s="117"/>
    </row>
    <row r="243">
      <c r="A243" s="117"/>
    </row>
    <row r="244">
      <c r="A244" s="117"/>
    </row>
    <row r="245">
      <c r="A245" s="117"/>
    </row>
    <row r="246">
      <c r="A246" s="117"/>
    </row>
    <row r="247">
      <c r="A247" s="117"/>
    </row>
    <row r="248">
      <c r="A248" s="117"/>
    </row>
    <row r="249">
      <c r="A249" s="117"/>
    </row>
    <row r="250">
      <c r="A250" s="117"/>
    </row>
    <row r="251">
      <c r="A251" s="117"/>
    </row>
    <row r="252">
      <c r="A252" s="117"/>
    </row>
    <row r="253">
      <c r="A253" s="117"/>
    </row>
    <row r="254">
      <c r="A254" s="117"/>
    </row>
    <row r="255">
      <c r="A255" s="117"/>
    </row>
    <row r="256">
      <c r="A256" s="117"/>
    </row>
    <row r="257">
      <c r="A257" s="117"/>
    </row>
    <row r="258">
      <c r="A258" s="117"/>
    </row>
    <row r="259">
      <c r="A259" s="117"/>
    </row>
    <row r="260">
      <c r="A260" s="117"/>
    </row>
    <row r="261">
      <c r="A261" s="117"/>
    </row>
    <row r="262">
      <c r="A262" s="117"/>
    </row>
    <row r="263">
      <c r="A263" s="117"/>
    </row>
    <row r="264">
      <c r="A264" s="117"/>
    </row>
    <row r="265">
      <c r="A265" s="117"/>
    </row>
    <row r="266">
      <c r="A266" s="117"/>
    </row>
    <row r="267">
      <c r="A267" s="117"/>
    </row>
    <row r="268">
      <c r="A268" s="117"/>
    </row>
    <row r="269">
      <c r="A269" s="117"/>
    </row>
    <row r="270">
      <c r="A270" s="117"/>
    </row>
    <row r="271">
      <c r="A271" s="117"/>
    </row>
    <row r="272">
      <c r="A272" s="117"/>
    </row>
    <row r="273">
      <c r="A273" s="117"/>
    </row>
    <row r="274">
      <c r="A274" s="117"/>
    </row>
    <row r="275">
      <c r="A275" s="117"/>
    </row>
    <row r="276">
      <c r="A276" s="117"/>
    </row>
    <row r="277">
      <c r="A277" s="117"/>
    </row>
    <row r="278">
      <c r="A278" s="117"/>
    </row>
    <row r="279">
      <c r="A279" s="117"/>
    </row>
    <row r="280">
      <c r="A280" s="117"/>
    </row>
    <row r="281">
      <c r="A281" s="117"/>
    </row>
    <row r="282">
      <c r="A282" s="117"/>
    </row>
    <row r="283">
      <c r="A283" s="117"/>
    </row>
    <row r="284">
      <c r="A284" s="117"/>
    </row>
    <row r="285">
      <c r="A285" s="117"/>
    </row>
    <row r="286">
      <c r="A286" s="117"/>
    </row>
    <row r="287">
      <c r="A287" s="117"/>
    </row>
    <row r="288">
      <c r="A288" s="117"/>
    </row>
    <row r="289">
      <c r="A289" s="117"/>
    </row>
    <row r="290">
      <c r="A290" s="117"/>
    </row>
    <row r="291">
      <c r="A291" s="117"/>
    </row>
    <row r="292">
      <c r="A292" s="117"/>
    </row>
    <row r="293">
      <c r="A293" s="117"/>
    </row>
    <row r="294">
      <c r="A294" s="117"/>
    </row>
    <row r="295">
      <c r="A295" s="117"/>
    </row>
    <row r="296">
      <c r="A296" s="117"/>
    </row>
    <row r="297">
      <c r="A297" s="117"/>
    </row>
    <row r="298">
      <c r="A298" s="117"/>
    </row>
    <row r="299">
      <c r="A299" s="117"/>
    </row>
    <row r="300">
      <c r="A300" s="117"/>
    </row>
    <row r="301">
      <c r="A301" s="117"/>
    </row>
    <row r="302">
      <c r="A302" s="117"/>
    </row>
    <row r="303">
      <c r="A303" s="117"/>
    </row>
    <row r="304">
      <c r="A304" s="117"/>
    </row>
    <row r="305">
      <c r="A305" s="117"/>
    </row>
    <row r="306">
      <c r="A306" s="117"/>
    </row>
    <row r="307">
      <c r="A307" s="117"/>
    </row>
    <row r="308">
      <c r="A308" s="117"/>
    </row>
    <row r="309">
      <c r="A309" s="117"/>
    </row>
    <row r="310">
      <c r="A310" s="117"/>
    </row>
    <row r="311">
      <c r="A311" s="117"/>
    </row>
    <row r="312">
      <c r="A312" s="117"/>
    </row>
    <row r="313">
      <c r="A313" s="117"/>
    </row>
    <row r="314">
      <c r="A314" s="117"/>
    </row>
    <row r="315">
      <c r="A315" s="117"/>
    </row>
    <row r="316">
      <c r="A316" s="117"/>
    </row>
    <row r="317">
      <c r="A317" s="117"/>
    </row>
    <row r="318">
      <c r="A318" s="117"/>
    </row>
    <row r="319">
      <c r="A319" s="117"/>
    </row>
    <row r="320">
      <c r="A320" s="117"/>
    </row>
    <row r="321">
      <c r="A321" s="117"/>
    </row>
    <row r="322">
      <c r="A322" s="117"/>
    </row>
    <row r="323">
      <c r="A323" s="117"/>
    </row>
    <row r="324">
      <c r="A324" s="117"/>
    </row>
    <row r="325">
      <c r="A325" s="117"/>
    </row>
    <row r="326">
      <c r="A326" s="117"/>
    </row>
    <row r="327">
      <c r="A327" s="117"/>
    </row>
    <row r="328">
      <c r="A328" s="117"/>
    </row>
    <row r="329">
      <c r="A329" s="117"/>
    </row>
    <row r="330">
      <c r="A330" s="117"/>
    </row>
    <row r="331">
      <c r="A331" s="117"/>
    </row>
    <row r="332">
      <c r="A332" s="117"/>
    </row>
    <row r="333">
      <c r="A333" s="117"/>
    </row>
    <row r="334">
      <c r="A334" s="117"/>
    </row>
    <row r="335">
      <c r="A335" s="117"/>
    </row>
    <row r="336">
      <c r="A336" s="117"/>
    </row>
    <row r="337">
      <c r="A337" s="117"/>
    </row>
    <row r="338">
      <c r="A338" s="117"/>
    </row>
    <row r="339">
      <c r="A339" s="117"/>
    </row>
    <row r="340">
      <c r="A340" s="117"/>
    </row>
    <row r="341">
      <c r="A341" s="117"/>
    </row>
    <row r="342">
      <c r="A342" s="117"/>
    </row>
    <row r="343">
      <c r="A343" s="117"/>
    </row>
    <row r="344">
      <c r="A344" s="117"/>
    </row>
    <row r="345">
      <c r="A345" s="117"/>
    </row>
    <row r="346">
      <c r="A346" s="117"/>
    </row>
    <row r="347">
      <c r="A347" s="117"/>
    </row>
    <row r="348">
      <c r="A348" s="117"/>
    </row>
    <row r="349">
      <c r="A349" s="117"/>
    </row>
    <row r="350">
      <c r="A350" s="117"/>
    </row>
    <row r="351">
      <c r="A351" s="117"/>
    </row>
    <row r="352">
      <c r="A352" s="117"/>
    </row>
    <row r="353">
      <c r="A353" s="117"/>
    </row>
    <row r="354">
      <c r="A354" s="117"/>
    </row>
    <row r="355">
      <c r="A355" s="117"/>
    </row>
    <row r="356">
      <c r="A356" s="117"/>
    </row>
    <row r="357">
      <c r="A357" s="117"/>
    </row>
    <row r="358">
      <c r="A358" s="117"/>
    </row>
    <row r="359">
      <c r="A359" s="117"/>
    </row>
    <row r="360">
      <c r="A360" s="117"/>
    </row>
    <row r="361">
      <c r="A361" s="117"/>
    </row>
    <row r="362">
      <c r="A362" s="117"/>
    </row>
    <row r="363">
      <c r="A363" s="117"/>
    </row>
    <row r="364">
      <c r="A364" s="117"/>
    </row>
    <row r="365">
      <c r="A365" s="117"/>
    </row>
    <row r="366">
      <c r="A366" s="117"/>
    </row>
    <row r="367">
      <c r="A367" s="117"/>
    </row>
    <row r="368">
      <c r="A368" s="117"/>
    </row>
    <row r="369">
      <c r="A369" s="117"/>
    </row>
    <row r="370">
      <c r="A370" s="117"/>
    </row>
    <row r="371">
      <c r="A371" s="117"/>
    </row>
    <row r="372">
      <c r="A372" s="117"/>
    </row>
    <row r="373">
      <c r="A373" s="117"/>
    </row>
    <row r="374">
      <c r="A374" s="117"/>
    </row>
    <row r="375">
      <c r="A375" s="117"/>
    </row>
    <row r="376">
      <c r="A376" s="117"/>
    </row>
    <row r="377">
      <c r="A377" s="117"/>
    </row>
    <row r="378">
      <c r="A378" s="117"/>
    </row>
    <row r="379">
      <c r="A379" s="117"/>
    </row>
    <row r="380">
      <c r="A380" s="117"/>
    </row>
    <row r="381">
      <c r="A381" s="117"/>
    </row>
    <row r="382">
      <c r="A382" s="117"/>
    </row>
    <row r="383">
      <c r="A383" s="117"/>
    </row>
    <row r="384">
      <c r="A384" s="117"/>
    </row>
    <row r="385">
      <c r="A385" s="117"/>
    </row>
    <row r="386">
      <c r="A386" s="117"/>
    </row>
    <row r="387">
      <c r="A387" s="117"/>
    </row>
    <row r="388">
      <c r="A388" s="117"/>
    </row>
    <row r="389">
      <c r="A389" s="117"/>
    </row>
    <row r="390">
      <c r="A390" s="117"/>
    </row>
    <row r="391">
      <c r="A391" s="117"/>
    </row>
    <row r="392">
      <c r="A392" s="117"/>
    </row>
    <row r="393">
      <c r="A393" s="117"/>
    </row>
    <row r="394">
      <c r="A394" s="117"/>
    </row>
    <row r="395">
      <c r="A395" s="117"/>
    </row>
    <row r="396">
      <c r="A396" s="117"/>
    </row>
    <row r="397">
      <c r="A397" s="117"/>
    </row>
    <row r="398">
      <c r="A398" s="117"/>
    </row>
    <row r="399">
      <c r="A399" s="117"/>
    </row>
    <row r="400">
      <c r="A400" s="117"/>
    </row>
    <row r="401">
      <c r="A401" s="117"/>
    </row>
    <row r="402">
      <c r="A402" s="117"/>
    </row>
    <row r="403">
      <c r="A403" s="117"/>
    </row>
    <row r="404">
      <c r="A404" s="117"/>
    </row>
    <row r="405">
      <c r="A405" s="117"/>
    </row>
    <row r="406">
      <c r="A406" s="117"/>
    </row>
    <row r="407">
      <c r="A407" s="117"/>
    </row>
    <row r="408">
      <c r="A408" s="117"/>
    </row>
    <row r="409">
      <c r="A409" s="117"/>
    </row>
    <row r="410">
      <c r="A410" s="117"/>
    </row>
    <row r="411">
      <c r="A411" s="117"/>
    </row>
    <row r="412">
      <c r="A412" s="117"/>
    </row>
    <row r="413">
      <c r="A413" s="117"/>
    </row>
    <row r="414">
      <c r="A414" s="117"/>
    </row>
    <row r="415">
      <c r="A415" s="117"/>
    </row>
    <row r="416">
      <c r="A416" s="117"/>
    </row>
    <row r="417">
      <c r="A417" s="117"/>
    </row>
    <row r="418">
      <c r="A418" s="117"/>
    </row>
    <row r="419">
      <c r="A419" s="117"/>
    </row>
    <row r="420">
      <c r="A420" s="117"/>
    </row>
    <row r="421">
      <c r="A421" s="117"/>
    </row>
    <row r="422">
      <c r="A422" s="117"/>
    </row>
    <row r="423">
      <c r="A423" s="117"/>
    </row>
    <row r="424">
      <c r="A424" s="117"/>
    </row>
    <row r="425">
      <c r="A425" s="117"/>
    </row>
    <row r="426">
      <c r="A426" s="117"/>
    </row>
    <row r="427">
      <c r="A427" s="117"/>
    </row>
    <row r="428">
      <c r="A428" s="117"/>
    </row>
    <row r="429">
      <c r="A429" s="117"/>
    </row>
    <row r="430">
      <c r="A430" s="117"/>
    </row>
    <row r="431">
      <c r="A431" s="117"/>
    </row>
    <row r="432">
      <c r="A432" s="117"/>
    </row>
    <row r="433">
      <c r="A433" s="117"/>
    </row>
    <row r="434">
      <c r="A434" s="117"/>
    </row>
    <row r="435">
      <c r="A435" s="117"/>
    </row>
    <row r="436">
      <c r="A436" s="117"/>
    </row>
    <row r="437">
      <c r="A437" s="117"/>
    </row>
    <row r="438">
      <c r="A438" s="117"/>
    </row>
    <row r="439">
      <c r="A439" s="117"/>
    </row>
    <row r="440">
      <c r="A440" s="117"/>
    </row>
    <row r="441">
      <c r="A441" s="117"/>
    </row>
    <row r="442">
      <c r="A442" s="117"/>
    </row>
    <row r="443">
      <c r="A443" s="117"/>
    </row>
    <row r="444">
      <c r="A444" s="117"/>
    </row>
    <row r="445">
      <c r="A445" s="117"/>
    </row>
    <row r="446">
      <c r="A446" s="117"/>
    </row>
    <row r="447">
      <c r="A447" s="117"/>
    </row>
    <row r="448">
      <c r="A448" s="117"/>
    </row>
    <row r="449">
      <c r="A449" s="117"/>
    </row>
    <row r="450">
      <c r="A450" s="117"/>
    </row>
    <row r="451">
      <c r="A451" s="117"/>
    </row>
    <row r="452">
      <c r="A452" s="117"/>
    </row>
    <row r="453">
      <c r="A453" s="117"/>
    </row>
    <row r="454">
      <c r="A454" s="117"/>
    </row>
    <row r="455">
      <c r="A455" s="117"/>
    </row>
    <row r="456">
      <c r="A456" s="117"/>
    </row>
    <row r="457">
      <c r="A457" s="117"/>
    </row>
    <row r="458">
      <c r="A458" s="117"/>
    </row>
    <row r="459">
      <c r="A459" s="117"/>
    </row>
    <row r="460">
      <c r="A460" s="117"/>
    </row>
    <row r="461">
      <c r="A461" s="117"/>
    </row>
    <row r="462">
      <c r="A462" s="117"/>
    </row>
    <row r="463">
      <c r="A463" s="117"/>
    </row>
    <row r="464">
      <c r="A464" s="117"/>
    </row>
    <row r="465">
      <c r="A465" s="117"/>
    </row>
    <row r="466">
      <c r="A466" s="117"/>
    </row>
    <row r="467">
      <c r="A467" s="117"/>
    </row>
    <row r="468">
      <c r="A468" s="117"/>
    </row>
    <row r="469">
      <c r="A469" s="117"/>
    </row>
    <row r="470">
      <c r="A470" s="117"/>
    </row>
    <row r="471">
      <c r="A471" s="117"/>
    </row>
    <row r="472">
      <c r="A472" s="117"/>
    </row>
    <row r="473">
      <c r="A473" s="117"/>
    </row>
    <row r="474">
      <c r="A474" s="117"/>
    </row>
    <row r="475">
      <c r="A475" s="117"/>
    </row>
    <row r="476">
      <c r="A476" s="117"/>
    </row>
    <row r="477">
      <c r="A477" s="117"/>
    </row>
    <row r="478">
      <c r="A478" s="117"/>
    </row>
    <row r="479">
      <c r="A479" s="117"/>
    </row>
    <row r="480">
      <c r="A480" s="117"/>
    </row>
    <row r="481">
      <c r="A481" s="117"/>
    </row>
    <row r="482">
      <c r="A482" s="117"/>
    </row>
    <row r="483">
      <c r="A483" s="117"/>
    </row>
    <row r="484">
      <c r="A484" s="117"/>
    </row>
    <row r="485">
      <c r="A485" s="117"/>
    </row>
    <row r="486">
      <c r="A486" s="117"/>
    </row>
    <row r="487">
      <c r="A487" s="117"/>
    </row>
    <row r="488">
      <c r="A488" s="117"/>
    </row>
    <row r="489">
      <c r="A489" s="117"/>
    </row>
    <row r="490">
      <c r="A490" s="117"/>
    </row>
    <row r="491">
      <c r="A491" s="117"/>
    </row>
    <row r="492">
      <c r="A492" s="117"/>
    </row>
    <row r="493">
      <c r="A493" s="117"/>
    </row>
    <row r="494">
      <c r="A494" s="117"/>
    </row>
    <row r="495">
      <c r="A495" s="117"/>
    </row>
    <row r="496">
      <c r="A496" s="117"/>
    </row>
    <row r="497">
      <c r="A497" s="117"/>
    </row>
    <row r="498">
      <c r="A498" s="117"/>
    </row>
    <row r="499">
      <c r="A499" s="117"/>
    </row>
    <row r="500">
      <c r="A500" s="117"/>
    </row>
    <row r="501">
      <c r="A501" s="117"/>
    </row>
    <row r="502">
      <c r="A502" s="117"/>
    </row>
    <row r="503">
      <c r="A503" s="117"/>
    </row>
    <row r="504">
      <c r="A504" s="117"/>
    </row>
    <row r="505">
      <c r="A505" s="117"/>
    </row>
    <row r="506">
      <c r="A506" s="117"/>
    </row>
    <row r="507">
      <c r="A507" s="117"/>
    </row>
    <row r="508">
      <c r="A508" s="117"/>
    </row>
    <row r="509">
      <c r="A509" s="117"/>
    </row>
    <row r="510">
      <c r="A510" s="117"/>
    </row>
    <row r="511">
      <c r="A511" s="117"/>
    </row>
    <row r="512">
      <c r="A512" s="117"/>
    </row>
    <row r="513">
      <c r="A513" s="117"/>
    </row>
    <row r="514">
      <c r="A514" s="117"/>
    </row>
    <row r="515">
      <c r="A515" s="117"/>
    </row>
    <row r="516">
      <c r="A516" s="117"/>
    </row>
    <row r="517">
      <c r="A517" s="117"/>
    </row>
    <row r="518">
      <c r="A518" s="117"/>
    </row>
    <row r="519">
      <c r="A519" s="117"/>
    </row>
    <row r="520">
      <c r="A520" s="117"/>
    </row>
    <row r="521">
      <c r="A521" s="117"/>
    </row>
    <row r="522">
      <c r="A522" s="117"/>
    </row>
    <row r="523">
      <c r="A523" s="117"/>
    </row>
    <row r="524">
      <c r="A524" s="117"/>
    </row>
    <row r="525">
      <c r="A525" s="117"/>
    </row>
    <row r="526">
      <c r="A526" s="117"/>
    </row>
    <row r="527">
      <c r="A527" s="117"/>
    </row>
    <row r="528">
      <c r="A528" s="117"/>
    </row>
    <row r="529">
      <c r="A529" s="117"/>
    </row>
    <row r="530">
      <c r="A530" s="117"/>
    </row>
    <row r="531">
      <c r="A531" s="117"/>
    </row>
    <row r="532">
      <c r="A532" s="117"/>
    </row>
    <row r="533">
      <c r="A533" s="117"/>
    </row>
    <row r="534">
      <c r="A534" s="117"/>
    </row>
    <row r="535">
      <c r="A535" s="117"/>
    </row>
    <row r="536">
      <c r="A536" s="117"/>
    </row>
    <row r="537">
      <c r="A537" s="117"/>
    </row>
    <row r="538">
      <c r="A538" s="117"/>
    </row>
    <row r="539">
      <c r="A539" s="117"/>
    </row>
    <row r="540">
      <c r="A540" s="117"/>
    </row>
    <row r="541">
      <c r="A541" s="117"/>
    </row>
    <row r="542">
      <c r="A542" s="117"/>
    </row>
    <row r="543">
      <c r="A543" s="117"/>
    </row>
    <row r="544">
      <c r="A544" s="117"/>
    </row>
    <row r="545">
      <c r="A545" s="117"/>
    </row>
    <row r="546">
      <c r="A546" s="117"/>
    </row>
    <row r="547">
      <c r="A547" s="117"/>
    </row>
    <row r="548">
      <c r="A548" s="117"/>
    </row>
    <row r="549">
      <c r="A549" s="117"/>
    </row>
    <row r="550">
      <c r="A550" s="117"/>
    </row>
    <row r="551">
      <c r="A551" s="117"/>
    </row>
    <row r="552">
      <c r="A552" s="117"/>
    </row>
    <row r="553">
      <c r="A553" s="117"/>
    </row>
    <row r="554">
      <c r="A554" s="117"/>
    </row>
    <row r="555">
      <c r="A555" s="117"/>
    </row>
    <row r="556">
      <c r="A556" s="117"/>
    </row>
    <row r="557">
      <c r="A557" s="117"/>
    </row>
    <row r="558">
      <c r="A558" s="117"/>
    </row>
    <row r="559">
      <c r="A559" s="117"/>
    </row>
    <row r="560">
      <c r="A560" s="117"/>
    </row>
    <row r="561">
      <c r="A561" s="117"/>
    </row>
    <row r="562">
      <c r="A562" s="117"/>
    </row>
    <row r="563">
      <c r="A563" s="117"/>
    </row>
    <row r="564">
      <c r="A564" s="117"/>
    </row>
    <row r="565">
      <c r="A565" s="117"/>
    </row>
    <row r="566">
      <c r="A566" s="117"/>
    </row>
    <row r="567">
      <c r="A567" s="117"/>
    </row>
    <row r="568">
      <c r="A568" s="117"/>
    </row>
    <row r="569">
      <c r="A569" s="117"/>
    </row>
    <row r="570">
      <c r="A570" s="117"/>
    </row>
    <row r="571">
      <c r="A571" s="117"/>
    </row>
    <row r="572">
      <c r="A572" s="117"/>
    </row>
    <row r="573">
      <c r="A573" s="117"/>
    </row>
    <row r="574">
      <c r="A574" s="117"/>
    </row>
    <row r="575">
      <c r="A575" s="117"/>
    </row>
    <row r="576">
      <c r="A576" s="117"/>
    </row>
    <row r="577">
      <c r="A577" s="117"/>
    </row>
    <row r="578">
      <c r="A578" s="117"/>
    </row>
    <row r="579">
      <c r="A579" s="117"/>
    </row>
    <row r="580">
      <c r="A580" s="117"/>
    </row>
    <row r="581">
      <c r="A581" s="117"/>
    </row>
    <row r="582">
      <c r="A582" s="117"/>
    </row>
    <row r="583">
      <c r="A583" s="117"/>
    </row>
    <row r="584">
      <c r="A584" s="117"/>
    </row>
    <row r="585">
      <c r="A585" s="117"/>
    </row>
    <row r="586">
      <c r="A586" s="117"/>
    </row>
    <row r="587">
      <c r="A587" s="117"/>
    </row>
    <row r="588">
      <c r="A588" s="117"/>
    </row>
    <row r="589">
      <c r="A589" s="117"/>
    </row>
    <row r="590">
      <c r="A590" s="117"/>
    </row>
    <row r="591">
      <c r="A591" s="117"/>
    </row>
    <row r="592">
      <c r="A592" s="117"/>
    </row>
    <row r="593">
      <c r="A593" s="117"/>
    </row>
    <row r="594">
      <c r="A594" s="117"/>
    </row>
    <row r="595">
      <c r="A595" s="117"/>
    </row>
    <row r="596">
      <c r="A596" s="117"/>
    </row>
    <row r="597">
      <c r="A597" s="117"/>
    </row>
    <row r="598">
      <c r="A598" s="117"/>
    </row>
    <row r="599">
      <c r="A599" s="117"/>
    </row>
    <row r="600">
      <c r="A600" s="117"/>
    </row>
    <row r="601">
      <c r="A601" s="117"/>
    </row>
    <row r="602">
      <c r="A602" s="117"/>
    </row>
    <row r="603">
      <c r="A603" s="117"/>
    </row>
    <row r="604">
      <c r="A604" s="117"/>
    </row>
    <row r="605">
      <c r="A605" s="117"/>
    </row>
    <row r="606">
      <c r="A606" s="117"/>
    </row>
    <row r="607">
      <c r="A607" s="117"/>
    </row>
    <row r="608">
      <c r="A608" s="117"/>
    </row>
    <row r="609">
      <c r="A609" s="117"/>
    </row>
    <row r="610">
      <c r="A610" s="117"/>
    </row>
    <row r="611">
      <c r="A611" s="117"/>
    </row>
    <row r="612">
      <c r="A612" s="117"/>
    </row>
    <row r="613">
      <c r="A613" s="117"/>
    </row>
    <row r="614">
      <c r="A614" s="117"/>
    </row>
    <row r="615">
      <c r="A615" s="117"/>
    </row>
    <row r="616">
      <c r="A616" s="117"/>
    </row>
    <row r="617">
      <c r="A617" s="117"/>
    </row>
    <row r="618">
      <c r="A618" s="117"/>
    </row>
    <row r="619">
      <c r="A619" s="117"/>
    </row>
    <row r="620">
      <c r="A620" s="117"/>
    </row>
    <row r="621">
      <c r="A621" s="117"/>
    </row>
    <row r="622">
      <c r="A622" s="117"/>
    </row>
    <row r="623">
      <c r="A623" s="117"/>
    </row>
    <row r="624">
      <c r="A624" s="117"/>
    </row>
    <row r="625">
      <c r="A625" s="117"/>
    </row>
    <row r="626">
      <c r="A626" s="117"/>
    </row>
    <row r="627">
      <c r="A627" s="117"/>
    </row>
    <row r="628">
      <c r="A628" s="117"/>
    </row>
    <row r="629">
      <c r="A629" s="117"/>
    </row>
    <row r="630">
      <c r="A630" s="117"/>
    </row>
    <row r="631">
      <c r="A631" s="117"/>
    </row>
    <row r="632">
      <c r="A632" s="117"/>
    </row>
    <row r="633">
      <c r="A633" s="117"/>
    </row>
    <row r="634">
      <c r="A634" s="117"/>
    </row>
    <row r="635">
      <c r="A635" s="117"/>
    </row>
    <row r="636">
      <c r="A636" s="117"/>
    </row>
    <row r="637">
      <c r="A637" s="117"/>
    </row>
    <row r="638">
      <c r="A638" s="117"/>
    </row>
    <row r="639">
      <c r="A639" s="117"/>
    </row>
    <row r="640">
      <c r="A640" s="117"/>
    </row>
    <row r="641">
      <c r="A641" s="117"/>
    </row>
    <row r="642">
      <c r="A642" s="117"/>
    </row>
    <row r="643">
      <c r="A643" s="117"/>
    </row>
    <row r="644">
      <c r="A644" s="117"/>
    </row>
    <row r="645">
      <c r="A645" s="117"/>
    </row>
    <row r="646">
      <c r="A646" s="117"/>
    </row>
    <row r="647">
      <c r="A647" s="117"/>
    </row>
    <row r="648">
      <c r="A648" s="117"/>
    </row>
    <row r="649">
      <c r="A649" s="117"/>
    </row>
    <row r="650">
      <c r="A650" s="117"/>
    </row>
    <row r="651">
      <c r="A651" s="117"/>
    </row>
    <row r="652">
      <c r="A652" s="117"/>
    </row>
    <row r="653">
      <c r="A653" s="117"/>
    </row>
    <row r="654">
      <c r="A654" s="117"/>
    </row>
    <row r="655">
      <c r="A655" s="117"/>
    </row>
    <row r="656">
      <c r="A656" s="117"/>
    </row>
    <row r="657">
      <c r="A657" s="117"/>
    </row>
    <row r="658">
      <c r="A658" s="117"/>
    </row>
    <row r="659">
      <c r="A659" s="117"/>
    </row>
    <row r="660">
      <c r="A660" s="117"/>
    </row>
    <row r="661">
      <c r="A661" s="117"/>
    </row>
    <row r="662">
      <c r="A662" s="117"/>
    </row>
    <row r="663">
      <c r="A663" s="117"/>
    </row>
    <row r="664">
      <c r="A664" s="117"/>
    </row>
    <row r="665">
      <c r="A665" s="117"/>
    </row>
    <row r="666">
      <c r="A666" s="117"/>
    </row>
    <row r="667">
      <c r="A667" s="117"/>
    </row>
    <row r="668">
      <c r="A668" s="117"/>
    </row>
    <row r="669">
      <c r="A669" s="117"/>
    </row>
    <row r="670">
      <c r="A670" s="117"/>
    </row>
    <row r="671">
      <c r="A671" s="117"/>
    </row>
    <row r="672">
      <c r="A672" s="117"/>
    </row>
    <row r="673">
      <c r="A673" s="117"/>
    </row>
    <row r="674">
      <c r="A674" s="117"/>
    </row>
    <row r="675">
      <c r="A675" s="117"/>
    </row>
    <row r="676">
      <c r="A676" s="117"/>
    </row>
    <row r="677">
      <c r="A677" s="117"/>
    </row>
    <row r="678">
      <c r="A678" s="117"/>
    </row>
    <row r="679">
      <c r="A679" s="117"/>
    </row>
    <row r="680">
      <c r="A680" s="117"/>
    </row>
    <row r="681">
      <c r="A681" s="117"/>
    </row>
    <row r="682">
      <c r="A682" s="117"/>
    </row>
    <row r="683">
      <c r="A683" s="117"/>
    </row>
    <row r="684">
      <c r="A684" s="117"/>
    </row>
    <row r="685">
      <c r="A685" s="117"/>
    </row>
    <row r="686">
      <c r="A686" s="117"/>
    </row>
    <row r="687">
      <c r="A687" s="117"/>
    </row>
    <row r="688">
      <c r="A688" s="117"/>
    </row>
    <row r="689">
      <c r="A689" s="117"/>
    </row>
    <row r="690">
      <c r="A690" s="117"/>
    </row>
    <row r="691">
      <c r="A691" s="117"/>
    </row>
    <row r="692">
      <c r="A692" s="117"/>
    </row>
    <row r="693">
      <c r="A693" s="117"/>
    </row>
    <row r="694">
      <c r="A694" s="117"/>
    </row>
    <row r="695">
      <c r="A695" s="117"/>
    </row>
    <row r="696">
      <c r="A696" s="117"/>
    </row>
    <row r="697">
      <c r="A697" s="117"/>
    </row>
    <row r="698">
      <c r="A698" s="117"/>
    </row>
    <row r="699">
      <c r="A699" s="117"/>
    </row>
    <row r="700">
      <c r="A700" s="117"/>
    </row>
    <row r="701">
      <c r="A701" s="117"/>
    </row>
    <row r="702">
      <c r="A702" s="117"/>
    </row>
    <row r="703">
      <c r="A703" s="117"/>
    </row>
    <row r="704">
      <c r="A704" s="117"/>
    </row>
    <row r="705">
      <c r="A705" s="117"/>
    </row>
    <row r="706">
      <c r="A706" s="117"/>
    </row>
    <row r="707">
      <c r="A707" s="117"/>
    </row>
    <row r="708">
      <c r="A708" s="117"/>
    </row>
    <row r="709">
      <c r="A709" s="117"/>
    </row>
    <row r="710">
      <c r="A710" s="117"/>
    </row>
    <row r="711">
      <c r="A711" s="117"/>
    </row>
    <row r="712">
      <c r="A712" s="117"/>
    </row>
    <row r="713">
      <c r="A713" s="117"/>
    </row>
    <row r="714">
      <c r="A714" s="117"/>
    </row>
    <row r="715">
      <c r="A715" s="117"/>
    </row>
    <row r="716">
      <c r="A716" s="117"/>
    </row>
    <row r="717">
      <c r="A717" s="117"/>
    </row>
    <row r="718">
      <c r="A718" s="117"/>
    </row>
    <row r="719">
      <c r="A719" s="117"/>
    </row>
    <row r="720">
      <c r="A720" s="117"/>
    </row>
    <row r="721">
      <c r="A721" s="117"/>
    </row>
    <row r="722">
      <c r="A722" s="117"/>
    </row>
    <row r="723">
      <c r="A723" s="117"/>
    </row>
    <row r="724">
      <c r="A724" s="117"/>
    </row>
    <row r="725">
      <c r="A725" s="117"/>
    </row>
    <row r="726">
      <c r="A726" s="117"/>
    </row>
    <row r="727">
      <c r="A727" s="117"/>
    </row>
    <row r="728">
      <c r="A728" s="117"/>
    </row>
    <row r="729">
      <c r="A729" s="117"/>
    </row>
    <row r="730">
      <c r="A730" s="117"/>
    </row>
    <row r="731">
      <c r="A731" s="117"/>
    </row>
    <row r="732">
      <c r="A732" s="117"/>
    </row>
    <row r="733">
      <c r="A733" s="117"/>
    </row>
    <row r="734">
      <c r="A734" s="117"/>
    </row>
    <row r="735">
      <c r="A735" s="117"/>
    </row>
    <row r="736">
      <c r="A736" s="117"/>
    </row>
    <row r="737">
      <c r="A737" s="117"/>
    </row>
    <row r="738">
      <c r="A738" s="117"/>
    </row>
    <row r="739">
      <c r="A739" s="117"/>
    </row>
    <row r="740">
      <c r="A740" s="117"/>
    </row>
    <row r="741">
      <c r="A741" s="117"/>
    </row>
    <row r="742">
      <c r="A742" s="117"/>
    </row>
    <row r="743">
      <c r="A743" s="117"/>
    </row>
    <row r="744">
      <c r="A744" s="117"/>
    </row>
    <row r="745">
      <c r="A745" s="117"/>
    </row>
    <row r="746">
      <c r="A746" s="117"/>
    </row>
    <row r="747">
      <c r="A747" s="117"/>
    </row>
    <row r="748">
      <c r="A748" s="117"/>
    </row>
    <row r="749">
      <c r="A749" s="117"/>
    </row>
    <row r="750">
      <c r="A750" s="117"/>
    </row>
    <row r="751">
      <c r="A751" s="117"/>
    </row>
    <row r="752">
      <c r="A752" s="117"/>
    </row>
    <row r="753">
      <c r="A753" s="117"/>
    </row>
    <row r="754">
      <c r="A754" s="117"/>
    </row>
    <row r="755">
      <c r="A755" s="117"/>
    </row>
    <row r="756">
      <c r="A756" s="117"/>
    </row>
    <row r="757">
      <c r="A757" s="117"/>
    </row>
    <row r="758">
      <c r="A758" s="117"/>
    </row>
    <row r="759">
      <c r="A759" s="117"/>
    </row>
    <row r="760">
      <c r="A760" s="117"/>
    </row>
    <row r="761">
      <c r="A761" s="117"/>
    </row>
    <row r="762">
      <c r="A762" s="117"/>
    </row>
    <row r="763">
      <c r="A763" s="117"/>
    </row>
    <row r="764">
      <c r="A764" s="117"/>
    </row>
    <row r="765">
      <c r="A765" s="117"/>
    </row>
    <row r="766">
      <c r="A766" s="117"/>
    </row>
    <row r="767">
      <c r="A767" s="117"/>
    </row>
    <row r="768">
      <c r="A768" s="117"/>
    </row>
    <row r="769">
      <c r="A769" s="117"/>
    </row>
    <row r="770">
      <c r="A770" s="117"/>
    </row>
    <row r="771">
      <c r="A771" s="117"/>
    </row>
    <row r="772">
      <c r="A772" s="117"/>
    </row>
    <row r="773">
      <c r="A773" s="117"/>
    </row>
    <row r="774">
      <c r="A774" s="117"/>
    </row>
    <row r="775">
      <c r="A775" s="117"/>
    </row>
    <row r="776">
      <c r="A776" s="117"/>
    </row>
    <row r="777">
      <c r="A777" s="117"/>
    </row>
    <row r="778">
      <c r="A778" s="117"/>
    </row>
    <row r="779">
      <c r="A779" s="117"/>
    </row>
    <row r="780">
      <c r="A780" s="117"/>
    </row>
    <row r="781">
      <c r="A781" s="117"/>
    </row>
    <row r="782">
      <c r="A782" s="117"/>
    </row>
    <row r="783">
      <c r="A783" s="117"/>
    </row>
    <row r="784">
      <c r="A784" s="117"/>
    </row>
    <row r="785">
      <c r="A785" s="117"/>
    </row>
    <row r="786">
      <c r="A786" s="117"/>
    </row>
    <row r="787">
      <c r="A787" s="117"/>
    </row>
    <row r="788">
      <c r="A788" s="117"/>
    </row>
    <row r="789">
      <c r="A789" s="117"/>
    </row>
    <row r="790">
      <c r="A790" s="117"/>
    </row>
    <row r="791">
      <c r="A791" s="117"/>
    </row>
    <row r="792">
      <c r="A792" s="117"/>
    </row>
    <row r="793">
      <c r="A793" s="117"/>
    </row>
    <row r="794">
      <c r="A794" s="117"/>
    </row>
    <row r="795">
      <c r="A795" s="117"/>
    </row>
    <row r="796">
      <c r="A796" s="117"/>
    </row>
    <row r="797">
      <c r="A797" s="117"/>
    </row>
    <row r="798">
      <c r="A798" s="117"/>
    </row>
    <row r="799">
      <c r="A799" s="117"/>
    </row>
    <row r="800">
      <c r="A800" s="117"/>
    </row>
    <row r="801">
      <c r="A801" s="117"/>
    </row>
    <row r="802">
      <c r="A802" s="117"/>
    </row>
    <row r="803">
      <c r="A803" s="117"/>
    </row>
    <row r="804">
      <c r="A804" s="117"/>
    </row>
    <row r="805">
      <c r="A805" s="117"/>
    </row>
    <row r="806">
      <c r="A806" s="117"/>
    </row>
    <row r="807">
      <c r="A807" s="117"/>
    </row>
    <row r="808">
      <c r="A808" s="117"/>
    </row>
    <row r="809">
      <c r="A809" s="117"/>
    </row>
    <row r="810">
      <c r="A810" s="117"/>
    </row>
    <row r="811">
      <c r="A811" s="117"/>
    </row>
    <row r="812">
      <c r="A812" s="117"/>
    </row>
    <row r="813">
      <c r="A813" s="117"/>
    </row>
    <row r="814">
      <c r="A814" s="117"/>
    </row>
    <row r="815">
      <c r="A815" s="117"/>
    </row>
    <row r="816">
      <c r="A816" s="117"/>
    </row>
    <row r="817">
      <c r="A817" s="117"/>
    </row>
    <row r="818">
      <c r="A818" s="117"/>
    </row>
    <row r="819">
      <c r="A819" s="117"/>
    </row>
    <row r="820">
      <c r="A820" s="117"/>
    </row>
    <row r="821">
      <c r="A821" s="117"/>
    </row>
    <row r="822">
      <c r="A822" s="117"/>
    </row>
    <row r="823">
      <c r="A823" s="117"/>
    </row>
    <row r="824">
      <c r="A824" s="117"/>
    </row>
    <row r="825">
      <c r="A825" s="117"/>
    </row>
    <row r="826">
      <c r="A826" s="117"/>
    </row>
    <row r="827">
      <c r="A827" s="117"/>
    </row>
    <row r="828">
      <c r="A828" s="117"/>
    </row>
    <row r="829">
      <c r="A829" s="117"/>
    </row>
    <row r="830">
      <c r="A830" s="117"/>
    </row>
    <row r="831">
      <c r="A831" s="117"/>
    </row>
    <row r="832">
      <c r="A832" s="117"/>
    </row>
    <row r="833">
      <c r="A833" s="117"/>
    </row>
    <row r="834">
      <c r="A834" s="117"/>
    </row>
    <row r="835">
      <c r="A835" s="117"/>
    </row>
    <row r="836">
      <c r="A836" s="117"/>
    </row>
    <row r="837">
      <c r="A837" s="117"/>
    </row>
    <row r="838">
      <c r="A838" s="117"/>
    </row>
    <row r="839">
      <c r="A839" s="117"/>
    </row>
    <row r="840">
      <c r="A840" s="117"/>
    </row>
    <row r="841">
      <c r="A841" s="117"/>
    </row>
    <row r="842">
      <c r="A842" s="117"/>
    </row>
    <row r="843">
      <c r="A843" s="117"/>
    </row>
    <row r="844">
      <c r="A844" s="117"/>
    </row>
    <row r="845">
      <c r="A845" s="117"/>
    </row>
    <row r="846">
      <c r="A846" s="117"/>
    </row>
    <row r="847">
      <c r="A847" s="117"/>
    </row>
    <row r="848">
      <c r="A848" s="117"/>
    </row>
    <row r="849">
      <c r="A849" s="117"/>
    </row>
    <row r="850">
      <c r="A850" s="117"/>
    </row>
    <row r="851">
      <c r="A851" s="117"/>
    </row>
    <row r="852">
      <c r="A852" s="117"/>
    </row>
    <row r="853">
      <c r="A853" s="117"/>
    </row>
    <row r="854">
      <c r="A854" s="117"/>
    </row>
    <row r="855">
      <c r="A855" s="117"/>
    </row>
    <row r="856">
      <c r="A856" s="117"/>
    </row>
    <row r="857">
      <c r="A857" s="117"/>
    </row>
    <row r="858">
      <c r="A858" s="117"/>
    </row>
    <row r="859">
      <c r="A859" s="117"/>
    </row>
    <row r="860">
      <c r="A860" s="117"/>
    </row>
    <row r="861">
      <c r="A861" s="117"/>
    </row>
    <row r="862">
      <c r="A862" s="117"/>
    </row>
    <row r="863">
      <c r="A863" s="117"/>
    </row>
    <row r="864">
      <c r="A864" s="117"/>
    </row>
    <row r="865">
      <c r="A865" s="117"/>
    </row>
    <row r="866">
      <c r="A866" s="117"/>
    </row>
    <row r="867">
      <c r="A867" s="117"/>
    </row>
    <row r="868">
      <c r="A868" s="117"/>
    </row>
    <row r="869">
      <c r="A869" s="117"/>
    </row>
    <row r="870">
      <c r="A870" s="117"/>
    </row>
    <row r="871">
      <c r="A871" s="117"/>
    </row>
    <row r="872">
      <c r="A872" s="117"/>
    </row>
    <row r="873">
      <c r="A873" s="117"/>
    </row>
    <row r="874">
      <c r="A874" s="117"/>
    </row>
    <row r="875">
      <c r="A875" s="117"/>
    </row>
    <row r="876">
      <c r="A876" s="117"/>
    </row>
    <row r="877">
      <c r="A877" s="117"/>
    </row>
    <row r="878">
      <c r="A878" s="117"/>
    </row>
    <row r="879">
      <c r="A879" s="117"/>
    </row>
    <row r="880">
      <c r="A880" s="117"/>
    </row>
    <row r="881">
      <c r="A881" s="117"/>
    </row>
    <row r="882">
      <c r="A882" s="117"/>
    </row>
    <row r="883">
      <c r="A883" s="117"/>
    </row>
    <row r="884">
      <c r="A884" s="117"/>
    </row>
    <row r="885">
      <c r="A885" s="117"/>
    </row>
    <row r="886">
      <c r="A886" s="117"/>
    </row>
    <row r="887">
      <c r="A887" s="117"/>
    </row>
    <row r="888">
      <c r="A888" s="117"/>
    </row>
    <row r="889">
      <c r="A889" s="117"/>
    </row>
    <row r="890">
      <c r="A890" s="117"/>
    </row>
    <row r="891">
      <c r="A891" s="117"/>
    </row>
    <row r="892">
      <c r="A892" s="117"/>
    </row>
    <row r="893">
      <c r="A893" s="117"/>
    </row>
    <row r="894">
      <c r="A894" s="117"/>
    </row>
    <row r="895">
      <c r="A895" s="117"/>
    </row>
    <row r="896">
      <c r="A896" s="117"/>
    </row>
    <row r="897">
      <c r="A897" s="117"/>
    </row>
    <row r="898">
      <c r="A898" s="117"/>
    </row>
    <row r="899">
      <c r="A899" s="117"/>
    </row>
    <row r="900">
      <c r="A900" s="117"/>
    </row>
    <row r="901">
      <c r="A901" s="117"/>
    </row>
    <row r="902">
      <c r="A902" s="117"/>
    </row>
    <row r="903">
      <c r="A903" s="117"/>
    </row>
    <row r="904">
      <c r="A904" s="117"/>
    </row>
    <row r="905">
      <c r="A905" s="117"/>
    </row>
    <row r="906">
      <c r="A906" s="117"/>
    </row>
    <row r="907">
      <c r="A907" s="117"/>
    </row>
    <row r="908">
      <c r="A908" s="117"/>
    </row>
    <row r="909">
      <c r="A909" s="117"/>
    </row>
    <row r="910">
      <c r="A910" s="117"/>
    </row>
    <row r="911">
      <c r="A911" s="117"/>
    </row>
    <row r="912">
      <c r="A912" s="117"/>
    </row>
    <row r="913">
      <c r="A913" s="117"/>
    </row>
    <row r="914">
      <c r="A914" s="117"/>
    </row>
    <row r="915">
      <c r="A915" s="117"/>
    </row>
    <row r="916">
      <c r="A916" s="117"/>
    </row>
    <row r="917">
      <c r="A917" s="117"/>
    </row>
    <row r="918">
      <c r="A918" s="117"/>
    </row>
    <row r="919">
      <c r="A919" s="117"/>
    </row>
    <row r="920">
      <c r="A920" s="117"/>
    </row>
    <row r="921">
      <c r="A921" s="117"/>
    </row>
    <row r="922">
      <c r="A922" s="117"/>
    </row>
    <row r="923">
      <c r="A923" s="117"/>
    </row>
    <row r="924">
      <c r="A924" s="117"/>
    </row>
    <row r="925">
      <c r="A925" s="117"/>
    </row>
    <row r="926">
      <c r="A926" s="117"/>
    </row>
    <row r="927">
      <c r="A927" s="117"/>
    </row>
    <row r="928">
      <c r="A928" s="117"/>
    </row>
    <row r="929">
      <c r="A929" s="117"/>
    </row>
    <row r="930">
      <c r="A930" s="117"/>
    </row>
    <row r="931">
      <c r="A931" s="117"/>
    </row>
    <row r="932">
      <c r="A932" s="117"/>
    </row>
    <row r="933">
      <c r="A933" s="117"/>
    </row>
    <row r="934">
      <c r="A934" s="117"/>
    </row>
    <row r="935">
      <c r="A935" s="117"/>
    </row>
    <row r="936">
      <c r="A936" s="117"/>
    </row>
    <row r="937">
      <c r="A937" s="117"/>
    </row>
    <row r="938">
      <c r="A938" s="117"/>
    </row>
    <row r="939">
      <c r="A939" s="117"/>
    </row>
    <row r="940">
      <c r="A940" s="117"/>
    </row>
    <row r="941">
      <c r="A941" s="117"/>
    </row>
    <row r="942">
      <c r="A942" s="117"/>
    </row>
    <row r="943">
      <c r="A943" s="117"/>
    </row>
    <row r="944">
      <c r="A944" s="117"/>
    </row>
    <row r="945">
      <c r="A945" s="117"/>
    </row>
    <row r="946">
      <c r="A946" s="117"/>
    </row>
    <row r="947">
      <c r="A947" s="117"/>
    </row>
    <row r="948">
      <c r="A948" s="117"/>
    </row>
    <row r="949">
      <c r="A949" s="117"/>
    </row>
    <row r="950">
      <c r="A950" s="117"/>
    </row>
    <row r="951">
      <c r="A951" s="117"/>
    </row>
    <row r="952">
      <c r="A952" s="117"/>
    </row>
    <row r="953">
      <c r="A953" s="117"/>
    </row>
    <row r="954">
      <c r="A954" s="117"/>
    </row>
    <row r="955">
      <c r="A955" s="117"/>
    </row>
    <row r="956">
      <c r="A956" s="117"/>
    </row>
    <row r="957">
      <c r="A957" s="117"/>
    </row>
    <row r="958">
      <c r="A958" s="117"/>
    </row>
    <row r="959">
      <c r="A959" s="117"/>
    </row>
    <row r="960">
      <c r="A960" s="117"/>
    </row>
    <row r="961">
      <c r="A961" s="117"/>
    </row>
    <row r="962">
      <c r="A962" s="117"/>
    </row>
    <row r="963">
      <c r="A963" s="117"/>
    </row>
    <row r="964">
      <c r="A964" s="117"/>
    </row>
    <row r="965">
      <c r="A965" s="117"/>
    </row>
    <row r="966">
      <c r="A966" s="117"/>
    </row>
    <row r="967">
      <c r="A967" s="117"/>
    </row>
    <row r="968">
      <c r="A968" s="117"/>
    </row>
    <row r="969">
      <c r="A969" s="117"/>
    </row>
    <row r="970">
      <c r="A970" s="117"/>
    </row>
    <row r="971">
      <c r="A971" s="117"/>
    </row>
    <row r="972">
      <c r="A972" s="117"/>
    </row>
    <row r="973">
      <c r="A973" s="117"/>
    </row>
    <row r="974">
      <c r="A974" s="117"/>
    </row>
    <row r="975">
      <c r="A975" s="117"/>
    </row>
    <row r="976">
      <c r="A976" s="117"/>
    </row>
    <row r="977">
      <c r="A977" s="117"/>
    </row>
    <row r="978">
      <c r="A978" s="117"/>
    </row>
    <row r="979">
      <c r="A979" s="117"/>
    </row>
    <row r="980">
      <c r="A980" s="117"/>
    </row>
    <row r="981">
      <c r="A981" s="117"/>
    </row>
    <row r="982">
      <c r="A982" s="117"/>
    </row>
    <row r="983">
      <c r="A983" s="117"/>
    </row>
    <row r="984">
      <c r="A984" s="117"/>
    </row>
    <row r="985">
      <c r="A985" s="117"/>
    </row>
    <row r="986">
      <c r="A986" s="117"/>
    </row>
    <row r="987">
      <c r="A987" s="117"/>
    </row>
    <row r="988">
      <c r="A988" s="117"/>
    </row>
    <row r="989">
      <c r="A989" s="117"/>
    </row>
    <row r="990">
      <c r="A990" s="117"/>
    </row>
    <row r="991">
      <c r="A991" s="117"/>
    </row>
    <row r="992">
      <c r="A992" s="117"/>
    </row>
    <row r="993">
      <c r="A993" s="117"/>
    </row>
    <row r="994">
      <c r="A994" s="117"/>
    </row>
    <row r="995">
      <c r="A995" s="117"/>
    </row>
    <row r="996">
      <c r="A996" s="117"/>
    </row>
    <row r="997">
      <c r="A997" s="117"/>
    </row>
    <row r="998">
      <c r="A998" s="117"/>
    </row>
    <row r="999">
      <c r="A999" s="117"/>
    </row>
    <row r="1000">
      <c r="A1000" s="117"/>
    </row>
  </sheetData>
  <mergeCells count="6">
    <mergeCell ref="B1:B3"/>
    <mergeCell ref="B4:B5"/>
    <mergeCell ref="B8:B9"/>
    <mergeCell ref="B20:B22"/>
    <mergeCell ref="B27:B28"/>
    <mergeCell ref="B46:B4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0"/>
  </cols>
  <sheetData>
    <row r="1">
      <c r="A1" s="122"/>
    </row>
    <row r="3" ht="45.75" customHeight="1"/>
    <row r="4">
      <c r="A4" s="123" t="s">
        <v>2717</v>
      </c>
      <c r="B4" s="124" t="s">
        <v>2718</v>
      </c>
      <c r="C4" s="125" t="s">
        <v>2720</v>
      </c>
      <c r="D4" s="126"/>
      <c r="E4" s="125" t="s">
        <v>2723</v>
      </c>
      <c r="F4" s="127" t="s">
        <v>2724</v>
      </c>
      <c r="G4" s="125" t="s">
        <v>4730</v>
      </c>
      <c r="H4" s="125" t="s">
        <v>15</v>
      </c>
      <c r="I4" s="125" t="s">
        <v>2727</v>
      </c>
      <c r="J4" s="127" t="s">
        <v>17</v>
      </c>
      <c r="K4" s="128"/>
    </row>
    <row r="5" hidden="1">
      <c r="A5" s="129" t="s">
        <v>2728</v>
      </c>
      <c r="B5" s="129" t="s">
        <v>2729</v>
      </c>
      <c r="C5" s="130">
        <v>1130.0</v>
      </c>
      <c r="D5" s="131"/>
      <c r="E5" s="130">
        <v>849.99</v>
      </c>
      <c r="F5" s="132">
        <v>0.1</v>
      </c>
      <c r="G5" s="130">
        <f t="shared" ref="G5:G510" si="1">F5*C5</f>
        <v>113</v>
      </c>
      <c r="H5" s="130">
        <v>68.324</v>
      </c>
      <c r="I5" s="130">
        <f t="shared" ref="I5:I53" si="2">C5-E5-G5-H5</f>
        <v>98.686</v>
      </c>
      <c r="J5" s="132">
        <f t="shared" ref="J5:J53" si="3">I5/E5</f>
        <v>0.1161025424</v>
      </c>
      <c r="K5" s="132"/>
    </row>
    <row r="6" hidden="1">
      <c r="A6" s="129" t="s">
        <v>2730</v>
      </c>
      <c r="B6" s="129" t="s">
        <v>2731</v>
      </c>
      <c r="C6" s="130">
        <v>532.0</v>
      </c>
      <c r="D6" s="131"/>
      <c r="E6" s="130">
        <v>400.0</v>
      </c>
      <c r="F6" s="132">
        <v>0.15</v>
      </c>
      <c r="G6" s="130">
        <f t="shared" si="1"/>
        <v>79.8</v>
      </c>
      <c r="H6" s="130">
        <v>68.324</v>
      </c>
      <c r="I6" s="130">
        <f t="shared" si="2"/>
        <v>-16.124</v>
      </c>
      <c r="J6" s="132">
        <f t="shared" si="3"/>
        <v>-0.04031</v>
      </c>
      <c r="K6" s="132"/>
    </row>
    <row r="7" hidden="1">
      <c r="A7" s="129" t="s">
        <v>2732</v>
      </c>
      <c r="B7" s="129" t="s">
        <v>2733</v>
      </c>
      <c r="C7" s="131"/>
      <c r="D7" s="131"/>
      <c r="E7" s="130">
        <v>8350.23</v>
      </c>
      <c r="F7" s="132">
        <v>0.1</v>
      </c>
      <c r="G7" s="130">
        <f t="shared" si="1"/>
        <v>0</v>
      </c>
      <c r="H7" s="130">
        <v>54.56</v>
      </c>
      <c r="I7" s="130">
        <f t="shared" si="2"/>
        <v>-8404.79</v>
      </c>
      <c r="J7" s="132">
        <f t="shared" si="3"/>
        <v>-1.006533952</v>
      </c>
      <c r="K7" s="132"/>
    </row>
    <row r="8" hidden="1">
      <c r="A8" s="129" t="s">
        <v>2734</v>
      </c>
      <c r="B8" s="129" t="s">
        <v>2735</v>
      </c>
      <c r="C8" s="130">
        <v>859.0</v>
      </c>
      <c r="D8" s="131"/>
      <c r="E8" s="130">
        <v>629.71</v>
      </c>
      <c r="F8" s="132">
        <v>0.1</v>
      </c>
      <c r="G8" s="130">
        <f t="shared" si="1"/>
        <v>85.9</v>
      </c>
      <c r="H8" s="130">
        <v>67.16399999999999</v>
      </c>
      <c r="I8" s="130">
        <f t="shared" si="2"/>
        <v>76.226</v>
      </c>
      <c r="J8" s="132">
        <f t="shared" si="3"/>
        <v>0.1210493719</v>
      </c>
      <c r="K8" s="132"/>
    </row>
    <row r="9" hidden="1">
      <c r="A9" s="129" t="s">
        <v>2736</v>
      </c>
      <c r="B9" s="129" t="s">
        <v>2737</v>
      </c>
      <c r="C9" s="130">
        <v>699.0</v>
      </c>
      <c r="D9" s="131"/>
      <c r="E9" s="130">
        <v>472.46</v>
      </c>
      <c r="F9" s="132">
        <v>0.1</v>
      </c>
      <c r="G9" s="130">
        <f t="shared" si="1"/>
        <v>69.9</v>
      </c>
      <c r="H9" s="130">
        <v>67.16399999999999</v>
      </c>
      <c r="I9" s="130">
        <f t="shared" si="2"/>
        <v>89.476</v>
      </c>
      <c r="J9" s="132">
        <f t="shared" si="3"/>
        <v>0.1893832282</v>
      </c>
      <c r="K9" s="132"/>
    </row>
    <row r="10" hidden="1">
      <c r="A10" s="133" t="s">
        <v>2740</v>
      </c>
      <c r="B10" s="133" t="s">
        <v>2741</v>
      </c>
      <c r="C10" s="134">
        <v>878.0</v>
      </c>
      <c r="D10" s="131"/>
      <c r="E10" s="134">
        <v>622.0</v>
      </c>
      <c r="F10" s="132">
        <v>0.15</v>
      </c>
      <c r="G10" s="130">
        <f t="shared" si="1"/>
        <v>131.7</v>
      </c>
      <c r="H10" s="130">
        <f>66*1.16</f>
        <v>76.56</v>
      </c>
      <c r="I10" s="130">
        <f t="shared" si="2"/>
        <v>47.74</v>
      </c>
      <c r="J10" s="132">
        <f t="shared" si="3"/>
        <v>0.07675241158</v>
      </c>
      <c r="K10" s="132"/>
    </row>
    <row r="11" hidden="1">
      <c r="A11" s="129" t="s">
        <v>2742</v>
      </c>
      <c r="B11" s="129" t="s">
        <v>2743</v>
      </c>
      <c r="C11" s="130">
        <v>8299.0</v>
      </c>
      <c r="D11" s="131"/>
      <c r="E11" s="130">
        <v>6199.42</v>
      </c>
      <c r="F11" s="132">
        <v>0.15</v>
      </c>
      <c r="G11" s="130">
        <f t="shared" si="1"/>
        <v>1244.85</v>
      </c>
      <c r="H11" s="130">
        <v>254.04</v>
      </c>
      <c r="I11" s="130">
        <f t="shared" si="2"/>
        <v>600.69</v>
      </c>
      <c r="J11" s="132">
        <f t="shared" si="3"/>
        <v>0.0968945482</v>
      </c>
      <c r="K11" s="132"/>
    </row>
    <row r="12" hidden="1">
      <c r="A12" s="129" t="s">
        <v>150</v>
      </c>
      <c r="B12" s="129" t="s">
        <v>2744</v>
      </c>
      <c r="C12" s="130">
        <v>99.0</v>
      </c>
      <c r="D12" s="131"/>
      <c r="E12" s="130">
        <v>9.0</v>
      </c>
      <c r="F12" s="132">
        <v>0.15</v>
      </c>
      <c r="G12" s="130">
        <f t="shared" si="1"/>
        <v>14.85</v>
      </c>
      <c r="H12" s="130">
        <v>67.28</v>
      </c>
      <c r="I12" s="130">
        <f t="shared" si="2"/>
        <v>7.87</v>
      </c>
      <c r="J12" s="132">
        <f t="shared" si="3"/>
        <v>0.8744444444</v>
      </c>
      <c r="K12" s="132"/>
    </row>
    <row r="13" hidden="1">
      <c r="A13" s="129" t="s">
        <v>2745</v>
      </c>
      <c r="B13" s="129" t="s">
        <v>2746</v>
      </c>
      <c r="C13" s="130">
        <v>6399.0</v>
      </c>
      <c r="D13" s="131"/>
      <c r="E13" s="130">
        <v>4500.0</v>
      </c>
      <c r="F13" s="132">
        <v>0.15</v>
      </c>
      <c r="G13" s="130">
        <f t="shared" si="1"/>
        <v>959.85</v>
      </c>
      <c r="H13" s="130">
        <v>101.31</v>
      </c>
      <c r="I13" s="130">
        <f t="shared" si="2"/>
        <v>837.84</v>
      </c>
      <c r="J13" s="132">
        <f t="shared" si="3"/>
        <v>0.1861866667</v>
      </c>
      <c r="K13" s="132"/>
    </row>
    <row r="14" hidden="1">
      <c r="A14" s="129" t="s">
        <v>2747</v>
      </c>
      <c r="B14" s="129" t="s">
        <v>2748</v>
      </c>
      <c r="C14" s="130">
        <v>545.0</v>
      </c>
      <c r="D14" s="131"/>
      <c r="E14" s="130">
        <v>347.85</v>
      </c>
      <c r="F14" s="132">
        <v>0.15</v>
      </c>
      <c r="G14" s="130">
        <f t="shared" si="1"/>
        <v>81.75</v>
      </c>
      <c r="H14" s="130">
        <v>67.16399999999999</v>
      </c>
      <c r="I14" s="130">
        <f t="shared" si="2"/>
        <v>48.236</v>
      </c>
      <c r="J14" s="132">
        <f t="shared" si="3"/>
        <v>0.1386689665</v>
      </c>
      <c r="K14" s="132"/>
    </row>
    <row r="15" hidden="1">
      <c r="A15" s="129" t="s">
        <v>2749</v>
      </c>
      <c r="B15" s="129" t="s">
        <v>2750</v>
      </c>
      <c r="C15" s="130">
        <v>759.0</v>
      </c>
      <c r="D15" s="131"/>
      <c r="E15" s="130">
        <v>530.77</v>
      </c>
      <c r="F15" s="132">
        <v>0.1</v>
      </c>
      <c r="G15" s="130">
        <f t="shared" si="1"/>
        <v>75.9</v>
      </c>
      <c r="H15" s="130">
        <v>67.6164</v>
      </c>
      <c r="I15" s="130">
        <f t="shared" si="2"/>
        <v>84.7136</v>
      </c>
      <c r="J15" s="132">
        <f t="shared" si="3"/>
        <v>0.159605102</v>
      </c>
      <c r="K15" s="132"/>
    </row>
    <row r="16" hidden="1">
      <c r="A16" s="129" t="s">
        <v>2751</v>
      </c>
      <c r="B16" s="129" t="s">
        <v>2752</v>
      </c>
      <c r="C16" s="130">
        <v>419.0</v>
      </c>
      <c r="D16" s="131"/>
      <c r="E16" s="130">
        <v>270.12</v>
      </c>
      <c r="F16" s="132">
        <v>0.1</v>
      </c>
      <c r="G16" s="130">
        <f t="shared" si="1"/>
        <v>41.9</v>
      </c>
      <c r="H16" s="130">
        <v>78.88</v>
      </c>
      <c r="I16" s="130">
        <f t="shared" si="2"/>
        <v>28.1</v>
      </c>
      <c r="J16" s="132">
        <f t="shared" si="3"/>
        <v>0.1040278395</v>
      </c>
      <c r="K16" s="132"/>
    </row>
    <row r="17" hidden="1">
      <c r="A17" s="129" t="s">
        <v>2753</v>
      </c>
      <c r="B17" s="129" t="s">
        <v>2754</v>
      </c>
      <c r="C17" s="134">
        <v>359.0</v>
      </c>
      <c r="D17" s="131"/>
      <c r="E17" s="134">
        <v>200.0</v>
      </c>
      <c r="F17" s="135">
        <v>0.15</v>
      </c>
      <c r="G17" s="130">
        <f t="shared" si="1"/>
        <v>53.85</v>
      </c>
      <c r="H17" s="130">
        <v>78.88</v>
      </c>
      <c r="I17" s="130">
        <f t="shared" si="2"/>
        <v>26.27</v>
      </c>
      <c r="J17" s="132">
        <f t="shared" si="3"/>
        <v>0.13135</v>
      </c>
      <c r="K17" s="132"/>
    </row>
    <row r="18" hidden="1">
      <c r="A18" s="129" t="s">
        <v>2756</v>
      </c>
      <c r="B18" s="129" t="s">
        <v>2757</v>
      </c>
      <c r="C18" s="130">
        <v>1599.0</v>
      </c>
      <c r="D18" s="131"/>
      <c r="E18" s="130">
        <v>1021.82</v>
      </c>
      <c r="F18" s="132">
        <v>0.1</v>
      </c>
      <c r="G18" s="130">
        <f t="shared" si="1"/>
        <v>159.9</v>
      </c>
      <c r="H18" s="130">
        <v>65.58</v>
      </c>
      <c r="I18" s="130">
        <f t="shared" si="2"/>
        <v>351.7</v>
      </c>
      <c r="J18" s="132">
        <f t="shared" si="3"/>
        <v>0.344189779</v>
      </c>
      <c r="K18" s="132"/>
    </row>
    <row r="19" hidden="1">
      <c r="A19" s="129" t="s">
        <v>2758</v>
      </c>
      <c r="B19" s="129" t="s">
        <v>2759</v>
      </c>
      <c r="C19" s="130">
        <v>232.0</v>
      </c>
      <c r="D19" s="131"/>
      <c r="E19" s="130">
        <v>179.45</v>
      </c>
      <c r="F19" s="132">
        <v>0.1</v>
      </c>
      <c r="G19" s="130">
        <f t="shared" si="1"/>
        <v>23.2</v>
      </c>
      <c r="H19" s="131"/>
      <c r="I19" s="130">
        <f t="shared" si="2"/>
        <v>29.35</v>
      </c>
      <c r="J19" s="132">
        <f t="shared" si="3"/>
        <v>0.1635553079</v>
      </c>
      <c r="K19" s="132"/>
    </row>
    <row r="20" hidden="1">
      <c r="A20" s="129" t="s">
        <v>2760</v>
      </c>
      <c r="B20" s="133" t="s">
        <v>2761</v>
      </c>
      <c r="C20" s="131"/>
      <c r="D20" s="131"/>
      <c r="E20" s="131"/>
      <c r="F20" s="132">
        <v>0.1</v>
      </c>
      <c r="G20" s="130">
        <f t="shared" si="1"/>
        <v>0</v>
      </c>
      <c r="H20" s="130">
        <v>210.32</v>
      </c>
      <c r="I20" s="130">
        <f t="shared" si="2"/>
        <v>-210.32</v>
      </c>
      <c r="J20" s="136" t="str">
        <f t="shared" si="3"/>
        <v>#DIV/0!</v>
      </c>
      <c r="K20" s="132"/>
    </row>
    <row r="21" hidden="1">
      <c r="A21" s="129" t="s">
        <v>2762</v>
      </c>
      <c r="B21" s="129" t="s">
        <v>2763</v>
      </c>
      <c r="C21" s="130">
        <v>799.0</v>
      </c>
      <c r="D21" s="131"/>
      <c r="E21" s="130">
        <v>519.0</v>
      </c>
      <c r="F21" s="132">
        <v>0.15</v>
      </c>
      <c r="G21" s="130">
        <f t="shared" si="1"/>
        <v>119.85</v>
      </c>
      <c r="H21" s="130">
        <v>62.63999999999999</v>
      </c>
      <c r="I21" s="130">
        <f t="shared" si="2"/>
        <v>97.51</v>
      </c>
      <c r="J21" s="132">
        <f t="shared" si="3"/>
        <v>0.1878805395</v>
      </c>
      <c r="K21" s="132"/>
    </row>
    <row r="22" hidden="1">
      <c r="A22" s="129" t="s">
        <v>190</v>
      </c>
      <c r="B22" s="129" t="s">
        <v>2764</v>
      </c>
      <c r="C22" s="130">
        <v>479.0</v>
      </c>
      <c r="D22" s="131"/>
      <c r="E22" s="130">
        <v>163.64</v>
      </c>
      <c r="F22" s="132">
        <v>0.15</v>
      </c>
      <c r="G22" s="130">
        <f t="shared" si="1"/>
        <v>71.85</v>
      </c>
      <c r="H22" s="130">
        <v>67.6164</v>
      </c>
      <c r="I22" s="130">
        <f t="shared" si="2"/>
        <v>175.8936</v>
      </c>
      <c r="J22" s="132">
        <f t="shared" si="3"/>
        <v>1.074881447</v>
      </c>
      <c r="K22" s="132"/>
    </row>
    <row r="23" hidden="1">
      <c r="A23" s="129" t="s">
        <v>2765</v>
      </c>
      <c r="B23" s="133" t="s">
        <v>2766</v>
      </c>
      <c r="C23" s="130">
        <v>8499.0</v>
      </c>
      <c r="D23" s="131"/>
      <c r="E23" s="130">
        <v>6161.78</v>
      </c>
      <c r="F23" s="132">
        <v>0.15</v>
      </c>
      <c r="G23" s="130">
        <f t="shared" si="1"/>
        <v>1274.85</v>
      </c>
      <c r="H23" s="130">
        <v>125.27999999999999</v>
      </c>
      <c r="I23" s="130">
        <f t="shared" si="2"/>
        <v>937.09</v>
      </c>
      <c r="J23" s="132">
        <f t="shared" si="3"/>
        <v>0.1520810545</v>
      </c>
      <c r="K23" s="132"/>
    </row>
    <row r="24" hidden="1">
      <c r="A24" s="133" t="s">
        <v>2767</v>
      </c>
      <c r="B24" s="133" t="s">
        <v>2768</v>
      </c>
      <c r="C24" s="130">
        <v>1977.0</v>
      </c>
      <c r="D24" s="131"/>
      <c r="E24" s="130">
        <v>1183.46</v>
      </c>
      <c r="F24" s="132">
        <v>0.16</v>
      </c>
      <c r="G24" s="130">
        <f t="shared" si="1"/>
        <v>316.32</v>
      </c>
      <c r="H24" s="130">
        <v>67.28</v>
      </c>
      <c r="I24" s="130">
        <f t="shared" si="2"/>
        <v>409.94</v>
      </c>
      <c r="J24" s="132">
        <f t="shared" si="3"/>
        <v>0.3463910905</v>
      </c>
      <c r="K24" s="132"/>
    </row>
    <row r="25" hidden="1">
      <c r="A25" s="133" t="s">
        <v>2769</v>
      </c>
      <c r="B25" s="133" t="s">
        <v>2770</v>
      </c>
      <c r="C25" s="130">
        <v>439.0</v>
      </c>
      <c r="D25" s="131"/>
      <c r="E25" s="130">
        <v>274.78</v>
      </c>
      <c r="F25" s="132">
        <v>0.15</v>
      </c>
      <c r="G25" s="130">
        <f t="shared" si="1"/>
        <v>65.85</v>
      </c>
      <c r="H25" s="130">
        <v>67.28</v>
      </c>
      <c r="I25" s="130">
        <f t="shared" si="2"/>
        <v>31.09</v>
      </c>
      <c r="J25" s="132">
        <f t="shared" si="3"/>
        <v>0.1131450615</v>
      </c>
      <c r="K25" s="132"/>
    </row>
    <row r="26" hidden="1">
      <c r="A26" s="133" t="s">
        <v>2771</v>
      </c>
      <c r="B26" s="133" t="s">
        <v>2772</v>
      </c>
      <c r="C26" s="130">
        <v>329.0</v>
      </c>
      <c r="D26" s="131"/>
      <c r="E26" s="130">
        <v>229.36</v>
      </c>
      <c r="F26" s="132">
        <v>0.1</v>
      </c>
      <c r="G26" s="130">
        <f t="shared" si="1"/>
        <v>32.9</v>
      </c>
      <c r="H26" s="130">
        <v>58.0</v>
      </c>
      <c r="I26" s="130">
        <f t="shared" si="2"/>
        <v>8.74</v>
      </c>
      <c r="J26" s="132">
        <f t="shared" si="3"/>
        <v>0.03810603418</v>
      </c>
      <c r="K26" s="132"/>
    </row>
    <row r="27" hidden="1">
      <c r="A27" s="133" t="s">
        <v>2771</v>
      </c>
      <c r="B27" s="133" t="s">
        <v>2773</v>
      </c>
      <c r="C27" s="130">
        <v>359.0</v>
      </c>
      <c r="D27" s="131"/>
      <c r="E27" s="130">
        <v>229.36</v>
      </c>
      <c r="F27" s="132">
        <v>0.1</v>
      </c>
      <c r="G27" s="130">
        <f t="shared" si="1"/>
        <v>35.9</v>
      </c>
      <c r="H27" s="130">
        <v>58.0</v>
      </c>
      <c r="I27" s="130">
        <f t="shared" si="2"/>
        <v>35.74</v>
      </c>
      <c r="J27" s="132">
        <f t="shared" si="3"/>
        <v>0.1558249041</v>
      </c>
      <c r="K27" s="132"/>
    </row>
    <row r="28" hidden="1">
      <c r="A28" s="133" t="s">
        <v>2774</v>
      </c>
      <c r="B28" s="133" t="s">
        <v>2775</v>
      </c>
      <c r="C28" s="130">
        <v>359.0</v>
      </c>
      <c r="D28" s="131"/>
      <c r="E28" s="130">
        <v>207.48</v>
      </c>
      <c r="F28" s="132">
        <v>0.15</v>
      </c>
      <c r="G28" s="130">
        <f t="shared" si="1"/>
        <v>53.85</v>
      </c>
      <c r="H28" s="130">
        <v>70.75999999999999</v>
      </c>
      <c r="I28" s="130">
        <f t="shared" si="2"/>
        <v>26.91</v>
      </c>
      <c r="J28" s="132">
        <f t="shared" si="3"/>
        <v>0.1296992481</v>
      </c>
      <c r="K28" s="132"/>
    </row>
    <row r="29" hidden="1">
      <c r="A29" s="137" t="s">
        <v>2776</v>
      </c>
      <c r="B29" s="133" t="s">
        <v>2777</v>
      </c>
      <c r="C29" s="130">
        <v>10599.0</v>
      </c>
      <c r="D29" s="131"/>
      <c r="E29" s="130">
        <v>8689.0468</v>
      </c>
      <c r="F29" s="132">
        <v>0.1</v>
      </c>
      <c r="G29" s="130">
        <f t="shared" si="1"/>
        <v>1059.9</v>
      </c>
      <c r="H29" s="130">
        <v>69.71</v>
      </c>
      <c r="I29" s="130">
        <f t="shared" si="2"/>
        <v>780.3432</v>
      </c>
      <c r="J29" s="132">
        <f t="shared" si="3"/>
        <v>0.08980768754</v>
      </c>
      <c r="K29" s="132"/>
    </row>
    <row r="30" hidden="1">
      <c r="A30" s="137" t="s">
        <v>2778</v>
      </c>
      <c r="B30" s="133" t="s">
        <v>2779</v>
      </c>
      <c r="C30" s="130">
        <v>9590.0</v>
      </c>
      <c r="D30" s="131"/>
      <c r="E30" s="130">
        <v>7847.847699999999</v>
      </c>
      <c r="F30" s="132">
        <v>0.1</v>
      </c>
      <c r="G30" s="130">
        <f t="shared" si="1"/>
        <v>959</v>
      </c>
      <c r="H30" s="130">
        <v>69.71</v>
      </c>
      <c r="I30" s="130">
        <f t="shared" si="2"/>
        <v>713.4423</v>
      </c>
      <c r="J30" s="132">
        <f t="shared" si="3"/>
        <v>0.09090929479</v>
      </c>
      <c r="K30" s="132"/>
    </row>
    <row r="31" hidden="1">
      <c r="A31" s="133" t="s">
        <v>2780</v>
      </c>
      <c r="B31" s="133" t="s">
        <v>2781</v>
      </c>
      <c r="C31" s="130">
        <v>2599.0</v>
      </c>
      <c r="D31" s="131"/>
      <c r="E31" s="130">
        <v>1488.0</v>
      </c>
      <c r="F31" s="132">
        <v>0.15</v>
      </c>
      <c r="G31" s="130">
        <f t="shared" si="1"/>
        <v>389.85</v>
      </c>
      <c r="H31" s="130">
        <v>58.0</v>
      </c>
      <c r="I31" s="130">
        <f t="shared" si="2"/>
        <v>663.15</v>
      </c>
      <c r="J31" s="132">
        <f t="shared" si="3"/>
        <v>0.4456653226</v>
      </c>
      <c r="K31" s="132"/>
    </row>
    <row r="32" hidden="1">
      <c r="A32" s="133" t="s">
        <v>2782</v>
      </c>
      <c r="B32" s="133" t="s">
        <v>2783</v>
      </c>
      <c r="C32" s="134">
        <v>599.0</v>
      </c>
      <c r="D32" s="131"/>
      <c r="E32" s="134">
        <v>340.0</v>
      </c>
      <c r="F32" s="135">
        <v>0.15</v>
      </c>
      <c r="G32" s="130">
        <f t="shared" si="1"/>
        <v>89.85</v>
      </c>
      <c r="H32" s="130">
        <v>70.75999999999999</v>
      </c>
      <c r="I32" s="130">
        <f t="shared" si="2"/>
        <v>98.39</v>
      </c>
      <c r="J32" s="132">
        <f t="shared" si="3"/>
        <v>0.2893823529</v>
      </c>
      <c r="K32" s="132"/>
    </row>
    <row r="33" hidden="1">
      <c r="A33" s="133" t="s">
        <v>2782</v>
      </c>
      <c r="B33" s="133" t="s">
        <v>2784</v>
      </c>
      <c r="C33" s="130">
        <v>599.0</v>
      </c>
      <c r="D33" s="131"/>
      <c r="E33" s="134">
        <v>340.0</v>
      </c>
      <c r="F33" s="135">
        <v>0.15</v>
      </c>
      <c r="G33" s="130">
        <f t="shared" si="1"/>
        <v>89.85</v>
      </c>
      <c r="H33" s="130">
        <v>70.75999999999999</v>
      </c>
      <c r="I33" s="130">
        <f t="shared" si="2"/>
        <v>98.39</v>
      </c>
      <c r="J33" s="132">
        <f t="shared" si="3"/>
        <v>0.2893823529</v>
      </c>
      <c r="K33" s="132"/>
    </row>
    <row r="34" hidden="1">
      <c r="A34" s="133" t="s">
        <v>2787</v>
      </c>
      <c r="B34" s="133" t="s">
        <v>2788</v>
      </c>
      <c r="C34" s="130">
        <v>5999.0</v>
      </c>
      <c r="D34" s="131"/>
      <c r="E34" s="130">
        <v>4324.97</v>
      </c>
      <c r="F34" s="132">
        <v>0.15</v>
      </c>
      <c r="G34" s="130">
        <f t="shared" si="1"/>
        <v>899.85</v>
      </c>
      <c r="H34" s="130">
        <v>117.16</v>
      </c>
      <c r="I34" s="130">
        <f t="shared" si="2"/>
        <v>657.02</v>
      </c>
      <c r="J34" s="132">
        <f t="shared" si="3"/>
        <v>0.1519131925</v>
      </c>
      <c r="K34" s="132"/>
    </row>
    <row r="35" hidden="1">
      <c r="A35" s="133" t="s">
        <v>2789</v>
      </c>
      <c r="B35" s="133" t="s">
        <v>2790</v>
      </c>
      <c r="C35" s="130">
        <v>149.0</v>
      </c>
      <c r="D35" s="131"/>
      <c r="E35" s="130">
        <v>65.54</v>
      </c>
      <c r="F35" s="132">
        <v>0.15</v>
      </c>
      <c r="G35" s="130">
        <f t="shared" si="1"/>
        <v>22.35</v>
      </c>
      <c r="H35" s="130">
        <v>58.0</v>
      </c>
      <c r="I35" s="130">
        <f t="shared" si="2"/>
        <v>3.11</v>
      </c>
      <c r="J35" s="132">
        <f t="shared" si="3"/>
        <v>0.04745193775</v>
      </c>
      <c r="K35" s="132"/>
    </row>
    <row r="36" hidden="1">
      <c r="A36" s="133" t="s">
        <v>2791</v>
      </c>
      <c r="B36" s="133" t="s">
        <v>2792</v>
      </c>
      <c r="C36" s="130">
        <v>172.0</v>
      </c>
      <c r="D36" s="131"/>
      <c r="E36" s="130">
        <v>82.59</v>
      </c>
      <c r="F36" s="132">
        <v>0.15</v>
      </c>
      <c r="G36" s="130">
        <f t="shared" si="1"/>
        <v>25.8</v>
      </c>
      <c r="H36" s="130">
        <v>58.0</v>
      </c>
      <c r="I36" s="130">
        <f t="shared" si="2"/>
        <v>5.61</v>
      </c>
      <c r="J36" s="132">
        <f t="shared" si="3"/>
        <v>0.06792589902</v>
      </c>
      <c r="K36" s="132"/>
    </row>
    <row r="37" hidden="1">
      <c r="A37" s="133" t="s">
        <v>2793</v>
      </c>
      <c r="B37" s="133" t="s">
        <v>2794</v>
      </c>
      <c r="C37" s="130">
        <v>259.0</v>
      </c>
      <c r="D37" s="131"/>
      <c r="E37" s="130">
        <v>149.64</v>
      </c>
      <c r="F37" s="132">
        <v>0.15</v>
      </c>
      <c r="G37" s="130">
        <f t="shared" si="1"/>
        <v>38.85</v>
      </c>
      <c r="H37" s="130">
        <v>58.0</v>
      </c>
      <c r="I37" s="130">
        <f t="shared" si="2"/>
        <v>12.51</v>
      </c>
      <c r="J37" s="132">
        <f t="shared" si="3"/>
        <v>0.08360064154</v>
      </c>
      <c r="K37" s="132"/>
    </row>
    <row r="38" hidden="1">
      <c r="A38" s="133" t="s">
        <v>2795</v>
      </c>
      <c r="B38" s="133" t="s">
        <v>2796</v>
      </c>
      <c r="C38" s="130">
        <v>4999.0</v>
      </c>
      <c r="D38" s="131"/>
      <c r="E38" s="130">
        <v>3675.8</v>
      </c>
      <c r="F38" s="132">
        <v>0.15</v>
      </c>
      <c r="G38" s="130">
        <f t="shared" si="1"/>
        <v>749.85</v>
      </c>
      <c r="H38" s="130">
        <v>120.63999999999999</v>
      </c>
      <c r="I38" s="130">
        <f t="shared" si="2"/>
        <v>452.71</v>
      </c>
      <c r="J38" s="132">
        <f t="shared" si="3"/>
        <v>0.1231595843</v>
      </c>
      <c r="K38" s="132"/>
    </row>
    <row r="39" hidden="1">
      <c r="A39" s="133" t="s">
        <v>2797</v>
      </c>
      <c r="B39" s="133" t="s">
        <v>2798</v>
      </c>
      <c r="C39" s="130">
        <v>5699.0</v>
      </c>
      <c r="D39" s="131"/>
      <c r="E39" s="130">
        <v>4048.08</v>
      </c>
      <c r="F39" s="132">
        <v>0.1</v>
      </c>
      <c r="G39" s="130">
        <f t="shared" si="1"/>
        <v>569.9</v>
      </c>
      <c r="H39" s="130">
        <v>69.71</v>
      </c>
      <c r="I39" s="130">
        <f t="shared" si="2"/>
        <v>1011.31</v>
      </c>
      <c r="J39" s="132">
        <f t="shared" si="3"/>
        <v>0.2498246082</v>
      </c>
      <c r="K39" s="132"/>
    </row>
    <row r="40" hidden="1">
      <c r="A40" s="133" t="s">
        <v>2799</v>
      </c>
      <c r="B40" s="133" t="s">
        <v>2800</v>
      </c>
      <c r="C40" s="130">
        <v>4499.0</v>
      </c>
      <c r="D40" s="131"/>
      <c r="E40" s="130">
        <v>3596.22</v>
      </c>
      <c r="F40" s="132">
        <v>0.1</v>
      </c>
      <c r="G40" s="130">
        <f t="shared" si="1"/>
        <v>449.9</v>
      </c>
      <c r="H40" s="130">
        <v>69.71</v>
      </c>
      <c r="I40" s="130">
        <f t="shared" si="2"/>
        <v>383.17</v>
      </c>
      <c r="J40" s="132">
        <f t="shared" si="3"/>
        <v>0.1065479865</v>
      </c>
      <c r="K40" s="132"/>
    </row>
    <row r="41" hidden="1">
      <c r="A41" s="133" t="s">
        <v>2801</v>
      </c>
      <c r="B41" s="133" t="s">
        <v>2802</v>
      </c>
      <c r="C41" s="130">
        <v>1299.0</v>
      </c>
      <c r="D41" s="131"/>
      <c r="E41" s="130">
        <v>943.02</v>
      </c>
      <c r="F41" s="132">
        <v>0.15</v>
      </c>
      <c r="G41" s="130">
        <f t="shared" si="1"/>
        <v>194.85</v>
      </c>
      <c r="H41" s="130">
        <v>69.71</v>
      </c>
      <c r="I41" s="130">
        <f t="shared" si="2"/>
        <v>91.42</v>
      </c>
      <c r="J41" s="132">
        <f t="shared" si="3"/>
        <v>0.09694386121</v>
      </c>
      <c r="K41" s="132"/>
    </row>
    <row r="42" hidden="1">
      <c r="A42" s="133" t="s">
        <v>2803</v>
      </c>
      <c r="B42" s="133" t="s">
        <v>2804</v>
      </c>
      <c r="C42" s="130">
        <v>519.0</v>
      </c>
      <c r="D42" s="131"/>
      <c r="E42" s="130">
        <v>294.35</v>
      </c>
      <c r="F42" s="132">
        <v>0.15</v>
      </c>
      <c r="G42" s="130">
        <f t="shared" si="1"/>
        <v>77.85</v>
      </c>
      <c r="H42" s="130">
        <v>54.66</v>
      </c>
      <c r="I42" s="130">
        <f t="shared" si="2"/>
        <v>92.14</v>
      </c>
      <c r="J42" s="132">
        <f t="shared" si="3"/>
        <v>0.3130287073</v>
      </c>
      <c r="K42" s="132"/>
    </row>
    <row r="43" hidden="1">
      <c r="A43" s="133" t="s">
        <v>2805</v>
      </c>
      <c r="B43" s="133" t="s">
        <v>2806</v>
      </c>
      <c r="C43" s="130">
        <v>799.0</v>
      </c>
      <c r="D43" s="131"/>
      <c r="E43" s="130">
        <v>546.49</v>
      </c>
      <c r="F43" s="132">
        <v>0.15</v>
      </c>
      <c r="G43" s="130">
        <f t="shared" si="1"/>
        <v>119.85</v>
      </c>
      <c r="H43" s="130">
        <v>70.75999999999999</v>
      </c>
      <c r="I43" s="130">
        <f t="shared" si="2"/>
        <v>61.9</v>
      </c>
      <c r="J43" s="132">
        <f t="shared" si="3"/>
        <v>0.1132683123</v>
      </c>
      <c r="K43" s="132"/>
    </row>
    <row r="44" hidden="1">
      <c r="A44" s="133" t="s">
        <v>2807</v>
      </c>
      <c r="B44" s="133" t="s">
        <v>2808</v>
      </c>
      <c r="C44" s="130">
        <v>999.0</v>
      </c>
      <c r="D44" s="131"/>
      <c r="E44" s="130">
        <v>773.8</v>
      </c>
      <c r="F44" s="132">
        <v>0.15</v>
      </c>
      <c r="G44" s="130">
        <f t="shared" si="1"/>
        <v>149.85</v>
      </c>
      <c r="H44" s="130">
        <v>67.6164</v>
      </c>
      <c r="I44" s="130">
        <f t="shared" si="2"/>
        <v>7.7336</v>
      </c>
      <c r="J44" s="132">
        <f t="shared" si="3"/>
        <v>0.009994313776</v>
      </c>
      <c r="K44" s="132"/>
    </row>
    <row r="45" hidden="1">
      <c r="A45" s="133" t="s">
        <v>2809</v>
      </c>
      <c r="B45" s="133" t="s">
        <v>2810</v>
      </c>
      <c r="C45" s="130">
        <v>499.0</v>
      </c>
      <c r="D45" s="131"/>
      <c r="E45" s="130">
        <v>320.13</v>
      </c>
      <c r="F45" s="132">
        <v>0.15</v>
      </c>
      <c r="G45" s="130">
        <f t="shared" si="1"/>
        <v>74.85</v>
      </c>
      <c r="H45" s="130">
        <v>67.6164</v>
      </c>
      <c r="I45" s="130">
        <f t="shared" si="2"/>
        <v>36.4036</v>
      </c>
      <c r="J45" s="132">
        <f t="shared" si="3"/>
        <v>0.1137150533</v>
      </c>
      <c r="K45" s="132"/>
    </row>
    <row r="46" hidden="1">
      <c r="A46" s="133" t="s">
        <v>2811</v>
      </c>
      <c r="B46" s="133" t="s">
        <v>2812</v>
      </c>
      <c r="C46" s="130">
        <v>107.0</v>
      </c>
      <c r="D46" s="131"/>
      <c r="E46" s="130" t="str">
        <f>10.17*2</f>
        <v>#ERROR!</v>
      </c>
      <c r="F46" s="132">
        <v>0.15</v>
      </c>
      <c r="G46" s="130">
        <f t="shared" si="1"/>
        <v>16.05</v>
      </c>
      <c r="H46" s="130">
        <v>67.6164</v>
      </c>
      <c r="I46" s="130" t="str">
        <f t="shared" si="2"/>
        <v>#ERROR!</v>
      </c>
      <c r="J46" s="132" t="str">
        <f t="shared" si="3"/>
        <v>#ERROR!</v>
      </c>
      <c r="K46" s="132"/>
    </row>
    <row r="47" hidden="1">
      <c r="A47" s="133" t="s">
        <v>2813</v>
      </c>
      <c r="B47" s="133" t="s">
        <v>2814</v>
      </c>
      <c r="C47" s="130">
        <v>795.0</v>
      </c>
      <c r="D47" s="131"/>
      <c r="E47" s="130">
        <v>470.69</v>
      </c>
      <c r="F47" s="132">
        <v>0.1</v>
      </c>
      <c r="G47" s="130">
        <f t="shared" si="1"/>
        <v>79.5</v>
      </c>
      <c r="H47" s="130">
        <v>75.39999999999999</v>
      </c>
      <c r="I47" s="130">
        <f t="shared" si="2"/>
        <v>169.41</v>
      </c>
      <c r="J47" s="132">
        <f t="shared" si="3"/>
        <v>0.3599184176</v>
      </c>
      <c r="K47" s="132"/>
    </row>
    <row r="48" hidden="1">
      <c r="A48" s="133" t="s">
        <v>2815</v>
      </c>
      <c r="B48" s="133" t="s">
        <v>4694</v>
      </c>
      <c r="C48" s="130">
        <v>1011.0</v>
      </c>
      <c r="D48" s="131"/>
      <c r="E48" s="130">
        <v>550.03</v>
      </c>
      <c r="F48" s="132">
        <v>0.1</v>
      </c>
      <c r="G48" s="130">
        <f t="shared" si="1"/>
        <v>101.1</v>
      </c>
      <c r="H48" s="130">
        <v>87.0</v>
      </c>
      <c r="I48" s="130">
        <f t="shared" si="2"/>
        <v>272.87</v>
      </c>
      <c r="J48" s="132">
        <f t="shared" si="3"/>
        <v>0.4961002127</v>
      </c>
      <c r="K48" s="132"/>
    </row>
    <row r="49" hidden="1">
      <c r="A49" s="133" t="s">
        <v>2817</v>
      </c>
      <c r="B49" s="133" t="s">
        <v>2818</v>
      </c>
      <c r="C49" s="130">
        <v>4299.0</v>
      </c>
      <c r="D49" s="131"/>
      <c r="E49" s="130">
        <v>3177.28</v>
      </c>
      <c r="F49" s="132">
        <v>0.1</v>
      </c>
      <c r="G49" s="130">
        <f t="shared" si="1"/>
        <v>429.9</v>
      </c>
      <c r="H49" s="130">
        <v>67.6164</v>
      </c>
      <c r="I49" s="130">
        <f t="shared" si="2"/>
        <v>624.2036</v>
      </c>
      <c r="J49" s="132">
        <f t="shared" si="3"/>
        <v>0.1964584802</v>
      </c>
      <c r="K49" s="132"/>
    </row>
    <row r="50" hidden="1">
      <c r="A50" s="133" t="s">
        <v>2819</v>
      </c>
      <c r="B50" s="133" t="s">
        <v>2820</v>
      </c>
      <c r="C50" s="130">
        <v>849.0</v>
      </c>
      <c r="D50" s="131"/>
      <c r="E50" s="130">
        <v>614.8</v>
      </c>
      <c r="F50" s="132">
        <v>0.15</v>
      </c>
      <c r="G50" s="130">
        <f t="shared" si="1"/>
        <v>127.35</v>
      </c>
      <c r="H50" s="130">
        <v>68.092</v>
      </c>
      <c r="I50" s="130">
        <f t="shared" si="2"/>
        <v>38.758</v>
      </c>
      <c r="J50" s="132">
        <f t="shared" si="3"/>
        <v>0.06304163956</v>
      </c>
      <c r="K50" s="132"/>
    </row>
    <row r="51" hidden="1">
      <c r="A51" s="133" t="s">
        <v>2821</v>
      </c>
      <c r="B51" s="133" t="s">
        <v>2822</v>
      </c>
      <c r="C51" s="130">
        <v>899.0</v>
      </c>
      <c r="D51" s="131"/>
      <c r="E51" s="130">
        <v>523.64</v>
      </c>
      <c r="F51" s="132">
        <v>0.15</v>
      </c>
      <c r="G51" s="130">
        <f t="shared" si="1"/>
        <v>134.85</v>
      </c>
      <c r="H51" s="130">
        <v>172.83999999999997</v>
      </c>
      <c r="I51" s="130">
        <f t="shared" si="2"/>
        <v>67.67</v>
      </c>
      <c r="J51" s="132">
        <f t="shared" si="3"/>
        <v>0.1292300053</v>
      </c>
      <c r="K51" s="132"/>
    </row>
    <row r="52" hidden="1">
      <c r="A52" s="133" t="s">
        <v>2823</v>
      </c>
      <c r="B52" s="133" t="s">
        <v>2824</v>
      </c>
      <c r="C52" s="130">
        <v>10599.0</v>
      </c>
      <c r="D52" s="131"/>
      <c r="E52" s="130">
        <v>6325.0</v>
      </c>
      <c r="F52" s="132">
        <v>0.15</v>
      </c>
      <c r="G52" s="130">
        <f t="shared" si="1"/>
        <v>1589.85</v>
      </c>
      <c r="H52" s="130">
        <v>261.0</v>
      </c>
      <c r="I52" s="130">
        <f t="shared" si="2"/>
        <v>2423.15</v>
      </c>
      <c r="J52" s="132">
        <f t="shared" si="3"/>
        <v>0.3831067194</v>
      </c>
      <c r="K52" s="132"/>
    </row>
    <row r="53" hidden="1">
      <c r="A53" s="133" t="s">
        <v>224</v>
      </c>
      <c r="B53" s="133" t="s">
        <v>2825</v>
      </c>
      <c r="C53" s="130">
        <v>1199.0</v>
      </c>
      <c r="D53" s="131"/>
      <c r="E53" s="130">
        <v>845.2339999999999</v>
      </c>
      <c r="F53" s="132">
        <v>0.1</v>
      </c>
      <c r="G53" s="130">
        <f t="shared" si="1"/>
        <v>119.9</v>
      </c>
      <c r="H53" s="130">
        <v>102.4048</v>
      </c>
      <c r="I53" s="130">
        <f t="shared" si="2"/>
        <v>131.4612</v>
      </c>
      <c r="J53" s="132">
        <f t="shared" si="3"/>
        <v>0.1555323141</v>
      </c>
      <c r="K53" s="132"/>
    </row>
    <row r="54" hidden="1">
      <c r="A54" s="133" t="s">
        <v>226</v>
      </c>
      <c r="B54" s="133"/>
      <c r="C54" s="131"/>
      <c r="D54" s="131"/>
      <c r="E54" s="130">
        <v>997.5999999999999</v>
      </c>
      <c r="F54" s="138"/>
      <c r="G54" s="130">
        <f t="shared" si="1"/>
        <v>0</v>
      </c>
      <c r="H54" s="131"/>
      <c r="I54" s="131"/>
      <c r="J54" s="138"/>
      <c r="K54" s="132"/>
    </row>
    <row r="55" hidden="1">
      <c r="A55" s="133" t="s">
        <v>228</v>
      </c>
      <c r="B55" s="133" t="s">
        <v>2826</v>
      </c>
      <c r="C55" s="130">
        <v>1799.0</v>
      </c>
      <c r="D55" s="131"/>
      <c r="E55" s="130">
        <v>1305.3711999999998</v>
      </c>
      <c r="F55" s="132">
        <v>0.15</v>
      </c>
      <c r="G55" s="130">
        <f t="shared" si="1"/>
        <v>269.85</v>
      </c>
      <c r="H55" s="130">
        <v>102.08</v>
      </c>
      <c r="I55" s="130">
        <f t="shared" ref="I55:I108" si="4">C55-E55-G55-H55</f>
        <v>121.6988</v>
      </c>
      <c r="J55" s="132">
        <f t="shared" ref="J55:J108" si="5">I55/E55</f>
        <v>0.09322926689</v>
      </c>
      <c r="K55" s="132"/>
    </row>
    <row r="56" hidden="1">
      <c r="A56" s="133" t="s">
        <v>230</v>
      </c>
      <c r="B56" s="133" t="s">
        <v>2827</v>
      </c>
      <c r="C56" s="130">
        <v>799.0</v>
      </c>
      <c r="D56" s="131"/>
      <c r="E56" s="130">
        <v>500.0</v>
      </c>
      <c r="F56" s="132">
        <v>0.1</v>
      </c>
      <c r="G56" s="130">
        <f t="shared" si="1"/>
        <v>79.9</v>
      </c>
      <c r="H56" s="130">
        <v>70.75999999999999</v>
      </c>
      <c r="I56" s="130">
        <f t="shared" si="4"/>
        <v>148.34</v>
      </c>
      <c r="J56" s="132">
        <f t="shared" si="5"/>
        <v>0.29668</v>
      </c>
      <c r="K56" s="132"/>
    </row>
    <row r="57" hidden="1">
      <c r="A57" s="133" t="s">
        <v>2828</v>
      </c>
      <c r="B57" s="133" t="s">
        <v>2829</v>
      </c>
      <c r="C57" s="130">
        <v>494.0</v>
      </c>
      <c r="D57" s="131"/>
      <c r="E57" s="130">
        <v>350.0</v>
      </c>
      <c r="F57" s="132">
        <v>0.1</v>
      </c>
      <c r="G57" s="130">
        <f t="shared" si="1"/>
        <v>49.4</v>
      </c>
      <c r="H57" s="130">
        <v>80.86359999999999</v>
      </c>
      <c r="I57" s="130">
        <f t="shared" si="4"/>
        <v>13.7364</v>
      </c>
      <c r="J57" s="132">
        <f t="shared" si="5"/>
        <v>0.03924685714</v>
      </c>
      <c r="K57" s="132"/>
    </row>
    <row r="58" hidden="1">
      <c r="A58" s="133" t="s">
        <v>2830</v>
      </c>
      <c r="B58" s="133" t="s">
        <v>2831</v>
      </c>
      <c r="C58" s="130">
        <v>449.0</v>
      </c>
      <c r="D58" s="131"/>
      <c r="E58" s="130">
        <v>234.09</v>
      </c>
      <c r="F58" s="132">
        <v>0.1</v>
      </c>
      <c r="G58" s="130">
        <f t="shared" si="1"/>
        <v>44.9</v>
      </c>
      <c r="H58" s="130">
        <v>67.6164</v>
      </c>
      <c r="I58" s="130">
        <f t="shared" si="4"/>
        <v>102.3936</v>
      </c>
      <c r="J58" s="132">
        <f t="shared" si="5"/>
        <v>0.4374112521</v>
      </c>
      <c r="K58" s="132"/>
    </row>
    <row r="59" hidden="1">
      <c r="A59" s="133" t="s">
        <v>293</v>
      </c>
      <c r="B59" s="133" t="s">
        <v>2832</v>
      </c>
      <c r="C59" s="130">
        <v>799.0</v>
      </c>
      <c r="D59" s="131"/>
      <c r="E59" s="130">
        <v>423.0</v>
      </c>
      <c r="F59" s="132">
        <v>0.15</v>
      </c>
      <c r="G59" s="130">
        <f t="shared" si="1"/>
        <v>119.85</v>
      </c>
      <c r="H59" s="130">
        <v>80.86359999999999</v>
      </c>
      <c r="I59" s="130">
        <f t="shared" si="4"/>
        <v>175.2864</v>
      </c>
      <c r="J59" s="132">
        <f t="shared" si="5"/>
        <v>0.4143886525</v>
      </c>
      <c r="K59" s="132"/>
    </row>
    <row r="60" hidden="1">
      <c r="A60" s="133" t="s">
        <v>2833</v>
      </c>
      <c r="B60" s="133" t="s">
        <v>2834</v>
      </c>
      <c r="C60" s="130">
        <v>1799.0</v>
      </c>
      <c r="D60" s="131"/>
      <c r="E60" s="130">
        <v>1350.0</v>
      </c>
      <c r="F60" s="132">
        <v>0.1</v>
      </c>
      <c r="G60" s="130">
        <f t="shared" si="1"/>
        <v>179.9</v>
      </c>
      <c r="H60" s="130">
        <v>76.07279999999999</v>
      </c>
      <c r="I60" s="130">
        <f t="shared" si="4"/>
        <v>193.0272</v>
      </c>
      <c r="J60" s="132">
        <f t="shared" si="5"/>
        <v>0.1429831111</v>
      </c>
      <c r="K60" s="132"/>
    </row>
    <row r="61" hidden="1">
      <c r="A61" s="133" t="s">
        <v>2835</v>
      </c>
      <c r="B61" s="133" t="s">
        <v>2836</v>
      </c>
      <c r="C61" s="130">
        <v>1199.0</v>
      </c>
      <c r="D61" s="131"/>
      <c r="E61" s="130">
        <f>1319-619</f>
        <v>700</v>
      </c>
      <c r="F61" s="132">
        <v>0.15</v>
      </c>
      <c r="G61" s="130">
        <f t="shared" si="1"/>
        <v>179.85</v>
      </c>
      <c r="H61" s="130">
        <v>68.4168</v>
      </c>
      <c r="I61" s="130">
        <f t="shared" si="4"/>
        <v>250.7332</v>
      </c>
      <c r="J61" s="132">
        <f t="shared" si="5"/>
        <v>0.3581902857</v>
      </c>
      <c r="K61" s="132"/>
    </row>
    <row r="62" hidden="1">
      <c r="A62" s="133" t="s">
        <v>2837</v>
      </c>
      <c r="B62" s="133" t="s">
        <v>2838</v>
      </c>
      <c r="C62" s="130">
        <v>799.0</v>
      </c>
      <c r="D62" s="131"/>
      <c r="E62" s="130">
        <v>549.0</v>
      </c>
      <c r="F62" s="132">
        <v>0.1</v>
      </c>
      <c r="G62" s="130">
        <f t="shared" si="1"/>
        <v>79.9</v>
      </c>
      <c r="H62" s="130">
        <v>80.86359999999999</v>
      </c>
      <c r="I62" s="130">
        <f t="shared" si="4"/>
        <v>89.2364</v>
      </c>
      <c r="J62" s="132">
        <f t="shared" si="5"/>
        <v>0.1625435337</v>
      </c>
      <c r="K62" s="132"/>
    </row>
    <row r="63" hidden="1">
      <c r="A63" s="133" t="s">
        <v>2839</v>
      </c>
      <c r="B63" s="133" t="s">
        <v>2840</v>
      </c>
      <c r="C63" s="130">
        <v>449.0</v>
      </c>
      <c r="D63" s="131"/>
      <c r="E63" s="130">
        <v>278.45</v>
      </c>
      <c r="F63" s="132">
        <v>0.15</v>
      </c>
      <c r="G63" s="130">
        <f t="shared" si="1"/>
        <v>67.35</v>
      </c>
      <c r="H63" s="130">
        <v>67.5816</v>
      </c>
      <c r="I63" s="130">
        <f t="shared" si="4"/>
        <v>35.6184</v>
      </c>
      <c r="J63" s="132">
        <f t="shared" si="5"/>
        <v>0.1279166816</v>
      </c>
      <c r="K63" s="132"/>
    </row>
    <row r="64" hidden="1">
      <c r="A64" s="133" t="s">
        <v>2841</v>
      </c>
      <c r="B64" s="133" t="s">
        <v>2842</v>
      </c>
      <c r="C64" s="130">
        <v>459.0</v>
      </c>
      <c r="D64" s="131"/>
      <c r="E64" s="130">
        <v>266.05</v>
      </c>
      <c r="F64" s="132">
        <v>0.15</v>
      </c>
      <c r="G64" s="130">
        <f t="shared" si="1"/>
        <v>68.85</v>
      </c>
      <c r="H64" s="130">
        <v>96.5816</v>
      </c>
      <c r="I64" s="130">
        <f t="shared" si="4"/>
        <v>27.5184</v>
      </c>
      <c r="J64" s="132">
        <f t="shared" si="5"/>
        <v>0.1034331893</v>
      </c>
      <c r="K64" s="132"/>
    </row>
    <row r="65" hidden="1">
      <c r="A65" s="133" t="s">
        <v>2843</v>
      </c>
      <c r="B65" s="133" t="s">
        <v>2844</v>
      </c>
      <c r="C65" s="130">
        <v>1699.0</v>
      </c>
      <c r="D65" s="131"/>
      <c r="E65" s="130">
        <v>1183.46</v>
      </c>
      <c r="F65" s="132">
        <v>0.15</v>
      </c>
      <c r="G65" s="130">
        <f t="shared" si="1"/>
        <v>254.85</v>
      </c>
      <c r="H65" s="130">
        <v>70.75999999999999</v>
      </c>
      <c r="I65" s="130">
        <f t="shared" si="4"/>
        <v>189.93</v>
      </c>
      <c r="J65" s="132">
        <f t="shared" si="5"/>
        <v>0.1604870465</v>
      </c>
      <c r="K65" s="132"/>
    </row>
    <row r="66" hidden="1">
      <c r="A66" s="133" t="s">
        <v>2845</v>
      </c>
      <c r="B66" s="133" t="s">
        <v>2846</v>
      </c>
      <c r="C66" s="130">
        <v>3999.0</v>
      </c>
      <c r="D66" s="131"/>
      <c r="E66" s="130">
        <v>3207.61</v>
      </c>
      <c r="F66" s="132">
        <v>0.1</v>
      </c>
      <c r="G66" s="130">
        <f t="shared" si="1"/>
        <v>399.9</v>
      </c>
      <c r="H66" s="130">
        <v>68.44</v>
      </c>
      <c r="I66" s="130">
        <f t="shared" si="4"/>
        <v>323.05</v>
      </c>
      <c r="J66" s="132">
        <f t="shared" si="5"/>
        <v>0.1007136154</v>
      </c>
      <c r="K66" s="132"/>
    </row>
    <row r="67" hidden="1">
      <c r="A67" s="133" t="s">
        <v>2847</v>
      </c>
      <c r="B67" s="133" t="s">
        <v>2848</v>
      </c>
      <c r="C67" s="130">
        <v>2599.0</v>
      </c>
      <c r="D67" s="131"/>
      <c r="E67" s="130">
        <v>1970.0</v>
      </c>
      <c r="F67" s="132">
        <v>0.1</v>
      </c>
      <c r="G67" s="130">
        <f t="shared" si="1"/>
        <v>259.9</v>
      </c>
      <c r="H67" s="130">
        <v>68.44</v>
      </c>
      <c r="I67" s="130">
        <f t="shared" si="4"/>
        <v>300.66</v>
      </c>
      <c r="J67" s="132">
        <f t="shared" si="5"/>
        <v>0.1526192893</v>
      </c>
      <c r="K67" s="132"/>
    </row>
    <row r="68" hidden="1">
      <c r="A68" s="133" t="s">
        <v>2849</v>
      </c>
      <c r="B68" s="133" t="s">
        <v>2850</v>
      </c>
      <c r="C68" s="130">
        <v>7599.0</v>
      </c>
      <c r="D68" s="131"/>
      <c r="E68" s="130">
        <v>4840.06</v>
      </c>
      <c r="F68" s="132">
        <v>0.15</v>
      </c>
      <c r="G68" s="130">
        <f t="shared" si="1"/>
        <v>1139.85</v>
      </c>
      <c r="H68" s="130">
        <v>80.03999999999999</v>
      </c>
      <c r="I68" s="130">
        <f t="shared" si="4"/>
        <v>1539.05</v>
      </c>
      <c r="J68" s="132">
        <f t="shared" si="5"/>
        <v>0.3179815953</v>
      </c>
      <c r="K68" s="132"/>
    </row>
    <row r="69" hidden="1">
      <c r="A69" s="133" t="s">
        <v>2851</v>
      </c>
      <c r="B69" s="133" t="s">
        <v>2852</v>
      </c>
      <c r="C69" s="130">
        <v>799.0</v>
      </c>
      <c r="D69" s="131"/>
      <c r="E69" s="130">
        <v>558.75</v>
      </c>
      <c r="F69" s="132">
        <v>0.1</v>
      </c>
      <c r="G69" s="130">
        <f t="shared" si="1"/>
        <v>79.9</v>
      </c>
      <c r="H69" s="130">
        <v>78.88</v>
      </c>
      <c r="I69" s="130">
        <f t="shared" si="4"/>
        <v>81.47</v>
      </c>
      <c r="J69" s="132">
        <f t="shared" si="5"/>
        <v>0.1458076063</v>
      </c>
      <c r="K69" s="132"/>
    </row>
    <row r="70" hidden="1">
      <c r="A70" s="133" t="s">
        <v>2853</v>
      </c>
      <c r="B70" s="133" t="s">
        <v>2854</v>
      </c>
      <c r="C70" s="130">
        <v>799.0</v>
      </c>
      <c r="D70" s="131"/>
      <c r="E70" s="130">
        <v>580.0</v>
      </c>
      <c r="F70" s="132">
        <v>0.1</v>
      </c>
      <c r="G70" s="130">
        <f t="shared" si="1"/>
        <v>79.9</v>
      </c>
      <c r="H70" s="130">
        <v>80.86359999999999</v>
      </c>
      <c r="I70" s="130">
        <f t="shared" si="4"/>
        <v>58.2364</v>
      </c>
      <c r="J70" s="132">
        <f t="shared" si="5"/>
        <v>0.1004075862</v>
      </c>
      <c r="K70" s="132"/>
    </row>
    <row r="71" hidden="1">
      <c r="A71" s="133" t="s">
        <v>2855</v>
      </c>
      <c r="B71" s="133" t="s">
        <v>2856</v>
      </c>
      <c r="C71" s="130">
        <v>249.0</v>
      </c>
      <c r="D71" s="131"/>
      <c r="E71" s="130">
        <v>134.36</v>
      </c>
      <c r="F71" s="132">
        <v>0.1</v>
      </c>
      <c r="G71" s="130">
        <f t="shared" si="1"/>
        <v>24.9</v>
      </c>
      <c r="H71" s="130">
        <v>70.75999999999999</v>
      </c>
      <c r="I71" s="130">
        <f t="shared" si="4"/>
        <v>18.98</v>
      </c>
      <c r="J71" s="132">
        <f t="shared" si="5"/>
        <v>0.1412622804</v>
      </c>
      <c r="K71" s="132"/>
    </row>
    <row r="72" hidden="1">
      <c r="A72" s="133" t="s">
        <v>2857</v>
      </c>
      <c r="B72" s="133" t="s">
        <v>2858</v>
      </c>
      <c r="C72" s="130">
        <v>2299.0</v>
      </c>
      <c r="D72" s="131"/>
      <c r="E72" s="130">
        <v>1731.07</v>
      </c>
      <c r="F72" s="132">
        <v>0.14</v>
      </c>
      <c r="G72" s="130">
        <f t="shared" si="1"/>
        <v>321.86</v>
      </c>
      <c r="H72" s="130">
        <v>68.44</v>
      </c>
      <c r="I72" s="130">
        <f t="shared" si="4"/>
        <v>177.63</v>
      </c>
      <c r="J72" s="132">
        <f t="shared" si="5"/>
        <v>0.1026128348</v>
      </c>
      <c r="K72" s="132"/>
    </row>
    <row r="73" hidden="1">
      <c r="A73" s="133" t="s">
        <v>2859</v>
      </c>
      <c r="B73" s="133" t="s">
        <v>2860</v>
      </c>
      <c r="C73" s="130">
        <v>1240.0</v>
      </c>
      <c r="D73" s="131"/>
      <c r="E73" s="130">
        <v>882.46</v>
      </c>
      <c r="F73" s="132">
        <v>0.15</v>
      </c>
      <c r="G73" s="130">
        <f t="shared" si="1"/>
        <v>186</v>
      </c>
      <c r="H73" s="130">
        <v>78.88</v>
      </c>
      <c r="I73" s="130">
        <f t="shared" si="4"/>
        <v>92.66</v>
      </c>
      <c r="J73" s="132">
        <f t="shared" si="5"/>
        <v>0.1050019264</v>
      </c>
      <c r="K73" s="132"/>
    </row>
    <row r="74" hidden="1">
      <c r="A74" s="133" t="s">
        <v>2861</v>
      </c>
      <c r="B74" s="133" t="s">
        <v>2862</v>
      </c>
      <c r="C74" s="130">
        <v>264.0</v>
      </c>
      <c r="D74" s="131"/>
      <c r="E74" s="130">
        <v>90.08</v>
      </c>
      <c r="F74" s="132">
        <v>0.15</v>
      </c>
      <c r="G74" s="130">
        <f t="shared" si="1"/>
        <v>39.6</v>
      </c>
      <c r="H74" s="130">
        <v>75.39999999999999</v>
      </c>
      <c r="I74" s="130">
        <f t="shared" si="4"/>
        <v>58.92</v>
      </c>
      <c r="J74" s="132">
        <f t="shared" si="5"/>
        <v>0.6540852575</v>
      </c>
      <c r="K74" s="132"/>
    </row>
    <row r="75" hidden="1">
      <c r="A75" s="133" t="s">
        <v>2863</v>
      </c>
      <c r="B75" s="133" t="s">
        <v>2864</v>
      </c>
      <c r="C75" s="130">
        <v>1860.0</v>
      </c>
      <c r="D75" s="131"/>
      <c r="E75" s="130">
        <v>1360.49</v>
      </c>
      <c r="F75" s="132">
        <v>0.15</v>
      </c>
      <c r="G75" s="130">
        <f t="shared" si="1"/>
        <v>279</v>
      </c>
      <c r="H75" s="130">
        <v>75.39999999999999</v>
      </c>
      <c r="I75" s="130">
        <f t="shared" si="4"/>
        <v>145.11</v>
      </c>
      <c r="J75" s="132">
        <f t="shared" si="5"/>
        <v>0.1066601004</v>
      </c>
      <c r="K75" s="132"/>
    </row>
    <row r="76" hidden="1">
      <c r="A76" s="133" t="s">
        <v>2865</v>
      </c>
      <c r="B76" s="133" t="s">
        <v>2866</v>
      </c>
      <c r="C76" s="130">
        <v>1072.0</v>
      </c>
      <c r="D76" s="131"/>
      <c r="E76" s="130">
        <v>743.82</v>
      </c>
      <c r="F76" s="132">
        <v>0.15</v>
      </c>
      <c r="G76" s="130">
        <f t="shared" si="1"/>
        <v>160.8</v>
      </c>
      <c r="H76" s="130">
        <v>75.39999999999999</v>
      </c>
      <c r="I76" s="130">
        <f t="shared" si="4"/>
        <v>91.98</v>
      </c>
      <c r="J76" s="132">
        <f t="shared" si="5"/>
        <v>0.1236589497</v>
      </c>
      <c r="K76" s="132"/>
    </row>
    <row r="77" hidden="1">
      <c r="A77" s="133" t="s">
        <v>2867</v>
      </c>
      <c r="B77" s="133" t="s">
        <v>2868</v>
      </c>
      <c r="C77" s="130">
        <v>652.0</v>
      </c>
      <c r="D77" s="131"/>
      <c r="E77" s="130">
        <v>330.99</v>
      </c>
      <c r="F77" s="132">
        <v>0.16</v>
      </c>
      <c r="G77" s="130">
        <f t="shared" si="1"/>
        <v>104.32</v>
      </c>
      <c r="H77" s="130">
        <v>84.67999999999999</v>
      </c>
      <c r="I77" s="130">
        <f t="shared" si="4"/>
        <v>132.01</v>
      </c>
      <c r="J77" s="132">
        <f t="shared" si="5"/>
        <v>0.3988338016</v>
      </c>
      <c r="K77" s="132"/>
    </row>
    <row r="78" hidden="1">
      <c r="A78" s="133" t="s">
        <v>2869</v>
      </c>
      <c r="B78" s="133" t="s">
        <v>2870</v>
      </c>
      <c r="C78" s="130">
        <v>1319.0</v>
      </c>
      <c r="D78" s="131"/>
      <c r="E78" s="130">
        <v>1002.0</v>
      </c>
      <c r="F78" s="132">
        <v>0.1</v>
      </c>
      <c r="G78" s="130">
        <f t="shared" si="1"/>
        <v>131.9</v>
      </c>
      <c r="H78" s="130">
        <v>80.03999999999999</v>
      </c>
      <c r="I78" s="130">
        <f t="shared" si="4"/>
        <v>105.06</v>
      </c>
      <c r="J78" s="132">
        <f t="shared" si="5"/>
        <v>0.1048502994</v>
      </c>
      <c r="K78" s="132"/>
    </row>
    <row r="79" hidden="1">
      <c r="A79" s="133" t="s">
        <v>2871</v>
      </c>
      <c r="B79" s="133" t="s">
        <v>2872</v>
      </c>
      <c r="C79" s="130">
        <v>700.0</v>
      </c>
      <c r="D79" s="131"/>
      <c r="E79" s="130">
        <v>379.2</v>
      </c>
      <c r="F79" s="132">
        <v>0.15</v>
      </c>
      <c r="G79" s="130">
        <f t="shared" si="1"/>
        <v>105</v>
      </c>
      <c r="H79" s="130">
        <v>67.28</v>
      </c>
      <c r="I79" s="130">
        <f t="shared" si="4"/>
        <v>148.52</v>
      </c>
      <c r="J79" s="132">
        <f t="shared" si="5"/>
        <v>0.3916666667</v>
      </c>
      <c r="K79" s="132"/>
    </row>
    <row r="80" hidden="1">
      <c r="A80" s="133" t="s">
        <v>2873</v>
      </c>
      <c r="B80" s="133" t="s">
        <v>2874</v>
      </c>
      <c r="C80" s="130">
        <v>469.0</v>
      </c>
      <c r="D80" s="131"/>
      <c r="E80" s="130">
        <v>316.94</v>
      </c>
      <c r="F80" s="132">
        <v>0.1</v>
      </c>
      <c r="G80" s="130">
        <f t="shared" si="1"/>
        <v>46.9</v>
      </c>
      <c r="H80" s="130">
        <v>67.28</v>
      </c>
      <c r="I80" s="130">
        <f t="shared" si="4"/>
        <v>37.88</v>
      </c>
      <c r="J80" s="132">
        <f t="shared" si="5"/>
        <v>0.1195178898</v>
      </c>
      <c r="K80" s="132"/>
    </row>
    <row r="81" hidden="1">
      <c r="A81" s="133" t="s">
        <v>2875</v>
      </c>
      <c r="B81" s="133" t="s">
        <v>2876</v>
      </c>
      <c r="C81" s="130">
        <v>412.0</v>
      </c>
      <c r="D81" s="131"/>
      <c r="E81" s="130">
        <v>254.4</v>
      </c>
      <c r="F81" s="132">
        <v>0.1</v>
      </c>
      <c r="G81" s="130">
        <f t="shared" si="1"/>
        <v>41.2</v>
      </c>
      <c r="H81" s="130">
        <v>80.86359999999999</v>
      </c>
      <c r="I81" s="130">
        <f t="shared" si="4"/>
        <v>35.5364</v>
      </c>
      <c r="J81" s="132">
        <f t="shared" si="5"/>
        <v>0.1396871069</v>
      </c>
      <c r="K81" s="132"/>
    </row>
    <row r="82" hidden="1">
      <c r="A82" s="133" t="s">
        <v>2877</v>
      </c>
      <c r="B82" s="133" t="s">
        <v>2878</v>
      </c>
      <c r="C82" s="130">
        <v>329.0</v>
      </c>
      <c r="D82" s="131"/>
      <c r="E82" s="130">
        <v>194.7</v>
      </c>
      <c r="F82" s="132">
        <v>0.15</v>
      </c>
      <c r="G82" s="130">
        <f t="shared" si="1"/>
        <v>49.35</v>
      </c>
      <c r="H82" s="130">
        <v>67.28</v>
      </c>
      <c r="I82" s="130">
        <f t="shared" si="4"/>
        <v>17.67</v>
      </c>
      <c r="J82" s="132">
        <f t="shared" si="5"/>
        <v>0.0907550077</v>
      </c>
      <c r="K82" s="132"/>
    </row>
    <row r="83" hidden="1">
      <c r="A83" s="133" t="s">
        <v>2879</v>
      </c>
      <c r="B83" s="133" t="s">
        <v>2880</v>
      </c>
      <c r="C83" s="130">
        <v>394.0</v>
      </c>
      <c r="D83" s="131"/>
      <c r="E83" s="130">
        <v>192.88</v>
      </c>
      <c r="F83" s="132">
        <v>0.1</v>
      </c>
      <c r="G83" s="130">
        <f t="shared" si="1"/>
        <v>39.4</v>
      </c>
      <c r="H83" s="130">
        <v>67.28</v>
      </c>
      <c r="I83" s="130">
        <f t="shared" si="4"/>
        <v>94.44</v>
      </c>
      <c r="J83" s="132">
        <f t="shared" si="5"/>
        <v>0.4896308586</v>
      </c>
      <c r="K83" s="132"/>
    </row>
    <row r="84" hidden="1">
      <c r="A84" s="133" t="s">
        <v>2881</v>
      </c>
      <c r="B84" s="133" t="s">
        <v>2882</v>
      </c>
      <c r="C84" s="130">
        <v>1999.0</v>
      </c>
      <c r="D84" s="131"/>
      <c r="E84" s="130">
        <v>1490.85</v>
      </c>
      <c r="F84" s="132">
        <v>0.15</v>
      </c>
      <c r="G84" s="130">
        <f t="shared" si="1"/>
        <v>299.85</v>
      </c>
      <c r="H84" s="130">
        <v>96.27999999999999</v>
      </c>
      <c r="I84" s="130">
        <f t="shared" si="4"/>
        <v>112.02</v>
      </c>
      <c r="J84" s="132">
        <f t="shared" si="5"/>
        <v>0.0751383439</v>
      </c>
      <c r="K84" s="132"/>
    </row>
    <row r="85" hidden="1">
      <c r="A85" s="133" t="s">
        <v>2883</v>
      </c>
      <c r="B85" s="133" t="s">
        <v>2884</v>
      </c>
      <c r="C85" s="130">
        <v>999.0</v>
      </c>
      <c r="D85" s="131"/>
      <c r="E85" s="130">
        <v>768.84</v>
      </c>
      <c r="F85" s="132">
        <v>0.15</v>
      </c>
      <c r="G85" s="130">
        <f t="shared" si="1"/>
        <v>149.85</v>
      </c>
      <c r="H85" s="130">
        <v>67.28</v>
      </c>
      <c r="I85" s="130">
        <f t="shared" si="4"/>
        <v>13.03</v>
      </c>
      <c r="J85" s="132">
        <f t="shared" si="5"/>
        <v>0.01694760939</v>
      </c>
      <c r="K85" s="132"/>
    </row>
    <row r="86" hidden="1">
      <c r="A86" s="133" t="s">
        <v>2885</v>
      </c>
      <c r="B86" s="133" t="s">
        <v>2886</v>
      </c>
      <c r="C86" s="130">
        <v>4399.0</v>
      </c>
      <c r="D86" s="131"/>
      <c r="E86" s="130">
        <v>3548.93</v>
      </c>
      <c r="F86" s="132">
        <v>0.1</v>
      </c>
      <c r="G86" s="130">
        <f t="shared" si="1"/>
        <v>439.9</v>
      </c>
      <c r="H86" s="130">
        <v>75.39999999999999</v>
      </c>
      <c r="I86" s="130">
        <f t="shared" si="4"/>
        <v>334.77</v>
      </c>
      <c r="J86" s="132">
        <f t="shared" si="5"/>
        <v>0.09432984026</v>
      </c>
      <c r="K86" s="132"/>
    </row>
    <row r="87" hidden="1">
      <c r="A87" s="133" t="s">
        <v>2887</v>
      </c>
      <c r="B87" s="133" t="s">
        <v>2888</v>
      </c>
      <c r="C87" s="130">
        <v>1999.0</v>
      </c>
      <c r="D87" s="131"/>
      <c r="E87" s="130">
        <v>1374.0</v>
      </c>
      <c r="F87" s="132">
        <v>0.1</v>
      </c>
      <c r="G87" s="130">
        <f t="shared" si="1"/>
        <v>199.9</v>
      </c>
      <c r="H87" s="130">
        <v>67.28</v>
      </c>
      <c r="I87" s="130">
        <f t="shared" si="4"/>
        <v>357.82</v>
      </c>
      <c r="J87" s="132">
        <f t="shared" si="5"/>
        <v>0.2604221252</v>
      </c>
      <c r="K87" s="132"/>
    </row>
    <row r="88" hidden="1">
      <c r="A88" s="133" t="s">
        <v>2889</v>
      </c>
      <c r="B88" s="133" t="s">
        <v>2890</v>
      </c>
      <c r="C88" s="130">
        <v>1799.0</v>
      </c>
      <c r="D88" s="131"/>
      <c r="E88" s="130">
        <v>1374.0</v>
      </c>
      <c r="F88" s="132">
        <v>0.1</v>
      </c>
      <c r="G88" s="130">
        <f t="shared" si="1"/>
        <v>179.9</v>
      </c>
      <c r="H88" s="130">
        <v>67.28</v>
      </c>
      <c r="I88" s="130">
        <f t="shared" si="4"/>
        <v>177.82</v>
      </c>
      <c r="J88" s="132">
        <f t="shared" si="5"/>
        <v>0.1294177584</v>
      </c>
      <c r="K88" s="132"/>
    </row>
    <row r="89" hidden="1">
      <c r="A89" s="133" t="s">
        <v>2891</v>
      </c>
      <c r="B89" s="133" t="s">
        <v>2892</v>
      </c>
      <c r="C89" s="130">
        <v>799.0</v>
      </c>
      <c r="D89" s="131"/>
      <c r="E89" s="130">
        <v>575.0</v>
      </c>
      <c r="F89" s="132">
        <v>0.1</v>
      </c>
      <c r="G89" s="130">
        <f t="shared" si="1"/>
        <v>79.9</v>
      </c>
      <c r="H89" s="130">
        <v>70.75999999999999</v>
      </c>
      <c r="I89" s="130">
        <f t="shared" si="4"/>
        <v>73.34</v>
      </c>
      <c r="J89" s="132">
        <f t="shared" si="5"/>
        <v>0.1275478261</v>
      </c>
      <c r="K89" s="132"/>
    </row>
    <row r="90" hidden="1">
      <c r="A90" s="133" t="s">
        <v>2893</v>
      </c>
      <c r="B90" s="133" t="s">
        <v>2894</v>
      </c>
      <c r="C90" s="130">
        <v>8629.0</v>
      </c>
      <c r="D90" s="131"/>
      <c r="E90" s="130">
        <v>5924.8</v>
      </c>
      <c r="F90" s="132">
        <v>0.1</v>
      </c>
      <c r="G90" s="130">
        <f t="shared" si="1"/>
        <v>862.9</v>
      </c>
      <c r="H90" s="130">
        <v>75.39999999999999</v>
      </c>
      <c r="I90" s="130">
        <f t="shared" si="4"/>
        <v>1765.9</v>
      </c>
      <c r="J90" s="132">
        <f t="shared" si="5"/>
        <v>0.2980522549</v>
      </c>
      <c r="K90" s="132"/>
    </row>
    <row r="91" hidden="1">
      <c r="A91" s="133" t="s">
        <v>2895</v>
      </c>
      <c r="B91" s="133" t="s">
        <v>2896</v>
      </c>
      <c r="C91" s="130">
        <v>6500.0</v>
      </c>
      <c r="D91" s="131"/>
      <c r="E91" s="130">
        <v>5262.81</v>
      </c>
      <c r="F91" s="132">
        <v>0.1</v>
      </c>
      <c r="G91" s="130">
        <f t="shared" si="1"/>
        <v>650</v>
      </c>
      <c r="H91" s="130">
        <v>68.44</v>
      </c>
      <c r="I91" s="130">
        <f t="shared" si="4"/>
        <v>518.75</v>
      </c>
      <c r="J91" s="132">
        <f t="shared" si="5"/>
        <v>0.09856901541</v>
      </c>
      <c r="K91" s="132"/>
    </row>
    <row r="92" hidden="1">
      <c r="A92" s="133" t="s">
        <v>2897</v>
      </c>
      <c r="B92" s="133" t="s">
        <v>2898</v>
      </c>
      <c r="C92" s="130">
        <v>799.0</v>
      </c>
      <c r="D92" s="131"/>
      <c r="E92" s="130" t="str">
        <f>436.75*1.1</f>
        <v>#ERROR!</v>
      </c>
      <c r="F92" s="132">
        <v>0.1</v>
      </c>
      <c r="G92" s="130">
        <f t="shared" si="1"/>
        <v>79.9</v>
      </c>
      <c r="H92" s="130">
        <v>68.44</v>
      </c>
      <c r="I92" s="130" t="str">
        <f t="shared" si="4"/>
        <v>#ERROR!</v>
      </c>
      <c r="J92" s="132" t="str">
        <f t="shared" si="5"/>
        <v>#ERROR!</v>
      </c>
      <c r="K92" s="132"/>
    </row>
    <row r="93" hidden="1">
      <c r="A93" s="139" t="s">
        <v>2899</v>
      </c>
      <c r="B93" s="133" t="s">
        <v>2900</v>
      </c>
      <c r="C93" s="130">
        <v>1119.0</v>
      </c>
      <c r="D93" s="131"/>
      <c r="E93" s="130">
        <v>840.16</v>
      </c>
      <c r="F93" s="132">
        <v>0.15</v>
      </c>
      <c r="G93" s="130">
        <f t="shared" si="1"/>
        <v>167.85</v>
      </c>
      <c r="H93" s="130">
        <v>75.39999999999999</v>
      </c>
      <c r="I93" s="130">
        <f t="shared" si="4"/>
        <v>35.59</v>
      </c>
      <c r="J93" s="132">
        <f t="shared" si="5"/>
        <v>0.04236097886</v>
      </c>
      <c r="K93" s="132"/>
    </row>
    <row r="94" hidden="1">
      <c r="A94" s="139" t="s">
        <v>2901</v>
      </c>
      <c r="B94" s="133" t="s">
        <v>2902</v>
      </c>
      <c r="C94" s="130">
        <v>1559.0</v>
      </c>
      <c r="D94" s="131"/>
      <c r="E94" s="130">
        <v>1142.13</v>
      </c>
      <c r="F94" s="132">
        <v>0.16</v>
      </c>
      <c r="G94" s="130">
        <f t="shared" si="1"/>
        <v>249.44</v>
      </c>
      <c r="H94" s="130">
        <v>75.39999999999999</v>
      </c>
      <c r="I94" s="130">
        <f t="shared" si="4"/>
        <v>92.03</v>
      </c>
      <c r="J94" s="132">
        <f t="shared" si="5"/>
        <v>0.08057751745</v>
      </c>
      <c r="K94" s="132"/>
    </row>
    <row r="95" hidden="1">
      <c r="A95" s="133" t="s">
        <v>2903</v>
      </c>
      <c r="B95" s="133" t="s">
        <v>2904</v>
      </c>
      <c r="C95" s="130">
        <v>1080.0</v>
      </c>
      <c r="D95" s="131"/>
      <c r="E95" s="130">
        <v>764.63</v>
      </c>
      <c r="F95" s="132">
        <v>0.15</v>
      </c>
      <c r="G95" s="130">
        <f t="shared" si="1"/>
        <v>162</v>
      </c>
      <c r="H95" s="130">
        <v>67.28</v>
      </c>
      <c r="I95" s="130">
        <f t="shared" si="4"/>
        <v>86.09</v>
      </c>
      <c r="J95" s="132">
        <f t="shared" si="5"/>
        <v>0.1125904032</v>
      </c>
      <c r="K95" s="132"/>
    </row>
    <row r="96" hidden="1">
      <c r="A96" s="133" t="s">
        <v>2905</v>
      </c>
      <c r="B96" s="133" t="s">
        <v>2906</v>
      </c>
      <c r="C96" s="130">
        <v>987.0</v>
      </c>
      <c r="D96" s="131"/>
      <c r="E96" s="130">
        <v>641.37</v>
      </c>
      <c r="F96" s="132">
        <v>0.15</v>
      </c>
      <c r="G96" s="130">
        <f t="shared" si="1"/>
        <v>148.05</v>
      </c>
      <c r="H96" s="130">
        <v>75.39999999999999</v>
      </c>
      <c r="I96" s="130">
        <f t="shared" si="4"/>
        <v>122.18</v>
      </c>
      <c r="J96" s="132">
        <f t="shared" si="5"/>
        <v>0.1904984642</v>
      </c>
      <c r="K96" s="132"/>
    </row>
    <row r="97" hidden="1">
      <c r="A97" s="133" t="s">
        <v>2907</v>
      </c>
      <c r="B97" s="133" t="s">
        <v>2908</v>
      </c>
      <c r="C97" s="130">
        <v>835.0</v>
      </c>
      <c r="D97" s="131"/>
      <c r="E97" s="130">
        <v>524.09</v>
      </c>
      <c r="F97" s="132">
        <v>0.15</v>
      </c>
      <c r="G97" s="130">
        <f t="shared" si="1"/>
        <v>125.25</v>
      </c>
      <c r="H97" s="130">
        <v>75.39999999999999</v>
      </c>
      <c r="I97" s="130">
        <f t="shared" si="4"/>
        <v>110.26</v>
      </c>
      <c r="J97" s="132">
        <f t="shared" si="5"/>
        <v>0.2103837127</v>
      </c>
      <c r="K97" s="132"/>
    </row>
    <row r="98" hidden="1">
      <c r="A98" s="133" t="s">
        <v>2909</v>
      </c>
      <c r="B98" s="133" t="s">
        <v>2910</v>
      </c>
      <c r="C98" s="130">
        <v>899.0</v>
      </c>
      <c r="D98" s="131"/>
      <c r="E98" s="130">
        <v>590.0</v>
      </c>
      <c r="F98" s="132">
        <v>0.15</v>
      </c>
      <c r="G98" s="130">
        <f t="shared" si="1"/>
        <v>134.85</v>
      </c>
      <c r="H98" s="130">
        <v>75.39999999999999</v>
      </c>
      <c r="I98" s="130">
        <f t="shared" si="4"/>
        <v>98.75</v>
      </c>
      <c r="J98" s="132">
        <f t="shared" si="5"/>
        <v>0.1673728814</v>
      </c>
      <c r="K98" s="132"/>
    </row>
    <row r="99" hidden="1">
      <c r="A99" s="133" t="s">
        <v>2911</v>
      </c>
      <c r="B99" s="133" t="s">
        <v>2912</v>
      </c>
      <c r="C99" s="130">
        <v>899.0</v>
      </c>
      <c r="D99" s="131"/>
      <c r="E99" s="130">
        <v>623.09</v>
      </c>
      <c r="F99" s="132">
        <v>0.15</v>
      </c>
      <c r="G99" s="130">
        <f t="shared" si="1"/>
        <v>134.85</v>
      </c>
      <c r="H99" s="130">
        <v>67.28</v>
      </c>
      <c r="I99" s="130">
        <f t="shared" si="4"/>
        <v>73.78</v>
      </c>
      <c r="J99" s="132">
        <f t="shared" si="5"/>
        <v>0.1184098605</v>
      </c>
      <c r="K99" s="132"/>
    </row>
    <row r="100" hidden="1">
      <c r="A100" s="133"/>
      <c r="B100" s="133" t="s">
        <v>2913</v>
      </c>
      <c r="C100" s="130">
        <v>899.0</v>
      </c>
      <c r="D100" s="131"/>
      <c r="E100" s="130">
        <v>623.09</v>
      </c>
      <c r="F100" s="132">
        <v>0.15</v>
      </c>
      <c r="G100" s="130">
        <f t="shared" si="1"/>
        <v>134.85</v>
      </c>
      <c r="H100" s="130">
        <v>67.28</v>
      </c>
      <c r="I100" s="130">
        <f t="shared" si="4"/>
        <v>73.78</v>
      </c>
      <c r="J100" s="132">
        <f t="shared" si="5"/>
        <v>0.1184098605</v>
      </c>
      <c r="K100" s="132"/>
    </row>
    <row r="101" hidden="1">
      <c r="A101" s="133"/>
      <c r="B101" s="133" t="s">
        <v>2914</v>
      </c>
      <c r="C101" s="130">
        <v>899.0</v>
      </c>
      <c r="D101" s="131"/>
      <c r="E101" s="130">
        <v>623.09</v>
      </c>
      <c r="F101" s="132">
        <v>0.15</v>
      </c>
      <c r="G101" s="130">
        <f t="shared" si="1"/>
        <v>134.85</v>
      </c>
      <c r="H101" s="130">
        <v>67.28</v>
      </c>
      <c r="I101" s="130">
        <f t="shared" si="4"/>
        <v>73.78</v>
      </c>
      <c r="J101" s="132">
        <f t="shared" si="5"/>
        <v>0.1184098605</v>
      </c>
      <c r="K101" s="132"/>
    </row>
    <row r="102" hidden="1">
      <c r="A102" s="133" t="s">
        <v>2915</v>
      </c>
      <c r="B102" s="133" t="s">
        <v>2916</v>
      </c>
      <c r="C102" s="130">
        <v>13749.0</v>
      </c>
      <c r="D102" s="131"/>
      <c r="E102" s="130">
        <v>11423.99</v>
      </c>
      <c r="F102" s="132">
        <v>0.15</v>
      </c>
      <c r="G102" s="130">
        <f t="shared" si="1"/>
        <v>2062.35</v>
      </c>
      <c r="H102" s="130">
        <v>67.28</v>
      </c>
      <c r="I102" s="130">
        <f t="shared" si="4"/>
        <v>195.38</v>
      </c>
      <c r="J102" s="132">
        <f t="shared" si="5"/>
        <v>0.01710260601</v>
      </c>
      <c r="K102" s="132"/>
    </row>
    <row r="103" hidden="1">
      <c r="A103" s="133" t="s">
        <v>311</v>
      </c>
      <c r="B103" s="133" t="s">
        <v>2917</v>
      </c>
      <c r="C103" s="134">
        <v>1499.0</v>
      </c>
      <c r="D103" s="131"/>
      <c r="E103" s="130">
        <v>919.35</v>
      </c>
      <c r="F103" s="132">
        <v>0.15</v>
      </c>
      <c r="G103" s="130">
        <f t="shared" si="1"/>
        <v>224.85</v>
      </c>
      <c r="H103" s="130">
        <v>153.11999999999998</v>
      </c>
      <c r="I103" s="130">
        <f t="shared" si="4"/>
        <v>201.68</v>
      </c>
      <c r="J103" s="132">
        <f t="shared" si="5"/>
        <v>0.2193723827</v>
      </c>
      <c r="K103" s="132"/>
    </row>
    <row r="104" hidden="1">
      <c r="A104" s="133" t="s">
        <v>2918</v>
      </c>
      <c r="B104" s="133" t="s">
        <v>2919</v>
      </c>
      <c r="C104" s="130">
        <v>1149.0</v>
      </c>
      <c r="D104" s="131"/>
      <c r="E104" s="130">
        <v>815.4</v>
      </c>
      <c r="F104" s="132">
        <v>0.15</v>
      </c>
      <c r="G104" s="130">
        <f t="shared" si="1"/>
        <v>172.35</v>
      </c>
      <c r="H104" s="130">
        <v>68.44</v>
      </c>
      <c r="I104" s="130">
        <f t="shared" si="4"/>
        <v>92.81</v>
      </c>
      <c r="J104" s="132">
        <f t="shared" si="5"/>
        <v>0.1138214373</v>
      </c>
      <c r="K104" s="132"/>
    </row>
    <row r="105" hidden="1">
      <c r="A105" s="133" t="s">
        <v>2920</v>
      </c>
      <c r="B105" s="133" t="s">
        <v>2921</v>
      </c>
      <c r="C105" s="130">
        <v>215.0</v>
      </c>
      <c r="D105" s="131"/>
      <c r="E105" s="130">
        <v>75.13</v>
      </c>
      <c r="F105" s="132">
        <v>0.15</v>
      </c>
      <c r="G105" s="130">
        <f t="shared" si="1"/>
        <v>32.25</v>
      </c>
      <c r="H105" s="130">
        <v>68.44</v>
      </c>
      <c r="I105" s="130">
        <f t="shared" si="4"/>
        <v>39.18</v>
      </c>
      <c r="J105" s="132">
        <f t="shared" si="5"/>
        <v>0.5214960735</v>
      </c>
      <c r="K105" s="132"/>
    </row>
    <row r="106" hidden="1">
      <c r="A106" s="133"/>
      <c r="B106" s="133" t="s">
        <v>2922</v>
      </c>
      <c r="C106" s="130">
        <v>1698.0</v>
      </c>
      <c r="D106" s="131"/>
      <c r="E106" s="130">
        <v>1183.46</v>
      </c>
      <c r="F106" s="132">
        <v>0.15</v>
      </c>
      <c r="G106" s="130">
        <f t="shared" si="1"/>
        <v>254.7</v>
      </c>
      <c r="H106" s="130">
        <v>68.44</v>
      </c>
      <c r="I106" s="130">
        <f t="shared" si="4"/>
        <v>191.4</v>
      </c>
      <c r="J106" s="132">
        <f t="shared" si="5"/>
        <v>0.161729167</v>
      </c>
      <c r="K106" s="132"/>
    </row>
    <row r="107" hidden="1">
      <c r="A107" s="133"/>
      <c r="B107" s="133" t="s">
        <v>2923</v>
      </c>
      <c r="C107" s="130">
        <v>950.0</v>
      </c>
      <c r="D107" s="131"/>
      <c r="E107" s="130">
        <v>719.21</v>
      </c>
      <c r="F107" s="132">
        <v>0.1</v>
      </c>
      <c r="G107" s="130">
        <f t="shared" si="1"/>
        <v>95</v>
      </c>
      <c r="H107" s="130">
        <v>68.44</v>
      </c>
      <c r="I107" s="130">
        <f t="shared" si="4"/>
        <v>67.35</v>
      </c>
      <c r="J107" s="132">
        <f t="shared" si="5"/>
        <v>0.0936444154</v>
      </c>
      <c r="K107" s="132"/>
    </row>
    <row r="108" hidden="1">
      <c r="A108" s="133" t="s">
        <v>2924</v>
      </c>
      <c r="B108" s="133" t="s">
        <v>2925</v>
      </c>
      <c r="C108" s="130">
        <v>1920.0</v>
      </c>
      <c r="D108" s="131"/>
      <c r="E108" s="130">
        <v>1500.01</v>
      </c>
      <c r="F108" s="132">
        <v>0.1</v>
      </c>
      <c r="G108" s="130">
        <f t="shared" si="1"/>
        <v>192</v>
      </c>
      <c r="H108" s="130">
        <v>80.03999999999999</v>
      </c>
      <c r="I108" s="130">
        <f t="shared" si="4"/>
        <v>147.95</v>
      </c>
      <c r="J108" s="132">
        <f t="shared" si="5"/>
        <v>0.09863267578</v>
      </c>
      <c r="K108" s="132"/>
    </row>
    <row r="109" hidden="1">
      <c r="A109" s="133"/>
      <c r="B109" s="133"/>
      <c r="C109" s="131"/>
      <c r="D109" s="131"/>
      <c r="E109" s="131"/>
      <c r="F109" s="132">
        <v>0.1</v>
      </c>
      <c r="G109" s="130">
        <f t="shared" si="1"/>
        <v>0</v>
      </c>
      <c r="H109" s="131"/>
      <c r="I109" s="131"/>
      <c r="J109" s="138"/>
      <c r="K109" s="132"/>
    </row>
    <row r="110" hidden="1">
      <c r="A110" s="133" t="s">
        <v>2926</v>
      </c>
      <c r="B110" s="133" t="s">
        <v>2927</v>
      </c>
      <c r="C110" s="130">
        <v>1039.0</v>
      </c>
      <c r="D110" s="131"/>
      <c r="E110" s="130">
        <v>766.62</v>
      </c>
      <c r="F110" s="132">
        <v>0.1</v>
      </c>
      <c r="G110" s="130">
        <f t="shared" si="1"/>
        <v>103.9</v>
      </c>
      <c r="H110" s="130">
        <v>112.52</v>
      </c>
      <c r="I110" s="130">
        <f t="shared" ref="I110:I354" si="6">C110-E110-G110-H110</f>
        <v>55.96</v>
      </c>
      <c r="J110" s="132">
        <f t="shared" ref="J110:J354" si="7">I110/E110</f>
        <v>0.07299574757</v>
      </c>
      <c r="K110" s="132"/>
    </row>
    <row r="111" hidden="1">
      <c r="A111" s="133" t="s">
        <v>2928</v>
      </c>
      <c r="B111" s="133" t="s">
        <v>2929</v>
      </c>
      <c r="C111" s="130">
        <v>1999.0</v>
      </c>
      <c r="D111" s="131"/>
      <c r="E111" s="130">
        <v>1499.97</v>
      </c>
      <c r="F111" s="132">
        <v>0.1</v>
      </c>
      <c r="G111" s="130">
        <f t="shared" si="1"/>
        <v>199.9</v>
      </c>
      <c r="H111" s="130">
        <v>80.03999999999999</v>
      </c>
      <c r="I111" s="130">
        <f t="shared" si="6"/>
        <v>219.09</v>
      </c>
      <c r="J111" s="132">
        <f t="shared" si="7"/>
        <v>0.1460629213</v>
      </c>
      <c r="K111" s="132"/>
    </row>
    <row r="112" hidden="1">
      <c r="A112" s="133" t="s">
        <v>2930</v>
      </c>
      <c r="B112" s="133" t="s">
        <v>2931</v>
      </c>
      <c r="C112" s="130">
        <v>1299.0</v>
      </c>
      <c r="D112" s="131"/>
      <c r="E112" s="130">
        <v>886.31</v>
      </c>
      <c r="F112" s="132">
        <v>0.1</v>
      </c>
      <c r="G112" s="130">
        <f t="shared" si="1"/>
        <v>129.9</v>
      </c>
      <c r="H112" s="130">
        <v>70.75999999999999</v>
      </c>
      <c r="I112" s="130">
        <f t="shared" si="6"/>
        <v>212.03</v>
      </c>
      <c r="J112" s="132">
        <f t="shared" si="7"/>
        <v>0.2392278097</v>
      </c>
      <c r="K112" s="132"/>
    </row>
    <row r="113" hidden="1">
      <c r="A113" s="133" t="s">
        <v>2932</v>
      </c>
      <c r="B113" s="133" t="s">
        <v>2933</v>
      </c>
      <c r="C113" s="130">
        <v>449.0</v>
      </c>
      <c r="D113" s="131"/>
      <c r="E113" s="130">
        <v>298.0</v>
      </c>
      <c r="F113" s="132">
        <v>0.1</v>
      </c>
      <c r="G113" s="130">
        <f t="shared" si="1"/>
        <v>44.9</v>
      </c>
      <c r="H113" s="130">
        <v>67.28</v>
      </c>
      <c r="I113" s="130">
        <f t="shared" si="6"/>
        <v>38.82</v>
      </c>
      <c r="J113" s="132">
        <f t="shared" si="7"/>
        <v>0.1302684564</v>
      </c>
      <c r="K113" s="132"/>
    </row>
    <row r="114" hidden="1">
      <c r="A114" s="133" t="s">
        <v>2934</v>
      </c>
      <c r="B114" s="133" t="s">
        <v>2935</v>
      </c>
      <c r="C114" s="130">
        <v>539.0</v>
      </c>
      <c r="D114" s="131"/>
      <c r="E114" s="130">
        <v>344.21</v>
      </c>
      <c r="F114" s="132">
        <v>0.15</v>
      </c>
      <c r="G114" s="130">
        <f t="shared" si="1"/>
        <v>80.85</v>
      </c>
      <c r="H114" s="130">
        <v>75.39999999999999</v>
      </c>
      <c r="I114" s="130">
        <f t="shared" si="6"/>
        <v>38.54</v>
      </c>
      <c r="J114" s="132">
        <f t="shared" si="7"/>
        <v>0.1119665321</v>
      </c>
      <c r="K114" s="132"/>
    </row>
    <row r="115" hidden="1">
      <c r="A115" s="133" t="s">
        <v>2936</v>
      </c>
      <c r="B115" s="140" t="s">
        <v>2937</v>
      </c>
      <c r="C115" s="130">
        <v>1699.0</v>
      </c>
      <c r="D115" s="131"/>
      <c r="E115" s="130">
        <v>1289.29</v>
      </c>
      <c r="F115" s="132">
        <v>0.16</v>
      </c>
      <c r="G115" s="130">
        <f t="shared" si="1"/>
        <v>271.84</v>
      </c>
      <c r="H115" s="130">
        <v>67.28</v>
      </c>
      <c r="I115" s="130">
        <f t="shared" si="6"/>
        <v>70.59</v>
      </c>
      <c r="J115" s="132">
        <f t="shared" si="7"/>
        <v>0.05475106454</v>
      </c>
      <c r="K115" s="132"/>
    </row>
    <row r="116" hidden="1">
      <c r="A116" s="133" t="s">
        <v>2938</v>
      </c>
      <c r="B116" s="133" t="s">
        <v>2939</v>
      </c>
      <c r="C116" s="130">
        <v>1192.0</v>
      </c>
      <c r="D116" s="131"/>
      <c r="E116" s="130">
        <v>895.0</v>
      </c>
      <c r="F116" s="132">
        <v>0.1</v>
      </c>
      <c r="G116" s="130">
        <f t="shared" si="1"/>
        <v>119.2</v>
      </c>
      <c r="H116" s="130">
        <v>67.28</v>
      </c>
      <c r="I116" s="130">
        <f t="shared" si="6"/>
        <v>110.52</v>
      </c>
      <c r="J116" s="132">
        <f t="shared" si="7"/>
        <v>0.1234860335</v>
      </c>
      <c r="K116" s="132"/>
    </row>
    <row r="117" hidden="1">
      <c r="A117" s="133" t="s">
        <v>2940</v>
      </c>
      <c r="B117" s="133" t="s">
        <v>2941</v>
      </c>
      <c r="C117" s="130">
        <v>2499.0</v>
      </c>
      <c r="D117" s="131"/>
      <c r="E117" s="130">
        <v>1260.0</v>
      </c>
      <c r="F117" s="132">
        <v>0.15</v>
      </c>
      <c r="G117" s="130">
        <f t="shared" si="1"/>
        <v>374.85</v>
      </c>
      <c r="H117" s="130">
        <v>156.6</v>
      </c>
      <c r="I117" s="130">
        <f t="shared" si="6"/>
        <v>707.55</v>
      </c>
      <c r="J117" s="132">
        <f t="shared" si="7"/>
        <v>0.561547619</v>
      </c>
      <c r="K117" s="132"/>
    </row>
    <row r="118" hidden="1">
      <c r="A118" s="133" t="s">
        <v>2942</v>
      </c>
      <c r="B118" s="133" t="s">
        <v>2943</v>
      </c>
      <c r="C118" s="130">
        <v>2799.0</v>
      </c>
      <c r="D118" s="131"/>
      <c r="E118" s="130">
        <v>1260.0</v>
      </c>
      <c r="F118" s="132">
        <v>0.15</v>
      </c>
      <c r="G118" s="130">
        <f t="shared" si="1"/>
        <v>419.85</v>
      </c>
      <c r="H118" s="130">
        <v>156.6</v>
      </c>
      <c r="I118" s="130">
        <f t="shared" si="6"/>
        <v>962.55</v>
      </c>
      <c r="J118" s="132">
        <f t="shared" si="7"/>
        <v>0.7639285714</v>
      </c>
      <c r="K118" s="132"/>
    </row>
    <row r="119" hidden="1">
      <c r="A119" s="133" t="s">
        <v>2944</v>
      </c>
      <c r="B119" s="133" t="s">
        <v>2945</v>
      </c>
      <c r="C119" s="130">
        <v>1249.0</v>
      </c>
      <c r="D119" s="131"/>
      <c r="E119" s="130">
        <v>782.32</v>
      </c>
      <c r="F119" s="132">
        <v>0.15</v>
      </c>
      <c r="G119" s="130">
        <f t="shared" si="1"/>
        <v>187.35</v>
      </c>
      <c r="H119" s="130">
        <v>133.39999999999998</v>
      </c>
      <c r="I119" s="130">
        <f t="shared" si="6"/>
        <v>145.93</v>
      </c>
      <c r="J119" s="132">
        <f t="shared" si="7"/>
        <v>0.1865349218</v>
      </c>
      <c r="K119" s="132"/>
    </row>
    <row r="120" hidden="1">
      <c r="A120" s="133" t="s">
        <v>2946</v>
      </c>
      <c r="B120" s="133" t="s">
        <v>2947</v>
      </c>
      <c r="C120" s="130">
        <v>680.0</v>
      </c>
      <c r="D120" s="131"/>
      <c r="E120" s="130">
        <v>465.03</v>
      </c>
      <c r="F120" s="132">
        <v>0.12</v>
      </c>
      <c r="G120" s="130">
        <f t="shared" si="1"/>
        <v>81.6</v>
      </c>
      <c r="H120" s="130">
        <v>80.03999999999999</v>
      </c>
      <c r="I120" s="130">
        <f t="shared" si="6"/>
        <v>53.33</v>
      </c>
      <c r="J120" s="132">
        <f t="shared" si="7"/>
        <v>0.1146807733</v>
      </c>
      <c r="K120" s="132"/>
    </row>
    <row r="121" hidden="1">
      <c r="A121" s="133" t="s">
        <v>2948</v>
      </c>
      <c r="B121" s="133" t="s">
        <v>2949</v>
      </c>
      <c r="C121" s="130">
        <v>2899.0</v>
      </c>
      <c r="D121" s="131"/>
      <c r="E121" s="130" t="str">
        <f>2499.96-209.93</f>
        <v>#ERROR!</v>
      </c>
      <c r="F121" s="132">
        <v>0.1</v>
      </c>
      <c r="G121" s="130">
        <f t="shared" si="1"/>
        <v>289.9</v>
      </c>
      <c r="H121" s="130">
        <v>102.08</v>
      </c>
      <c r="I121" s="130" t="str">
        <f t="shared" si="6"/>
        <v>#ERROR!</v>
      </c>
      <c r="J121" s="132" t="str">
        <f t="shared" si="7"/>
        <v>#ERROR!</v>
      </c>
      <c r="K121" s="132"/>
    </row>
    <row r="122" hidden="1">
      <c r="A122" s="133" t="s">
        <v>2950</v>
      </c>
      <c r="B122" s="133" t="s">
        <v>2951</v>
      </c>
      <c r="C122" s="130">
        <v>1999.0</v>
      </c>
      <c r="D122" s="131"/>
      <c r="E122" s="130" t="str">
        <f>1871.68- 371.68</f>
        <v>#ERROR!</v>
      </c>
      <c r="F122" s="132">
        <v>0.13</v>
      </c>
      <c r="G122" s="130">
        <f t="shared" si="1"/>
        <v>259.87</v>
      </c>
      <c r="H122" s="130">
        <v>84.67999999999999</v>
      </c>
      <c r="I122" s="130" t="str">
        <f t="shared" si="6"/>
        <v>#ERROR!</v>
      </c>
      <c r="J122" s="132" t="str">
        <f t="shared" si="7"/>
        <v>#ERROR!</v>
      </c>
      <c r="K122" s="132"/>
    </row>
    <row r="123" hidden="1">
      <c r="A123" s="133" t="s">
        <v>2952</v>
      </c>
      <c r="B123" s="133" t="s">
        <v>2953</v>
      </c>
      <c r="C123" s="130">
        <v>793.0</v>
      </c>
      <c r="D123" s="131"/>
      <c r="E123" s="130">
        <v>568.21</v>
      </c>
      <c r="F123" s="132">
        <v>0.1</v>
      </c>
      <c r="G123" s="130">
        <f t="shared" si="1"/>
        <v>79.3</v>
      </c>
      <c r="H123" s="130">
        <v>84.67999999999999</v>
      </c>
      <c r="I123" s="130">
        <f t="shared" si="6"/>
        <v>60.81</v>
      </c>
      <c r="J123" s="132">
        <f t="shared" si="7"/>
        <v>0.1070202918</v>
      </c>
      <c r="K123" s="132"/>
    </row>
    <row r="124" hidden="1">
      <c r="A124" s="133" t="s">
        <v>2954</v>
      </c>
      <c r="B124" s="133" t="s">
        <v>2955</v>
      </c>
      <c r="C124" s="130">
        <v>999.0</v>
      </c>
      <c r="D124" s="131"/>
      <c r="E124" s="130">
        <v>737.84</v>
      </c>
      <c r="F124" s="132">
        <v>0.1</v>
      </c>
      <c r="G124" s="130">
        <f t="shared" si="1"/>
        <v>99.9</v>
      </c>
      <c r="H124" s="130">
        <v>84.67999999999999</v>
      </c>
      <c r="I124" s="130">
        <f t="shared" si="6"/>
        <v>76.58</v>
      </c>
      <c r="J124" s="132">
        <f t="shared" si="7"/>
        <v>0.1037894394</v>
      </c>
      <c r="K124" s="132"/>
    </row>
    <row r="125" hidden="1">
      <c r="A125" s="133" t="s">
        <v>2956</v>
      </c>
      <c r="B125" s="133" t="s">
        <v>2957</v>
      </c>
      <c r="C125" s="130">
        <v>1929.0</v>
      </c>
      <c r="D125" s="131"/>
      <c r="E125" s="130">
        <v>1513.5</v>
      </c>
      <c r="F125" s="132">
        <v>0.1</v>
      </c>
      <c r="G125" s="130">
        <f t="shared" si="1"/>
        <v>192.9</v>
      </c>
      <c r="H125" s="130">
        <v>84.67999999999999</v>
      </c>
      <c r="I125" s="130">
        <f t="shared" si="6"/>
        <v>137.92</v>
      </c>
      <c r="J125" s="132">
        <f t="shared" si="7"/>
        <v>0.09112652792</v>
      </c>
      <c r="K125" s="132"/>
    </row>
    <row r="126" hidden="1">
      <c r="A126" s="133" t="s">
        <v>2958</v>
      </c>
      <c r="B126" s="133" t="s">
        <v>2925</v>
      </c>
      <c r="C126" s="130">
        <v>1992.0</v>
      </c>
      <c r="D126" s="131"/>
      <c r="E126" s="130">
        <v>1500.01</v>
      </c>
      <c r="F126" s="132">
        <v>0.1</v>
      </c>
      <c r="G126" s="130">
        <f t="shared" si="1"/>
        <v>199.2</v>
      </c>
      <c r="H126" s="130">
        <v>84.67999999999999</v>
      </c>
      <c r="I126" s="130">
        <f t="shared" si="6"/>
        <v>208.11</v>
      </c>
      <c r="J126" s="132">
        <f t="shared" si="7"/>
        <v>0.1387390751</v>
      </c>
      <c r="K126" s="132"/>
    </row>
    <row r="127" hidden="1">
      <c r="A127" s="133" t="s">
        <v>2959</v>
      </c>
      <c r="B127" s="141" t="s">
        <v>2960</v>
      </c>
      <c r="C127" s="130">
        <v>965.0</v>
      </c>
      <c r="D127" s="131"/>
      <c r="E127" s="130">
        <v>755.61</v>
      </c>
      <c r="F127" s="132">
        <v>0.15</v>
      </c>
      <c r="G127" s="130">
        <f t="shared" si="1"/>
        <v>144.75</v>
      </c>
      <c r="H127" s="130">
        <v>71.80399999999999</v>
      </c>
      <c r="I127" s="130">
        <f t="shared" si="6"/>
        <v>-7.164</v>
      </c>
      <c r="J127" s="132">
        <f t="shared" si="7"/>
        <v>-0.00948108151</v>
      </c>
      <c r="K127" s="132"/>
    </row>
    <row r="128" hidden="1">
      <c r="A128" s="133" t="s">
        <v>2961</v>
      </c>
      <c r="B128" s="133" t="s">
        <v>2962</v>
      </c>
      <c r="C128" s="130">
        <v>497.0</v>
      </c>
      <c r="D128" s="131"/>
      <c r="E128" s="130">
        <v>425.22</v>
      </c>
      <c r="F128" s="132">
        <v>0.15</v>
      </c>
      <c r="G128" s="130">
        <f t="shared" si="1"/>
        <v>74.55</v>
      </c>
      <c r="H128" s="130">
        <v>71.80399999999999</v>
      </c>
      <c r="I128" s="130">
        <f t="shared" si="6"/>
        <v>-74.574</v>
      </c>
      <c r="J128" s="132">
        <f t="shared" si="7"/>
        <v>-0.1753774517</v>
      </c>
      <c r="K128" s="132"/>
    </row>
    <row r="129">
      <c r="A129" s="133" t="s">
        <v>2963</v>
      </c>
      <c r="B129" s="133" t="s">
        <v>2964</v>
      </c>
      <c r="C129" s="130">
        <v>1114.0</v>
      </c>
      <c r="D129" s="131"/>
      <c r="E129" s="130">
        <v>827.35</v>
      </c>
      <c r="F129" s="132">
        <v>0.15</v>
      </c>
      <c r="G129" s="130">
        <f t="shared" si="1"/>
        <v>167.1</v>
      </c>
      <c r="H129" s="130">
        <v>71.80399999999999</v>
      </c>
      <c r="I129" s="130">
        <f t="shared" si="6"/>
        <v>47.746</v>
      </c>
      <c r="J129" s="132">
        <f t="shared" si="7"/>
        <v>0.0577095546</v>
      </c>
      <c r="K129" s="142" t="s">
        <v>4731</v>
      </c>
    </row>
    <row r="130" hidden="1">
      <c r="A130" s="133" t="s">
        <v>2965</v>
      </c>
      <c r="B130" s="133" t="s">
        <v>2966</v>
      </c>
      <c r="C130" s="130">
        <v>879.0</v>
      </c>
      <c r="D130" s="131"/>
      <c r="E130" s="130">
        <v>605.02</v>
      </c>
      <c r="F130" s="132">
        <v>0.15</v>
      </c>
      <c r="G130" s="130">
        <f t="shared" si="1"/>
        <v>131.85</v>
      </c>
      <c r="H130" s="130">
        <v>71.80399999999999</v>
      </c>
      <c r="I130" s="130">
        <f t="shared" si="6"/>
        <v>70.326</v>
      </c>
      <c r="J130" s="132">
        <f t="shared" si="7"/>
        <v>0.1162374798</v>
      </c>
      <c r="K130" s="132"/>
    </row>
    <row r="131" hidden="1">
      <c r="A131" s="133" t="s">
        <v>2967</v>
      </c>
      <c r="B131" s="133" t="s">
        <v>2968</v>
      </c>
      <c r="C131" s="130">
        <v>699.0</v>
      </c>
      <c r="D131" s="131"/>
      <c r="E131" s="130">
        <v>499.0</v>
      </c>
      <c r="F131" s="132">
        <v>0.1</v>
      </c>
      <c r="G131" s="130">
        <f t="shared" si="1"/>
        <v>69.9</v>
      </c>
      <c r="H131" s="130">
        <v>71.80399999999999</v>
      </c>
      <c r="I131" s="130">
        <f t="shared" si="6"/>
        <v>58.296</v>
      </c>
      <c r="J131" s="132">
        <f t="shared" si="7"/>
        <v>0.1168256513</v>
      </c>
      <c r="K131" s="132"/>
    </row>
    <row r="132" hidden="1">
      <c r="A132" s="133" t="s">
        <v>2969</v>
      </c>
      <c r="B132" s="133" t="s">
        <v>2970</v>
      </c>
      <c r="C132" s="130">
        <v>2220.0</v>
      </c>
      <c r="D132" s="131"/>
      <c r="E132" s="130">
        <v>1709.93</v>
      </c>
      <c r="F132" s="132">
        <v>0.1</v>
      </c>
      <c r="G132" s="130">
        <f t="shared" si="1"/>
        <v>222</v>
      </c>
      <c r="H132" s="130">
        <v>102.08</v>
      </c>
      <c r="I132" s="130">
        <f t="shared" si="6"/>
        <v>185.99</v>
      </c>
      <c r="J132" s="132">
        <f t="shared" si="7"/>
        <v>0.1087705345</v>
      </c>
      <c r="K132" s="132"/>
    </row>
    <row r="133" hidden="1">
      <c r="A133" s="133" t="s">
        <v>2971</v>
      </c>
      <c r="B133" s="133" t="s">
        <v>2972</v>
      </c>
      <c r="C133" s="130">
        <v>799.0</v>
      </c>
      <c r="D133" s="131"/>
      <c r="E133" s="130">
        <v>549.96</v>
      </c>
      <c r="F133" s="132">
        <v>0.11</v>
      </c>
      <c r="G133" s="130">
        <f t="shared" si="1"/>
        <v>87.89</v>
      </c>
      <c r="H133" s="130">
        <v>70.75999999999999</v>
      </c>
      <c r="I133" s="130">
        <f t="shared" si="6"/>
        <v>90.39</v>
      </c>
      <c r="J133" s="132">
        <f t="shared" si="7"/>
        <v>0.1643574078</v>
      </c>
      <c r="K133" s="132"/>
    </row>
    <row r="134" hidden="1">
      <c r="A134" s="133" t="s">
        <v>2973</v>
      </c>
      <c r="B134" s="133" t="s">
        <v>2974</v>
      </c>
      <c r="C134" s="130">
        <v>1199.0</v>
      </c>
      <c r="D134" s="131"/>
      <c r="E134" s="130">
        <v>850.05</v>
      </c>
      <c r="F134" s="132">
        <v>0.15</v>
      </c>
      <c r="G134" s="130">
        <f t="shared" si="1"/>
        <v>179.85</v>
      </c>
      <c r="H134" s="130">
        <v>78.88</v>
      </c>
      <c r="I134" s="130">
        <f t="shared" si="6"/>
        <v>90.22</v>
      </c>
      <c r="J134" s="132">
        <f t="shared" si="7"/>
        <v>0.1061349332</v>
      </c>
      <c r="K134" s="132"/>
    </row>
    <row r="135" hidden="1">
      <c r="A135" s="133" t="s">
        <v>2975</v>
      </c>
      <c r="B135" s="133" t="s">
        <v>2976</v>
      </c>
      <c r="C135" s="130">
        <v>8999.0</v>
      </c>
      <c r="D135" s="131"/>
      <c r="E135" s="130">
        <v>6121.87</v>
      </c>
      <c r="F135" s="132">
        <v>0.15</v>
      </c>
      <c r="G135" s="130">
        <f t="shared" si="1"/>
        <v>1349.85</v>
      </c>
      <c r="H135" s="130">
        <v>425.71999999999997</v>
      </c>
      <c r="I135" s="130">
        <f t="shared" si="6"/>
        <v>1101.56</v>
      </c>
      <c r="J135" s="132">
        <f t="shared" si="7"/>
        <v>0.1799384828</v>
      </c>
      <c r="K135" s="132"/>
    </row>
    <row r="136" hidden="1">
      <c r="A136" s="133" t="s">
        <v>2977</v>
      </c>
      <c r="B136" s="133" t="s">
        <v>2978</v>
      </c>
      <c r="C136" s="130">
        <v>6499.0</v>
      </c>
      <c r="D136" s="131"/>
      <c r="E136" s="130">
        <v>4582.35</v>
      </c>
      <c r="F136" s="132">
        <v>0.15</v>
      </c>
      <c r="G136" s="130">
        <f t="shared" si="1"/>
        <v>974.85</v>
      </c>
      <c r="H136" s="130">
        <v>425.71999999999997</v>
      </c>
      <c r="I136" s="130">
        <f t="shared" si="6"/>
        <v>516.08</v>
      </c>
      <c r="J136" s="132">
        <f t="shared" si="7"/>
        <v>0.1126234356</v>
      </c>
      <c r="K136" s="132"/>
    </row>
    <row r="137" hidden="1">
      <c r="A137" s="133" t="s">
        <v>2979</v>
      </c>
      <c r="B137" s="133" t="s">
        <v>2980</v>
      </c>
      <c r="C137" s="130">
        <v>1399.0</v>
      </c>
      <c r="D137" s="131"/>
      <c r="E137" s="130">
        <v>1048.99</v>
      </c>
      <c r="F137" s="132">
        <v>0.1</v>
      </c>
      <c r="G137" s="130">
        <f t="shared" si="1"/>
        <v>139.9</v>
      </c>
      <c r="H137" s="130">
        <v>85.71239999999999</v>
      </c>
      <c r="I137" s="130">
        <f t="shared" si="6"/>
        <v>124.3976</v>
      </c>
      <c r="J137" s="132">
        <f t="shared" si="7"/>
        <v>0.1185879751</v>
      </c>
      <c r="K137" s="132"/>
    </row>
    <row r="138" hidden="1">
      <c r="A138" s="133" t="s">
        <v>2981</v>
      </c>
      <c r="B138" s="133" t="s">
        <v>2982</v>
      </c>
      <c r="C138" s="130">
        <v>1199.0</v>
      </c>
      <c r="D138" s="131"/>
      <c r="E138" s="130">
        <v>899.99</v>
      </c>
      <c r="F138" s="132">
        <v>0.1</v>
      </c>
      <c r="G138" s="130">
        <f t="shared" si="1"/>
        <v>119.9</v>
      </c>
      <c r="H138" s="130">
        <v>71.83879999999999</v>
      </c>
      <c r="I138" s="130">
        <f t="shared" si="6"/>
        <v>107.2712</v>
      </c>
      <c r="J138" s="132">
        <f t="shared" si="7"/>
        <v>0.1191915466</v>
      </c>
      <c r="K138" s="132"/>
    </row>
    <row r="139" hidden="1">
      <c r="A139" s="133" t="s">
        <v>2983</v>
      </c>
      <c r="B139" s="133" t="s">
        <v>2984</v>
      </c>
      <c r="C139" s="130">
        <v>2800.0</v>
      </c>
      <c r="D139" s="131"/>
      <c r="E139" s="130">
        <v>2162.25</v>
      </c>
      <c r="F139" s="132">
        <v>0.1</v>
      </c>
      <c r="G139" s="130">
        <f t="shared" si="1"/>
        <v>280</v>
      </c>
      <c r="H139" s="130">
        <v>126.614</v>
      </c>
      <c r="I139" s="130">
        <f t="shared" si="6"/>
        <v>231.136</v>
      </c>
      <c r="J139" s="132">
        <f t="shared" si="7"/>
        <v>0.1068960573</v>
      </c>
      <c r="K139" s="132"/>
    </row>
    <row r="140" hidden="1">
      <c r="A140" s="133" t="s">
        <v>2985</v>
      </c>
      <c r="B140" s="133" t="s">
        <v>2986</v>
      </c>
      <c r="C140" s="130">
        <v>8599.0</v>
      </c>
      <c r="D140" s="131"/>
      <c r="E140" s="130" t="str">
        <f>4456.13*1.21</f>
        <v>#ERROR!</v>
      </c>
      <c r="F140" s="132">
        <v>0.16</v>
      </c>
      <c r="G140" s="130">
        <f t="shared" si="1"/>
        <v>1375.84</v>
      </c>
      <c r="H140" s="130">
        <v>270.39599999999996</v>
      </c>
      <c r="I140" s="130" t="str">
        <f t="shared" si="6"/>
        <v>#ERROR!</v>
      </c>
      <c r="J140" s="132" t="str">
        <f t="shared" si="7"/>
        <v>#ERROR!</v>
      </c>
      <c r="K140" s="132"/>
    </row>
    <row r="141" hidden="1">
      <c r="A141" s="133" t="s">
        <v>2987</v>
      </c>
      <c r="B141" s="133" t="s">
        <v>2988</v>
      </c>
      <c r="C141" s="130">
        <v>9266.0</v>
      </c>
      <c r="D141" s="131"/>
      <c r="E141" s="130">
        <v>6630.76</v>
      </c>
      <c r="F141" s="132">
        <v>0.16</v>
      </c>
      <c r="G141" s="130">
        <f t="shared" si="1"/>
        <v>1482.56</v>
      </c>
      <c r="H141" s="130">
        <v>270.39599999999996</v>
      </c>
      <c r="I141" s="130">
        <f t="shared" si="6"/>
        <v>882.284</v>
      </c>
      <c r="J141" s="132">
        <f t="shared" si="7"/>
        <v>0.1330592572</v>
      </c>
      <c r="K141" s="132"/>
    </row>
    <row r="142" hidden="1">
      <c r="A142" s="133" t="s">
        <v>2989</v>
      </c>
      <c r="B142" s="133" t="s">
        <v>2990</v>
      </c>
      <c r="C142" s="134">
        <v>439.0</v>
      </c>
      <c r="D142" s="131"/>
      <c r="E142" s="134">
        <v>270.0</v>
      </c>
      <c r="F142" s="132">
        <v>0.15</v>
      </c>
      <c r="G142" s="130">
        <f t="shared" si="1"/>
        <v>65.85</v>
      </c>
      <c r="H142" s="130">
        <v>70.75999999999999</v>
      </c>
      <c r="I142" s="130">
        <f t="shared" si="6"/>
        <v>32.39</v>
      </c>
      <c r="J142" s="132">
        <f t="shared" si="7"/>
        <v>0.119962963</v>
      </c>
      <c r="K142" s="132"/>
    </row>
    <row r="143" hidden="1">
      <c r="A143" s="133" t="s">
        <v>2992</v>
      </c>
      <c r="B143" s="133" t="s">
        <v>2993</v>
      </c>
      <c r="C143" s="130">
        <v>969.0</v>
      </c>
      <c r="D143" s="131"/>
      <c r="E143" s="130">
        <v>690.0</v>
      </c>
      <c r="F143" s="132">
        <v>0.15</v>
      </c>
      <c r="G143" s="130">
        <f t="shared" si="1"/>
        <v>145.35</v>
      </c>
      <c r="H143" s="130">
        <v>70.75999999999999</v>
      </c>
      <c r="I143" s="130">
        <f t="shared" si="6"/>
        <v>62.89</v>
      </c>
      <c r="J143" s="132">
        <f t="shared" si="7"/>
        <v>0.09114492754</v>
      </c>
      <c r="K143" s="132"/>
    </row>
    <row r="144" hidden="1">
      <c r="A144" s="133" t="s">
        <v>2994</v>
      </c>
      <c r="B144" s="133" t="s">
        <v>2995</v>
      </c>
      <c r="C144" s="130">
        <v>1099.0</v>
      </c>
      <c r="D144" s="131"/>
      <c r="E144" s="130">
        <v>778.12</v>
      </c>
      <c r="F144" s="132">
        <v>0.1</v>
      </c>
      <c r="G144" s="130">
        <f t="shared" si="1"/>
        <v>109.9</v>
      </c>
      <c r="H144" s="130">
        <v>70.75999999999999</v>
      </c>
      <c r="I144" s="130">
        <f t="shared" si="6"/>
        <v>140.22</v>
      </c>
      <c r="J144" s="132">
        <f t="shared" si="7"/>
        <v>0.1802035676</v>
      </c>
      <c r="K144" s="132"/>
    </row>
    <row r="145" hidden="1">
      <c r="A145" s="133" t="s">
        <v>2996</v>
      </c>
      <c r="B145" s="133" t="s">
        <v>2997</v>
      </c>
      <c r="C145" s="130">
        <v>1429.0</v>
      </c>
      <c r="D145" s="131"/>
      <c r="E145" s="130">
        <v>1044.0</v>
      </c>
      <c r="F145" s="132">
        <v>0.1</v>
      </c>
      <c r="G145" s="130">
        <f t="shared" si="1"/>
        <v>142.9</v>
      </c>
      <c r="H145" s="130">
        <v>84.67999999999999</v>
      </c>
      <c r="I145" s="130">
        <f t="shared" si="6"/>
        <v>157.42</v>
      </c>
      <c r="J145" s="132">
        <f t="shared" si="7"/>
        <v>0.1507854406</v>
      </c>
      <c r="K145" s="132"/>
    </row>
    <row r="146" hidden="1">
      <c r="A146" s="133" t="s">
        <v>2998</v>
      </c>
      <c r="B146" s="133" t="s">
        <v>2999</v>
      </c>
      <c r="C146" s="130">
        <v>1999.0</v>
      </c>
      <c r="D146" s="131"/>
      <c r="E146" s="130">
        <v>1044.0</v>
      </c>
      <c r="F146" s="132">
        <v>0.1</v>
      </c>
      <c r="G146" s="130">
        <f t="shared" si="1"/>
        <v>199.9</v>
      </c>
      <c r="H146" s="130">
        <v>78.88</v>
      </c>
      <c r="I146" s="130">
        <f t="shared" si="6"/>
        <v>676.22</v>
      </c>
      <c r="J146" s="132">
        <f t="shared" si="7"/>
        <v>0.6477203065</v>
      </c>
      <c r="K146" s="132"/>
    </row>
    <row r="147" hidden="1">
      <c r="A147" s="133" t="s">
        <v>2998</v>
      </c>
      <c r="B147" s="133" t="s">
        <v>2999</v>
      </c>
      <c r="C147" s="130">
        <v>1599.0</v>
      </c>
      <c r="D147" s="131"/>
      <c r="E147" s="130">
        <v>1044.0</v>
      </c>
      <c r="F147" s="132">
        <v>0.1</v>
      </c>
      <c r="G147" s="130">
        <f t="shared" si="1"/>
        <v>159.9</v>
      </c>
      <c r="H147" s="130">
        <v>78.88</v>
      </c>
      <c r="I147" s="130">
        <f t="shared" si="6"/>
        <v>316.22</v>
      </c>
      <c r="J147" s="132">
        <f t="shared" si="7"/>
        <v>0.3028927203</v>
      </c>
      <c r="K147" s="132"/>
    </row>
    <row r="148" hidden="1">
      <c r="A148" s="133" t="s">
        <v>3000</v>
      </c>
      <c r="B148" s="133" t="s">
        <v>3001</v>
      </c>
      <c r="C148" s="130">
        <v>239.0</v>
      </c>
      <c r="D148" s="131"/>
      <c r="E148" s="130">
        <v>111.7</v>
      </c>
      <c r="F148" s="132">
        <v>0.15</v>
      </c>
      <c r="G148" s="130">
        <f t="shared" si="1"/>
        <v>35.85</v>
      </c>
      <c r="H148" s="130">
        <v>70.75999999999999</v>
      </c>
      <c r="I148" s="130">
        <f t="shared" si="6"/>
        <v>20.69</v>
      </c>
      <c r="J148" s="132">
        <f t="shared" si="7"/>
        <v>0.1852282901</v>
      </c>
      <c r="K148" s="132"/>
    </row>
    <row r="149" hidden="1">
      <c r="A149" s="133" t="s">
        <v>3002</v>
      </c>
      <c r="B149" s="143" t="s">
        <v>3003</v>
      </c>
      <c r="C149" s="130">
        <v>1197.0</v>
      </c>
      <c r="D149" s="131"/>
      <c r="E149" s="130">
        <v>1044.0</v>
      </c>
      <c r="F149" s="132">
        <v>0.11</v>
      </c>
      <c r="G149" s="130">
        <f t="shared" si="1"/>
        <v>131.67</v>
      </c>
      <c r="H149" s="130">
        <v>78.88</v>
      </c>
      <c r="I149" s="130">
        <f t="shared" si="6"/>
        <v>-57.55</v>
      </c>
      <c r="J149" s="132">
        <f t="shared" si="7"/>
        <v>-0.05512452107</v>
      </c>
      <c r="K149" s="132"/>
    </row>
    <row r="150" hidden="1">
      <c r="A150" s="133" t="s">
        <v>3004</v>
      </c>
      <c r="B150" s="133" t="s">
        <v>3005</v>
      </c>
      <c r="C150" s="130">
        <v>269.0</v>
      </c>
      <c r="D150" s="131"/>
      <c r="E150" s="130">
        <v>143.37</v>
      </c>
      <c r="F150" s="132">
        <v>0.15</v>
      </c>
      <c r="G150" s="130">
        <f t="shared" si="1"/>
        <v>40.35</v>
      </c>
      <c r="H150" s="130">
        <v>70.75999999999999</v>
      </c>
      <c r="I150" s="130">
        <f t="shared" si="6"/>
        <v>14.52</v>
      </c>
      <c r="J150" s="132">
        <f t="shared" si="7"/>
        <v>0.1012764177</v>
      </c>
      <c r="K150" s="132"/>
    </row>
    <row r="151" hidden="1">
      <c r="A151" s="133" t="s">
        <v>3006</v>
      </c>
      <c r="B151" s="133" t="s">
        <v>3007</v>
      </c>
      <c r="C151" s="130">
        <v>999.0</v>
      </c>
      <c r="D151" s="131"/>
      <c r="E151" s="130">
        <v>683.5</v>
      </c>
      <c r="F151" s="132">
        <v>0.15</v>
      </c>
      <c r="G151" s="130">
        <f t="shared" si="1"/>
        <v>149.85</v>
      </c>
      <c r="H151" s="130">
        <v>70.75999999999999</v>
      </c>
      <c r="I151" s="130">
        <f t="shared" si="6"/>
        <v>94.89</v>
      </c>
      <c r="J151" s="132">
        <f t="shared" si="7"/>
        <v>0.1388295538</v>
      </c>
      <c r="K151" s="132"/>
    </row>
    <row r="152" hidden="1">
      <c r="A152" s="133" t="s">
        <v>3008</v>
      </c>
      <c r="B152" s="133" t="s">
        <v>3009</v>
      </c>
      <c r="C152" s="134">
        <v>999.0</v>
      </c>
      <c r="D152" s="131"/>
      <c r="E152" s="130">
        <v>683.5</v>
      </c>
      <c r="F152" s="132">
        <v>0.15</v>
      </c>
      <c r="G152" s="130">
        <f t="shared" si="1"/>
        <v>149.85</v>
      </c>
      <c r="H152" s="130">
        <v>70.75999999999999</v>
      </c>
      <c r="I152" s="130">
        <f t="shared" si="6"/>
        <v>94.89</v>
      </c>
      <c r="J152" s="132">
        <f t="shared" si="7"/>
        <v>0.1388295538</v>
      </c>
      <c r="K152" s="132"/>
    </row>
    <row r="153" hidden="1">
      <c r="A153" s="133" t="s">
        <v>3010</v>
      </c>
      <c r="B153" s="133" t="s">
        <v>3011</v>
      </c>
      <c r="C153" s="130">
        <v>3399.0</v>
      </c>
      <c r="D153" s="131"/>
      <c r="E153" s="130">
        <v>2758.51</v>
      </c>
      <c r="F153" s="132">
        <v>0.1</v>
      </c>
      <c r="G153" s="130">
        <f t="shared" si="1"/>
        <v>339.9</v>
      </c>
      <c r="H153" s="130">
        <v>112.52</v>
      </c>
      <c r="I153" s="130">
        <f t="shared" si="6"/>
        <v>188.07</v>
      </c>
      <c r="J153" s="132">
        <f t="shared" si="7"/>
        <v>0.06817811065</v>
      </c>
      <c r="K153" s="132"/>
    </row>
    <row r="154" hidden="1">
      <c r="A154" s="133" t="s">
        <v>3012</v>
      </c>
      <c r="B154" s="133" t="s">
        <v>3013</v>
      </c>
      <c r="C154" s="130">
        <v>2299.0</v>
      </c>
      <c r="D154" s="131"/>
      <c r="E154" s="130">
        <v>1792.08</v>
      </c>
      <c r="F154" s="132">
        <v>0.13</v>
      </c>
      <c r="G154" s="130">
        <f t="shared" si="1"/>
        <v>298.87</v>
      </c>
      <c r="H154" s="130">
        <v>70.75999999999999</v>
      </c>
      <c r="I154" s="130">
        <f t="shared" si="6"/>
        <v>137.29</v>
      </c>
      <c r="J154" s="132">
        <f t="shared" si="7"/>
        <v>0.07660930316</v>
      </c>
      <c r="K154" s="132"/>
    </row>
    <row r="155" hidden="1">
      <c r="A155" s="133" t="s">
        <v>3014</v>
      </c>
      <c r="B155" s="133" t="s">
        <v>3015</v>
      </c>
      <c r="C155" s="130">
        <v>810.0</v>
      </c>
      <c r="D155" s="131"/>
      <c r="E155" s="130">
        <v>603.48</v>
      </c>
      <c r="F155" s="132">
        <v>0.1</v>
      </c>
      <c r="G155" s="130">
        <f t="shared" si="1"/>
        <v>81</v>
      </c>
      <c r="H155" s="130">
        <v>70.75999999999999</v>
      </c>
      <c r="I155" s="130">
        <f t="shared" si="6"/>
        <v>54.76</v>
      </c>
      <c r="J155" s="132">
        <f t="shared" si="7"/>
        <v>0.09074037251</v>
      </c>
      <c r="K155" s="132"/>
    </row>
    <row r="156" hidden="1">
      <c r="A156" s="133" t="s">
        <v>3016</v>
      </c>
      <c r="B156" s="133" t="s">
        <v>3017</v>
      </c>
      <c r="C156" s="130">
        <v>2999.0</v>
      </c>
      <c r="D156" s="131"/>
      <c r="E156" s="130">
        <v>2367.48</v>
      </c>
      <c r="F156" s="132">
        <v>0.1</v>
      </c>
      <c r="G156" s="130">
        <f t="shared" si="1"/>
        <v>299.9</v>
      </c>
      <c r="H156" s="130">
        <v>70.75999999999999</v>
      </c>
      <c r="I156" s="130">
        <f t="shared" si="6"/>
        <v>260.86</v>
      </c>
      <c r="J156" s="132">
        <f t="shared" si="7"/>
        <v>0.1101846689</v>
      </c>
      <c r="K156" s="132"/>
    </row>
    <row r="157" hidden="1">
      <c r="A157" s="133" t="s">
        <v>3018</v>
      </c>
      <c r="B157" s="133" t="s">
        <v>3019</v>
      </c>
      <c r="C157" s="130">
        <v>2969.0</v>
      </c>
      <c r="D157" s="131"/>
      <c r="E157" s="130">
        <v>2367.48</v>
      </c>
      <c r="F157" s="132">
        <v>0.1</v>
      </c>
      <c r="G157" s="130">
        <f t="shared" si="1"/>
        <v>296.9</v>
      </c>
      <c r="H157" s="130">
        <v>70.75999999999999</v>
      </c>
      <c r="I157" s="130">
        <f t="shared" si="6"/>
        <v>233.86</v>
      </c>
      <c r="J157" s="132">
        <f t="shared" si="7"/>
        <v>0.09878013753</v>
      </c>
      <c r="K157" s="132"/>
    </row>
    <row r="158" hidden="1">
      <c r="A158" s="133" t="s">
        <v>3020</v>
      </c>
      <c r="B158" s="133" t="s">
        <v>3021</v>
      </c>
      <c r="C158" s="130">
        <v>2599.0</v>
      </c>
      <c r="D158" s="131"/>
      <c r="E158" s="130">
        <v>2367.48</v>
      </c>
      <c r="F158" s="132">
        <v>0.1</v>
      </c>
      <c r="G158" s="130">
        <f t="shared" si="1"/>
        <v>259.9</v>
      </c>
      <c r="H158" s="130">
        <v>70.75999999999999</v>
      </c>
      <c r="I158" s="130">
        <f t="shared" si="6"/>
        <v>-99.14</v>
      </c>
      <c r="J158" s="132">
        <f t="shared" si="7"/>
        <v>-0.04187574974</v>
      </c>
      <c r="K158" s="132"/>
    </row>
    <row r="159" hidden="1">
      <c r="A159" s="133" t="s">
        <v>3022</v>
      </c>
      <c r="B159" s="133" t="s">
        <v>3023</v>
      </c>
      <c r="C159" s="130">
        <v>2069.0</v>
      </c>
      <c r="D159" s="131"/>
      <c r="E159" s="130">
        <v>1810.43</v>
      </c>
      <c r="F159" s="132">
        <v>0.1</v>
      </c>
      <c r="G159" s="130">
        <f t="shared" si="1"/>
        <v>206.9</v>
      </c>
      <c r="H159" s="130">
        <v>84.67999999999999</v>
      </c>
      <c r="I159" s="130">
        <f t="shared" si="6"/>
        <v>-33.01</v>
      </c>
      <c r="J159" s="132">
        <f t="shared" si="7"/>
        <v>-0.01823323741</v>
      </c>
      <c r="K159" s="132"/>
    </row>
    <row r="160" hidden="1">
      <c r="A160" s="133" t="s">
        <v>3024</v>
      </c>
      <c r="B160" s="133" t="s">
        <v>3025</v>
      </c>
      <c r="C160" s="130">
        <v>959.0</v>
      </c>
      <c r="D160" s="131"/>
      <c r="E160" s="130">
        <v>673.11</v>
      </c>
      <c r="F160" s="132">
        <v>0.15</v>
      </c>
      <c r="G160" s="130">
        <f t="shared" si="1"/>
        <v>143.85</v>
      </c>
      <c r="H160" s="130">
        <v>70.75999999999999</v>
      </c>
      <c r="I160" s="130">
        <f t="shared" si="6"/>
        <v>71.28</v>
      </c>
      <c r="J160" s="132">
        <f t="shared" si="7"/>
        <v>0.1058965102</v>
      </c>
      <c r="K160" s="132"/>
    </row>
    <row r="161" hidden="1">
      <c r="A161" s="133" t="s">
        <v>3026</v>
      </c>
      <c r="B161" s="133" t="s">
        <v>3027</v>
      </c>
      <c r="C161" s="130">
        <v>299.0</v>
      </c>
      <c r="D161" s="131"/>
      <c r="E161" s="130">
        <v>135.78</v>
      </c>
      <c r="F161" s="132">
        <v>0.16</v>
      </c>
      <c r="G161" s="130">
        <f t="shared" si="1"/>
        <v>47.84</v>
      </c>
      <c r="H161" s="130">
        <v>70.75999999999999</v>
      </c>
      <c r="I161" s="130">
        <f t="shared" si="6"/>
        <v>44.62</v>
      </c>
      <c r="J161" s="132">
        <f t="shared" si="7"/>
        <v>0.3286198262</v>
      </c>
      <c r="K161" s="132"/>
    </row>
    <row r="162" hidden="1">
      <c r="A162" s="133" t="s">
        <v>3028</v>
      </c>
      <c r="B162" s="133" t="s">
        <v>3029</v>
      </c>
      <c r="C162" s="130">
        <v>1139.0</v>
      </c>
      <c r="D162" s="131"/>
      <c r="E162" s="130">
        <v>854.11</v>
      </c>
      <c r="F162" s="132">
        <v>0.1</v>
      </c>
      <c r="G162" s="130">
        <f t="shared" si="1"/>
        <v>113.9</v>
      </c>
      <c r="H162" s="130">
        <v>70.75999999999999</v>
      </c>
      <c r="I162" s="130">
        <f t="shared" si="6"/>
        <v>100.23</v>
      </c>
      <c r="J162" s="132">
        <f t="shared" si="7"/>
        <v>0.1173502242</v>
      </c>
      <c r="K162" s="132"/>
    </row>
    <row r="163" hidden="1">
      <c r="A163" s="133" t="s">
        <v>3030</v>
      </c>
      <c r="B163" s="133" t="s">
        <v>3031</v>
      </c>
      <c r="C163" s="130">
        <v>959.0</v>
      </c>
      <c r="D163" s="131"/>
      <c r="E163" s="130">
        <v>673.11</v>
      </c>
      <c r="F163" s="132">
        <v>0.15</v>
      </c>
      <c r="G163" s="130">
        <f t="shared" si="1"/>
        <v>143.85</v>
      </c>
      <c r="H163" s="130">
        <v>70.75999999999999</v>
      </c>
      <c r="I163" s="130">
        <f t="shared" si="6"/>
        <v>71.28</v>
      </c>
      <c r="J163" s="132">
        <f t="shared" si="7"/>
        <v>0.1058965102</v>
      </c>
      <c r="K163" s="132"/>
    </row>
    <row r="164" hidden="1">
      <c r="A164" s="133" t="s">
        <v>3032</v>
      </c>
      <c r="B164" s="143" t="s">
        <v>3033</v>
      </c>
      <c r="C164" s="130">
        <v>1932.0</v>
      </c>
      <c r="D164" s="131"/>
      <c r="E164" s="130">
        <v>1539.53</v>
      </c>
      <c r="F164" s="132">
        <v>0.16</v>
      </c>
      <c r="G164" s="130">
        <f t="shared" si="1"/>
        <v>309.12</v>
      </c>
      <c r="H164" s="130">
        <v>78.88</v>
      </c>
      <c r="I164" s="130">
        <f t="shared" si="6"/>
        <v>4.47</v>
      </c>
      <c r="J164" s="132">
        <f t="shared" si="7"/>
        <v>0.002903483531</v>
      </c>
      <c r="K164" s="132"/>
    </row>
    <row r="165" hidden="1">
      <c r="A165" s="133"/>
      <c r="B165" s="133" t="s">
        <v>3034</v>
      </c>
      <c r="C165" s="130">
        <v>720.0</v>
      </c>
      <c r="D165" s="131"/>
      <c r="E165" s="130">
        <v>513.83</v>
      </c>
      <c r="F165" s="132">
        <v>0.1</v>
      </c>
      <c r="G165" s="130">
        <f t="shared" si="1"/>
        <v>72</v>
      </c>
      <c r="H165" s="130">
        <v>71.92</v>
      </c>
      <c r="I165" s="130">
        <f t="shared" si="6"/>
        <v>62.25</v>
      </c>
      <c r="J165" s="132">
        <f t="shared" si="7"/>
        <v>0.1211490182</v>
      </c>
      <c r="K165" s="132"/>
    </row>
    <row r="166" hidden="1">
      <c r="A166" s="133" t="s">
        <v>3035</v>
      </c>
      <c r="B166" s="133" t="s">
        <v>3036</v>
      </c>
      <c r="C166" s="130">
        <v>1999.0</v>
      </c>
      <c r="D166" s="131"/>
      <c r="E166" s="130">
        <v>1612.63</v>
      </c>
      <c r="F166" s="132">
        <v>0.1</v>
      </c>
      <c r="G166" s="130">
        <f t="shared" si="1"/>
        <v>199.9</v>
      </c>
      <c r="H166" s="130">
        <v>71.92</v>
      </c>
      <c r="I166" s="130">
        <f t="shared" si="6"/>
        <v>114.55</v>
      </c>
      <c r="J166" s="132">
        <f t="shared" si="7"/>
        <v>0.071033033</v>
      </c>
      <c r="K166" s="132"/>
    </row>
    <row r="167" hidden="1">
      <c r="A167" s="133" t="s">
        <v>3037</v>
      </c>
      <c r="B167" s="131" t="s">
        <v>3038</v>
      </c>
      <c r="C167" s="130">
        <v>289.0</v>
      </c>
      <c r="D167" s="131"/>
      <c r="E167" s="130">
        <v>120.0</v>
      </c>
      <c r="F167" s="132">
        <v>0.1</v>
      </c>
      <c r="G167" s="130">
        <f t="shared" si="1"/>
        <v>28.9</v>
      </c>
      <c r="H167" s="130">
        <v>71.92</v>
      </c>
      <c r="I167" s="130">
        <f t="shared" si="6"/>
        <v>68.18</v>
      </c>
      <c r="J167" s="132">
        <f t="shared" si="7"/>
        <v>0.5681666667</v>
      </c>
      <c r="K167" s="132"/>
    </row>
    <row r="168" hidden="1">
      <c r="A168" s="133" t="s">
        <v>4590</v>
      </c>
      <c r="B168" s="133" t="s">
        <v>4591</v>
      </c>
      <c r="C168" s="130">
        <v>1199.0</v>
      </c>
      <c r="D168" s="131"/>
      <c r="E168" s="130">
        <v>651.45</v>
      </c>
      <c r="F168" s="132">
        <v>0.15</v>
      </c>
      <c r="G168" s="130">
        <f t="shared" si="1"/>
        <v>179.85</v>
      </c>
      <c r="H168" s="130">
        <v>71.92</v>
      </c>
      <c r="I168" s="130">
        <f t="shared" si="6"/>
        <v>295.78</v>
      </c>
      <c r="J168" s="132">
        <f t="shared" si="7"/>
        <v>0.4540333103</v>
      </c>
      <c r="K168" s="132"/>
    </row>
    <row r="169" hidden="1">
      <c r="A169" s="133" t="s">
        <v>3039</v>
      </c>
      <c r="B169" s="133" t="s">
        <v>3040</v>
      </c>
      <c r="C169" s="130">
        <v>1240.0</v>
      </c>
      <c r="D169" s="131"/>
      <c r="E169" s="130">
        <v>949.71</v>
      </c>
      <c r="F169" s="132">
        <v>0.1</v>
      </c>
      <c r="G169" s="130">
        <f t="shared" si="1"/>
        <v>124</v>
      </c>
      <c r="H169" s="130">
        <v>71.92</v>
      </c>
      <c r="I169" s="130">
        <f t="shared" si="6"/>
        <v>94.37</v>
      </c>
      <c r="J169" s="132">
        <f t="shared" si="7"/>
        <v>0.09936717524</v>
      </c>
      <c r="K169" s="132"/>
    </row>
    <row r="170" hidden="1">
      <c r="A170" s="133" t="s">
        <v>3041</v>
      </c>
      <c r="B170" s="133" t="s">
        <v>3042</v>
      </c>
      <c r="C170" s="130">
        <v>1599.0</v>
      </c>
      <c r="D170" s="131"/>
      <c r="E170" s="130">
        <v>1171.47</v>
      </c>
      <c r="F170" s="132">
        <v>0.15</v>
      </c>
      <c r="G170" s="130">
        <f t="shared" si="1"/>
        <v>239.85</v>
      </c>
      <c r="H170" s="130">
        <v>71.92</v>
      </c>
      <c r="I170" s="130">
        <f t="shared" si="6"/>
        <v>115.76</v>
      </c>
      <c r="J170" s="132">
        <f t="shared" si="7"/>
        <v>0.09881601748</v>
      </c>
      <c r="K170" s="132"/>
    </row>
    <row r="171" hidden="1">
      <c r="A171" s="133" t="s">
        <v>3043</v>
      </c>
      <c r="B171" s="133" t="s">
        <v>3044</v>
      </c>
      <c r="C171" s="130">
        <v>449.0</v>
      </c>
      <c r="D171" s="131"/>
      <c r="E171" s="130">
        <v>269.6</v>
      </c>
      <c r="F171" s="132">
        <v>0.15</v>
      </c>
      <c r="G171" s="130">
        <f t="shared" si="1"/>
        <v>67.35</v>
      </c>
      <c r="H171" s="130">
        <v>71.92</v>
      </c>
      <c r="I171" s="130">
        <f t="shared" si="6"/>
        <v>40.13</v>
      </c>
      <c r="J171" s="132">
        <f t="shared" si="7"/>
        <v>0.1488501484</v>
      </c>
      <c r="K171" s="132"/>
      <c r="L171" s="1" t="s">
        <v>4732</v>
      </c>
    </row>
    <row r="172" hidden="1">
      <c r="A172" s="133" t="s">
        <v>3045</v>
      </c>
      <c r="B172" s="133" t="s">
        <v>3046</v>
      </c>
      <c r="C172" s="130">
        <v>1123.0</v>
      </c>
      <c r="D172" s="131"/>
      <c r="E172" s="130">
        <v>1564.86</v>
      </c>
      <c r="F172" s="132">
        <v>0.15</v>
      </c>
      <c r="G172" s="130">
        <f t="shared" si="1"/>
        <v>168.45</v>
      </c>
      <c r="H172" s="130">
        <v>103.24</v>
      </c>
      <c r="I172" s="130">
        <f t="shared" si="6"/>
        <v>-713.55</v>
      </c>
      <c r="J172" s="132">
        <f t="shared" si="7"/>
        <v>-0.4559832828</v>
      </c>
      <c r="K172" s="132"/>
    </row>
    <row r="173" hidden="1">
      <c r="A173" s="133" t="s">
        <v>3047</v>
      </c>
      <c r="B173" s="133" t="s">
        <v>3048</v>
      </c>
      <c r="C173" s="130">
        <v>159.0</v>
      </c>
      <c r="D173" s="131"/>
      <c r="E173" s="130">
        <v>46.72</v>
      </c>
      <c r="F173" s="132">
        <v>0.15</v>
      </c>
      <c r="G173" s="130">
        <f t="shared" si="1"/>
        <v>23.85</v>
      </c>
      <c r="H173" s="130">
        <v>70.75999999999999</v>
      </c>
      <c r="I173" s="130">
        <f t="shared" si="6"/>
        <v>17.67</v>
      </c>
      <c r="J173" s="132">
        <f t="shared" si="7"/>
        <v>0.3782106164</v>
      </c>
      <c r="K173" s="132"/>
    </row>
    <row r="174" hidden="1">
      <c r="A174" s="133" t="s">
        <v>3049</v>
      </c>
      <c r="B174" s="133" t="s">
        <v>3050</v>
      </c>
      <c r="C174" s="130">
        <v>799.0</v>
      </c>
      <c r="D174" s="131"/>
      <c r="E174" s="130">
        <v>542.77</v>
      </c>
      <c r="F174" s="132">
        <v>0.15</v>
      </c>
      <c r="G174" s="130">
        <f t="shared" si="1"/>
        <v>119.85</v>
      </c>
      <c r="H174" s="130">
        <v>70.75999999999999</v>
      </c>
      <c r="I174" s="130">
        <f t="shared" si="6"/>
        <v>65.62</v>
      </c>
      <c r="J174" s="132">
        <f t="shared" si="7"/>
        <v>0.1208983547</v>
      </c>
      <c r="K174" s="132"/>
    </row>
    <row r="175" hidden="1">
      <c r="A175" s="133" t="s">
        <v>3051</v>
      </c>
      <c r="B175" s="143" t="s">
        <v>3052</v>
      </c>
      <c r="C175" s="130">
        <v>1089.0</v>
      </c>
      <c r="D175" s="131"/>
      <c r="E175" s="130">
        <v>795.84</v>
      </c>
      <c r="F175" s="132">
        <v>0.13</v>
      </c>
      <c r="G175" s="130">
        <f t="shared" si="1"/>
        <v>141.57</v>
      </c>
      <c r="H175" s="130">
        <v>70.75999999999999</v>
      </c>
      <c r="I175" s="130">
        <f t="shared" si="6"/>
        <v>80.83</v>
      </c>
      <c r="J175" s="132">
        <f t="shared" si="7"/>
        <v>0.1015656413</v>
      </c>
      <c r="K175" s="132"/>
    </row>
    <row r="176" hidden="1">
      <c r="A176" s="133" t="s">
        <v>3053</v>
      </c>
      <c r="B176" s="133" t="s">
        <v>3054</v>
      </c>
      <c r="C176" s="130">
        <v>924.0</v>
      </c>
      <c r="D176" s="131"/>
      <c r="E176" s="130">
        <v>822.15</v>
      </c>
      <c r="F176" s="132">
        <v>0.1</v>
      </c>
      <c r="G176" s="130">
        <f t="shared" si="1"/>
        <v>92.4</v>
      </c>
      <c r="H176" s="130">
        <v>70.75999999999999</v>
      </c>
      <c r="I176" s="130">
        <f t="shared" si="6"/>
        <v>-61.31</v>
      </c>
      <c r="J176" s="132">
        <f t="shared" si="7"/>
        <v>-0.07457276653</v>
      </c>
      <c r="K176" s="132"/>
    </row>
    <row r="177" hidden="1">
      <c r="A177" s="133" t="s">
        <v>3055</v>
      </c>
      <c r="B177" s="133" t="s">
        <v>3056</v>
      </c>
      <c r="C177" s="130">
        <v>369.0</v>
      </c>
      <c r="D177" s="131"/>
      <c r="E177" s="130">
        <v>234.09</v>
      </c>
      <c r="F177" s="132">
        <v>0.1</v>
      </c>
      <c r="G177" s="130">
        <f t="shared" si="1"/>
        <v>36.9</v>
      </c>
      <c r="H177" s="130">
        <v>70.75999999999999</v>
      </c>
      <c r="I177" s="130">
        <f t="shared" si="6"/>
        <v>27.25</v>
      </c>
      <c r="J177" s="132">
        <f t="shared" si="7"/>
        <v>0.1164082191</v>
      </c>
      <c r="K177" s="132"/>
    </row>
    <row r="178" hidden="1">
      <c r="A178" s="133" t="s">
        <v>3057</v>
      </c>
      <c r="B178" s="133" t="s">
        <v>3058</v>
      </c>
      <c r="C178" s="130">
        <v>338.0</v>
      </c>
      <c r="D178" s="131"/>
      <c r="E178" s="130">
        <v>165.79</v>
      </c>
      <c r="F178" s="132">
        <v>0.1</v>
      </c>
      <c r="G178" s="130">
        <f t="shared" si="1"/>
        <v>33.8</v>
      </c>
      <c r="H178" s="130">
        <v>70.75999999999999</v>
      </c>
      <c r="I178" s="130">
        <f t="shared" si="6"/>
        <v>67.65</v>
      </c>
      <c r="J178" s="132">
        <f t="shared" si="7"/>
        <v>0.4080463237</v>
      </c>
      <c r="K178" s="132"/>
    </row>
    <row r="179" hidden="1">
      <c r="A179" s="133" t="s">
        <v>3059</v>
      </c>
      <c r="B179" s="133" t="s">
        <v>3060</v>
      </c>
      <c r="C179" s="130">
        <v>729.0</v>
      </c>
      <c r="D179" s="131"/>
      <c r="E179" s="130">
        <v>525.0</v>
      </c>
      <c r="F179" s="132">
        <v>0.11</v>
      </c>
      <c r="G179" s="130">
        <f t="shared" si="1"/>
        <v>80.19</v>
      </c>
      <c r="H179" s="130">
        <v>70.75999999999999</v>
      </c>
      <c r="I179" s="130">
        <f t="shared" si="6"/>
        <v>53.05</v>
      </c>
      <c r="J179" s="132">
        <f t="shared" si="7"/>
        <v>0.101047619</v>
      </c>
      <c r="K179" s="132"/>
    </row>
    <row r="180" hidden="1">
      <c r="A180" s="133" t="s">
        <v>3061</v>
      </c>
      <c r="B180" s="133" t="s">
        <v>3062</v>
      </c>
      <c r="C180" s="130">
        <v>989.0</v>
      </c>
      <c r="D180" s="131"/>
      <c r="E180" s="130">
        <v>642.04</v>
      </c>
      <c r="F180" s="132">
        <v>0.15</v>
      </c>
      <c r="G180" s="130">
        <f t="shared" si="1"/>
        <v>148.35</v>
      </c>
      <c r="H180" s="130">
        <v>70.75999999999999</v>
      </c>
      <c r="I180" s="130">
        <f t="shared" si="6"/>
        <v>127.85</v>
      </c>
      <c r="J180" s="132">
        <f t="shared" si="7"/>
        <v>0.1991308953</v>
      </c>
      <c r="K180" s="132"/>
    </row>
    <row r="181" hidden="1">
      <c r="A181" s="133" t="s">
        <v>3063</v>
      </c>
      <c r="B181" s="133" t="s">
        <v>3064</v>
      </c>
      <c r="C181" s="130">
        <v>149.0</v>
      </c>
      <c r="D181" s="131"/>
      <c r="E181" s="130">
        <v>46.72</v>
      </c>
      <c r="F181" s="132">
        <v>0.15</v>
      </c>
      <c r="G181" s="130">
        <f t="shared" si="1"/>
        <v>22.35</v>
      </c>
      <c r="H181" s="130">
        <v>70.75999999999999</v>
      </c>
      <c r="I181" s="130">
        <f t="shared" si="6"/>
        <v>9.17</v>
      </c>
      <c r="J181" s="132">
        <f t="shared" si="7"/>
        <v>0.1962756849</v>
      </c>
      <c r="K181" s="132"/>
    </row>
    <row r="182" hidden="1">
      <c r="A182" s="133" t="s">
        <v>3065</v>
      </c>
      <c r="B182" s="133" t="s">
        <v>3066</v>
      </c>
      <c r="C182" s="130">
        <v>519.0</v>
      </c>
      <c r="D182" s="131"/>
      <c r="E182" s="130">
        <v>368.65</v>
      </c>
      <c r="F182" s="132">
        <v>0.15</v>
      </c>
      <c r="G182" s="130">
        <f t="shared" si="1"/>
        <v>77.85</v>
      </c>
      <c r="H182" s="130">
        <v>70.75999999999999</v>
      </c>
      <c r="I182" s="130">
        <f t="shared" si="6"/>
        <v>1.74</v>
      </c>
      <c r="J182" s="132">
        <f t="shared" si="7"/>
        <v>0.004719924047</v>
      </c>
      <c r="K182" s="132"/>
    </row>
    <row r="183" hidden="1">
      <c r="A183" s="133" t="s">
        <v>3067</v>
      </c>
      <c r="B183" s="133" t="s">
        <v>3068</v>
      </c>
      <c r="C183" s="130">
        <v>665.0</v>
      </c>
      <c r="D183" s="131"/>
      <c r="E183" s="130">
        <v>452.61</v>
      </c>
      <c r="F183" s="132">
        <v>0.15</v>
      </c>
      <c r="G183" s="130">
        <f t="shared" si="1"/>
        <v>99.75</v>
      </c>
      <c r="H183" s="130">
        <v>70.75999999999999</v>
      </c>
      <c r="I183" s="130">
        <f t="shared" si="6"/>
        <v>41.88</v>
      </c>
      <c r="J183" s="132">
        <f t="shared" si="7"/>
        <v>0.09252999271</v>
      </c>
      <c r="K183" s="132"/>
    </row>
    <row r="184" hidden="1">
      <c r="A184" s="133" t="s">
        <v>3069</v>
      </c>
      <c r="B184" s="133" t="s">
        <v>3070</v>
      </c>
      <c r="C184" s="130">
        <v>519.0</v>
      </c>
      <c r="D184" s="131"/>
      <c r="E184" s="130">
        <v>342.2</v>
      </c>
      <c r="F184" s="132">
        <v>0.1</v>
      </c>
      <c r="G184" s="130">
        <f t="shared" si="1"/>
        <v>51.9</v>
      </c>
      <c r="H184" s="130">
        <v>78.88</v>
      </c>
      <c r="I184" s="130">
        <f t="shared" si="6"/>
        <v>46.02</v>
      </c>
      <c r="J184" s="132">
        <f t="shared" si="7"/>
        <v>0.1344827586</v>
      </c>
      <c r="K184" s="132"/>
    </row>
    <row r="185" hidden="1">
      <c r="A185" s="133" t="s">
        <v>3071</v>
      </c>
      <c r="B185" s="133" t="s">
        <v>3072</v>
      </c>
      <c r="C185" s="130">
        <v>1599.0</v>
      </c>
      <c r="D185" s="131"/>
      <c r="E185" s="130">
        <v>1160.0</v>
      </c>
      <c r="F185" s="132">
        <v>0.15</v>
      </c>
      <c r="G185" s="130">
        <f t="shared" si="1"/>
        <v>239.85</v>
      </c>
      <c r="H185" s="130">
        <v>78.88</v>
      </c>
      <c r="I185" s="130">
        <f t="shared" si="6"/>
        <v>120.27</v>
      </c>
      <c r="J185" s="132">
        <f t="shared" si="7"/>
        <v>0.1036810345</v>
      </c>
      <c r="K185" s="132"/>
    </row>
    <row r="186" hidden="1">
      <c r="A186" s="133" t="s">
        <v>3073</v>
      </c>
      <c r="B186" s="133" t="s">
        <v>3074</v>
      </c>
      <c r="C186" s="130">
        <v>754.0</v>
      </c>
      <c r="D186" s="131"/>
      <c r="E186" s="130">
        <v>470.69</v>
      </c>
      <c r="F186" s="132">
        <v>0.1</v>
      </c>
      <c r="G186" s="130">
        <f t="shared" si="1"/>
        <v>75.4</v>
      </c>
      <c r="H186" s="130">
        <v>78.88</v>
      </c>
      <c r="I186" s="130">
        <f t="shared" si="6"/>
        <v>129.03</v>
      </c>
      <c r="J186" s="132">
        <f t="shared" si="7"/>
        <v>0.2741294695</v>
      </c>
      <c r="K186" s="132"/>
    </row>
    <row r="187" hidden="1">
      <c r="A187" s="133" t="s">
        <v>3075</v>
      </c>
      <c r="B187" s="133" t="s">
        <v>3076</v>
      </c>
      <c r="C187" s="130">
        <v>10599.0</v>
      </c>
      <c r="D187" s="131"/>
      <c r="E187" s="130">
        <v>7641.14</v>
      </c>
      <c r="F187" s="132">
        <v>0.15</v>
      </c>
      <c r="G187" s="130">
        <f t="shared" si="1"/>
        <v>1589.85</v>
      </c>
      <c r="H187" s="130">
        <v>265.64</v>
      </c>
      <c r="I187" s="130">
        <f t="shared" si="6"/>
        <v>1102.37</v>
      </c>
      <c r="J187" s="132">
        <f t="shared" si="7"/>
        <v>0.1442677402</v>
      </c>
      <c r="K187" s="132"/>
    </row>
    <row r="188" hidden="1">
      <c r="A188" s="133" t="s">
        <v>3077</v>
      </c>
      <c r="B188" s="133" t="s">
        <v>3078</v>
      </c>
      <c r="C188" s="130">
        <v>479.0</v>
      </c>
      <c r="D188" s="131"/>
      <c r="E188" s="130">
        <v>302.35</v>
      </c>
      <c r="F188" s="132">
        <v>0.15</v>
      </c>
      <c r="G188" s="130">
        <f t="shared" si="1"/>
        <v>71.85</v>
      </c>
      <c r="H188" s="130">
        <v>70.75999999999999</v>
      </c>
      <c r="I188" s="130">
        <f t="shared" si="6"/>
        <v>34.04</v>
      </c>
      <c r="J188" s="132">
        <f t="shared" si="7"/>
        <v>0.1125847528</v>
      </c>
      <c r="K188" s="132"/>
    </row>
    <row r="189" hidden="1">
      <c r="A189" s="133" t="s">
        <v>3079</v>
      </c>
      <c r="B189" s="133" t="s">
        <v>3080</v>
      </c>
      <c r="C189" s="130">
        <v>624.0</v>
      </c>
      <c r="D189" s="131"/>
      <c r="E189" s="130">
        <v>426.03</v>
      </c>
      <c r="F189" s="132">
        <v>0.15</v>
      </c>
      <c r="G189" s="130">
        <f t="shared" si="1"/>
        <v>93.6</v>
      </c>
      <c r="H189" s="130">
        <v>70.75999999999999</v>
      </c>
      <c r="I189" s="130">
        <f t="shared" si="6"/>
        <v>33.61</v>
      </c>
      <c r="J189" s="132">
        <f t="shared" si="7"/>
        <v>0.0788911579</v>
      </c>
      <c r="K189" s="132"/>
    </row>
    <row r="190" hidden="1">
      <c r="A190" s="133" t="s">
        <v>3081</v>
      </c>
      <c r="B190" s="133" t="s">
        <v>3082</v>
      </c>
      <c r="C190" s="130">
        <v>12999.0</v>
      </c>
      <c r="D190" s="131"/>
      <c r="E190" s="130">
        <v>10368.0</v>
      </c>
      <c r="F190" s="132">
        <v>0.1</v>
      </c>
      <c r="G190" s="130">
        <f t="shared" si="1"/>
        <v>1299.9</v>
      </c>
      <c r="H190" s="130">
        <v>103.24</v>
      </c>
      <c r="I190" s="130">
        <f t="shared" si="6"/>
        <v>1227.86</v>
      </c>
      <c r="J190" s="132">
        <f t="shared" si="7"/>
        <v>0.1184278549</v>
      </c>
      <c r="K190" s="132"/>
    </row>
    <row r="191" hidden="1">
      <c r="A191" s="133" t="s">
        <v>3083</v>
      </c>
      <c r="B191" s="133" t="s">
        <v>3084</v>
      </c>
      <c r="C191" s="130">
        <v>5306.0</v>
      </c>
      <c r="D191" s="131"/>
      <c r="E191" s="130">
        <v>4293.61</v>
      </c>
      <c r="F191" s="132">
        <v>0.1</v>
      </c>
      <c r="G191" s="130">
        <f t="shared" si="1"/>
        <v>530.6</v>
      </c>
      <c r="H191" s="130">
        <v>103.24</v>
      </c>
      <c r="I191" s="130">
        <f t="shared" si="6"/>
        <v>378.55</v>
      </c>
      <c r="J191" s="132">
        <f t="shared" si="7"/>
        <v>0.08816590235</v>
      </c>
      <c r="K191" s="132"/>
    </row>
    <row r="192" hidden="1">
      <c r="A192" s="133" t="s">
        <v>3085</v>
      </c>
      <c r="B192" s="133" t="s">
        <v>3086</v>
      </c>
      <c r="C192" s="130">
        <v>1499.0</v>
      </c>
      <c r="D192" s="131"/>
      <c r="E192" s="130">
        <v>890.85</v>
      </c>
      <c r="F192" s="132">
        <v>0.16</v>
      </c>
      <c r="G192" s="130">
        <f t="shared" si="1"/>
        <v>239.84</v>
      </c>
      <c r="H192" s="130">
        <v>70.75999999999999</v>
      </c>
      <c r="I192" s="130">
        <f t="shared" si="6"/>
        <v>297.55</v>
      </c>
      <c r="J192" s="132">
        <f t="shared" si="7"/>
        <v>0.3340068474</v>
      </c>
      <c r="K192" s="132"/>
    </row>
    <row r="193" hidden="1">
      <c r="A193" s="133" t="s">
        <v>3087</v>
      </c>
      <c r="B193" s="133" t="s">
        <v>3088</v>
      </c>
      <c r="C193" s="130">
        <v>799.0</v>
      </c>
      <c r="D193" s="131"/>
      <c r="E193" s="130">
        <v>560.84</v>
      </c>
      <c r="F193" s="132">
        <v>0.15</v>
      </c>
      <c r="G193" s="130">
        <f t="shared" si="1"/>
        <v>119.85</v>
      </c>
      <c r="H193" s="130">
        <v>71.92</v>
      </c>
      <c r="I193" s="130">
        <f t="shared" si="6"/>
        <v>46.39</v>
      </c>
      <c r="J193" s="132">
        <f t="shared" si="7"/>
        <v>0.08271521289</v>
      </c>
      <c r="K193" s="132"/>
    </row>
    <row r="194" hidden="1">
      <c r="A194" s="133" t="s">
        <v>3087</v>
      </c>
      <c r="B194" s="133" t="s">
        <v>3089</v>
      </c>
      <c r="C194" s="130">
        <v>499.0</v>
      </c>
      <c r="D194" s="131"/>
      <c r="E194" s="130">
        <v>308.83</v>
      </c>
      <c r="F194" s="132">
        <v>0.15</v>
      </c>
      <c r="G194" s="130">
        <f t="shared" si="1"/>
        <v>74.85</v>
      </c>
      <c r="H194" s="130">
        <v>71.92</v>
      </c>
      <c r="I194" s="130">
        <f t="shared" si="6"/>
        <v>43.4</v>
      </c>
      <c r="J194" s="132">
        <f t="shared" si="7"/>
        <v>0.1405303889</v>
      </c>
      <c r="K194" s="132"/>
    </row>
    <row r="195" hidden="1">
      <c r="A195" s="133" t="s">
        <v>3087</v>
      </c>
      <c r="B195" s="133" t="s">
        <v>3090</v>
      </c>
      <c r="C195" s="130">
        <v>499.0</v>
      </c>
      <c r="D195" s="131"/>
      <c r="E195" s="130">
        <v>314.73</v>
      </c>
      <c r="F195" s="132">
        <v>0.15</v>
      </c>
      <c r="G195" s="130">
        <f t="shared" si="1"/>
        <v>74.85</v>
      </c>
      <c r="H195" s="130">
        <v>71.92</v>
      </c>
      <c r="I195" s="130">
        <f t="shared" si="6"/>
        <v>37.5</v>
      </c>
      <c r="J195" s="132">
        <f t="shared" si="7"/>
        <v>0.1191497474</v>
      </c>
      <c r="K195" s="132"/>
    </row>
    <row r="196" hidden="1">
      <c r="A196" s="133" t="s">
        <v>3092</v>
      </c>
      <c r="B196" s="133" t="s">
        <v>3093</v>
      </c>
      <c r="C196" s="130">
        <v>2149.0</v>
      </c>
      <c r="D196" s="131"/>
      <c r="E196" s="130">
        <v>1650.62</v>
      </c>
      <c r="F196" s="132">
        <v>0.1</v>
      </c>
      <c r="G196" s="130">
        <f t="shared" si="1"/>
        <v>214.9</v>
      </c>
      <c r="H196" s="130">
        <v>78.88</v>
      </c>
      <c r="I196" s="130">
        <f t="shared" si="6"/>
        <v>204.6</v>
      </c>
      <c r="J196" s="132">
        <f t="shared" si="7"/>
        <v>0.1239534236</v>
      </c>
      <c r="K196" s="132"/>
    </row>
    <row r="197" hidden="1">
      <c r="A197" s="133" t="s">
        <v>3094</v>
      </c>
      <c r="B197" s="143" t="s">
        <v>3095</v>
      </c>
      <c r="C197" s="130">
        <v>356.0</v>
      </c>
      <c r="D197" s="131"/>
      <c r="E197" s="130">
        <v>411.45</v>
      </c>
      <c r="F197" s="132">
        <v>0.11</v>
      </c>
      <c r="G197" s="130">
        <f t="shared" si="1"/>
        <v>39.16</v>
      </c>
      <c r="H197" s="130">
        <v>70.75999999999999</v>
      </c>
      <c r="I197" s="130">
        <f t="shared" si="6"/>
        <v>-165.37</v>
      </c>
      <c r="J197" s="132">
        <f t="shared" si="7"/>
        <v>-0.4019200389</v>
      </c>
      <c r="K197" s="132"/>
    </row>
    <row r="198" hidden="1">
      <c r="A198" s="133" t="s">
        <v>3096</v>
      </c>
      <c r="B198" s="133" t="s">
        <v>3097</v>
      </c>
      <c r="C198" s="130">
        <v>3399.0</v>
      </c>
      <c r="D198" s="131"/>
      <c r="E198" s="130">
        <v>2699.52</v>
      </c>
      <c r="F198" s="132">
        <v>0.1</v>
      </c>
      <c r="G198" s="130">
        <f t="shared" si="1"/>
        <v>339.9</v>
      </c>
      <c r="H198" s="130">
        <v>84.67999999999999</v>
      </c>
      <c r="I198" s="130">
        <f t="shared" si="6"/>
        <v>274.9</v>
      </c>
      <c r="J198" s="132">
        <f t="shared" si="7"/>
        <v>0.1018329184</v>
      </c>
      <c r="K198" s="132"/>
    </row>
    <row r="199" hidden="1">
      <c r="A199" s="133" t="s">
        <v>3098</v>
      </c>
      <c r="B199" s="133" t="s">
        <v>3099</v>
      </c>
      <c r="C199" s="130">
        <v>2410.0</v>
      </c>
      <c r="D199" s="131"/>
      <c r="E199" s="130">
        <v>1909.42</v>
      </c>
      <c r="F199" s="132">
        <v>0.1</v>
      </c>
      <c r="G199" s="130">
        <f t="shared" si="1"/>
        <v>241</v>
      </c>
      <c r="H199" s="130">
        <v>78.88</v>
      </c>
      <c r="I199" s="130">
        <f t="shared" si="6"/>
        <v>180.7</v>
      </c>
      <c r="J199" s="132">
        <f t="shared" si="7"/>
        <v>0.0946360675</v>
      </c>
      <c r="K199" s="132"/>
    </row>
    <row r="200" hidden="1">
      <c r="A200" s="133" t="s">
        <v>3100</v>
      </c>
      <c r="B200" s="143" t="s">
        <v>3101</v>
      </c>
      <c r="C200" s="130">
        <v>1189.0</v>
      </c>
      <c r="D200" s="131"/>
      <c r="E200" s="130">
        <v>1199.74</v>
      </c>
      <c r="F200" s="132">
        <v>0.11</v>
      </c>
      <c r="G200" s="130">
        <f t="shared" si="1"/>
        <v>130.79</v>
      </c>
      <c r="H200" s="130">
        <v>84.67999999999999</v>
      </c>
      <c r="I200" s="130">
        <f t="shared" si="6"/>
        <v>-226.21</v>
      </c>
      <c r="J200" s="132">
        <f t="shared" si="7"/>
        <v>-0.1885491857</v>
      </c>
      <c r="K200" s="132"/>
    </row>
    <row r="201" hidden="1">
      <c r="A201" s="133" t="s">
        <v>3102</v>
      </c>
      <c r="B201" s="133" t="s">
        <v>3103</v>
      </c>
      <c r="C201" s="130">
        <v>629.0</v>
      </c>
      <c r="D201" s="131"/>
      <c r="E201" s="130">
        <v>449.52</v>
      </c>
      <c r="F201" s="132">
        <v>0.1</v>
      </c>
      <c r="G201" s="130">
        <f t="shared" si="1"/>
        <v>62.9</v>
      </c>
      <c r="H201" s="130">
        <v>70.75999999999999</v>
      </c>
      <c r="I201" s="130">
        <f t="shared" si="6"/>
        <v>45.82</v>
      </c>
      <c r="J201" s="132">
        <f t="shared" si="7"/>
        <v>0.1019309486</v>
      </c>
      <c r="K201" s="132"/>
    </row>
    <row r="202" hidden="1">
      <c r="A202" s="133" t="s">
        <v>3104</v>
      </c>
      <c r="B202" s="133" t="s">
        <v>3105</v>
      </c>
      <c r="C202" s="130">
        <v>529.0</v>
      </c>
      <c r="D202" s="131"/>
      <c r="E202" s="130">
        <v>362.48</v>
      </c>
      <c r="F202" s="132">
        <v>0.1</v>
      </c>
      <c r="G202" s="130">
        <f t="shared" si="1"/>
        <v>52.9</v>
      </c>
      <c r="H202" s="130">
        <v>70.75999999999999</v>
      </c>
      <c r="I202" s="130">
        <f t="shared" si="6"/>
        <v>42.86</v>
      </c>
      <c r="J202" s="132">
        <f t="shared" si="7"/>
        <v>0.1182410064</v>
      </c>
      <c r="K202" s="132"/>
    </row>
    <row r="203" hidden="1">
      <c r="A203" s="133" t="s">
        <v>3106</v>
      </c>
      <c r="B203" s="133" t="s">
        <v>3107</v>
      </c>
      <c r="C203" s="130">
        <v>1709.0</v>
      </c>
      <c r="D203" s="131"/>
      <c r="E203" s="130">
        <v>1470.13</v>
      </c>
      <c r="F203" s="132">
        <v>0.15</v>
      </c>
      <c r="G203" s="130">
        <f t="shared" si="1"/>
        <v>256.35</v>
      </c>
      <c r="H203" s="130">
        <v>70.75999999999999</v>
      </c>
      <c r="I203" s="130">
        <f t="shared" si="6"/>
        <v>-88.24</v>
      </c>
      <c r="J203" s="132">
        <f t="shared" si="7"/>
        <v>-0.06002190282</v>
      </c>
      <c r="K203" s="132"/>
    </row>
    <row r="204">
      <c r="A204" s="133" t="s">
        <v>3108</v>
      </c>
      <c r="B204" s="133" t="s">
        <v>3109</v>
      </c>
      <c r="C204" s="134">
        <v>308.0</v>
      </c>
      <c r="D204" s="131"/>
      <c r="E204" s="130">
        <v>431.1</v>
      </c>
      <c r="F204" s="135">
        <v>0.15</v>
      </c>
      <c r="G204" s="130">
        <f t="shared" si="1"/>
        <v>46.2</v>
      </c>
      <c r="H204" s="130">
        <v>70.75999999999999</v>
      </c>
      <c r="I204" s="130">
        <f t="shared" si="6"/>
        <v>-240.06</v>
      </c>
      <c r="J204" s="132">
        <f t="shared" si="7"/>
        <v>-0.5568545581</v>
      </c>
      <c r="K204" s="142" t="s">
        <v>4731</v>
      </c>
    </row>
    <row r="205" hidden="1">
      <c r="A205" s="133" t="s">
        <v>3110</v>
      </c>
      <c r="B205" s="133" t="s">
        <v>3111</v>
      </c>
      <c r="C205" s="130">
        <v>3299.0</v>
      </c>
      <c r="D205" s="131"/>
      <c r="E205" s="130">
        <v>2463.43</v>
      </c>
      <c r="F205" s="132">
        <v>0.15</v>
      </c>
      <c r="G205" s="130">
        <f t="shared" si="1"/>
        <v>494.85</v>
      </c>
      <c r="H205" s="130">
        <v>78.88</v>
      </c>
      <c r="I205" s="130">
        <f t="shared" si="6"/>
        <v>261.84</v>
      </c>
      <c r="J205" s="132">
        <f t="shared" si="7"/>
        <v>0.1062908221</v>
      </c>
      <c r="K205" s="132"/>
    </row>
    <row r="206" hidden="1">
      <c r="A206" s="133" t="s">
        <v>3112</v>
      </c>
      <c r="B206" s="133" t="s">
        <v>3005</v>
      </c>
      <c r="C206" s="130">
        <v>219.0</v>
      </c>
      <c r="D206" s="131"/>
      <c r="E206" s="130">
        <v>96.19</v>
      </c>
      <c r="F206" s="132">
        <v>0.15</v>
      </c>
      <c r="G206" s="130">
        <f t="shared" si="1"/>
        <v>32.85</v>
      </c>
      <c r="H206" s="130">
        <v>78.88</v>
      </c>
      <c r="I206" s="130">
        <f t="shared" si="6"/>
        <v>11.08</v>
      </c>
      <c r="J206" s="132">
        <f t="shared" si="7"/>
        <v>0.1151886891</v>
      </c>
      <c r="K206" s="132"/>
    </row>
    <row r="207" hidden="1">
      <c r="A207" s="133" t="s">
        <v>3113</v>
      </c>
      <c r="B207" s="133" t="s">
        <v>3114</v>
      </c>
      <c r="C207" s="130">
        <v>2000.0</v>
      </c>
      <c r="D207" s="131"/>
      <c r="E207" s="130">
        <v>1509.38</v>
      </c>
      <c r="F207" s="132">
        <v>0.1</v>
      </c>
      <c r="G207" s="130">
        <f t="shared" si="1"/>
        <v>200</v>
      </c>
      <c r="H207" s="130">
        <v>102.08</v>
      </c>
      <c r="I207" s="130">
        <f t="shared" si="6"/>
        <v>188.54</v>
      </c>
      <c r="J207" s="132">
        <f t="shared" si="7"/>
        <v>0.1249122156</v>
      </c>
      <c r="K207" s="132"/>
    </row>
    <row r="208" hidden="1">
      <c r="A208" s="133" t="s">
        <v>3115</v>
      </c>
      <c r="B208" s="143" t="s">
        <v>3116</v>
      </c>
      <c r="C208" s="130">
        <v>2653.0</v>
      </c>
      <c r="D208" s="131"/>
      <c r="E208" s="130">
        <v>2941.34</v>
      </c>
      <c r="F208" s="132">
        <v>0.11</v>
      </c>
      <c r="G208" s="130">
        <f t="shared" si="1"/>
        <v>291.83</v>
      </c>
      <c r="H208" s="130">
        <v>102.08</v>
      </c>
      <c r="I208" s="130">
        <f t="shared" si="6"/>
        <v>-682.25</v>
      </c>
      <c r="J208" s="132">
        <f t="shared" si="7"/>
        <v>-0.2319521035</v>
      </c>
      <c r="K208" s="132"/>
    </row>
    <row r="209" hidden="1">
      <c r="A209" s="133" t="s">
        <v>3117</v>
      </c>
      <c r="B209" s="143" t="s">
        <v>3118</v>
      </c>
      <c r="C209" s="130">
        <v>889.0</v>
      </c>
      <c r="D209" s="131"/>
      <c r="E209" s="130">
        <v>1038.2</v>
      </c>
      <c r="F209" s="132">
        <v>0.11</v>
      </c>
      <c r="G209" s="130">
        <f t="shared" si="1"/>
        <v>97.79</v>
      </c>
      <c r="H209" s="130">
        <v>84.67999999999999</v>
      </c>
      <c r="I209" s="130">
        <f t="shared" si="6"/>
        <v>-331.67</v>
      </c>
      <c r="J209" s="132">
        <f t="shared" si="7"/>
        <v>-0.3194663841</v>
      </c>
      <c r="K209" s="132"/>
    </row>
    <row r="210" hidden="1">
      <c r="A210" s="133" t="s">
        <v>3119</v>
      </c>
      <c r="B210" s="133" t="s">
        <v>3120</v>
      </c>
      <c r="C210" s="130">
        <v>2233.0</v>
      </c>
      <c r="D210" s="131"/>
      <c r="E210" s="130">
        <v>1746.15</v>
      </c>
      <c r="F210" s="132">
        <v>0.1</v>
      </c>
      <c r="G210" s="130">
        <f t="shared" si="1"/>
        <v>223.3</v>
      </c>
      <c r="H210" s="130">
        <v>102.08</v>
      </c>
      <c r="I210" s="130">
        <f t="shared" si="6"/>
        <v>161.47</v>
      </c>
      <c r="J210" s="132">
        <f t="shared" si="7"/>
        <v>0.09247200985</v>
      </c>
      <c r="K210" s="132"/>
    </row>
    <row r="211" hidden="1">
      <c r="A211" s="133" t="s">
        <v>3121</v>
      </c>
      <c r="B211" s="133" t="s">
        <v>3122</v>
      </c>
      <c r="C211" s="130">
        <v>2099.0</v>
      </c>
      <c r="D211" s="131"/>
      <c r="E211" s="130">
        <v>1563.41</v>
      </c>
      <c r="F211" s="132">
        <v>0.1</v>
      </c>
      <c r="G211" s="130">
        <f t="shared" si="1"/>
        <v>209.9</v>
      </c>
      <c r="H211" s="130">
        <v>70.75999999999999</v>
      </c>
      <c r="I211" s="130">
        <f t="shared" si="6"/>
        <v>254.93</v>
      </c>
      <c r="J211" s="132">
        <f t="shared" si="7"/>
        <v>0.1630602337</v>
      </c>
      <c r="K211" s="132"/>
    </row>
    <row r="212" hidden="1">
      <c r="A212" s="133" t="s">
        <v>3092</v>
      </c>
      <c r="B212" s="133" t="s">
        <v>3093</v>
      </c>
      <c r="C212" s="130">
        <v>2099.0</v>
      </c>
      <c r="D212" s="131"/>
      <c r="E212" s="130">
        <v>1650.62</v>
      </c>
      <c r="F212" s="132">
        <v>0.1</v>
      </c>
      <c r="G212" s="130">
        <f t="shared" si="1"/>
        <v>209.9</v>
      </c>
      <c r="H212" s="130">
        <v>70.75999999999999</v>
      </c>
      <c r="I212" s="130">
        <f t="shared" si="6"/>
        <v>167.72</v>
      </c>
      <c r="J212" s="132">
        <f t="shared" si="7"/>
        <v>0.101610304</v>
      </c>
      <c r="K212" s="132"/>
    </row>
    <row r="213" hidden="1">
      <c r="A213" s="133"/>
      <c r="B213" s="133" t="s">
        <v>3123</v>
      </c>
      <c r="C213" s="130">
        <v>3949.0</v>
      </c>
      <c r="D213" s="131"/>
      <c r="E213" s="130">
        <v>2895.95</v>
      </c>
      <c r="F213" s="132">
        <v>0.14</v>
      </c>
      <c r="G213" s="130">
        <f t="shared" si="1"/>
        <v>552.86</v>
      </c>
      <c r="H213" s="130">
        <v>270.28</v>
      </c>
      <c r="I213" s="130">
        <f t="shared" si="6"/>
        <v>229.91</v>
      </c>
      <c r="J213" s="132">
        <f t="shared" si="7"/>
        <v>0.07939018284</v>
      </c>
      <c r="K213" s="132"/>
    </row>
    <row r="214" hidden="1">
      <c r="A214" s="133" t="s">
        <v>3124</v>
      </c>
      <c r="B214" s="133" t="s">
        <v>3125</v>
      </c>
      <c r="C214" s="130">
        <v>480.0</v>
      </c>
      <c r="D214" s="131"/>
      <c r="E214" s="130">
        <v>318.15</v>
      </c>
      <c r="F214" s="132">
        <v>0.1</v>
      </c>
      <c r="G214" s="130">
        <f t="shared" si="1"/>
        <v>48</v>
      </c>
      <c r="H214" s="130">
        <v>69.6</v>
      </c>
      <c r="I214" s="130">
        <f t="shared" si="6"/>
        <v>44.25</v>
      </c>
      <c r="J214" s="132">
        <f t="shared" si="7"/>
        <v>0.1390853371</v>
      </c>
      <c r="K214" s="132"/>
    </row>
    <row r="215" hidden="1">
      <c r="A215" s="133" t="s">
        <v>3126</v>
      </c>
      <c r="B215" s="133" t="s">
        <v>3127</v>
      </c>
      <c r="C215" s="130">
        <v>1059.0</v>
      </c>
      <c r="D215" s="131"/>
      <c r="E215" s="130">
        <v>756.58</v>
      </c>
      <c r="F215" s="132">
        <v>0.15</v>
      </c>
      <c r="G215" s="130">
        <f t="shared" si="1"/>
        <v>158.85</v>
      </c>
      <c r="H215" s="130">
        <v>69.6</v>
      </c>
      <c r="I215" s="130">
        <f t="shared" si="6"/>
        <v>73.97</v>
      </c>
      <c r="J215" s="132">
        <f t="shared" si="7"/>
        <v>0.09776890745</v>
      </c>
      <c r="K215" s="132"/>
    </row>
    <row r="216" hidden="1">
      <c r="A216" s="133" t="s">
        <v>3128</v>
      </c>
      <c r="B216" s="133" t="s">
        <v>3129</v>
      </c>
      <c r="C216" s="130">
        <v>2799.0</v>
      </c>
      <c r="D216" s="131"/>
      <c r="E216" s="130">
        <v>2145.47</v>
      </c>
      <c r="F216" s="132">
        <v>0.1</v>
      </c>
      <c r="G216" s="130">
        <f t="shared" si="1"/>
        <v>279.9</v>
      </c>
      <c r="H216" s="130">
        <v>126.44</v>
      </c>
      <c r="I216" s="130">
        <f t="shared" si="6"/>
        <v>247.19</v>
      </c>
      <c r="J216" s="132">
        <f t="shared" si="7"/>
        <v>0.115214848</v>
      </c>
      <c r="K216" s="132"/>
    </row>
    <row r="217" hidden="1">
      <c r="A217" s="133" t="s">
        <v>3130</v>
      </c>
      <c r="B217" s="133" t="s">
        <v>3131</v>
      </c>
      <c r="C217" s="130">
        <v>469.0</v>
      </c>
      <c r="D217" s="131"/>
      <c r="E217" s="130">
        <v>292.62</v>
      </c>
      <c r="F217" s="132">
        <v>0.1</v>
      </c>
      <c r="G217" s="130">
        <f t="shared" si="1"/>
        <v>46.9</v>
      </c>
      <c r="H217" s="130">
        <v>70.75999999999999</v>
      </c>
      <c r="I217" s="130">
        <f t="shared" si="6"/>
        <v>58.72</v>
      </c>
      <c r="J217" s="132">
        <f t="shared" si="7"/>
        <v>0.2006698107</v>
      </c>
      <c r="K217" s="132"/>
    </row>
    <row r="218" hidden="1">
      <c r="A218" s="133"/>
      <c r="B218" s="133" t="s">
        <v>3133</v>
      </c>
      <c r="C218" s="130">
        <v>1099.0</v>
      </c>
      <c r="D218" s="131"/>
      <c r="E218" s="130">
        <v>763.3</v>
      </c>
      <c r="F218" s="132">
        <v>0.15</v>
      </c>
      <c r="G218" s="130">
        <f t="shared" si="1"/>
        <v>164.85</v>
      </c>
      <c r="H218" s="130">
        <v>70.75999999999999</v>
      </c>
      <c r="I218" s="130">
        <f t="shared" si="6"/>
        <v>100.09</v>
      </c>
      <c r="J218" s="132">
        <f t="shared" si="7"/>
        <v>0.1311279969</v>
      </c>
      <c r="K218" s="132"/>
    </row>
    <row r="219" hidden="1">
      <c r="A219" s="133" t="s">
        <v>3134</v>
      </c>
      <c r="B219" s="133" t="s">
        <v>3135</v>
      </c>
      <c r="C219" s="130">
        <v>379.0</v>
      </c>
      <c r="D219" s="131"/>
      <c r="E219" s="130">
        <v>220.83</v>
      </c>
      <c r="F219" s="132">
        <v>0.15</v>
      </c>
      <c r="G219" s="130">
        <f t="shared" si="1"/>
        <v>56.85</v>
      </c>
      <c r="H219" s="130">
        <v>70.75999999999999</v>
      </c>
      <c r="I219" s="130">
        <f t="shared" si="6"/>
        <v>30.56</v>
      </c>
      <c r="J219" s="132">
        <f t="shared" si="7"/>
        <v>0.1383869945</v>
      </c>
      <c r="K219" s="132"/>
    </row>
    <row r="220" hidden="1">
      <c r="A220" s="133" t="s">
        <v>3136</v>
      </c>
      <c r="B220" s="133" t="s">
        <v>3137</v>
      </c>
      <c r="C220" s="130">
        <v>999.0</v>
      </c>
      <c r="D220" s="131"/>
      <c r="E220" s="130">
        <v>699.87</v>
      </c>
      <c r="F220" s="132">
        <v>0.1</v>
      </c>
      <c r="G220" s="130">
        <f t="shared" si="1"/>
        <v>99.9</v>
      </c>
      <c r="H220" s="130">
        <v>70.75999999999999</v>
      </c>
      <c r="I220" s="130">
        <f t="shared" si="6"/>
        <v>128.47</v>
      </c>
      <c r="J220" s="132">
        <f t="shared" si="7"/>
        <v>0.1835626616</v>
      </c>
      <c r="K220" s="132"/>
    </row>
    <row r="221" hidden="1">
      <c r="A221" s="133" t="s">
        <v>3138</v>
      </c>
      <c r="B221" s="133" t="s">
        <v>3139</v>
      </c>
      <c r="C221" s="130">
        <v>2499.0</v>
      </c>
      <c r="D221" s="131"/>
      <c r="E221" s="130">
        <v>1990.8</v>
      </c>
      <c r="F221" s="132">
        <v>0.1</v>
      </c>
      <c r="G221" s="130">
        <f t="shared" si="1"/>
        <v>249.9</v>
      </c>
      <c r="H221" s="130">
        <v>84.67999999999999</v>
      </c>
      <c r="I221" s="130">
        <f t="shared" si="6"/>
        <v>173.62</v>
      </c>
      <c r="J221" s="132">
        <f t="shared" si="7"/>
        <v>0.08721117139</v>
      </c>
      <c r="K221" s="132"/>
    </row>
    <row r="222" hidden="1">
      <c r="A222" s="133" t="s">
        <v>3140</v>
      </c>
      <c r="B222" s="143" t="s">
        <v>3141</v>
      </c>
      <c r="C222" s="130">
        <v>499.0</v>
      </c>
      <c r="D222" s="131"/>
      <c r="E222" s="130">
        <v>285.73</v>
      </c>
      <c r="F222" s="132">
        <v>0.11</v>
      </c>
      <c r="G222" s="130">
        <f t="shared" si="1"/>
        <v>54.89</v>
      </c>
      <c r="H222" s="130">
        <v>70.75999999999999</v>
      </c>
      <c r="I222" s="130">
        <f t="shared" si="6"/>
        <v>87.62</v>
      </c>
      <c r="J222" s="132">
        <f t="shared" si="7"/>
        <v>0.3066531341</v>
      </c>
      <c r="K222" s="132"/>
    </row>
    <row r="223" hidden="1">
      <c r="A223" s="133" t="s">
        <v>3142</v>
      </c>
      <c r="B223" s="133" t="s">
        <v>3143</v>
      </c>
      <c r="C223" s="130">
        <v>1059.0</v>
      </c>
      <c r="D223" s="131"/>
      <c r="E223" s="130">
        <v>752.43</v>
      </c>
      <c r="F223" s="132">
        <v>0.1</v>
      </c>
      <c r="G223" s="130">
        <f t="shared" si="1"/>
        <v>105.9</v>
      </c>
      <c r="H223" s="130">
        <v>103.24</v>
      </c>
      <c r="I223" s="130">
        <f t="shared" si="6"/>
        <v>97.43</v>
      </c>
      <c r="J223" s="132">
        <f t="shared" si="7"/>
        <v>0.1294871284</v>
      </c>
      <c r="K223" s="132"/>
    </row>
    <row r="224" hidden="1">
      <c r="A224" s="133" t="s">
        <v>3144</v>
      </c>
      <c r="B224" s="133" t="s">
        <v>3145</v>
      </c>
      <c r="C224" s="130">
        <v>2999.0</v>
      </c>
      <c r="D224" s="131"/>
      <c r="E224" s="130">
        <v>2394.4</v>
      </c>
      <c r="F224" s="132">
        <v>0.16</v>
      </c>
      <c r="G224" s="130">
        <f t="shared" si="1"/>
        <v>479.84</v>
      </c>
      <c r="H224" s="130">
        <v>84.67999999999999</v>
      </c>
      <c r="I224" s="130">
        <f t="shared" si="6"/>
        <v>40.08</v>
      </c>
      <c r="J224" s="132">
        <f t="shared" si="7"/>
        <v>0.0167390578</v>
      </c>
      <c r="K224" s="132"/>
    </row>
    <row r="225" hidden="1">
      <c r="A225" s="133" t="s">
        <v>3146</v>
      </c>
      <c r="B225" s="133" t="s">
        <v>3147</v>
      </c>
      <c r="C225" s="130">
        <v>819.0</v>
      </c>
      <c r="D225" s="131"/>
      <c r="E225" s="130">
        <v>560.29</v>
      </c>
      <c r="F225" s="132">
        <v>0.15</v>
      </c>
      <c r="G225" s="130">
        <f t="shared" si="1"/>
        <v>122.85</v>
      </c>
      <c r="H225" s="130">
        <v>70.75999999999999</v>
      </c>
      <c r="I225" s="130">
        <f t="shared" si="6"/>
        <v>65.1</v>
      </c>
      <c r="J225" s="132">
        <f t="shared" si="7"/>
        <v>0.1161898303</v>
      </c>
      <c r="K225" s="132"/>
    </row>
    <row r="226" hidden="1">
      <c r="A226" s="133" t="s">
        <v>3148</v>
      </c>
      <c r="B226" s="143" t="s">
        <v>3149</v>
      </c>
      <c r="C226" s="130">
        <v>1099.0</v>
      </c>
      <c r="D226" s="131"/>
      <c r="E226" s="130">
        <v>816.01</v>
      </c>
      <c r="F226" s="132">
        <v>0.11</v>
      </c>
      <c r="G226" s="130">
        <f t="shared" si="1"/>
        <v>120.89</v>
      </c>
      <c r="H226" s="130">
        <v>78.88</v>
      </c>
      <c r="I226" s="130">
        <f t="shared" si="6"/>
        <v>83.22</v>
      </c>
      <c r="J226" s="132">
        <f t="shared" si="7"/>
        <v>0.1019840443</v>
      </c>
      <c r="K226" s="132"/>
    </row>
    <row r="227" hidden="1">
      <c r="A227" s="133" t="s">
        <v>3150</v>
      </c>
      <c r="B227" s="133" t="s">
        <v>3151</v>
      </c>
      <c r="C227" s="130">
        <v>1329.0</v>
      </c>
      <c r="D227" s="131"/>
      <c r="E227" s="130">
        <v>954.25</v>
      </c>
      <c r="F227" s="132">
        <v>0.1</v>
      </c>
      <c r="G227" s="130">
        <f t="shared" si="1"/>
        <v>132.9</v>
      </c>
      <c r="H227" s="130">
        <v>70.75999999999999</v>
      </c>
      <c r="I227" s="130">
        <f t="shared" si="6"/>
        <v>171.09</v>
      </c>
      <c r="J227" s="132">
        <f t="shared" si="7"/>
        <v>0.1792926382</v>
      </c>
      <c r="K227" s="132"/>
    </row>
    <row r="228" hidden="1">
      <c r="A228" s="133" t="s">
        <v>3152</v>
      </c>
      <c r="B228" s="133" t="s">
        <v>3153</v>
      </c>
      <c r="C228" s="130">
        <v>2099.0</v>
      </c>
      <c r="D228" s="131"/>
      <c r="E228" s="130">
        <v>1613.22</v>
      </c>
      <c r="F228" s="132">
        <v>0.1</v>
      </c>
      <c r="G228" s="130">
        <f t="shared" si="1"/>
        <v>209.9</v>
      </c>
      <c r="H228" s="130">
        <v>78.88</v>
      </c>
      <c r="I228" s="130">
        <f t="shared" si="6"/>
        <v>197</v>
      </c>
      <c r="J228" s="132">
        <f t="shared" si="7"/>
        <v>0.1221160164</v>
      </c>
      <c r="K228" s="132"/>
    </row>
    <row r="229">
      <c r="A229" s="133" t="s">
        <v>3154</v>
      </c>
      <c r="B229" s="133" t="s">
        <v>3155</v>
      </c>
      <c r="C229" s="130">
        <v>819.0</v>
      </c>
      <c r="D229" s="131"/>
      <c r="E229" s="130">
        <v>548.8</v>
      </c>
      <c r="F229" s="132">
        <v>0.15</v>
      </c>
      <c r="G229" s="130">
        <f t="shared" si="1"/>
        <v>122.85</v>
      </c>
      <c r="H229" s="130">
        <v>71.92</v>
      </c>
      <c r="I229" s="130">
        <f t="shared" si="6"/>
        <v>75.43</v>
      </c>
      <c r="J229" s="132">
        <f t="shared" si="7"/>
        <v>0.1374453353</v>
      </c>
      <c r="K229" s="142" t="s">
        <v>4731</v>
      </c>
    </row>
    <row r="230">
      <c r="A230" s="133" t="s">
        <v>3156</v>
      </c>
      <c r="B230" s="133" t="s">
        <v>3157</v>
      </c>
      <c r="C230" s="134">
        <v>1161.0</v>
      </c>
      <c r="D230" s="131"/>
      <c r="E230" s="134">
        <v>956.0</v>
      </c>
      <c r="F230" s="132">
        <v>0.15</v>
      </c>
      <c r="G230" s="130">
        <f t="shared" si="1"/>
        <v>174.15</v>
      </c>
      <c r="H230" s="130">
        <v>71.92</v>
      </c>
      <c r="I230" s="130">
        <f t="shared" si="6"/>
        <v>-41.07</v>
      </c>
      <c r="J230" s="132">
        <f t="shared" si="7"/>
        <v>-0.04296025105</v>
      </c>
      <c r="K230" s="142" t="s">
        <v>4731</v>
      </c>
    </row>
    <row r="231" hidden="1">
      <c r="A231" s="133" t="s">
        <v>3158</v>
      </c>
      <c r="B231" s="133" t="s">
        <v>3159</v>
      </c>
      <c r="C231" s="130">
        <v>469.0</v>
      </c>
      <c r="D231" s="131"/>
      <c r="E231" s="130">
        <v>292.62</v>
      </c>
      <c r="F231" s="132">
        <v>0.15</v>
      </c>
      <c r="G231" s="130">
        <f t="shared" si="1"/>
        <v>70.35</v>
      </c>
      <c r="H231" s="130">
        <v>71.92</v>
      </c>
      <c r="I231" s="130">
        <f t="shared" si="6"/>
        <v>34.11</v>
      </c>
      <c r="J231" s="132">
        <f t="shared" si="7"/>
        <v>0.116567562</v>
      </c>
      <c r="K231" s="132"/>
    </row>
    <row r="232" hidden="1">
      <c r="A232" s="133" t="s">
        <v>3160</v>
      </c>
      <c r="B232" s="133" t="s">
        <v>3161</v>
      </c>
      <c r="C232" s="130">
        <v>399.0</v>
      </c>
      <c r="D232" s="131"/>
      <c r="E232" s="130">
        <v>218.87</v>
      </c>
      <c r="F232" s="132">
        <v>0.15</v>
      </c>
      <c r="G232" s="130">
        <f t="shared" si="1"/>
        <v>59.85</v>
      </c>
      <c r="H232" s="130">
        <v>71.92</v>
      </c>
      <c r="I232" s="130">
        <f t="shared" si="6"/>
        <v>48.36</v>
      </c>
      <c r="J232" s="132">
        <f t="shared" si="7"/>
        <v>0.2209530772</v>
      </c>
      <c r="K232" s="132"/>
    </row>
    <row r="233" hidden="1">
      <c r="A233" s="133" t="s">
        <v>3162</v>
      </c>
      <c r="B233" s="133" t="s">
        <v>3163</v>
      </c>
      <c r="C233" s="130">
        <v>799.0</v>
      </c>
      <c r="D233" s="131"/>
      <c r="E233" s="130">
        <v>585.6</v>
      </c>
      <c r="F233" s="132">
        <v>0.15</v>
      </c>
      <c r="G233" s="130">
        <f t="shared" si="1"/>
        <v>119.85</v>
      </c>
      <c r="H233" s="130">
        <v>71.92</v>
      </c>
      <c r="I233" s="130">
        <f t="shared" si="6"/>
        <v>21.63</v>
      </c>
      <c r="J233" s="132">
        <f t="shared" si="7"/>
        <v>0.03693647541</v>
      </c>
      <c r="K233" s="132"/>
    </row>
    <row r="234" hidden="1">
      <c r="A234" s="133" t="s">
        <v>3164</v>
      </c>
      <c r="B234" s="133" t="s">
        <v>3163</v>
      </c>
      <c r="C234" s="130">
        <v>854.0</v>
      </c>
      <c r="D234" s="131"/>
      <c r="E234" s="130">
        <v>585.6</v>
      </c>
      <c r="F234" s="132">
        <v>0.15</v>
      </c>
      <c r="G234" s="130">
        <f t="shared" si="1"/>
        <v>128.1</v>
      </c>
      <c r="H234" s="130">
        <v>84.67999999999999</v>
      </c>
      <c r="I234" s="130">
        <f t="shared" si="6"/>
        <v>55.62</v>
      </c>
      <c r="J234" s="132">
        <f t="shared" si="7"/>
        <v>0.0949795082</v>
      </c>
      <c r="K234" s="132"/>
    </row>
    <row r="235" hidden="1">
      <c r="A235" s="133" t="s">
        <v>3165</v>
      </c>
      <c r="B235" s="144" t="s">
        <v>3166</v>
      </c>
      <c r="C235" s="145">
        <v>429.0</v>
      </c>
      <c r="D235" s="131"/>
      <c r="E235" s="130">
        <v>266.21</v>
      </c>
      <c r="F235" s="135">
        <v>0.15</v>
      </c>
      <c r="G235" s="130">
        <f t="shared" si="1"/>
        <v>64.35</v>
      </c>
      <c r="H235" s="130">
        <v>70.75999999999999</v>
      </c>
      <c r="I235" s="130">
        <f t="shared" si="6"/>
        <v>27.68</v>
      </c>
      <c r="J235" s="132">
        <f t="shared" si="7"/>
        <v>0.1039780624</v>
      </c>
      <c r="K235" s="132"/>
    </row>
    <row r="236" hidden="1">
      <c r="A236" s="133" t="s">
        <v>3168</v>
      </c>
      <c r="B236" s="143" t="s">
        <v>3169</v>
      </c>
      <c r="C236" s="130">
        <v>639.0</v>
      </c>
      <c r="D236" s="131"/>
      <c r="E236" s="130">
        <v>640.09</v>
      </c>
      <c r="F236" s="132">
        <v>0.11</v>
      </c>
      <c r="G236" s="130">
        <f t="shared" si="1"/>
        <v>70.29</v>
      </c>
      <c r="H236" s="130">
        <v>78.88</v>
      </c>
      <c r="I236" s="130">
        <f t="shared" si="6"/>
        <v>-150.26</v>
      </c>
      <c r="J236" s="132">
        <f t="shared" si="7"/>
        <v>-0.2347482385</v>
      </c>
      <c r="K236" s="132"/>
    </row>
    <row r="237" hidden="1">
      <c r="A237" s="133" t="s">
        <v>3170</v>
      </c>
      <c r="B237" s="133" t="s">
        <v>3171</v>
      </c>
      <c r="C237" s="130">
        <v>1099.0</v>
      </c>
      <c r="D237" s="131"/>
      <c r="E237" s="130">
        <v>830.0</v>
      </c>
      <c r="F237" s="132">
        <v>0.1</v>
      </c>
      <c r="G237" s="130">
        <f t="shared" si="1"/>
        <v>109.9</v>
      </c>
      <c r="H237" s="130">
        <v>70.75999999999999</v>
      </c>
      <c r="I237" s="130">
        <f t="shared" si="6"/>
        <v>88.34</v>
      </c>
      <c r="J237" s="132">
        <f t="shared" si="7"/>
        <v>0.1064337349</v>
      </c>
      <c r="K237" s="132"/>
    </row>
    <row r="238" hidden="1">
      <c r="A238" s="133" t="s">
        <v>3172</v>
      </c>
      <c r="B238" s="133" t="s">
        <v>3173</v>
      </c>
      <c r="C238" s="130">
        <v>699.0</v>
      </c>
      <c r="D238" s="131"/>
      <c r="E238" s="130">
        <v>538.56</v>
      </c>
      <c r="F238" s="132">
        <v>0.1</v>
      </c>
      <c r="G238" s="130">
        <f t="shared" si="1"/>
        <v>69.9</v>
      </c>
      <c r="H238" s="130">
        <v>70.75999999999999</v>
      </c>
      <c r="I238" s="130">
        <f t="shared" si="6"/>
        <v>19.78</v>
      </c>
      <c r="J238" s="132">
        <f t="shared" si="7"/>
        <v>0.03672756982</v>
      </c>
      <c r="K238" s="132"/>
    </row>
    <row r="239" hidden="1">
      <c r="A239" s="133" t="s">
        <v>3174</v>
      </c>
      <c r="B239" s="133" t="s">
        <v>3175</v>
      </c>
      <c r="C239" s="130">
        <v>1199.0</v>
      </c>
      <c r="D239" s="131"/>
      <c r="E239" s="130">
        <v>960.26</v>
      </c>
      <c r="F239" s="132">
        <v>0.1</v>
      </c>
      <c r="G239" s="130">
        <f t="shared" si="1"/>
        <v>119.9</v>
      </c>
      <c r="H239" s="130">
        <v>70.75999999999999</v>
      </c>
      <c r="I239" s="130">
        <f t="shared" si="6"/>
        <v>48.08</v>
      </c>
      <c r="J239" s="132">
        <f t="shared" si="7"/>
        <v>0.05006977277</v>
      </c>
      <c r="K239" s="132"/>
    </row>
    <row r="240" hidden="1">
      <c r="A240" s="133" t="s">
        <v>3176</v>
      </c>
      <c r="B240" s="133" t="s">
        <v>3177</v>
      </c>
      <c r="C240" s="130">
        <v>379.0</v>
      </c>
      <c r="D240" s="131"/>
      <c r="E240" s="130">
        <v>240.0</v>
      </c>
      <c r="F240" s="132">
        <v>0.1</v>
      </c>
      <c r="G240" s="130">
        <f t="shared" si="1"/>
        <v>37.9</v>
      </c>
      <c r="H240" s="130">
        <v>70.75999999999999</v>
      </c>
      <c r="I240" s="130">
        <f t="shared" si="6"/>
        <v>30.34</v>
      </c>
      <c r="J240" s="132">
        <f t="shared" si="7"/>
        <v>0.1264166667</v>
      </c>
      <c r="K240" s="132"/>
    </row>
    <row r="241" hidden="1">
      <c r="A241" s="133" t="s">
        <v>3178</v>
      </c>
      <c r="B241" s="133" t="s">
        <v>3179</v>
      </c>
      <c r="C241" s="130">
        <v>269.0</v>
      </c>
      <c r="D241" s="131"/>
      <c r="E241" s="130">
        <v>141.11</v>
      </c>
      <c r="F241" s="132">
        <v>0.15</v>
      </c>
      <c r="G241" s="130">
        <f t="shared" si="1"/>
        <v>40.35</v>
      </c>
      <c r="H241" s="130">
        <v>70.75999999999999</v>
      </c>
      <c r="I241" s="130">
        <f t="shared" si="6"/>
        <v>16.78</v>
      </c>
      <c r="J241" s="132">
        <f t="shared" si="7"/>
        <v>0.1189143222</v>
      </c>
      <c r="K241" s="132"/>
    </row>
    <row r="242" hidden="1">
      <c r="A242" s="133" t="s">
        <v>3180</v>
      </c>
      <c r="B242" s="133" t="s">
        <v>3181</v>
      </c>
      <c r="C242" s="130">
        <v>1729.0</v>
      </c>
      <c r="D242" s="131"/>
      <c r="E242" s="130">
        <v>1255.59</v>
      </c>
      <c r="F242" s="132">
        <v>0.15</v>
      </c>
      <c r="G242" s="130">
        <f t="shared" si="1"/>
        <v>259.35</v>
      </c>
      <c r="H242" s="130">
        <v>78.88</v>
      </c>
      <c r="I242" s="130">
        <f t="shared" si="6"/>
        <v>135.18</v>
      </c>
      <c r="J242" s="132">
        <f t="shared" si="7"/>
        <v>0.1076625332</v>
      </c>
      <c r="K242" s="132"/>
    </row>
    <row r="243" hidden="1">
      <c r="A243" s="133" t="s">
        <v>3182</v>
      </c>
      <c r="B243" s="143" t="s">
        <v>3183</v>
      </c>
      <c r="C243" s="130">
        <v>1869.0</v>
      </c>
      <c r="D243" s="131"/>
      <c r="E243" s="130">
        <v>1665.95</v>
      </c>
      <c r="F243" s="132">
        <v>0.11</v>
      </c>
      <c r="G243" s="130">
        <f t="shared" si="1"/>
        <v>205.59</v>
      </c>
      <c r="H243" s="130">
        <v>84.67999999999999</v>
      </c>
      <c r="I243" s="130">
        <f t="shared" si="6"/>
        <v>-87.22</v>
      </c>
      <c r="J243" s="132">
        <f t="shared" si="7"/>
        <v>-0.05235451244</v>
      </c>
      <c r="K243" s="132"/>
    </row>
    <row r="244" hidden="1">
      <c r="A244" s="133" t="s">
        <v>3184</v>
      </c>
      <c r="B244" s="133" t="s">
        <v>3185</v>
      </c>
      <c r="C244" s="130">
        <v>2099.0</v>
      </c>
      <c r="D244" s="131"/>
      <c r="E244" s="130">
        <v>1561.82</v>
      </c>
      <c r="F244" s="132">
        <v>0.15</v>
      </c>
      <c r="G244" s="130">
        <f t="shared" si="1"/>
        <v>314.85</v>
      </c>
      <c r="H244" s="130">
        <v>102.08</v>
      </c>
      <c r="I244" s="130">
        <f t="shared" si="6"/>
        <v>120.25</v>
      </c>
      <c r="J244" s="132">
        <f t="shared" si="7"/>
        <v>0.07699350757</v>
      </c>
      <c r="K244" s="132"/>
    </row>
    <row r="245" hidden="1">
      <c r="A245" s="133" t="s">
        <v>3186</v>
      </c>
      <c r="B245" s="133" t="s">
        <v>3187</v>
      </c>
      <c r="C245" s="130">
        <v>16499.0</v>
      </c>
      <c r="D245" s="131"/>
      <c r="E245" s="130">
        <v>14348.83</v>
      </c>
      <c r="F245" s="132">
        <v>0.1</v>
      </c>
      <c r="G245" s="130">
        <f t="shared" si="1"/>
        <v>1649.9</v>
      </c>
      <c r="H245" s="130">
        <v>84.67999999999999</v>
      </c>
      <c r="I245" s="130">
        <f t="shared" si="6"/>
        <v>415.59</v>
      </c>
      <c r="J245" s="132">
        <f t="shared" si="7"/>
        <v>0.02896333708</v>
      </c>
      <c r="K245" s="132"/>
    </row>
    <row r="246" hidden="1">
      <c r="A246" s="133" t="s">
        <v>3188</v>
      </c>
      <c r="B246" s="133" t="s">
        <v>3189</v>
      </c>
      <c r="C246" s="130">
        <v>499.0</v>
      </c>
      <c r="D246" s="131"/>
      <c r="E246" s="130">
        <v>279.6</v>
      </c>
      <c r="F246" s="132">
        <v>0.16</v>
      </c>
      <c r="G246" s="130">
        <f t="shared" si="1"/>
        <v>79.84</v>
      </c>
      <c r="H246" s="130">
        <v>78.88</v>
      </c>
      <c r="I246" s="130">
        <f t="shared" si="6"/>
        <v>60.68</v>
      </c>
      <c r="J246" s="132">
        <f t="shared" si="7"/>
        <v>0.2170243205</v>
      </c>
      <c r="K246" s="132"/>
    </row>
    <row r="247" hidden="1">
      <c r="A247" s="133" t="s">
        <v>3190</v>
      </c>
      <c r="B247" s="133" t="s">
        <v>3191</v>
      </c>
      <c r="C247" s="130">
        <v>599.0</v>
      </c>
      <c r="D247" s="131"/>
      <c r="E247" s="130">
        <v>279.6</v>
      </c>
      <c r="F247" s="132">
        <v>0.16</v>
      </c>
      <c r="G247" s="130">
        <f t="shared" si="1"/>
        <v>95.84</v>
      </c>
      <c r="H247" s="130">
        <v>78.88</v>
      </c>
      <c r="I247" s="130">
        <f t="shared" si="6"/>
        <v>144.68</v>
      </c>
      <c r="J247" s="132">
        <f t="shared" si="7"/>
        <v>0.517453505</v>
      </c>
      <c r="K247" s="132"/>
    </row>
    <row r="248" hidden="1">
      <c r="A248" s="133"/>
      <c r="B248" s="133" t="s">
        <v>3192</v>
      </c>
      <c r="C248" s="130">
        <v>3200.0</v>
      </c>
      <c r="D248" s="131"/>
      <c r="E248" s="130">
        <v>2473.34</v>
      </c>
      <c r="F248" s="132">
        <v>0.13</v>
      </c>
      <c r="G248" s="130">
        <f t="shared" si="1"/>
        <v>416</v>
      </c>
      <c r="H248" s="130">
        <v>70.75999999999999</v>
      </c>
      <c r="I248" s="130">
        <f t="shared" si="6"/>
        <v>239.9</v>
      </c>
      <c r="J248" s="132">
        <f t="shared" si="7"/>
        <v>0.09699434772</v>
      </c>
      <c r="K248" s="132"/>
    </row>
    <row r="249" hidden="1">
      <c r="A249" s="133" t="s">
        <v>3193</v>
      </c>
      <c r="B249" s="133" t="s">
        <v>3194</v>
      </c>
      <c r="C249" s="130">
        <v>509.0</v>
      </c>
      <c r="D249" s="131"/>
      <c r="E249" s="130">
        <v>327.66</v>
      </c>
      <c r="F249" s="132">
        <v>0.15</v>
      </c>
      <c r="G249" s="130">
        <f t="shared" si="1"/>
        <v>76.35</v>
      </c>
      <c r="H249" s="130">
        <v>70.75999999999999</v>
      </c>
      <c r="I249" s="130">
        <f t="shared" si="6"/>
        <v>34.23</v>
      </c>
      <c r="J249" s="132">
        <f t="shared" si="7"/>
        <v>0.1044680461</v>
      </c>
      <c r="K249" s="132"/>
    </row>
    <row r="250" hidden="1">
      <c r="A250" s="133" t="s">
        <v>3195</v>
      </c>
      <c r="B250" s="133" t="s">
        <v>3196</v>
      </c>
      <c r="C250" s="130">
        <v>1410.0</v>
      </c>
      <c r="D250" s="131"/>
      <c r="E250" s="130">
        <v>1014.7</v>
      </c>
      <c r="F250" s="132">
        <v>0.15</v>
      </c>
      <c r="G250" s="130">
        <f t="shared" si="1"/>
        <v>211.5</v>
      </c>
      <c r="H250" s="130">
        <v>70.75999999999999</v>
      </c>
      <c r="I250" s="130">
        <f t="shared" si="6"/>
        <v>113.04</v>
      </c>
      <c r="J250" s="132">
        <f t="shared" si="7"/>
        <v>0.1114023849</v>
      </c>
      <c r="K250" s="132"/>
    </row>
    <row r="251" hidden="1">
      <c r="A251" s="133" t="s">
        <v>3197</v>
      </c>
      <c r="B251" s="133" t="s">
        <v>3198</v>
      </c>
      <c r="C251" s="130">
        <v>899.0</v>
      </c>
      <c r="D251" s="131"/>
      <c r="E251" s="130">
        <v>602.48</v>
      </c>
      <c r="F251" s="132">
        <v>0.16</v>
      </c>
      <c r="G251" s="130">
        <f t="shared" si="1"/>
        <v>143.84</v>
      </c>
      <c r="H251" s="130">
        <v>69.6</v>
      </c>
      <c r="I251" s="130">
        <f t="shared" si="6"/>
        <v>83.08</v>
      </c>
      <c r="J251" s="132">
        <f t="shared" si="7"/>
        <v>0.1378966937</v>
      </c>
      <c r="K251" s="132"/>
    </row>
    <row r="252" hidden="1">
      <c r="A252" s="133" t="s">
        <v>3199</v>
      </c>
      <c r="B252" s="133" t="s">
        <v>3200</v>
      </c>
      <c r="C252" s="130">
        <v>784.0</v>
      </c>
      <c r="D252" s="131"/>
      <c r="E252" s="130">
        <v>517.93</v>
      </c>
      <c r="F252" s="132">
        <v>0.15</v>
      </c>
      <c r="G252" s="130">
        <f t="shared" si="1"/>
        <v>117.6</v>
      </c>
      <c r="H252" s="130">
        <v>70.75999999999999</v>
      </c>
      <c r="I252" s="130">
        <f t="shared" si="6"/>
        <v>77.71</v>
      </c>
      <c r="J252" s="132">
        <f t="shared" si="7"/>
        <v>0.1500395806</v>
      </c>
      <c r="K252" s="132"/>
    </row>
    <row r="253" hidden="1">
      <c r="A253" s="133" t="s">
        <v>3201</v>
      </c>
      <c r="B253" s="143" t="s">
        <v>3202</v>
      </c>
      <c r="C253" s="130">
        <v>1199.0</v>
      </c>
      <c r="D253" s="131"/>
      <c r="E253" s="130">
        <v>981.19</v>
      </c>
      <c r="F253" s="132">
        <v>0.16</v>
      </c>
      <c r="G253" s="130">
        <f t="shared" si="1"/>
        <v>191.84</v>
      </c>
      <c r="H253" s="130">
        <v>84.67999999999999</v>
      </c>
      <c r="I253" s="130">
        <f t="shared" si="6"/>
        <v>-58.71</v>
      </c>
      <c r="J253" s="132">
        <f t="shared" si="7"/>
        <v>-0.05983550587</v>
      </c>
      <c r="K253" s="132"/>
    </row>
    <row r="254" hidden="1">
      <c r="A254" s="133" t="s">
        <v>3203</v>
      </c>
      <c r="B254" s="133" t="s">
        <v>3204</v>
      </c>
      <c r="C254" s="130">
        <v>599.0</v>
      </c>
      <c r="D254" s="131"/>
      <c r="E254" s="130">
        <v>416.23</v>
      </c>
      <c r="F254" s="132">
        <v>0.15</v>
      </c>
      <c r="G254" s="130">
        <f t="shared" si="1"/>
        <v>89.85</v>
      </c>
      <c r="H254" s="130">
        <v>74.24</v>
      </c>
      <c r="I254" s="130">
        <f t="shared" si="6"/>
        <v>18.68</v>
      </c>
      <c r="J254" s="132">
        <f t="shared" si="7"/>
        <v>0.04487903323</v>
      </c>
      <c r="K254" s="132"/>
    </row>
    <row r="255" hidden="1">
      <c r="A255" s="133" t="s">
        <v>3205</v>
      </c>
      <c r="B255" s="133" t="s">
        <v>3206</v>
      </c>
      <c r="C255" s="130">
        <v>999.0</v>
      </c>
      <c r="D255" s="131"/>
      <c r="E255" s="130">
        <v>632.24</v>
      </c>
      <c r="F255" s="132">
        <v>0.15</v>
      </c>
      <c r="G255" s="130">
        <f t="shared" si="1"/>
        <v>149.85</v>
      </c>
      <c r="H255" s="130">
        <v>70.75999999999999</v>
      </c>
      <c r="I255" s="130">
        <f t="shared" si="6"/>
        <v>146.15</v>
      </c>
      <c r="J255" s="132">
        <f t="shared" si="7"/>
        <v>0.2311622169</v>
      </c>
      <c r="K255" s="132"/>
    </row>
    <row r="256" hidden="1">
      <c r="A256" s="133" t="s">
        <v>3207</v>
      </c>
      <c r="B256" s="133" t="s">
        <v>3208</v>
      </c>
      <c r="C256" s="130">
        <v>529.0</v>
      </c>
      <c r="D256" s="131"/>
      <c r="E256" s="130">
        <v>341.42</v>
      </c>
      <c r="F256" s="132">
        <v>0.15</v>
      </c>
      <c r="G256" s="130">
        <f t="shared" si="1"/>
        <v>79.35</v>
      </c>
      <c r="H256" s="130">
        <v>70.75999999999999</v>
      </c>
      <c r="I256" s="130">
        <f t="shared" si="6"/>
        <v>37.47</v>
      </c>
      <c r="J256" s="132">
        <f t="shared" si="7"/>
        <v>0.109747525</v>
      </c>
      <c r="K256" s="132"/>
    </row>
    <row r="257" hidden="1">
      <c r="A257" s="133" t="s">
        <v>3209</v>
      </c>
      <c r="B257" s="133" t="s">
        <v>3210</v>
      </c>
      <c r="C257" s="130">
        <v>599.0</v>
      </c>
      <c r="D257" s="131"/>
      <c r="E257" s="130">
        <v>391.0</v>
      </c>
      <c r="F257" s="132">
        <v>0.15</v>
      </c>
      <c r="G257" s="130">
        <f t="shared" si="1"/>
        <v>89.85</v>
      </c>
      <c r="H257" s="130">
        <v>78.88</v>
      </c>
      <c r="I257" s="130">
        <f t="shared" si="6"/>
        <v>39.27</v>
      </c>
      <c r="J257" s="132">
        <f t="shared" si="7"/>
        <v>0.1004347826</v>
      </c>
      <c r="K257" s="132"/>
    </row>
    <row r="258" hidden="1">
      <c r="A258" s="133" t="s">
        <v>3211</v>
      </c>
      <c r="B258" s="133" t="s">
        <v>3212</v>
      </c>
      <c r="C258" s="130">
        <v>799.0</v>
      </c>
      <c r="D258" s="131"/>
      <c r="E258" s="130">
        <v>536.7</v>
      </c>
      <c r="F258" s="132">
        <v>0.15</v>
      </c>
      <c r="G258" s="130">
        <f t="shared" si="1"/>
        <v>119.85</v>
      </c>
      <c r="H258" s="130">
        <v>70.75999999999999</v>
      </c>
      <c r="I258" s="130">
        <f t="shared" si="6"/>
        <v>71.69</v>
      </c>
      <c r="J258" s="132">
        <f t="shared" si="7"/>
        <v>0.1335755543</v>
      </c>
      <c r="K258" s="132"/>
    </row>
    <row r="259" hidden="1">
      <c r="A259" s="133" t="s">
        <v>3214</v>
      </c>
      <c r="B259" s="133" t="s">
        <v>3215</v>
      </c>
      <c r="C259" s="130">
        <v>1399.0</v>
      </c>
      <c r="D259" s="131"/>
      <c r="E259" s="130">
        <v>1015.9</v>
      </c>
      <c r="F259" s="132">
        <v>0.15</v>
      </c>
      <c r="G259" s="130">
        <f t="shared" si="1"/>
        <v>209.85</v>
      </c>
      <c r="H259" s="130">
        <v>70.75999999999999</v>
      </c>
      <c r="I259" s="130">
        <f t="shared" si="6"/>
        <v>102.49</v>
      </c>
      <c r="J259" s="132">
        <f t="shared" si="7"/>
        <v>0.100885914</v>
      </c>
      <c r="K259" s="132"/>
    </row>
    <row r="260" hidden="1">
      <c r="A260" s="133" t="s">
        <v>3216</v>
      </c>
      <c r="B260" s="143" t="s">
        <v>3217</v>
      </c>
      <c r="C260" s="130">
        <v>3065.0</v>
      </c>
      <c r="D260" s="131"/>
      <c r="E260" s="130">
        <v>3032.51</v>
      </c>
      <c r="F260" s="132">
        <v>0.11</v>
      </c>
      <c r="G260" s="130">
        <f t="shared" si="1"/>
        <v>337.15</v>
      </c>
      <c r="H260" s="130">
        <v>102.08</v>
      </c>
      <c r="I260" s="130">
        <f t="shared" si="6"/>
        <v>-406.74</v>
      </c>
      <c r="J260" s="132">
        <f t="shared" si="7"/>
        <v>-0.1341265157</v>
      </c>
      <c r="K260" s="132"/>
    </row>
    <row r="261" hidden="1">
      <c r="A261" s="133" t="s">
        <v>3218</v>
      </c>
      <c r="B261" s="133" t="s">
        <v>3219</v>
      </c>
      <c r="C261" s="130">
        <v>999.0</v>
      </c>
      <c r="D261" s="131"/>
      <c r="E261" s="130">
        <v>651.45</v>
      </c>
      <c r="F261" s="132">
        <v>0.16</v>
      </c>
      <c r="G261" s="130">
        <f t="shared" si="1"/>
        <v>159.84</v>
      </c>
      <c r="H261" s="130">
        <v>70.75999999999999</v>
      </c>
      <c r="I261" s="130">
        <f t="shared" si="6"/>
        <v>116.95</v>
      </c>
      <c r="J261" s="132">
        <f t="shared" si="7"/>
        <v>0.1795226034</v>
      </c>
      <c r="K261" s="132"/>
    </row>
    <row r="262" hidden="1">
      <c r="A262" s="133" t="s">
        <v>3220</v>
      </c>
      <c r="B262" s="133" t="s">
        <v>3221</v>
      </c>
      <c r="C262" s="130">
        <v>699.0</v>
      </c>
      <c r="D262" s="131"/>
      <c r="E262" s="130">
        <v>226.84</v>
      </c>
      <c r="F262" s="132">
        <v>0.15</v>
      </c>
      <c r="G262" s="130">
        <f t="shared" si="1"/>
        <v>104.85</v>
      </c>
      <c r="H262" s="130">
        <v>70.75999999999999</v>
      </c>
      <c r="I262" s="130">
        <f t="shared" si="6"/>
        <v>296.55</v>
      </c>
      <c r="J262" s="132">
        <f t="shared" si="7"/>
        <v>1.307309117</v>
      </c>
      <c r="K262" s="132"/>
    </row>
    <row r="263" hidden="1">
      <c r="A263" s="133" t="s">
        <v>3222</v>
      </c>
      <c r="B263" s="133" t="s">
        <v>3223</v>
      </c>
      <c r="C263" s="130">
        <v>779.0</v>
      </c>
      <c r="D263" s="131"/>
      <c r="E263" s="130">
        <v>553.32</v>
      </c>
      <c r="F263" s="132">
        <v>0.1</v>
      </c>
      <c r="G263" s="130">
        <f t="shared" si="1"/>
        <v>77.9</v>
      </c>
      <c r="H263" s="130">
        <v>70.75999999999999</v>
      </c>
      <c r="I263" s="130">
        <f t="shared" si="6"/>
        <v>77.02</v>
      </c>
      <c r="J263" s="132">
        <f t="shared" si="7"/>
        <v>0.1391961252</v>
      </c>
      <c r="K263" s="132"/>
    </row>
    <row r="264" hidden="1">
      <c r="A264" s="133" t="s">
        <v>3224</v>
      </c>
      <c r="B264" s="133" t="s">
        <v>3225</v>
      </c>
      <c r="C264" s="130">
        <v>999.0</v>
      </c>
      <c r="D264" s="131"/>
      <c r="E264" s="130">
        <v>567.45</v>
      </c>
      <c r="F264" s="132">
        <v>0.15</v>
      </c>
      <c r="G264" s="130">
        <f t="shared" si="1"/>
        <v>149.85</v>
      </c>
      <c r="H264" s="130">
        <v>70.75999999999999</v>
      </c>
      <c r="I264" s="130">
        <f t="shared" si="6"/>
        <v>210.94</v>
      </c>
      <c r="J264" s="132">
        <f t="shared" si="7"/>
        <v>0.3717331924</v>
      </c>
      <c r="K264" s="132"/>
    </row>
    <row r="265" hidden="1">
      <c r="A265" s="133" t="s">
        <v>3226</v>
      </c>
      <c r="B265" s="133" t="s">
        <v>3227</v>
      </c>
      <c r="C265" s="130">
        <v>1459.0</v>
      </c>
      <c r="D265" s="131"/>
      <c r="E265" s="130">
        <v>1135.65</v>
      </c>
      <c r="F265" s="132">
        <v>0.1</v>
      </c>
      <c r="G265" s="130">
        <f t="shared" si="1"/>
        <v>145.9</v>
      </c>
      <c r="H265" s="130">
        <v>70.75999999999999</v>
      </c>
      <c r="I265" s="130">
        <f t="shared" si="6"/>
        <v>106.69</v>
      </c>
      <c r="J265" s="132">
        <f t="shared" si="7"/>
        <v>0.09394619821</v>
      </c>
      <c r="K265" s="132"/>
    </row>
    <row r="266">
      <c r="A266" s="133" t="s">
        <v>3228</v>
      </c>
      <c r="B266" s="143" t="s">
        <v>3229</v>
      </c>
      <c r="C266" s="130">
        <v>3299.0</v>
      </c>
      <c r="D266" s="131"/>
      <c r="E266" s="130">
        <v>2589.49</v>
      </c>
      <c r="F266" s="132">
        <v>0.16</v>
      </c>
      <c r="G266" s="130">
        <f t="shared" si="1"/>
        <v>527.84</v>
      </c>
      <c r="H266" s="130">
        <v>84.67999999999999</v>
      </c>
      <c r="I266" s="130">
        <f t="shared" si="6"/>
        <v>96.99</v>
      </c>
      <c r="J266" s="132">
        <f t="shared" si="7"/>
        <v>0.03745525181</v>
      </c>
      <c r="K266" s="142" t="s">
        <v>4731</v>
      </c>
    </row>
    <row r="267" hidden="1">
      <c r="A267" s="133" t="s">
        <v>3230</v>
      </c>
      <c r="B267" s="133" t="s">
        <v>3231</v>
      </c>
      <c r="C267" s="130">
        <v>10999.0</v>
      </c>
      <c r="D267" s="131"/>
      <c r="E267" s="130">
        <v>7992.4</v>
      </c>
      <c r="F267" s="132">
        <v>0.15</v>
      </c>
      <c r="G267" s="130">
        <f t="shared" si="1"/>
        <v>1649.85</v>
      </c>
      <c r="H267" s="130">
        <v>316.67999999999995</v>
      </c>
      <c r="I267" s="130">
        <f t="shared" si="6"/>
        <v>1040.07</v>
      </c>
      <c r="J267" s="132">
        <f t="shared" si="7"/>
        <v>0.1301323758</v>
      </c>
      <c r="K267" s="132"/>
    </row>
    <row r="268" hidden="1">
      <c r="A268" s="133" t="s">
        <v>3232</v>
      </c>
      <c r="B268" s="143" t="s">
        <v>3233</v>
      </c>
      <c r="C268" s="130">
        <v>3299.0</v>
      </c>
      <c r="D268" s="131"/>
      <c r="E268" s="130">
        <v>2589.49</v>
      </c>
      <c r="F268" s="132">
        <v>0.16</v>
      </c>
      <c r="G268" s="130">
        <f t="shared" si="1"/>
        <v>527.84</v>
      </c>
      <c r="H268" s="130">
        <v>82.36</v>
      </c>
      <c r="I268" s="130">
        <f t="shared" si="6"/>
        <v>99.31</v>
      </c>
      <c r="J268" s="132">
        <f t="shared" si="7"/>
        <v>0.03835118112</v>
      </c>
      <c r="K268" s="132"/>
    </row>
    <row r="269" hidden="1">
      <c r="A269" s="133" t="s">
        <v>3234</v>
      </c>
      <c r="B269" s="133" t="s">
        <v>3235</v>
      </c>
      <c r="C269" s="130">
        <v>629.0</v>
      </c>
      <c r="D269" s="131"/>
      <c r="E269" s="130">
        <v>428.75</v>
      </c>
      <c r="F269" s="132">
        <v>0.15</v>
      </c>
      <c r="G269" s="130">
        <f t="shared" si="1"/>
        <v>94.35</v>
      </c>
      <c r="H269" s="130">
        <v>70.75999999999999</v>
      </c>
      <c r="I269" s="130">
        <f t="shared" si="6"/>
        <v>35.14</v>
      </c>
      <c r="J269" s="132">
        <f t="shared" si="7"/>
        <v>0.08195918367</v>
      </c>
      <c r="K269" s="132"/>
    </row>
    <row r="270" hidden="1">
      <c r="A270" s="133" t="s">
        <v>3236</v>
      </c>
      <c r="B270" s="143" t="s">
        <v>3237</v>
      </c>
      <c r="C270" s="130">
        <v>2799.0</v>
      </c>
      <c r="D270" s="131"/>
      <c r="E270" s="130">
        <v>2187.7</v>
      </c>
      <c r="F270" s="132">
        <v>0.11</v>
      </c>
      <c r="G270" s="130">
        <f t="shared" si="1"/>
        <v>307.89</v>
      </c>
      <c r="H270" s="130">
        <v>103.24</v>
      </c>
      <c r="I270" s="130">
        <f t="shared" si="6"/>
        <v>200.17</v>
      </c>
      <c r="J270" s="132">
        <f t="shared" si="7"/>
        <v>0.09149792019</v>
      </c>
      <c r="K270" s="132"/>
    </row>
    <row r="271" hidden="1">
      <c r="A271" s="133" t="s">
        <v>519</v>
      </c>
      <c r="B271" s="133" t="s">
        <v>3238</v>
      </c>
      <c r="C271" s="130">
        <v>4199.0</v>
      </c>
      <c r="D271" s="131"/>
      <c r="E271" s="130">
        <v>3305.62</v>
      </c>
      <c r="F271" s="132">
        <v>0.11</v>
      </c>
      <c r="G271" s="130">
        <f t="shared" si="1"/>
        <v>461.89</v>
      </c>
      <c r="H271" s="130">
        <v>91.64</v>
      </c>
      <c r="I271" s="130">
        <f t="shared" si="6"/>
        <v>339.85</v>
      </c>
      <c r="J271" s="132">
        <f t="shared" si="7"/>
        <v>0.1028097603</v>
      </c>
      <c r="K271" s="132"/>
    </row>
    <row r="272" hidden="1">
      <c r="A272" s="133" t="s">
        <v>3239</v>
      </c>
      <c r="B272" s="133" t="s">
        <v>3240</v>
      </c>
      <c r="C272" s="130">
        <v>799.0</v>
      </c>
      <c r="D272" s="131"/>
      <c r="E272" s="130">
        <v>582.94</v>
      </c>
      <c r="F272" s="132">
        <v>0.1</v>
      </c>
      <c r="G272" s="130">
        <f t="shared" si="1"/>
        <v>79.9</v>
      </c>
      <c r="H272" s="130">
        <v>70.75999999999999</v>
      </c>
      <c r="I272" s="130">
        <f t="shared" si="6"/>
        <v>65.4</v>
      </c>
      <c r="J272" s="132">
        <f t="shared" si="7"/>
        <v>0.1121899338</v>
      </c>
      <c r="K272" s="132"/>
    </row>
    <row r="273" hidden="1">
      <c r="A273" s="133" t="s">
        <v>3241</v>
      </c>
      <c r="B273" s="133" t="s">
        <v>3242</v>
      </c>
      <c r="C273" s="130">
        <v>20999.0</v>
      </c>
      <c r="D273" s="131"/>
      <c r="E273" s="130">
        <v>12890.8</v>
      </c>
      <c r="F273" s="132">
        <v>0.1</v>
      </c>
      <c r="G273" s="130">
        <f t="shared" si="1"/>
        <v>2099.9</v>
      </c>
      <c r="H273" s="130">
        <v>78.88</v>
      </c>
      <c r="I273" s="130">
        <f t="shared" si="6"/>
        <v>5929.42</v>
      </c>
      <c r="J273" s="132">
        <f t="shared" si="7"/>
        <v>0.459973004</v>
      </c>
      <c r="K273" s="132"/>
    </row>
    <row r="274" hidden="1">
      <c r="A274" s="133" t="s">
        <v>3243</v>
      </c>
      <c r="B274" s="133" t="s">
        <v>3244</v>
      </c>
      <c r="C274" s="130">
        <v>12499.0</v>
      </c>
      <c r="D274" s="131"/>
      <c r="E274" s="130">
        <v>9927.39</v>
      </c>
      <c r="F274" s="132">
        <v>0.11</v>
      </c>
      <c r="G274" s="130">
        <f t="shared" si="1"/>
        <v>1374.89</v>
      </c>
      <c r="H274" s="130">
        <v>78.88</v>
      </c>
      <c r="I274" s="130">
        <f t="shared" si="6"/>
        <v>1117.84</v>
      </c>
      <c r="J274" s="132">
        <f t="shared" si="7"/>
        <v>0.1126016002</v>
      </c>
      <c r="K274" s="132"/>
    </row>
    <row r="275" hidden="1">
      <c r="A275" s="133" t="s">
        <v>3245</v>
      </c>
      <c r="B275" s="133" t="s">
        <v>3246</v>
      </c>
      <c r="C275" s="130">
        <v>2119.0</v>
      </c>
      <c r="D275" s="131"/>
      <c r="E275" s="130">
        <v>1659.59</v>
      </c>
      <c r="F275" s="132">
        <v>0.1</v>
      </c>
      <c r="G275" s="130">
        <f t="shared" si="1"/>
        <v>211.9</v>
      </c>
      <c r="H275" s="130">
        <v>78.88</v>
      </c>
      <c r="I275" s="130">
        <f t="shared" si="6"/>
        <v>168.63</v>
      </c>
      <c r="J275" s="132">
        <f t="shared" si="7"/>
        <v>0.1016094337</v>
      </c>
      <c r="K275" s="132"/>
    </row>
    <row r="276" hidden="1">
      <c r="A276" s="133" t="s">
        <v>3247</v>
      </c>
      <c r="B276" s="133" t="s">
        <v>3248</v>
      </c>
      <c r="C276" s="130">
        <v>899.0</v>
      </c>
      <c r="D276" s="131"/>
      <c r="E276" s="130">
        <v>598.82</v>
      </c>
      <c r="F276" s="132">
        <v>0.1</v>
      </c>
      <c r="G276" s="130">
        <f t="shared" si="1"/>
        <v>89.9</v>
      </c>
      <c r="H276" s="130">
        <v>84.67999999999999</v>
      </c>
      <c r="I276" s="130">
        <f t="shared" si="6"/>
        <v>125.6</v>
      </c>
      <c r="J276" s="132">
        <f t="shared" si="7"/>
        <v>0.2097458335</v>
      </c>
      <c r="K276" s="132"/>
    </row>
    <row r="277" hidden="1">
      <c r="A277" s="133" t="s">
        <v>3249</v>
      </c>
      <c r="B277" s="133" t="s">
        <v>3250</v>
      </c>
      <c r="C277" s="130">
        <v>2999.0</v>
      </c>
      <c r="D277" s="131"/>
      <c r="E277" s="130">
        <v>2602.47</v>
      </c>
      <c r="F277" s="132">
        <v>0.1</v>
      </c>
      <c r="G277" s="130">
        <f t="shared" si="1"/>
        <v>299.9</v>
      </c>
      <c r="H277" s="130">
        <v>84.67999999999999</v>
      </c>
      <c r="I277" s="130">
        <f t="shared" si="6"/>
        <v>11.95</v>
      </c>
      <c r="J277" s="132">
        <f t="shared" si="7"/>
        <v>0.004591791644</v>
      </c>
      <c r="K277" s="132"/>
    </row>
    <row r="278" hidden="1">
      <c r="A278" s="133" t="s">
        <v>3251</v>
      </c>
      <c r="B278" s="133" t="s">
        <v>3252</v>
      </c>
      <c r="C278" s="130">
        <v>1019.0</v>
      </c>
      <c r="D278" s="131"/>
      <c r="E278" s="130">
        <v>742.0</v>
      </c>
      <c r="F278" s="132">
        <v>0.1</v>
      </c>
      <c r="G278" s="130">
        <f t="shared" si="1"/>
        <v>101.9</v>
      </c>
      <c r="H278" s="130">
        <v>78.88</v>
      </c>
      <c r="I278" s="130">
        <f t="shared" si="6"/>
        <v>96.22</v>
      </c>
      <c r="J278" s="132">
        <f t="shared" si="7"/>
        <v>0.1296765499</v>
      </c>
      <c r="K278" s="132"/>
    </row>
    <row r="279" hidden="1">
      <c r="A279" s="133" t="s">
        <v>3253</v>
      </c>
      <c r="B279" s="133" t="s">
        <v>3254</v>
      </c>
      <c r="C279" s="130">
        <v>1179.0</v>
      </c>
      <c r="D279" s="131"/>
      <c r="E279" s="130">
        <v>842.5</v>
      </c>
      <c r="F279" s="132">
        <v>0.15</v>
      </c>
      <c r="G279" s="130">
        <f t="shared" si="1"/>
        <v>176.85</v>
      </c>
      <c r="H279" s="130">
        <v>70.75999999999999</v>
      </c>
      <c r="I279" s="130">
        <f t="shared" si="6"/>
        <v>88.89</v>
      </c>
      <c r="J279" s="132">
        <f t="shared" si="7"/>
        <v>0.1055074184</v>
      </c>
      <c r="K279" s="132"/>
    </row>
    <row r="280" hidden="1">
      <c r="A280" s="133" t="s">
        <v>962</v>
      </c>
      <c r="B280" s="133" t="s">
        <v>3255</v>
      </c>
      <c r="C280" s="130">
        <v>399.0</v>
      </c>
      <c r="D280" s="131"/>
      <c r="E280" s="130">
        <v>209.0</v>
      </c>
      <c r="F280" s="132">
        <v>0.15</v>
      </c>
      <c r="G280" s="130">
        <f t="shared" si="1"/>
        <v>59.85</v>
      </c>
      <c r="H280" s="130">
        <v>70.75999999999999</v>
      </c>
      <c r="I280" s="130">
        <f t="shared" si="6"/>
        <v>59.39</v>
      </c>
      <c r="J280" s="132">
        <f t="shared" si="7"/>
        <v>0.2841626794</v>
      </c>
      <c r="K280" s="132"/>
    </row>
    <row r="281" hidden="1">
      <c r="A281" s="133" t="s">
        <v>962</v>
      </c>
      <c r="B281" s="133" t="s">
        <v>3256</v>
      </c>
      <c r="C281" s="130">
        <v>359.0</v>
      </c>
      <c r="D281" s="131"/>
      <c r="E281" s="130">
        <v>220.83</v>
      </c>
      <c r="F281" s="132">
        <v>0.15</v>
      </c>
      <c r="G281" s="130">
        <f t="shared" si="1"/>
        <v>53.85</v>
      </c>
      <c r="H281" s="130">
        <v>70.75999999999999</v>
      </c>
      <c r="I281" s="130">
        <f t="shared" si="6"/>
        <v>13.56</v>
      </c>
      <c r="J281" s="132">
        <f t="shared" si="7"/>
        <v>0.06140470045</v>
      </c>
      <c r="K281" s="132"/>
    </row>
    <row r="282" hidden="1">
      <c r="A282" s="133" t="s">
        <v>3257</v>
      </c>
      <c r="B282" s="133" t="s">
        <v>3258</v>
      </c>
      <c r="C282" s="130">
        <v>3399.0</v>
      </c>
      <c r="D282" s="131"/>
      <c r="E282" s="130">
        <v>2693.66</v>
      </c>
      <c r="F282" s="132">
        <v>0.1</v>
      </c>
      <c r="G282" s="130">
        <f t="shared" si="1"/>
        <v>339.9</v>
      </c>
      <c r="H282" s="130">
        <v>84.67999999999999</v>
      </c>
      <c r="I282" s="130">
        <f t="shared" si="6"/>
        <v>280.76</v>
      </c>
      <c r="J282" s="132">
        <f t="shared" si="7"/>
        <v>0.1042299325</v>
      </c>
      <c r="K282" s="132"/>
    </row>
    <row r="283" hidden="1">
      <c r="A283" s="133" t="s">
        <v>3259</v>
      </c>
      <c r="B283" s="133" t="s">
        <v>3260</v>
      </c>
      <c r="C283" s="130">
        <v>3499.0</v>
      </c>
      <c r="D283" s="131"/>
      <c r="E283" s="130">
        <v>2528.41</v>
      </c>
      <c r="F283" s="132">
        <v>0.11</v>
      </c>
      <c r="G283" s="130">
        <f t="shared" si="1"/>
        <v>384.89</v>
      </c>
      <c r="H283" s="130">
        <v>84.67999999999999</v>
      </c>
      <c r="I283" s="130">
        <f t="shared" si="6"/>
        <v>501.02</v>
      </c>
      <c r="J283" s="132">
        <f t="shared" si="7"/>
        <v>0.1981561535</v>
      </c>
      <c r="K283" s="132"/>
    </row>
    <row r="284" hidden="1">
      <c r="A284" s="133" t="s">
        <v>3261</v>
      </c>
      <c r="B284" s="133" t="s">
        <v>3262</v>
      </c>
      <c r="C284" s="130">
        <v>1999.0</v>
      </c>
      <c r="D284" s="131"/>
      <c r="E284" s="130">
        <v>1597.82</v>
      </c>
      <c r="F284" s="132">
        <v>0.1</v>
      </c>
      <c r="G284" s="130">
        <f t="shared" si="1"/>
        <v>199.9</v>
      </c>
      <c r="H284" s="130">
        <v>70.75999999999999</v>
      </c>
      <c r="I284" s="130">
        <f t="shared" si="6"/>
        <v>130.52</v>
      </c>
      <c r="J284" s="132">
        <f t="shared" si="7"/>
        <v>0.08168629758</v>
      </c>
      <c r="K284" s="132"/>
    </row>
    <row r="285" hidden="1">
      <c r="A285" s="133" t="s">
        <v>3263</v>
      </c>
      <c r="B285" s="133" t="s">
        <v>3227</v>
      </c>
      <c r="C285" s="130">
        <v>1499.0</v>
      </c>
      <c r="D285" s="131"/>
      <c r="E285" s="130">
        <v>1135.65</v>
      </c>
      <c r="F285" s="132">
        <v>0.1</v>
      </c>
      <c r="G285" s="130">
        <f t="shared" si="1"/>
        <v>149.9</v>
      </c>
      <c r="H285" s="130">
        <v>70.75999999999999</v>
      </c>
      <c r="I285" s="130">
        <f t="shared" si="6"/>
        <v>142.69</v>
      </c>
      <c r="J285" s="132">
        <f t="shared" si="7"/>
        <v>0.1256461058</v>
      </c>
      <c r="K285" s="132"/>
    </row>
    <row r="286" hidden="1">
      <c r="A286" s="133" t="s">
        <v>3264</v>
      </c>
      <c r="B286" s="143" t="s">
        <v>3265</v>
      </c>
      <c r="C286" s="130">
        <v>1899.0</v>
      </c>
      <c r="D286" s="131"/>
      <c r="E286" s="130">
        <v>2240.7</v>
      </c>
      <c r="F286" s="132">
        <v>0.11</v>
      </c>
      <c r="G286" s="130">
        <f t="shared" si="1"/>
        <v>208.89</v>
      </c>
      <c r="H286" s="130">
        <v>70.75999999999999</v>
      </c>
      <c r="I286" s="130">
        <f t="shared" si="6"/>
        <v>-621.35</v>
      </c>
      <c r="J286" s="132">
        <f t="shared" si="7"/>
        <v>-0.2773017361</v>
      </c>
      <c r="K286" s="132"/>
    </row>
    <row r="287" hidden="1">
      <c r="A287" s="133" t="s">
        <v>3266</v>
      </c>
      <c r="B287" s="133" t="s">
        <v>3267</v>
      </c>
      <c r="C287" s="130">
        <v>1179.0</v>
      </c>
      <c r="D287" s="131"/>
      <c r="E287" s="130">
        <v>871.67</v>
      </c>
      <c r="F287" s="132">
        <v>0.1</v>
      </c>
      <c r="G287" s="130">
        <f t="shared" si="1"/>
        <v>117.9</v>
      </c>
      <c r="H287" s="130">
        <v>70.75999999999999</v>
      </c>
      <c r="I287" s="130">
        <f t="shared" si="6"/>
        <v>118.67</v>
      </c>
      <c r="J287" s="132">
        <f t="shared" si="7"/>
        <v>0.1361409708</v>
      </c>
      <c r="K287" s="132"/>
    </row>
    <row r="288" hidden="1">
      <c r="A288" s="133" t="s">
        <v>518</v>
      </c>
      <c r="B288" s="133" t="s">
        <v>3268</v>
      </c>
      <c r="C288" s="130">
        <v>4199.0</v>
      </c>
      <c r="D288" s="131"/>
      <c r="E288" s="130">
        <v>3305.62</v>
      </c>
      <c r="F288" s="132">
        <v>0.1</v>
      </c>
      <c r="G288" s="130">
        <f t="shared" si="1"/>
        <v>419.9</v>
      </c>
      <c r="H288" s="130">
        <v>112.52</v>
      </c>
      <c r="I288" s="130">
        <f t="shared" si="6"/>
        <v>360.96</v>
      </c>
      <c r="J288" s="132">
        <f t="shared" si="7"/>
        <v>0.1091958543</v>
      </c>
      <c r="K288" s="132"/>
    </row>
    <row r="289" hidden="1">
      <c r="A289" s="133" t="s">
        <v>3269</v>
      </c>
      <c r="B289" s="133" t="s">
        <v>3270</v>
      </c>
      <c r="C289" s="130">
        <v>1099.0</v>
      </c>
      <c r="D289" s="131"/>
      <c r="E289" s="130">
        <v>747.18</v>
      </c>
      <c r="F289" s="132">
        <v>0.15</v>
      </c>
      <c r="G289" s="130">
        <f t="shared" si="1"/>
        <v>164.85</v>
      </c>
      <c r="H289" s="130">
        <v>70.75999999999999</v>
      </c>
      <c r="I289" s="130">
        <f t="shared" si="6"/>
        <v>116.21</v>
      </c>
      <c r="J289" s="132">
        <f t="shared" si="7"/>
        <v>0.155531465</v>
      </c>
      <c r="K289" s="132"/>
    </row>
    <row r="290" hidden="1">
      <c r="A290" s="133"/>
      <c r="B290" s="133" t="s">
        <v>3271</v>
      </c>
      <c r="C290" s="130">
        <v>999.0</v>
      </c>
      <c r="D290" s="131"/>
      <c r="E290" s="130">
        <v>643.41</v>
      </c>
      <c r="F290" s="132">
        <v>0.15</v>
      </c>
      <c r="G290" s="130">
        <f t="shared" si="1"/>
        <v>149.85</v>
      </c>
      <c r="H290" s="130">
        <v>70.75999999999999</v>
      </c>
      <c r="I290" s="130">
        <f t="shared" si="6"/>
        <v>134.98</v>
      </c>
      <c r="J290" s="132">
        <f t="shared" si="7"/>
        <v>0.2097884708</v>
      </c>
      <c r="K290" s="132"/>
    </row>
    <row r="291">
      <c r="A291" s="133" t="s">
        <v>3272</v>
      </c>
      <c r="B291" s="133" t="s">
        <v>3273</v>
      </c>
      <c r="C291" s="130">
        <v>1399.0</v>
      </c>
      <c r="D291" s="131"/>
      <c r="E291" s="130">
        <v>996.25</v>
      </c>
      <c r="F291" s="132">
        <v>0.15</v>
      </c>
      <c r="G291" s="130">
        <f t="shared" si="1"/>
        <v>209.85</v>
      </c>
      <c r="H291" s="130">
        <v>70.75999999999999</v>
      </c>
      <c r="I291" s="130">
        <f t="shared" si="6"/>
        <v>122.14</v>
      </c>
      <c r="J291" s="132">
        <f t="shared" si="7"/>
        <v>0.1225997491</v>
      </c>
      <c r="K291" s="142" t="s">
        <v>4731</v>
      </c>
    </row>
    <row r="292" hidden="1">
      <c r="A292" s="133" t="s">
        <v>3274</v>
      </c>
      <c r="B292" s="133" t="s">
        <v>3275</v>
      </c>
      <c r="C292" s="130">
        <v>1459.0</v>
      </c>
      <c r="D292" s="131"/>
      <c r="E292" s="130">
        <v>1060.9</v>
      </c>
      <c r="F292" s="132">
        <v>0.15</v>
      </c>
      <c r="G292" s="130">
        <f t="shared" si="1"/>
        <v>218.85</v>
      </c>
      <c r="H292" s="130">
        <v>70.75999999999999</v>
      </c>
      <c r="I292" s="130">
        <f t="shared" si="6"/>
        <v>108.49</v>
      </c>
      <c r="J292" s="132">
        <f t="shared" si="7"/>
        <v>0.1022622302</v>
      </c>
      <c r="K292" s="132"/>
    </row>
    <row r="293" hidden="1">
      <c r="A293" s="133" t="s">
        <v>3276</v>
      </c>
      <c r="B293" s="133" t="s">
        <v>3277</v>
      </c>
      <c r="C293" s="130">
        <v>1459.0</v>
      </c>
      <c r="D293" s="131"/>
      <c r="E293" s="130">
        <v>1062.98</v>
      </c>
      <c r="F293" s="132">
        <v>0.15</v>
      </c>
      <c r="G293" s="130">
        <f t="shared" si="1"/>
        <v>218.85</v>
      </c>
      <c r="H293" s="130">
        <v>70.75999999999999</v>
      </c>
      <c r="I293" s="130">
        <f t="shared" si="6"/>
        <v>106.41</v>
      </c>
      <c r="J293" s="132">
        <f t="shared" si="7"/>
        <v>0.1001053642</v>
      </c>
      <c r="K293" s="132"/>
    </row>
    <row r="294" hidden="1">
      <c r="A294" s="133" t="s">
        <v>3278</v>
      </c>
      <c r="B294" s="133" t="s">
        <v>3279</v>
      </c>
      <c r="C294" s="130">
        <v>1349.0</v>
      </c>
      <c r="D294" s="131"/>
      <c r="E294" s="130">
        <v>983.53</v>
      </c>
      <c r="F294" s="132">
        <v>0.15</v>
      </c>
      <c r="G294" s="130">
        <f t="shared" si="1"/>
        <v>202.35</v>
      </c>
      <c r="H294" s="130">
        <v>70.75999999999999</v>
      </c>
      <c r="I294" s="130">
        <f t="shared" si="6"/>
        <v>92.36</v>
      </c>
      <c r="J294" s="132">
        <f t="shared" si="7"/>
        <v>0.0939066424</v>
      </c>
      <c r="K294" s="132"/>
    </row>
    <row r="295" hidden="1">
      <c r="A295" s="133" t="s">
        <v>3280</v>
      </c>
      <c r="B295" s="133" t="s">
        <v>3281</v>
      </c>
      <c r="C295" s="130">
        <v>569.0</v>
      </c>
      <c r="D295" s="131"/>
      <c r="E295" s="130">
        <v>366.22</v>
      </c>
      <c r="F295" s="132">
        <v>0.15</v>
      </c>
      <c r="G295" s="130">
        <f t="shared" si="1"/>
        <v>85.35</v>
      </c>
      <c r="H295" s="130">
        <v>70.75999999999999</v>
      </c>
      <c r="I295" s="130">
        <f t="shared" si="6"/>
        <v>46.67</v>
      </c>
      <c r="J295" s="132">
        <f t="shared" si="7"/>
        <v>0.1274370597</v>
      </c>
      <c r="K295" s="132"/>
    </row>
    <row r="296" hidden="1">
      <c r="A296" s="133" t="s">
        <v>3282</v>
      </c>
      <c r="B296" s="133" t="s">
        <v>3283</v>
      </c>
      <c r="C296" s="130">
        <v>929.0</v>
      </c>
      <c r="D296" s="131"/>
      <c r="E296" s="130">
        <v>643.41</v>
      </c>
      <c r="F296" s="132">
        <v>0.16</v>
      </c>
      <c r="G296" s="130">
        <f t="shared" si="1"/>
        <v>148.64</v>
      </c>
      <c r="H296" s="130">
        <v>70.75999999999999</v>
      </c>
      <c r="I296" s="130">
        <f t="shared" si="6"/>
        <v>66.19</v>
      </c>
      <c r="J296" s="132">
        <f t="shared" si="7"/>
        <v>0.1028737508</v>
      </c>
      <c r="K296" s="132"/>
    </row>
    <row r="297">
      <c r="A297" s="133" t="s">
        <v>3284</v>
      </c>
      <c r="B297" s="133" t="s">
        <v>3285</v>
      </c>
      <c r="C297" s="134">
        <v>799.0</v>
      </c>
      <c r="D297" s="131"/>
      <c r="E297" s="130">
        <v>555.92</v>
      </c>
      <c r="F297" s="132">
        <v>0.15</v>
      </c>
      <c r="G297" s="130">
        <f t="shared" si="1"/>
        <v>119.85</v>
      </c>
      <c r="H297" s="130">
        <v>70.75999999999999</v>
      </c>
      <c r="I297" s="130">
        <f t="shared" si="6"/>
        <v>52.47</v>
      </c>
      <c r="J297" s="132">
        <f t="shared" si="7"/>
        <v>0.09438408404</v>
      </c>
      <c r="K297" s="142" t="s">
        <v>4731</v>
      </c>
      <c r="L297" s="1" t="s">
        <v>4733</v>
      </c>
      <c r="N297" s="1">
        <v>171.0</v>
      </c>
    </row>
    <row r="298" hidden="1">
      <c r="A298" s="133" t="s">
        <v>3286</v>
      </c>
      <c r="B298" s="133" t="s">
        <v>3287</v>
      </c>
      <c r="C298" s="130">
        <v>1939.0</v>
      </c>
      <c r="D298" s="131"/>
      <c r="E298" s="130">
        <v>1434.89</v>
      </c>
      <c r="F298" s="132">
        <v>0.15</v>
      </c>
      <c r="G298" s="130">
        <f t="shared" si="1"/>
        <v>290.85</v>
      </c>
      <c r="H298" s="130">
        <v>78.88</v>
      </c>
      <c r="I298" s="130">
        <f t="shared" si="6"/>
        <v>134.38</v>
      </c>
      <c r="J298" s="132">
        <f t="shared" si="7"/>
        <v>0.09365177819</v>
      </c>
      <c r="K298" s="132"/>
    </row>
    <row r="299" hidden="1">
      <c r="A299" s="133" t="s">
        <v>3288</v>
      </c>
      <c r="B299" s="133" t="s">
        <v>3289</v>
      </c>
      <c r="C299" s="130">
        <v>1215.0</v>
      </c>
      <c r="D299" s="131"/>
      <c r="E299" s="130">
        <v>676.28</v>
      </c>
      <c r="F299" s="132">
        <v>0.15</v>
      </c>
      <c r="G299" s="130">
        <f t="shared" si="1"/>
        <v>182.25</v>
      </c>
      <c r="H299" s="130">
        <v>78.88</v>
      </c>
      <c r="I299" s="130">
        <f t="shared" si="6"/>
        <v>277.59</v>
      </c>
      <c r="J299" s="132">
        <f t="shared" si="7"/>
        <v>0.4104660791</v>
      </c>
      <c r="K299" s="132"/>
    </row>
    <row r="300" hidden="1">
      <c r="A300" s="133" t="s">
        <v>3290</v>
      </c>
      <c r="B300" s="133" t="s">
        <v>3291</v>
      </c>
      <c r="C300" s="130">
        <v>266.0</v>
      </c>
      <c r="D300" s="131"/>
      <c r="E300" s="130">
        <v>120.87</v>
      </c>
      <c r="F300" s="132">
        <v>0.1</v>
      </c>
      <c r="G300" s="130">
        <f t="shared" si="1"/>
        <v>26.6</v>
      </c>
      <c r="H300" s="130">
        <v>70.75999999999999</v>
      </c>
      <c r="I300" s="130">
        <f t="shared" si="6"/>
        <v>47.77</v>
      </c>
      <c r="J300" s="132">
        <f t="shared" si="7"/>
        <v>0.3952180028</v>
      </c>
      <c r="K300" s="132"/>
    </row>
    <row r="301" hidden="1">
      <c r="A301" s="133" t="s">
        <v>3292</v>
      </c>
      <c r="B301" s="133" t="s">
        <v>3293</v>
      </c>
      <c r="C301" s="130">
        <v>499.0</v>
      </c>
      <c r="D301" s="131"/>
      <c r="E301" s="130">
        <v>330.84</v>
      </c>
      <c r="F301" s="132">
        <v>0.1</v>
      </c>
      <c r="G301" s="130">
        <f t="shared" si="1"/>
        <v>49.9</v>
      </c>
      <c r="H301" s="130">
        <v>70.75999999999999</v>
      </c>
      <c r="I301" s="130">
        <f t="shared" si="6"/>
        <v>47.5</v>
      </c>
      <c r="J301" s="132">
        <f t="shared" si="7"/>
        <v>0.143573933</v>
      </c>
      <c r="K301" s="132"/>
    </row>
    <row r="302" hidden="1">
      <c r="A302" s="133" t="s">
        <v>3294</v>
      </c>
      <c r="B302" s="133" t="s">
        <v>3295</v>
      </c>
      <c r="C302" s="130">
        <v>549.0</v>
      </c>
      <c r="D302" s="131"/>
      <c r="E302" s="130">
        <v>327.19</v>
      </c>
      <c r="F302" s="132">
        <v>0.16</v>
      </c>
      <c r="G302" s="130">
        <f t="shared" si="1"/>
        <v>87.84</v>
      </c>
      <c r="H302" s="130">
        <v>70.75999999999999</v>
      </c>
      <c r="I302" s="130">
        <f t="shared" si="6"/>
        <v>63.21</v>
      </c>
      <c r="J302" s="132">
        <f t="shared" si="7"/>
        <v>0.1931905009</v>
      </c>
      <c r="K302" s="132"/>
    </row>
    <row r="303" hidden="1">
      <c r="A303" s="133" t="s">
        <v>3284</v>
      </c>
      <c r="B303" s="133" t="s">
        <v>3296</v>
      </c>
      <c r="C303" s="130">
        <v>799.0</v>
      </c>
      <c r="D303" s="131"/>
      <c r="E303" s="130">
        <v>555.92</v>
      </c>
      <c r="F303" s="132">
        <v>0.15</v>
      </c>
      <c r="G303" s="130">
        <f t="shared" si="1"/>
        <v>119.85</v>
      </c>
      <c r="H303" s="130">
        <v>70.75999999999999</v>
      </c>
      <c r="I303" s="130">
        <f t="shared" si="6"/>
        <v>52.47</v>
      </c>
      <c r="J303" s="132">
        <f t="shared" si="7"/>
        <v>0.09438408404</v>
      </c>
      <c r="K303" s="132"/>
    </row>
    <row r="304" hidden="1">
      <c r="A304" s="133" t="s">
        <v>3297</v>
      </c>
      <c r="B304" s="133" t="s">
        <v>3298</v>
      </c>
      <c r="C304" s="130">
        <v>1299.0</v>
      </c>
      <c r="D304" s="131"/>
      <c r="E304" s="130">
        <v>800.0</v>
      </c>
      <c r="F304" s="132">
        <v>0.15</v>
      </c>
      <c r="G304" s="130">
        <f t="shared" si="1"/>
        <v>194.85</v>
      </c>
      <c r="H304" s="130">
        <v>70.75999999999999</v>
      </c>
      <c r="I304" s="130">
        <f t="shared" si="6"/>
        <v>233.39</v>
      </c>
      <c r="J304" s="132">
        <f t="shared" si="7"/>
        <v>0.2917375</v>
      </c>
      <c r="K304" s="132"/>
    </row>
    <row r="305" hidden="1">
      <c r="A305" s="133" t="s">
        <v>3299</v>
      </c>
      <c r="B305" s="133" t="s">
        <v>3300</v>
      </c>
      <c r="C305" s="130">
        <v>2089.0</v>
      </c>
      <c r="D305" s="131"/>
      <c r="E305" s="130">
        <v>1599.34</v>
      </c>
      <c r="F305" s="132">
        <v>0.15</v>
      </c>
      <c r="G305" s="130">
        <f t="shared" si="1"/>
        <v>313.35</v>
      </c>
      <c r="H305" s="130">
        <v>70.75999999999999</v>
      </c>
      <c r="I305" s="130">
        <f t="shared" si="6"/>
        <v>105.55</v>
      </c>
      <c r="J305" s="132">
        <f t="shared" si="7"/>
        <v>0.06599597334</v>
      </c>
      <c r="K305" s="132"/>
    </row>
    <row r="306" hidden="1">
      <c r="A306" s="133" t="s">
        <v>3301</v>
      </c>
      <c r="B306" s="133" t="s">
        <v>3302</v>
      </c>
      <c r="C306" s="134">
        <v>12999.0</v>
      </c>
      <c r="D306" s="131"/>
      <c r="E306" s="134">
        <v>9290.0</v>
      </c>
      <c r="F306" s="132">
        <v>0.16</v>
      </c>
      <c r="G306" s="130">
        <f t="shared" si="1"/>
        <v>2079.84</v>
      </c>
      <c r="H306" s="130">
        <v>374.67999999999995</v>
      </c>
      <c r="I306" s="130">
        <f t="shared" si="6"/>
        <v>1254.48</v>
      </c>
      <c r="J306" s="132">
        <f t="shared" si="7"/>
        <v>0.1350355221</v>
      </c>
      <c r="K306" s="132"/>
    </row>
    <row r="307" hidden="1">
      <c r="A307" s="133" t="s">
        <v>3303</v>
      </c>
      <c r="B307" s="133" t="s">
        <v>3304</v>
      </c>
      <c r="C307" s="130">
        <v>1499.0</v>
      </c>
      <c r="D307" s="131"/>
      <c r="E307" s="130">
        <v>1096.29</v>
      </c>
      <c r="F307" s="132">
        <v>0.15</v>
      </c>
      <c r="G307" s="130">
        <f t="shared" si="1"/>
        <v>224.85</v>
      </c>
      <c r="H307" s="130">
        <v>70.75999999999999</v>
      </c>
      <c r="I307" s="130">
        <f t="shared" si="6"/>
        <v>107.1</v>
      </c>
      <c r="J307" s="132">
        <f t="shared" si="7"/>
        <v>0.09769312864</v>
      </c>
      <c r="K307" s="132"/>
    </row>
    <row r="308" hidden="1">
      <c r="A308" s="133" t="s">
        <v>3305</v>
      </c>
      <c r="B308" s="133" t="s">
        <v>3306</v>
      </c>
      <c r="C308" s="130">
        <v>1299.0</v>
      </c>
      <c r="D308" s="131"/>
      <c r="E308" s="130">
        <v>820.0</v>
      </c>
      <c r="F308" s="132">
        <v>0.15</v>
      </c>
      <c r="G308" s="130">
        <f t="shared" si="1"/>
        <v>194.85</v>
      </c>
      <c r="H308" s="130">
        <v>70.75999999999999</v>
      </c>
      <c r="I308" s="130">
        <f t="shared" si="6"/>
        <v>213.39</v>
      </c>
      <c r="J308" s="132">
        <f t="shared" si="7"/>
        <v>0.2602317073</v>
      </c>
      <c r="K308" s="132"/>
    </row>
    <row r="309" hidden="1">
      <c r="A309" s="133" t="s">
        <v>3307</v>
      </c>
      <c r="B309" s="133" t="s">
        <v>3308</v>
      </c>
      <c r="C309" s="130">
        <v>559.0</v>
      </c>
      <c r="D309" s="131"/>
      <c r="E309" s="130">
        <v>355.94</v>
      </c>
      <c r="F309" s="132">
        <v>0.15</v>
      </c>
      <c r="G309" s="130">
        <f t="shared" si="1"/>
        <v>83.85</v>
      </c>
      <c r="H309" s="130">
        <v>70.75999999999999</v>
      </c>
      <c r="I309" s="130">
        <f t="shared" si="6"/>
        <v>48.45</v>
      </c>
      <c r="J309" s="132">
        <f t="shared" si="7"/>
        <v>0.1361184469</v>
      </c>
      <c r="K309" s="132"/>
    </row>
    <row r="310" hidden="1">
      <c r="A310" s="133" t="s">
        <v>3309</v>
      </c>
      <c r="B310" s="133" t="s">
        <v>3310</v>
      </c>
      <c r="C310" s="130">
        <v>479.0</v>
      </c>
      <c r="D310" s="131"/>
      <c r="E310" s="130">
        <v>287.69</v>
      </c>
      <c r="F310" s="132">
        <v>0.15</v>
      </c>
      <c r="G310" s="130">
        <f t="shared" si="1"/>
        <v>71.85</v>
      </c>
      <c r="H310" s="130">
        <v>70.75999999999999</v>
      </c>
      <c r="I310" s="130">
        <f t="shared" si="6"/>
        <v>48.7</v>
      </c>
      <c r="J310" s="132">
        <f t="shared" si="7"/>
        <v>0.1692794327</v>
      </c>
      <c r="K310" s="132"/>
    </row>
    <row r="311" hidden="1">
      <c r="A311" s="133"/>
      <c r="B311" s="133" t="s">
        <v>3311</v>
      </c>
      <c r="C311" s="130">
        <v>4999.0</v>
      </c>
      <c r="D311" s="131"/>
      <c r="E311" s="130">
        <v>4010.47</v>
      </c>
      <c r="F311" s="132">
        <v>0.1</v>
      </c>
      <c r="G311" s="130">
        <f t="shared" si="1"/>
        <v>499.9</v>
      </c>
      <c r="H311" s="130">
        <v>88.16</v>
      </c>
      <c r="I311" s="130">
        <f t="shared" si="6"/>
        <v>400.47</v>
      </c>
      <c r="J311" s="132">
        <f t="shared" si="7"/>
        <v>0.09985612659</v>
      </c>
      <c r="K311" s="132"/>
    </row>
    <row r="312" hidden="1">
      <c r="A312" s="133" t="s">
        <v>3312</v>
      </c>
      <c r="B312" s="143" t="s">
        <v>3313</v>
      </c>
      <c r="C312" s="130">
        <v>1499.0</v>
      </c>
      <c r="D312" s="131"/>
      <c r="E312" s="130">
        <v>1137.93</v>
      </c>
      <c r="F312" s="132">
        <v>0.11</v>
      </c>
      <c r="G312" s="130">
        <f t="shared" si="1"/>
        <v>164.89</v>
      </c>
      <c r="H312" s="130">
        <v>88.16</v>
      </c>
      <c r="I312" s="130">
        <f t="shared" si="6"/>
        <v>108.02</v>
      </c>
      <c r="J312" s="132">
        <f t="shared" si="7"/>
        <v>0.09492675296</v>
      </c>
      <c r="K312" s="132"/>
    </row>
    <row r="313" hidden="1">
      <c r="A313" s="133" t="s">
        <v>3314</v>
      </c>
      <c r="B313" s="133" t="s">
        <v>3315</v>
      </c>
      <c r="C313" s="130">
        <v>1329.0</v>
      </c>
      <c r="D313" s="131"/>
      <c r="E313" s="130">
        <v>998.21</v>
      </c>
      <c r="F313" s="132">
        <v>0.11</v>
      </c>
      <c r="G313" s="130">
        <f t="shared" si="1"/>
        <v>146.19</v>
      </c>
      <c r="H313" s="130">
        <v>70.75999999999999</v>
      </c>
      <c r="I313" s="130">
        <f t="shared" si="6"/>
        <v>113.84</v>
      </c>
      <c r="J313" s="132">
        <f t="shared" si="7"/>
        <v>0.114044139</v>
      </c>
      <c r="K313" s="132"/>
    </row>
    <row r="314" hidden="1">
      <c r="A314" s="133" t="s">
        <v>3316</v>
      </c>
      <c r="B314" s="133" t="s">
        <v>3317</v>
      </c>
      <c r="C314" s="130">
        <v>1599.0</v>
      </c>
      <c r="D314" s="131"/>
      <c r="E314" s="130">
        <v>1105.81</v>
      </c>
      <c r="F314" s="132">
        <v>0.1</v>
      </c>
      <c r="G314" s="130">
        <f t="shared" si="1"/>
        <v>159.9</v>
      </c>
      <c r="H314" s="130">
        <v>70.75999999999999</v>
      </c>
      <c r="I314" s="130">
        <f t="shared" si="6"/>
        <v>262.53</v>
      </c>
      <c r="J314" s="132">
        <f t="shared" si="7"/>
        <v>0.2374096816</v>
      </c>
      <c r="K314" s="132"/>
    </row>
    <row r="315" hidden="1">
      <c r="A315" s="146" t="s">
        <v>3318</v>
      </c>
      <c r="B315" s="133"/>
      <c r="C315" s="130">
        <v>1396.0</v>
      </c>
      <c r="D315" s="131"/>
      <c r="E315" s="130">
        <v>996.3</v>
      </c>
      <c r="F315" s="132">
        <v>0.1</v>
      </c>
      <c r="G315" s="130">
        <f t="shared" si="1"/>
        <v>139.6</v>
      </c>
      <c r="H315" s="130">
        <v>70.75999999999999</v>
      </c>
      <c r="I315" s="130">
        <f t="shared" si="6"/>
        <v>189.34</v>
      </c>
      <c r="J315" s="132">
        <f t="shared" si="7"/>
        <v>0.1900431597</v>
      </c>
      <c r="K315" s="132"/>
    </row>
    <row r="316" hidden="1">
      <c r="A316" s="133" t="s">
        <v>3319</v>
      </c>
      <c r="B316" s="133" t="s">
        <v>4734</v>
      </c>
      <c r="C316" s="130">
        <v>839.0</v>
      </c>
      <c r="D316" s="131"/>
      <c r="E316" s="130">
        <v>548.7</v>
      </c>
      <c r="F316" s="132">
        <v>0.15</v>
      </c>
      <c r="G316" s="130">
        <f t="shared" si="1"/>
        <v>125.85</v>
      </c>
      <c r="H316" s="130">
        <v>70.75999999999999</v>
      </c>
      <c r="I316" s="130">
        <f t="shared" si="6"/>
        <v>93.69</v>
      </c>
      <c r="J316" s="132">
        <f t="shared" si="7"/>
        <v>0.1707490432</v>
      </c>
      <c r="K316" s="132"/>
    </row>
    <row r="317" hidden="1">
      <c r="A317" s="133" t="s">
        <v>3322</v>
      </c>
      <c r="B317" s="133" t="s">
        <v>3323</v>
      </c>
      <c r="C317" s="130">
        <v>1939.0</v>
      </c>
      <c r="D317" s="131"/>
      <c r="E317" s="130">
        <v>1564.86</v>
      </c>
      <c r="F317" s="132">
        <v>0.15</v>
      </c>
      <c r="G317" s="130">
        <f t="shared" si="1"/>
        <v>290.85</v>
      </c>
      <c r="H317" s="130">
        <v>70.75999999999999</v>
      </c>
      <c r="I317" s="130">
        <f t="shared" si="6"/>
        <v>12.53</v>
      </c>
      <c r="J317" s="132">
        <f t="shared" si="7"/>
        <v>0.008007106067</v>
      </c>
      <c r="K317" s="132"/>
    </row>
    <row r="318" hidden="1">
      <c r="A318" s="133" t="s">
        <v>3324</v>
      </c>
      <c r="B318" s="133" t="s">
        <v>3325</v>
      </c>
      <c r="C318" s="130">
        <v>1483.0</v>
      </c>
      <c r="D318" s="131"/>
      <c r="E318" s="130">
        <v>1160.0</v>
      </c>
      <c r="F318" s="132">
        <v>0.1</v>
      </c>
      <c r="G318" s="130">
        <f t="shared" si="1"/>
        <v>148.3</v>
      </c>
      <c r="H318" s="130">
        <v>70.75999999999999</v>
      </c>
      <c r="I318" s="130">
        <f t="shared" si="6"/>
        <v>103.94</v>
      </c>
      <c r="J318" s="132">
        <f t="shared" si="7"/>
        <v>0.08960344828</v>
      </c>
      <c r="K318" s="132"/>
    </row>
    <row r="319" hidden="1">
      <c r="A319" s="133" t="s">
        <v>3326</v>
      </c>
      <c r="B319" s="133" t="s">
        <v>3327</v>
      </c>
      <c r="C319" s="130">
        <v>1399.0</v>
      </c>
      <c r="D319" s="131"/>
      <c r="E319" s="130">
        <v>1044.0</v>
      </c>
      <c r="F319" s="132">
        <v>0.1</v>
      </c>
      <c r="G319" s="130">
        <f t="shared" si="1"/>
        <v>139.9</v>
      </c>
      <c r="H319" s="130">
        <v>112.52</v>
      </c>
      <c r="I319" s="130">
        <f t="shared" si="6"/>
        <v>102.58</v>
      </c>
      <c r="J319" s="132">
        <f t="shared" si="7"/>
        <v>0.09825670498</v>
      </c>
      <c r="K319" s="132"/>
    </row>
    <row r="320" hidden="1">
      <c r="A320" s="133" t="s">
        <v>3328</v>
      </c>
      <c r="B320" s="133" t="s">
        <v>3329</v>
      </c>
      <c r="C320" s="130">
        <v>1149.0</v>
      </c>
      <c r="D320" s="131"/>
      <c r="E320" s="130">
        <v>822.15</v>
      </c>
      <c r="F320" s="132">
        <v>0.1</v>
      </c>
      <c r="G320" s="130">
        <f t="shared" si="1"/>
        <v>114.9</v>
      </c>
      <c r="H320" s="130">
        <v>70.75999999999999</v>
      </c>
      <c r="I320" s="130">
        <f t="shared" si="6"/>
        <v>141.19</v>
      </c>
      <c r="J320" s="132">
        <f t="shared" si="7"/>
        <v>0.1717326522</v>
      </c>
      <c r="K320" s="132"/>
    </row>
    <row r="321" hidden="1">
      <c r="A321" s="133" t="s">
        <v>3330</v>
      </c>
      <c r="B321" s="133" t="s">
        <v>3331</v>
      </c>
      <c r="C321" s="130">
        <v>1459.0</v>
      </c>
      <c r="D321" s="131"/>
      <c r="E321" s="130">
        <v>1062.98</v>
      </c>
      <c r="F321" s="132">
        <v>0.15</v>
      </c>
      <c r="G321" s="130">
        <f t="shared" si="1"/>
        <v>218.85</v>
      </c>
      <c r="H321" s="130">
        <v>70.75999999999999</v>
      </c>
      <c r="I321" s="130">
        <f t="shared" si="6"/>
        <v>106.41</v>
      </c>
      <c r="J321" s="132">
        <f t="shared" si="7"/>
        <v>0.1001053642</v>
      </c>
      <c r="K321" s="132"/>
    </row>
    <row r="322" hidden="1">
      <c r="A322" s="133" t="s">
        <v>3332</v>
      </c>
      <c r="B322" s="133" t="s">
        <v>3333</v>
      </c>
      <c r="C322" s="130">
        <v>799.0</v>
      </c>
      <c r="D322" s="131"/>
      <c r="E322" s="130">
        <v>518.22</v>
      </c>
      <c r="F322" s="132">
        <v>0.15</v>
      </c>
      <c r="G322" s="130">
        <f t="shared" si="1"/>
        <v>119.85</v>
      </c>
      <c r="H322" s="130">
        <v>70.75999999999999</v>
      </c>
      <c r="I322" s="130">
        <f t="shared" si="6"/>
        <v>90.17</v>
      </c>
      <c r="J322" s="132">
        <f t="shared" si="7"/>
        <v>0.1739994597</v>
      </c>
      <c r="K322" s="132"/>
    </row>
    <row r="323" hidden="1">
      <c r="A323" s="133" t="s">
        <v>3334</v>
      </c>
      <c r="B323" s="133" t="s">
        <v>3335</v>
      </c>
      <c r="C323" s="130">
        <v>1199.0</v>
      </c>
      <c r="D323" s="131"/>
      <c r="E323" s="130">
        <v>929.62</v>
      </c>
      <c r="F323" s="132">
        <v>0.15</v>
      </c>
      <c r="G323" s="130">
        <f t="shared" si="1"/>
        <v>179.85</v>
      </c>
      <c r="H323" s="130">
        <v>70.75999999999999</v>
      </c>
      <c r="I323" s="130">
        <f t="shared" si="6"/>
        <v>18.77</v>
      </c>
      <c r="J323" s="132">
        <f t="shared" si="7"/>
        <v>0.0201910458</v>
      </c>
      <c r="K323" s="132"/>
    </row>
    <row r="324" hidden="1">
      <c r="A324" s="133" t="s">
        <v>3336</v>
      </c>
      <c r="B324" s="133" t="s">
        <v>3337</v>
      </c>
      <c r="C324" s="130">
        <v>439.0</v>
      </c>
      <c r="D324" s="131"/>
      <c r="E324" s="130">
        <v>289.0</v>
      </c>
      <c r="F324" s="132">
        <v>0.1</v>
      </c>
      <c r="G324" s="130">
        <f t="shared" si="1"/>
        <v>43.9</v>
      </c>
      <c r="H324" s="130">
        <v>70.75999999999999</v>
      </c>
      <c r="I324" s="130">
        <f t="shared" si="6"/>
        <v>35.34</v>
      </c>
      <c r="J324" s="132">
        <f t="shared" si="7"/>
        <v>0.122283737</v>
      </c>
      <c r="K324" s="132"/>
    </row>
    <row r="325" hidden="1">
      <c r="A325" s="133" t="s">
        <v>3338</v>
      </c>
      <c r="B325" s="131" t="s">
        <v>3339</v>
      </c>
      <c r="C325" s="130">
        <v>759.0</v>
      </c>
      <c r="D325" s="131"/>
      <c r="E325" s="130">
        <v>456.99</v>
      </c>
      <c r="F325" s="132">
        <v>0.11</v>
      </c>
      <c r="G325" s="130">
        <f t="shared" si="1"/>
        <v>83.49</v>
      </c>
      <c r="H325" s="130">
        <v>78.88</v>
      </c>
      <c r="I325" s="130">
        <f t="shared" si="6"/>
        <v>139.64</v>
      </c>
      <c r="J325" s="132">
        <f t="shared" si="7"/>
        <v>0.3055646732</v>
      </c>
      <c r="K325" s="132"/>
    </row>
    <row r="326" hidden="1">
      <c r="A326" s="133" t="s">
        <v>3340</v>
      </c>
      <c r="B326" s="131" t="s">
        <v>3341</v>
      </c>
      <c r="C326" s="130">
        <v>849.0</v>
      </c>
      <c r="D326" s="131"/>
      <c r="E326" s="130">
        <v>537.58</v>
      </c>
      <c r="F326" s="132">
        <v>0.15</v>
      </c>
      <c r="G326" s="130">
        <f t="shared" si="1"/>
        <v>127.35</v>
      </c>
      <c r="H326" s="130">
        <v>70.75999999999999</v>
      </c>
      <c r="I326" s="130">
        <f t="shared" si="6"/>
        <v>113.31</v>
      </c>
      <c r="J326" s="132">
        <f t="shared" si="7"/>
        <v>0.2107779307</v>
      </c>
      <c r="K326" s="132"/>
    </row>
    <row r="327" hidden="1">
      <c r="A327" s="133" t="s">
        <v>3342</v>
      </c>
      <c r="B327" s="131" t="s">
        <v>3343</v>
      </c>
      <c r="C327" s="131"/>
      <c r="D327" s="131"/>
      <c r="E327" s="130">
        <v>456.99</v>
      </c>
      <c r="F327" s="132">
        <v>0.1</v>
      </c>
      <c r="G327" s="130">
        <f t="shared" si="1"/>
        <v>0</v>
      </c>
      <c r="H327" s="130">
        <v>78.88</v>
      </c>
      <c r="I327" s="130">
        <f t="shared" si="6"/>
        <v>-535.87</v>
      </c>
      <c r="J327" s="132">
        <f t="shared" si="7"/>
        <v>-1.172607716</v>
      </c>
      <c r="K327" s="132"/>
    </row>
    <row r="328" hidden="1">
      <c r="A328" s="133" t="s">
        <v>3344</v>
      </c>
      <c r="B328" s="131" t="s">
        <v>3345</v>
      </c>
      <c r="C328" s="131"/>
      <c r="D328" s="131"/>
      <c r="E328" s="130">
        <v>157.94</v>
      </c>
      <c r="F328" s="132">
        <v>0.15</v>
      </c>
      <c r="G328" s="130">
        <f t="shared" si="1"/>
        <v>0</v>
      </c>
      <c r="H328" s="130">
        <v>70.75999999999999</v>
      </c>
      <c r="I328" s="130">
        <f t="shared" si="6"/>
        <v>-228.7</v>
      </c>
      <c r="J328" s="132">
        <f t="shared" si="7"/>
        <v>-1.448018235</v>
      </c>
      <c r="K328" s="132"/>
    </row>
    <row r="329" hidden="1">
      <c r="A329" s="133" t="s">
        <v>3340</v>
      </c>
      <c r="B329" s="131" t="s">
        <v>3341</v>
      </c>
      <c r="C329" s="131"/>
      <c r="D329" s="131"/>
      <c r="E329" s="130">
        <v>537.58</v>
      </c>
      <c r="F329" s="132">
        <v>0.15</v>
      </c>
      <c r="G329" s="130">
        <f t="shared" si="1"/>
        <v>0</v>
      </c>
      <c r="H329" s="130">
        <v>70.75999999999999</v>
      </c>
      <c r="I329" s="130">
        <f t="shared" si="6"/>
        <v>-608.34</v>
      </c>
      <c r="J329" s="132">
        <f t="shared" si="7"/>
        <v>-1.131626921</v>
      </c>
      <c r="K329" s="132"/>
    </row>
    <row r="330" hidden="1">
      <c r="A330" s="133" t="s">
        <v>3344</v>
      </c>
      <c r="B330" s="131" t="s">
        <v>3345</v>
      </c>
      <c r="C330" s="131"/>
      <c r="D330" s="131"/>
      <c r="E330" s="130">
        <v>157.94</v>
      </c>
      <c r="F330" s="132">
        <v>0.15</v>
      </c>
      <c r="G330" s="130">
        <f t="shared" si="1"/>
        <v>0</v>
      </c>
      <c r="H330" s="130">
        <v>70.75999999999999</v>
      </c>
      <c r="I330" s="130">
        <f t="shared" si="6"/>
        <v>-228.7</v>
      </c>
      <c r="J330" s="132">
        <f t="shared" si="7"/>
        <v>-1.448018235</v>
      </c>
      <c r="K330" s="132"/>
    </row>
    <row r="331" hidden="1">
      <c r="A331" s="133" t="s">
        <v>3346</v>
      </c>
      <c r="B331" s="131" t="s">
        <v>3347</v>
      </c>
      <c r="C331" s="130">
        <v>1349.0</v>
      </c>
      <c r="D331" s="131"/>
      <c r="E331" s="130">
        <v>1016.35</v>
      </c>
      <c r="F331" s="132">
        <v>0.1</v>
      </c>
      <c r="G331" s="130">
        <f t="shared" si="1"/>
        <v>134.9</v>
      </c>
      <c r="H331" s="130">
        <v>70.75999999999999</v>
      </c>
      <c r="I331" s="130">
        <f t="shared" si="6"/>
        <v>126.99</v>
      </c>
      <c r="J331" s="132">
        <f t="shared" si="7"/>
        <v>0.1249471147</v>
      </c>
      <c r="K331" s="132"/>
    </row>
    <row r="332" hidden="1">
      <c r="A332" s="133" t="s">
        <v>3348</v>
      </c>
      <c r="B332" s="133" t="s">
        <v>3349</v>
      </c>
      <c r="C332" s="130">
        <v>6349.0</v>
      </c>
      <c r="D332" s="131"/>
      <c r="E332" s="130">
        <v>4979.0</v>
      </c>
      <c r="F332" s="132">
        <v>0.1</v>
      </c>
      <c r="G332" s="130">
        <f t="shared" si="1"/>
        <v>634.9</v>
      </c>
      <c r="H332" s="130">
        <v>230.83999999999997</v>
      </c>
      <c r="I332" s="130">
        <f t="shared" si="6"/>
        <v>504.26</v>
      </c>
      <c r="J332" s="132">
        <f t="shared" si="7"/>
        <v>0.1012773649</v>
      </c>
      <c r="K332" s="132"/>
    </row>
    <row r="333" hidden="1">
      <c r="A333" s="133" t="s">
        <v>3350</v>
      </c>
      <c r="B333" s="133" t="s">
        <v>3351</v>
      </c>
      <c r="C333" s="130">
        <v>5600.0</v>
      </c>
      <c r="D333" s="131"/>
      <c r="E333" s="130">
        <v>4293.0</v>
      </c>
      <c r="F333" s="132">
        <v>0.1</v>
      </c>
      <c r="G333" s="130">
        <f t="shared" si="1"/>
        <v>560</v>
      </c>
      <c r="H333" s="130">
        <v>296.96</v>
      </c>
      <c r="I333" s="130">
        <f t="shared" si="6"/>
        <v>450.04</v>
      </c>
      <c r="J333" s="132">
        <f t="shared" si="7"/>
        <v>0.1048311204</v>
      </c>
      <c r="K333" s="132"/>
    </row>
    <row r="334" hidden="1">
      <c r="A334" s="133" t="s">
        <v>3352</v>
      </c>
      <c r="B334" s="143" t="s">
        <v>3353</v>
      </c>
      <c r="C334" s="130">
        <v>2099.0</v>
      </c>
      <c r="D334" s="131"/>
      <c r="E334" s="130">
        <v>1600.35</v>
      </c>
      <c r="F334" s="132">
        <v>0.11</v>
      </c>
      <c r="G334" s="130">
        <f t="shared" si="1"/>
        <v>230.89</v>
      </c>
      <c r="H334" s="130">
        <v>112.52</v>
      </c>
      <c r="I334" s="130">
        <f t="shared" si="6"/>
        <v>155.24</v>
      </c>
      <c r="J334" s="132">
        <f t="shared" si="7"/>
        <v>0.09700378042</v>
      </c>
      <c r="K334" s="132"/>
    </row>
    <row r="335" hidden="1">
      <c r="A335" s="133" t="s">
        <v>3354</v>
      </c>
      <c r="B335" s="133" t="s">
        <v>3355</v>
      </c>
      <c r="C335" s="130">
        <v>9199.0</v>
      </c>
      <c r="D335" s="131"/>
      <c r="E335" s="130">
        <v>6693.91</v>
      </c>
      <c r="F335" s="132">
        <v>0.15</v>
      </c>
      <c r="G335" s="130">
        <f t="shared" si="1"/>
        <v>1379.85</v>
      </c>
      <c r="H335" s="130">
        <v>265.64</v>
      </c>
      <c r="I335" s="130">
        <f t="shared" si="6"/>
        <v>859.6</v>
      </c>
      <c r="J335" s="132">
        <f t="shared" si="7"/>
        <v>0.1284152312</v>
      </c>
      <c r="K335" s="132"/>
    </row>
    <row r="336" hidden="1">
      <c r="A336" s="133" t="s">
        <v>3356</v>
      </c>
      <c r="B336" s="143" t="s">
        <v>3357</v>
      </c>
      <c r="C336" s="130">
        <v>874.0</v>
      </c>
      <c r="D336" s="131"/>
      <c r="E336" s="130">
        <v>629.88</v>
      </c>
      <c r="F336" s="132">
        <v>0.16</v>
      </c>
      <c r="G336" s="130">
        <f t="shared" si="1"/>
        <v>139.84</v>
      </c>
      <c r="H336" s="130">
        <v>70.75999999999999</v>
      </c>
      <c r="I336" s="130">
        <f t="shared" si="6"/>
        <v>33.52</v>
      </c>
      <c r="J336" s="132">
        <f t="shared" si="7"/>
        <v>0.05321648568</v>
      </c>
      <c r="K336" s="132"/>
    </row>
    <row r="337" hidden="1">
      <c r="A337" s="133" t="s">
        <v>3358</v>
      </c>
      <c r="B337" s="133" t="s">
        <v>3007</v>
      </c>
      <c r="C337" s="130">
        <v>1299.0</v>
      </c>
      <c r="D337" s="131"/>
      <c r="E337" s="130">
        <v>933.05</v>
      </c>
      <c r="F337" s="132">
        <v>0.15</v>
      </c>
      <c r="G337" s="130">
        <f t="shared" si="1"/>
        <v>194.85</v>
      </c>
      <c r="H337" s="130">
        <v>70.75999999999999</v>
      </c>
      <c r="I337" s="130">
        <f t="shared" si="6"/>
        <v>100.34</v>
      </c>
      <c r="J337" s="132">
        <f t="shared" si="7"/>
        <v>0.1075397889</v>
      </c>
      <c r="K337" s="132"/>
    </row>
    <row r="338" hidden="1">
      <c r="A338" s="133" t="s">
        <v>3358</v>
      </c>
      <c r="B338" s="133" t="s">
        <v>3009</v>
      </c>
      <c r="C338" s="130">
        <v>1067.0</v>
      </c>
      <c r="D338" s="131"/>
      <c r="E338" s="130">
        <v>780.0</v>
      </c>
      <c r="F338" s="132">
        <v>0.15</v>
      </c>
      <c r="G338" s="130">
        <f t="shared" si="1"/>
        <v>160.05</v>
      </c>
      <c r="H338" s="130">
        <v>70.75999999999999</v>
      </c>
      <c r="I338" s="130">
        <f t="shared" si="6"/>
        <v>56.19</v>
      </c>
      <c r="J338" s="132">
        <f t="shared" si="7"/>
        <v>0.07203846154</v>
      </c>
      <c r="K338" s="132"/>
    </row>
    <row r="339" hidden="1">
      <c r="A339" s="133" t="s">
        <v>3359</v>
      </c>
      <c r="B339" s="133" t="s">
        <v>3360</v>
      </c>
      <c r="C339" s="130">
        <v>450.0</v>
      </c>
      <c r="D339" s="131"/>
      <c r="E339" s="130">
        <v>287.69</v>
      </c>
      <c r="F339" s="132">
        <v>0.15</v>
      </c>
      <c r="G339" s="130">
        <f t="shared" si="1"/>
        <v>67.5</v>
      </c>
      <c r="H339" s="130">
        <v>70.75999999999999</v>
      </c>
      <c r="I339" s="130">
        <f t="shared" si="6"/>
        <v>24.05</v>
      </c>
      <c r="J339" s="132">
        <f t="shared" si="7"/>
        <v>0.08359692725</v>
      </c>
      <c r="K339" s="132"/>
    </row>
    <row r="340" hidden="1">
      <c r="A340" s="133" t="s">
        <v>3361</v>
      </c>
      <c r="B340" s="133" t="s">
        <v>3362</v>
      </c>
      <c r="C340" s="130">
        <v>439.0</v>
      </c>
      <c r="D340" s="131"/>
      <c r="E340" s="130">
        <v>265.38</v>
      </c>
      <c r="F340" s="132">
        <v>0.15</v>
      </c>
      <c r="G340" s="130">
        <f t="shared" si="1"/>
        <v>65.85</v>
      </c>
      <c r="H340" s="130">
        <v>70.75999999999999</v>
      </c>
      <c r="I340" s="130">
        <f t="shared" si="6"/>
        <v>37.01</v>
      </c>
      <c r="J340" s="132">
        <f t="shared" si="7"/>
        <v>0.1394603964</v>
      </c>
      <c r="K340" s="132"/>
    </row>
    <row r="341" hidden="1">
      <c r="A341" s="133" t="s">
        <v>3363</v>
      </c>
      <c r="B341" s="133" t="s">
        <v>3364</v>
      </c>
      <c r="C341" s="130">
        <v>769.0</v>
      </c>
      <c r="D341" s="131"/>
      <c r="E341" s="130">
        <v>523.4</v>
      </c>
      <c r="F341" s="132">
        <v>0.15</v>
      </c>
      <c r="G341" s="130">
        <f t="shared" si="1"/>
        <v>115.35</v>
      </c>
      <c r="H341" s="130">
        <v>70.75999999999999</v>
      </c>
      <c r="I341" s="130">
        <f t="shared" si="6"/>
        <v>59.49</v>
      </c>
      <c r="J341" s="132">
        <f t="shared" si="7"/>
        <v>0.1136606802</v>
      </c>
      <c r="K341" s="132"/>
    </row>
    <row r="342" hidden="1">
      <c r="A342" s="133" t="s">
        <v>904</v>
      </c>
      <c r="B342" s="133" t="s">
        <v>3365</v>
      </c>
      <c r="C342" s="134">
        <v>749.0</v>
      </c>
      <c r="D342" s="131"/>
      <c r="E342" s="134">
        <v>510.0</v>
      </c>
      <c r="F342" s="135">
        <v>0.15</v>
      </c>
      <c r="G342" s="130">
        <f t="shared" si="1"/>
        <v>112.35</v>
      </c>
      <c r="H342" s="130">
        <v>70.75999999999999</v>
      </c>
      <c r="I342" s="130">
        <f t="shared" si="6"/>
        <v>55.89</v>
      </c>
      <c r="J342" s="132">
        <f t="shared" si="7"/>
        <v>0.1095882353</v>
      </c>
      <c r="K342" s="132"/>
    </row>
    <row r="343" hidden="1">
      <c r="A343" s="133" t="s">
        <v>3366</v>
      </c>
      <c r="B343" s="133" t="s">
        <v>3367</v>
      </c>
      <c r="C343" s="130">
        <v>599.0</v>
      </c>
      <c r="D343" s="131"/>
      <c r="E343" s="130">
        <v>395.13</v>
      </c>
      <c r="F343" s="132">
        <v>0.15</v>
      </c>
      <c r="G343" s="130">
        <f t="shared" si="1"/>
        <v>89.85</v>
      </c>
      <c r="H343" s="130">
        <v>70.75999999999999</v>
      </c>
      <c r="I343" s="130">
        <f t="shared" si="6"/>
        <v>43.26</v>
      </c>
      <c r="J343" s="132">
        <f t="shared" si="7"/>
        <v>0.109482955</v>
      </c>
      <c r="K343" s="132"/>
    </row>
    <row r="344" hidden="1">
      <c r="A344" s="133" t="s">
        <v>737</v>
      </c>
      <c r="B344" s="133" t="s">
        <v>3368</v>
      </c>
      <c r="C344" s="130">
        <v>659.0</v>
      </c>
      <c r="D344" s="131"/>
      <c r="E344" s="130">
        <v>431.04</v>
      </c>
      <c r="F344" s="132">
        <v>0.15</v>
      </c>
      <c r="G344" s="130">
        <f t="shared" si="1"/>
        <v>98.85</v>
      </c>
      <c r="H344" s="130">
        <v>70.75999999999999</v>
      </c>
      <c r="I344" s="130">
        <f t="shared" si="6"/>
        <v>58.35</v>
      </c>
      <c r="J344" s="132">
        <f t="shared" si="7"/>
        <v>0.1353702673</v>
      </c>
      <c r="K344" s="132"/>
    </row>
    <row r="345" hidden="1">
      <c r="A345" s="133" t="s">
        <v>3369</v>
      </c>
      <c r="B345" s="133" t="s">
        <v>3370</v>
      </c>
      <c r="C345" s="130">
        <v>799.0</v>
      </c>
      <c r="D345" s="131"/>
      <c r="E345" s="130">
        <v>456.99</v>
      </c>
      <c r="F345" s="132">
        <v>0.1</v>
      </c>
      <c r="G345" s="130">
        <f t="shared" si="1"/>
        <v>79.9</v>
      </c>
      <c r="H345" s="130">
        <v>78.88</v>
      </c>
      <c r="I345" s="130">
        <f t="shared" si="6"/>
        <v>183.23</v>
      </c>
      <c r="J345" s="132">
        <f t="shared" si="7"/>
        <v>0.4009496926</v>
      </c>
      <c r="K345" s="132"/>
    </row>
    <row r="346" hidden="1">
      <c r="A346" s="133" t="s">
        <v>3371</v>
      </c>
      <c r="B346" s="133" t="s">
        <v>3372</v>
      </c>
      <c r="C346" s="130">
        <v>239.0</v>
      </c>
      <c r="D346" s="131"/>
      <c r="E346" s="130">
        <v>98.61</v>
      </c>
      <c r="F346" s="132">
        <v>0.15</v>
      </c>
      <c r="G346" s="130">
        <f t="shared" si="1"/>
        <v>35.85</v>
      </c>
      <c r="H346" s="130">
        <v>78.88</v>
      </c>
      <c r="I346" s="130">
        <f t="shared" si="6"/>
        <v>25.66</v>
      </c>
      <c r="J346" s="132">
        <f t="shared" si="7"/>
        <v>0.2602170165</v>
      </c>
      <c r="K346" s="132"/>
    </row>
    <row r="347">
      <c r="A347" s="133" t="s">
        <v>3373</v>
      </c>
      <c r="B347" s="133" t="s">
        <v>3374</v>
      </c>
      <c r="C347" s="130">
        <v>1099.0</v>
      </c>
      <c r="D347" s="131"/>
      <c r="E347" s="130">
        <v>778.0</v>
      </c>
      <c r="F347" s="132">
        <v>0.15</v>
      </c>
      <c r="G347" s="130">
        <f t="shared" si="1"/>
        <v>164.85</v>
      </c>
      <c r="H347" s="130">
        <v>78.88</v>
      </c>
      <c r="I347" s="130">
        <f t="shared" si="6"/>
        <v>77.27</v>
      </c>
      <c r="J347" s="132">
        <f t="shared" si="7"/>
        <v>0.09931876607</v>
      </c>
      <c r="K347" s="142" t="s">
        <v>4731</v>
      </c>
      <c r="L347" s="1" t="s">
        <v>4733</v>
      </c>
      <c r="M347" s="1" t="s">
        <v>4735</v>
      </c>
      <c r="N347" s="1">
        <v>40.0</v>
      </c>
    </row>
    <row r="348" hidden="1">
      <c r="A348" s="133" t="s">
        <v>3375</v>
      </c>
      <c r="B348" s="133" t="s">
        <v>3376</v>
      </c>
      <c r="C348" s="130">
        <v>1599.0</v>
      </c>
      <c r="D348" s="131"/>
      <c r="E348" s="130">
        <v>1133.27</v>
      </c>
      <c r="F348" s="132">
        <v>0.15</v>
      </c>
      <c r="G348" s="130">
        <f t="shared" si="1"/>
        <v>239.85</v>
      </c>
      <c r="H348" s="130">
        <v>84.67999999999999</v>
      </c>
      <c r="I348" s="130">
        <f t="shared" si="6"/>
        <v>141.2</v>
      </c>
      <c r="J348" s="132">
        <f t="shared" si="7"/>
        <v>0.124595198</v>
      </c>
      <c r="K348" s="132"/>
    </row>
    <row r="349" hidden="1">
      <c r="A349" s="133" t="s">
        <v>3369</v>
      </c>
      <c r="B349" s="133" t="s">
        <v>3377</v>
      </c>
      <c r="C349" s="130">
        <v>799.0</v>
      </c>
      <c r="D349" s="131"/>
      <c r="E349" s="130">
        <v>456.99</v>
      </c>
      <c r="F349" s="132">
        <v>0.1</v>
      </c>
      <c r="G349" s="130">
        <f t="shared" si="1"/>
        <v>79.9</v>
      </c>
      <c r="H349" s="130">
        <v>78.88</v>
      </c>
      <c r="I349" s="130">
        <f t="shared" si="6"/>
        <v>183.23</v>
      </c>
      <c r="J349" s="132">
        <f t="shared" si="7"/>
        <v>0.4009496926</v>
      </c>
      <c r="K349" s="132"/>
    </row>
    <row r="350" hidden="1">
      <c r="A350" s="133" t="s">
        <v>3378</v>
      </c>
      <c r="B350" s="133" t="s">
        <v>3379</v>
      </c>
      <c r="C350" s="130">
        <v>8499.0</v>
      </c>
      <c r="D350" s="131"/>
      <c r="E350" s="130">
        <v>4810.84</v>
      </c>
      <c r="F350" s="132">
        <v>0.11</v>
      </c>
      <c r="G350" s="130">
        <f t="shared" si="1"/>
        <v>934.89</v>
      </c>
      <c r="H350" s="130">
        <v>103.24</v>
      </c>
      <c r="I350" s="130">
        <f t="shared" si="6"/>
        <v>2650.03</v>
      </c>
      <c r="J350" s="132">
        <f t="shared" si="7"/>
        <v>0.5508455904</v>
      </c>
      <c r="K350" s="132"/>
    </row>
    <row r="351" hidden="1">
      <c r="A351" s="133" t="s">
        <v>3378</v>
      </c>
      <c r="B351" s="133" t="s">
        <v>3380</v>
      </c>
      <c r="C351" s="131"/>
      <c r="D351" s="131"/>
      <c r="E351" s="130">
        <v>4810.84</v>
      </c>
      <c r="F351" s="132">
        <v>0.11</v>
      </c>
      <c r="G351" s="130">
        <f t="shared" si="1"/>
        <v>0</v>
      </c>
      <c r="H351" s="130">
        <v>103.24</v>
      </c>
      <c r="I351" s="130">
        <f t="shared" si="6"/>
        <v>-4914.08</v>
      </c>
      <c r="J351" s="132">
        <f t="shared" si="7"/>
        <v>-1.02145987</v>
      </c>
      <c r="K351" s="132"/>
    </row>
    <row r="352" hidden="1">
      <c r="A352" s="133" t="s">
        <v>3381</v>
      </c>
      <c r="B352" s="133" t="s">
        <v>3382</v>
      </c>
      <c r="C352" s="130">
        <v>8749.0</v>
      </c>
      <c r="D352" s="131"/>
      <c r="E352" s="130">
        <v>4810.84</v>
      </c>
      <c r="F352" s="132">
        <v>0.11</v>
      </c>
      <c r="G352" s="130">
        <f t="shared" si="1"/>
        <v>962.39</v>
      </c>
      <c r="H352" s="130">
        <v>103.82</v>
      </c>
      <c r="I352" s="130">
        <f t="shared" si="6"/>
        <v>2871.95</v>
      </c>
      <c r="J352" s="132">
        <f t="shared" si="7"/>
        <v>0.5969747487</v>
      </c>
      <c r="K352" s="132"/>
    </row>
    <row r="353" hidden="1">
      <c r="A353" s="133" t="s">
        <v>3383</v>
      </c>
      <c r="B353" s="133" t="s">
        <v>3384</v>
      </c>
      <c r="C353" s="130">
        <v>1099.0</v>
      </c>
      <c r="D353" s="131"/>
      <c r="E353" s="130">
        <v>491.07</v>
      </c>
      <c r="F353" s="132">
        <v>0.1</v>
      </c>
      <c r="G353" s="130">
        <f t="shared" si="1"/>
        <v>109.9</v>
      </c>
      <c r="H353" s="130">
        <v>103.24</v>
      </c>
      <c r="I353" s="130">
        <f t="shared" si="6"/>
        <v>394.79</v>
      </c>
      <c r="J353" s="132">
        <f t="shared" si="7"/>
        <v>0.8039383387</v>
      </c>
      <c r="K353" s="132"/>
    </row>
    <row r="354" hidden="1">
      <c r="A354" s="133" t="s">
        <v>3385</v>
      </c>
      <c r="B354" s="133" t="s">
        <v>3386</v>
      </c>
      <c r="C354" s="130">
        <v>899.0</v>
      </c>
      <c r="D354" s="131"/>
      <c r="E354" s="130">
        <v>643.83</v>
      </c>
      <c r="F354" s="132">
        <v>0.15</v>
      </c>
      <c r="G354" s="130">
        <f t="shared" si="1"/>
        <v>134.85</v>
      </c>
      <c r="H354" s="130">
        <v>80.03999999999999</v>
      </c>
      <c r="I354" s="130">
        <f t="shared" si="6"/>
        <v>40.28</v>
      </c>
      <c r="J354" s="132">
        <f t="shared" si="7"/>
        <v>0.06256309895</v>
      </c>
      <c r="K354" s="132"/>
    </row>
    <row r="355" hidden="1">
      <c r="A355" s="133" t="s">
        <v>904</v>
      </c>
      <c r="B355" s="133" t="s">
        <v>3384</v>
      </c>
      <c r="C355" s="131"/>
      <c r="D355" s="131"/>
      <c r="E355" s="130">
        <v>491.07</v>
      </c>
      <c r="F355" s="138"/>
      <c r="G355" s="130">
        <f t="shared" si="1"/>
        <v>0</v>
      </c>
      <c r="H355" s="131"/>
      <c r="I355" s="131"/>
      <c r="J355" s="138"/>
      <c r="K355" s="132"/>
    </row>
    <row r="356" hidden="1">
      <c r="A356" s="133" t="s">
        <v>3387</v>
      </c>
      <c r="B356" s="133" t="s">
        <v>3388</v>
      </c>
      <c r="C356" s="131"/>
      <c r="D356" s="131"/>
      <c r="E356" s="130">
        <v>490.61</v>
      </c>
      <c r="F356" s="138"/>
      <c r="G356" s="130">
        <f t="shared" si="1"/>
        <v>0</v>
      </c>
      <c r="H356" s="131"/>
      <c r="I356" s="131"/>
      <c r="J356" s="138"/>
      <c r="K356" s="132"/>
    </row>
    <row r="357" hidden="1">
      <c r="A357" s="133" t="s">
        <v>3389</v>
      </c>
      <c r="B357" s="133" t="s">
        <v>3390</v>
      </c>
      <c r="C357" s="131"/>
      <c r="D357" s="131"/>
      <c r="E357" s="130">
        <v>804.66</v>
      </c>
      <c r="F357" s="138"/>
      <c r="G357" s="130">
        <f t="shared" si="1"/>
        <v>0</v>
      </c>
      <c r="H357" s="131"/>
      <c r="I357" s="131"/>
      <c r="J357" s="138"/>
      <c r="K357" s="132"/>
    </row>
    <row r="358" hidden="1">
      <c r="A358" s="133" t="s">
        <v>150</v>
      </c>
      <c r="B358" s="133" t="s">
        <v>3391</v>
      </c>
      <c r="C358" s="130">
        <v>83.0</v>
      </c>
      <c r="D358" s="131"/>
      <c r="E358" s="130" t="str">
        <f>4.2*2</f>
        <v>#ERROR!</v>
      </c>
      <c r="F358" s="132">
        <v>0.15</v>
      </c>
      <c r="G358" s="130">
        <f t="shared" si="1"/>
        <v>12.45</v>
      </c>
      <c r="H358" s="130">
        <v>66.0</v>
      </c>
      <c r="I358" s="130" t="str">
        <f t="shared" ref="I358:I468" si="8">C358-E358-G358-H358</f>
        <v>#ERROR!</v>
      </c>
      <c r="J358" s="132" t="str">
        <f t="shared" ref="J358:J468" si="9">I358/E358</f>
        <v>#ERROR!</v>
      </c>
      <c r="K358" s="132"/>
    </row>
    <row r="359" hidden="1">
      <c r="A359" s="133" t="s">
        <v>3392</v>
      </c>
      <c r="B359" s="133" t="s">
        <v>3393</v>
      </c>
      <c r="C359" s="130">
        <v>4299.0</v>
      </c>
      <c r="D359" s="131"/>
      <c r="E359" s="130">
        <v>3296.76</v>
      </c>
      <c r="F359" s="132">
        <v>0.1</v>
      </c>
      <c r="G359" s="130">
        <f t="shared" si="1"/>
        <v>429.9</v>
      </c>
      <c r="H359" s="130">
        <v>156.20000000000002</v>
      </c>
      <c r="I359" s="130">
        <f t="shared" si="8"/>
        <v>416.14</v>
      </c>
      <c r="J359" s="132">
        <f t="shared" si="9"/>
        <v>0.1262269622</v>
      </c>
      <c r="K359" s="132"/>
    </row>
    <row r="360" hidden="1">
      <c r="A360" s="133" t="s">
        <v>3394</v>
      </c>
      <c r="B360" s="133" t="s">
        <v>3395</v>
      </c>
      <c r="C360" s="130">
        <v>549.0</v>
      </c>
      <c r="D360" s="131"/>
      <c r="E360" s="130">
        <v>265.88</v>
      </c>
      <c r="F360" s="132">
        <v>0.15</v>
      </c>
      <c r="G360" s="130">
        <f t="shared" si="1"/>
        <v>82.35</v>
      </c>
      <c r="H360" s="130">
        <v>67.10000000000001</v>
      </c>
      <c r="I360" s="130">
        <f t="shared" si="8"/>
        <v>133.67</v>
      </c>
      <c r="J360" s="132">
        <f t="shared" si="9"/>
        <v>0.5027455995</v>
      </c>
      <c r="K360" s="132"/>
    </row>
    <row r="361" hidden="1">
      <c r="A361" s="133" t="s">
        <v>3396</v>
      </c>
      <c r="B361" s="133" t="s">
        <v>3397</v>
      </c>
      <c r="C361" s="130">
        <v>3099.0</v>
      </c>
      <c r="D361" s="131"/>
      <c r="E361" s="130">
        <v>2472.32</v>
      </c>
      <c r="F361" s="132">
        <v>0.1</v>
      </c>
      <c r="G361" s="130">
        <f t="shared" si="1"/>
        <v>309.9</v>
      </c>
      <c r="H361" s="130">
        <v>67.10000000000001</v>
      </c>
      <c r="I361" s="130">
        <f t="shared" si="8"/>
        <v>249.68</v>
      </c>
      <c r="J361" s="132">
        <f t="shared" si="9"/>
        <v>0.1009901631</v>
      </c>
      <c r="K361" s="132"/>
    </row>
    <row r="362" hidden="1">
      <c r="A362" s="133" t="s">
        <v>3396</v>
      </c>
      <c r="B362" s="133" t="s">
        <v>3398</v>
      </c>
      <c r="C362" s="130">
        <v>3099.0</v>
      </c>
      <c r="D362" s="131"/>
      <c r="E362" s="130">
        <v>2472.32</v>
      </c>
      <c r="F362" s="132">
        <v>0.1</v>
      </c>
      <c r="G362" s="130">
        <f t="shared" si="1"/>
        <v>309.9</v>
      </c>
      <c r="H362" s="130">
        <v>67.10000000000001</v>
      </c>
      <c r="I362" s="130">
        <f t="shared" si="8"/>
        <v>249.68</v>
      </c>
      <c r="J362" s="132">
        <f t="shared" si="9"/>
        <v>0.1009901631</v>
      </c>
      <c r="K362" s="132"/>
    </row>
    <row r="363" hidden="1">
      <c r="A363" s="133"/>
      <c r="B363" s="133" t="s">
        <v>3399</v>
      </c>
      <c r="C363" s="130">
        <v>699.0</v>
      </c>
      <c r="D363" s="131"/>
      <c r="E363" s="130">
        <v>465.01</v>
      </c>
      <c r="F363" s="132">
        <v>0.15</v>
      </c>
      <c r="G363" s="130">
        <f t="shared" si="1"/>
        <v>104.85</v>
      </c>
      <c r="H363" s="130">
        <v>82.5</v>
      </c>
      <c r="I363" s="130">
        <f t="shared" si="8"/>
        <v>46.64</v>
      </c>
      <c r="J363" s="132">
        <f t="shared" si="9"/>
        <v>0.1002989183</v>
      </c>
      <c r="K363" s="132"/>
    </row>
    <row r="364" hidden="1">
      <c r="A364" s="133" t="s">
        <v>3400</v>
      </c>
      <c r="B364" s="133" t="s">
        <v>3401</v>
      </c>
      <c r="C364" s="130">
        <v>899.0</v>
      </c>
      <c r="D364" s="131"/>
      <c r="E364" s="130">
        <v>548.64</v>
      </c>
      <c r="F364" s="132">
        <v>0.16</v>
      </c>
      <c r="G364" s="130">
        <f t="shared" si="1"/>
        <v>143.84</v>
      </c>
      <c r="H364" s="130">
        <v>67.10000000000001</v>
      </c>
      <c r="I364" s="130">
        <f t="shared" si="8"/>
        <v>139.42</v>
      </c>
      <c r="J364" s="132">
        <f t="shared" si="9"/>
        <v>0.2541192768</v>
      </c>
      <c r="K364" s="132"/>
    </row>
    <row r="365" hidden="1">
      <c r="A365" s="133" t="s">
        <v>3403</v>
      </c>
      <c r="B365" s="133" t="s">
        <v>3404</v>
      </c>
      <c r="C365" s="130">
        <v>382.0</v>
      </c>
      <c r="D365" s="131"/>
      <c r="E365" s="130">
        <v>209.91</v>
      </c>
      <c r="F365" s="132">
        <v>0.15</v>
      </c>
      <c r="G365" s="130">
        <f t="shared" si="1"/>
        <v>57.3</v>
      </c>
      <c r="H365" s="130">
        <v>67.10000000000001</v>
      </c>
      <c r="I365" s="130">
        <f t="shared" si="8"/>
        <v>47.69</v>
      </c>
      <c r="J365" s="132">
        <f t="shared" si="9"/>
        <v>0.2271926064</v>
      </c>
      <c r="K365" s="132"/>
    </row>
    <row r="366" hidden="1">
      <c r="A366" s="133" t="s">
        <v>3405</v>
      </c>
      <c r="B366" s="133" t="s">
        <v>3406</v>
      </c>
      <c r="C366" s="130">
        <v>539.0</v>
      </c>
      <c r="D366" s="131"/>
      <c r="E366" s="130">
        <v>322.98</v>
      </c>
      <c r="F366" s="132">
        <v>0.16</v>
      </c>
      <c r="G366" s="130">
        <f t="shared" si="1"/>
        <v>86.24</v>
      </c>
      <c r="H366" s="130">
        <v>67.10000000000001</v>
      </c>
      <c r="I366" s="130">
        <f t="shared" si="8"/>
        <v>62.68</v>
      </c>
      <c r="J366" s="132">
        <f t="shared" si="9"/>
        <v>0.1940677441</v>
      </c>
      <c r="K366" s="132"/>
    </row>
    <row r="367" hidden="1">
      <c r="A367" s="133" t="s">
        <v>3407</v>
      </c>
      <c r="B367" s="133" t="s">
        <v>3408</v>
      </c>
      <c r="C367" s="130">
        <v>1599.0</v>
      </c>
      <c r="D367" s="131"/>
      <c r="E367" s="130">
        <v>1055.62</v>
      </c>
      <c r="F367" s="132">
        <v>0.15</v>
      </c>
      <c r="G367" s="130">
        <f t="shared" si="1"/>
        <v>239.85</v>
      </c>
      <c r="H367" s="130">
        <v>67.10000000000001</v>
      </c>
      <c r="I367" s="130">
        <f t="shared" si="8"/>
        <v>236.43</v>
      </c>
      <c r="J367" s="132">
        <f t="shared" si="9"/>
        <v>0.2239726417</v>
      </c>
      <c r="K367" s="132"/>
    </row>
    <row r="368" hidden="1">
      <c r="A368" s="133" t="s">
        <v>3409</v>
      </c>
      <c r="B368" s="133" t="s">
        <v>3410</v>
      </c>
      <c r="C368" s="130">
        <v>1445.0</v>
      </c>
      <c r="D368" s="131"/>
      <c r="E368" s="130">
        <v>998.64</v>
      </c>
      <c r="F368" s="132">
        <v>0.15</v>
      </c>
      <c r="G368" s="130">
        <f t="shared" si="1"/>
        <v>216.75</v>
      </c>
      <c r="H368" s="130">
        <v>67.10000000000001</v>
      </c>
      <c r="I368" s="130">
        <f t="shared" si="8"/>
        <v>162.51</v>
      </c>
      <c r="J368" s="132">
        <f t="shared" si="9"/>
        <v>0.1627313146</v>
      </c>
      <c r="K368" s="132"/>
    </row>
    <row r="369" hidden="1">
      <c r="A369" s="133" t="s">
        <v>3413</v>
      </c>
      <c r="B369" s="133" t="s">
        <v>3414</v>
      </c>
      <c r="C369" s="130">
        <v>1399.0</v>
      </c>
      <c r="D369" s="131"/>
      <c r="E369" s="130">
        <v>936.85</v>
      </c>
      <c r="F369" s="132">
        <v>0.15</v>
      </c>
      <c r="G369" s="130">
        <f t="shared" si="1"/>
        <v>209.85</v>
      </c>
      <c r="H369" s="130">
        <v>67.10000000000001</v>
      </c>
      <c r="I369" s="130">
        <f t="shared" si="8"/>
        <v>185.2</v>
      </c>
      <c r="J369" s="132">
        <f t="shared" si="9"/>
        <v>0.1976837274</v>
      </c>
      <c r="K369" s="132"/>
    </row>
    <row r="370" hidden="1">
      <c r="A370" s="133" t="s">
        <v>3415</v>
      </c>
      <c r="B370" s="133" t="s">
        <v>3416</v>
      </c>
      <c r="C370" s="130">
        <v>199.0</v>
      </c>
      <c r="D370" s="131"/>
      <c r="E370" s="130">
        <v>50.66</v>
      </c>
      <c r="F370" s="132">
        <v>0.15</v>
      </c>
      <c r="G370" s="130">
        <f t="shared" si="1"/>
        <v>29.85</v>
      </c>
      <c r="H370" s="130">
        <v>67.10000000000001</v>
      </c>
      <c r="I370" s="130">
        <f t="shared" si="8"/>
        <v>51.39</v>
      </c>
      <c r="J370" s="132">
        <f t="shared" si="9"/>
        <v>1.014409791</v>
      </c>
      <c r="K370" s="132"/>
    </row>
    <row r="371" hidden="1">
      <c r="A371" s="133" t="s">
        <v>3417</v>
      </c>
      <c r="B371" s="133" t="s">
        <v>3418</v>
      </c>
      <c r="C371" s="130">
        <v>1239.0</v>
      </c>
      <c r="D371" s="131"/>
      <c r="E371" s="130">
        <v>877.05</v>
      </c>
      <c r="F371" s="132">
        <v>0.15</v>
      </c>
      <c r="G371" s="130">
        <f t="shared" si="1"/>
        <v>185.85</v>
      </c>
      <c r="H371" s="130">
        <v>67.10000000000001</v>
      </c>
      <c r="I371" s="130">
        <f t="shared" si="8"/>
        <v>109</v>
      </c>
      <c r="J371" s="132">
        <f t="shared" si="9"/>
        <v>0.1242802577</v>
      </c>
      <c r="K371" s="132"/>
    </row>
    <row r="372" hidden="1">
      <c r="A372" s="133" t="s">
        <v>3421</v>
      </c>
      <c r="B372" s="133" t="s">
        <v>3422</v>
      </c>
      <c r="C372" s="130">
        <v>3599.0</v>
      </c>
      <c r="D372" s="131"/>
      <c r="E372" s="130">
        <v>2543.67</v>
      </c>
      <c r="F372" s="132">
        <v>0.15</v>
      </c>
      <c r="G372" s="130">
        <f t="shared" si="1"/>
        <v>539.85</v>
      </c>
      <c r="H372" s="130">
        <v>67.10000000000001</v>
      </c>
      <c r="I372" s="130">
        <f t="shared" si="8"/>
        <v>448.38</v>
      </c>
      <c r="J372" s="132">
        <f t="shared" si="9"/>
        <v>0.1762728656</v>
      </c>
      <c r="K372" s="132"/>
    </row>
    <row r="373" hidden="1">
      <c r="A373" s="133" t="s">
        <v>3423</v>
      </c>
      <c r="B373" s="133" t="s">
        <v>3424</v>
      </c>
      <c r="C373" s="130">
        <v>1099.0</v>
      </c>
      <c r="D373" s="131"/>
      <c r="E373" s="130">
        <v>747.48</v>
      </c>
      <c r="F373" s="132">
        <v>0.16</v>
      </c>
      <c r="G373" s="130">
        <f t="shared" si="1"/>
        <v>175.84</v>
      </c>
      <c r="H373" s="130">
        <v>69.30000000000001</v>
      </c>
      <c r="I373" s="130">
        <f t="shared" si="8"/>
        <v>106.38</v>
      </c>
      <c r="J373" s="132">
        <f t="shared" si="9"/>
        <v>0.1423181891</v>
      </c>
      <c r="K373" s="132"/>
    </row>
    <row r="374" hidden="1">
      <c r="A374" s="133" t="s">
        <v>3425</v>
      </c>
      <c r="B374" s="133" t="s">
        <v>3426</v>
      </c>
      <c r="C374" s="130">
        <v>399.0</v>
      </c>
      <c r="D374" s="131"/>
      <c r="E374" s="130">
        <v>159.46</v>
      </c>
      <c r="F374" s="132">
        <v>0.16</v>
      </c>
      <c r="G374" s="130">
        <f t="shared" si="1"/>
        <v>63.84</v>
      </c>
      <c r="H374" s="130">
        <v>67.10000000000001</v>
      </c>
      <c r="I374" s="130">
        <f t="shared" si="8"/>
        <v>108.6</v>
      </c>
      <c r="J374" s="132">
        <f t="shared" si="9"/>
        <v>0.6810485388</v>
      </c>
      <c r="K374" s="132"/>
    </row>
    <row r="375" hidden="1">
      <c r="A375" s="133" t="s">
        <v>3427</v>
      </c>
      <c r="B375" s="133" t="s">
        <v>3428</v>
      </c>
      <c r="C375" s="130">
        <v>899.0</v>
      </c>
      <c r="D375" s="131"/>
      <c r="E375" s="130">
        <v>611.35</v>
      </c>
      <c r="F375" s="132">
        <v>0.11</v>
      </c>
      <c r="G375" s="130">
        <f t="shared" si="1"/>
        <v>98.89</v>
      </c>
      <c r="H375" s="130">
        <v>72.60000000000001</v>
      </c>
      <c r="I375" s="130">
        <f t="shared" si="8"/>
        <v>116.16</v>
      </c>
      <c r="J375" s="132">
        <f t="shared" si="9"/>
        <v>0.190005725</v>
      </c>
      <c r="K375" s="132"/>
    </row>
    <row r="376" hidden="1">
      <c r="A376" s="133" t="s">
        <v>3429</v>
      </c>
      <c r="B376" s="133" t="s">
        <v>3430</v>
      </c>
      <c r="C376" s="130">
        <v>371.0</v>
      </c>
      <c r="D376" s="131"/>
      <c r="E376" s="130">
        <v>216.61</v>
      </c>
      <c r="F376" s="132">
        <v>0.15</v>
      </c>
      <c r="G376" s="130">
        <f t="shared" si="1"/>
        <v>55.65</v>
      </c>
      <c r="H376" s="130">
        <v>67.10000000000001</v>
      </c>
      <c r="I376" s="130">
        <f t="shared" si="8"/>
        <v>31.64</v>
      </c>
      <c r="J376" s="132">
        <f t="shared" si="9"/>
        <v>0.1460689719</v>
      </c>
      <c r="K376" s="132"/>
    </row>
    <row r="377" hidden="1">
      <c r="A377" s="133" t="s">
        <v>3429</v>
      </c>
      <c r="B377" s="133" t="s">
        <v>3431</v>
      </c>
      <c r="C377" s="130">
        <v>383.0</v>
      </c>
      <c r="D377" s="131"/>
      <c r="E377" s="130">
        <v>234.32</v>
      </c>
      <c r="F377" s="132">
        <v>0.15</v>
      </c>
      <c r="G377" s="130">
        <f t="shared" si="1"/>
        <v>57.45</v>
      </c>
      <c r="H377" s="130">
        <v>67.10000000000001</v>
      </c>
      <c r="I377" s="130">
        <f t="shared" si="8"/>
        <v>24.13</v>
      </c>
      <c r="J377" s="132">
        <f t="shared" si="9"/>
        <v>0.1029788324</v>
      </c>
      <c r="K377" s="132"/>
    </row>
    <row r="378" hidden="1">
      <c r="A378" s="147" t="s">
        <v>3432</v>
      </c>
      <c r="B378" s="147" t="s">
        <v>3433</v>
      </c>
      <c r="C378" s="134">
        <v>399.0</v>
      </c>
      <c r="D378" s="131"/>
      <c r="E378" s="134">
        <v>210.0</v>
      </c>
      <c r="F378" s="132">
        <v>0.15</v>
      </c>
      <c r="G378" s="130">
        <f t="shared" si="1"/>
        <v>59.85</v>
      </c>
      <c r="H378" s="130">
        <v>67.10000000000001</v>
      </c>
      <c r="I378" s="130">
        <f t="shared" si="8"/>
        <v>62.05</v>
      </c>
      <c r="J378" s="132">
        <f t="shared" si="9"/>
        <v>0.2954761905</v>
      </c>
      <c r="K378" s="132"/>
    </row>
    <row r="379" hidden="1">
      <c r="A379" s="133" t="s">
        <v>3434</v>
      </c>
      <c r="B379" s="133" t="s">
        <v>3435</v>
      </c>
      <c r="C379" s="130">
        <v>329.0</v>
      </c>
      <c r="D379" s="131"/>
      <c r="E379" s="130">
        <v>177.85</v>
      </c>
      <c r="F379" s="132">
        <v>0.16</v>
      </c>
      <c r="G379" s="130">
        <f t="shared" si="1"/>
        <v>52.64</v>
      </c>
      <c r="H379" s="130">
        <v>67.10000000000001</v>
      </c>
      <c r="I379" s="130">
        <f t="shared" si="8"/>
        <v>31.41</v>
      </c>
      <c r="J379" s="132">
        <f t="shared" si="9"/>
        <v>0.1766095024</v>
      </c>
      <c r="K379" s="132"/>
    </row>
    <row r="380" hidden="1">
      <c r="A380" s="133" t="s">
        <v>3436</v>
      </c>
      <c r="B380" s="133" t="s">
        <v>3437</v>
      </c>
      <c r="C380" s="130">
        <v>549.0</v>
      </c>
      <c r="D380" s="131"/>
      <c r="E380" s="130">
        <v>331.58</v>
      </c>
      <c r="F380" s="132">
        <v>0.16</v>
      </c>
      <c r="G380" s="130">
        <f t="shared" si="1"/>
        <v>87.84</v>
      </c>
      <c r="H380" s="130">
        <v>96.80000000000001</v>
      </c>
      <c r="I380" s="130">
        <f t="shared" si="8"/>
        <v>32.78</v>
      </c>
      <c r="J380" s="132">
        <f t="shared" si="9"/>
        <v>0.09886000362</v>
      </c>
      <c r="K380" s="132"/>
    </row>
    <row r="381" hidden="1">
      <c r="A381" s="133" t="s">
        <v>3438</v>
      </c>
      <c r="B381" s="133" t="s">
        <v>3439</v>
      </c>
      <c r="C381" s="130">
        <v>449.0</v>
      </c>
      <c r="D381" s="131"/>
      <c r="E381" s="130">
        <v>243.5</v>
      </c>
      <c r="F381" s="132">
        <v>0.15</v>
      </c>
      <c r="G381" s="130">
        <f t="shared" si="1"/>
        <v>67.35</v>
      </c>
      <c r="H381" s="130">
        <v>96.80000000000001</v>
      </c>
      <c r="I381" s="130">
        <f t="shared" si="8"/>
        <v>41.35</v>
      </c>
      <c r="J381" s="132">
        <f t="shared" si="9"/>
        <v>0.1698151951</v>
      </c>
      <c r="K381" s="132"/>
    </row>
    <row r="382" hidden="1">
      <c r="A382" s="133" t="s">
        <v>3440</v>
      </c>
      <c r="B382" s="133" t="s">
        <v>3441</v>
      </c>
      <c r="C382" s="130">
        <v>499.0</v>
      </c>
      <c r="D382" s="131"/>
      <c r="E382" s="130">
        <v>260.17</v>
      </c>
      <c r="F382" s="132">
        <v>0.16</v>
      </c>
      <c r="G382" s="130">
        <f t="shared" si="1"/>
        <v>79.84</v>
      </c>
      <c r="H382" s="130">
        <v>96.80000000000001</v>
      </c>
      <c r="I382" s="130">
        <f t="shared" si="8"/>
        <v>62.19</v>
      </c>
      <c r="J382" s="132">
        <f t="shared" si="9"/>
        <v>0.2390360149</v>
      </c>
      <c r="K382" s="132"/>
    </row>
    <row r="383" hidden="1">
      <c r="A383" s="133" t="s">
        <v>3442</v>
      </c>
      <c r="B383" s="133" t="s">
        <v>3443</v>
      </c>
      <c r="C383" s="130">
        <v>6999.0</v>
      </c>
      <c r="D383" s="131"/>
      <c r="E383" s="130">
        <v>5647.47</v>
      </c>
      <c r="F383" s="132">
        <v>0.1</v>
      </c>
      <c r="G383" s="130">
        <f t="shared" si="1"/>
        <v>699.9</v>
      </c>
      <c r="H383" s="130">
        <v>152.9</v>
      </c>
      <c r="I383" s="130">
        <f t="shared" si="8"/>
        <v>498.73</v>
      </c>
      <c r="J383" s="132">
        <f t="shared" si="9"/>
        <v>0.08831034074</v>
      </c>
      <c r="K383" s="132"/>
    </row>
    <row r="384" hidden="1">
      <c r="A384" s="133" t="s">
        <v>3444</v>
      </c>
      <c r="B384" s="133" t="s">
        <v>3445</v>
      </c>
      <c r="C384" s="130">
        <v>1199.0</v>
      </c>
      <c r="D384" s="131"/>
      <c r="E384" s="130">
        <v>788.33</v>
      </c>
      <c r="F384" s="132">
        <v>0.15</v>
      </c>
      <c r="G384" s="130">
        <f t="shared" si="1"/>
        <v>179.85</v>
      </c>
      <c r="H384" s="130">
        <v>148.5</v>
      </c>
      <c r="I384" s="130">
        <f t="shared" si="8"/>
        <v>82.32</v>
      </c>
      <c r="J384" s="132">
        <f t="shared" si="9"/>
        <v>0.1044232745</v>
      </c>
      <c r="K384" s="132"/>
    </row>
    <row r="385" hidden="1">
      <c r="A385" s="133" t="s">
        <v>3446</v>
      </c>
      <c r="B385" s="133" t="s">
        <v>3447</v>
      </c>
      <c r="C385" s="130">
        <v>2999.0</v>
      </c>
      <c r="D385" s="131"/>
      <c r="E385" s="130">
        <v>2342.64</v>
      </c>
      <c r="F385" s="132">
        <v>0.11</v>
      </c>
      <c r="G385" s="130">
        <f t="shared" si="1"/>
        <v>329.89</v>
      </c>
      <c r="H385" s="130">
        <v>74.80000000000001</v>
      </c>
      <c r="I385" s="130">
        <f t="shared" si="8"/>
        <v>251.67</v>
      </c>
      <c r="J385" s="132">
        <f t="shared" si="9"/>
        <v>0.1074300789</v>
      </c>
      <c r="K385" s="132"/>
    </row>
    <row r="386" hidden="1">
      <c r="A386" s="133" t="s">
        <v>3448</v>
      </c>
      <c r="B386" s="133" t="s">
        <v>3449</v>
      </c>
      <c r="C386" s="130">
        <v>2899.0</v>
      </c>
      <c r="D386" s="131"/>
      <c r="E386" s="130">
        <v>2230.38</v>
      </c>
      <c r="F386" s="132">
        <v>0.11</v>
      </c>
      <c r="G386" s="130">
        <f t="shared" si="1"/>
        <v>318.89</v>
      </c>
      <c r="H386" s="130">
        <v>74.80000000000001</v>
      </c>
      <c r="I386" s="130">
        <f t="shared" si="8"/>
        <v>274.93</v>
      </c>
      <c r="J386" s="132">
        <f t="shared" si="9"/>
        <v>0.1232659905</v>
      </c>
      <c r="K386" s="132"/>
    </row>
    <row r="387" hidden="1">
      <c r="A387" s="133" t="s">
        <v>3450</v>
      </c>
      <c r="B387" s="133" t="s">
        <v>3451</v>
      </c>
      <c r="C387" s="130">
        <v>1099.0</v>
      </c>
      <c r="D387" s="131"/>
      <c r="E387" s="130">
        <v>832.2</v>
      </c>
      <c r="F387" s="132">
        <v>0.15</v>
      </c>
      <c r="G387" s="130">
        <f t="shared" si="1"/>
        <v>164.85</v>
      </c>
      <c r="H387" s="130">
        <v>74.80000000000001</v>
      </c>
      <c r="I387" s="130">
        <f t="shared" si="8"/>
        <v>27.15</v>
      </c>
      <c r="J387" s="132">
        <f t="shared" si="9"/>
        <v>0.03262436914</v>
      </c>
      <c r="K387" s="132"/>
    </row>
    <row r="388" hidden="1">
      <c r="A388" s="133" t="s">
        <v>3452</v>
      </c>
      <c r="B388" s="133" t="s">
        <v>3453</v>
      </c>
      <c r="C388" s="130">
        <v>499.0</v>
      </c>
      <c r="D388" s="131"/>
      <c r="E388" s="130">
        <v>256.91</v>
      </c>
      <c r="F388" s="132">
        <v>0.16</v>
      </c>
      <c r="G388" s="130">
        <f t="shared" si="1"/>
        <v>79.84</v>
      </c>
      <c r="H388" s="130">
        <v>67.10000000000001</v>
      </c>
      <c r="I388" s="130">
        <f t="shared" si="8"/>
        <v>95.15</v>
      </c>
      <c r="J388" s="132">
        <f t="shared" si="9"/>
        <v>0.3703631622</v>
      </c>
      <c r="K388" s="132"/>
    </row>
    <row r="389" hidden="1">
      <c r="A389" s="133" t="s">
        <v>3366</v>
      </c>
      <c r="B389" s="133" t="s">
        <v>3454</v>
      </c>
      <c r="C389" s="130">
        <v>599.0</v>
      </c>
      <c r="D389" s="131"/>
      <c r="E389" s="130">
        <v>385.29</v>
      </c>
      <c r="F389" s="132">
        <v>0.16</v>
      </c>
      <c r="G389" s="130">
        <f t="shared" si="1"/>
        <v>95.84</v>
      </c>
      <c r="H389" s="130">
        <v>67.10000000000001</v>
      </c>
      <c r="I389" s="130">
        <f t="shared" si="8"/>
        <v>50.77</v>
      </c>
      <c r="J389" s="132">
        <f t="shared" si="9"/>
        <v>0.1317708739</v>
      </c>
      <c r="K389" s="132"/>
    </row>
    <row r="390" hidden="1">
      <c r="A390" s="133" t="s">
        <v>3366</v>
      </c>
      <c r="B390" s="133" t="s">
        <v>3455</v>
      </c>
      <c r="C390" s="130">
        <v>599.0</v>
      </c>
      <c r="D390" s="131"/>
      <c r="E390" s="130">
        <v>385.29</v>
      </c>
      <c r="F390" s="132">
        <v>0.16</v>
      </c>
      <c r="G390" s="130">
        <f t="shared" si="1"/>
        <v>95.84</v>
      </c>
      <c r="H390" s="130">
        <v>67.10000000000001</v>
      </c>
      <c r="I390" s="130">
        <f t="shared" si="8"/>
        <v>50.77</v>
      </c>
      <c r="J390" s="132">
        <f t="shared" si="9"/>
        <v>0.1317708739</v>
      </c>
      <c r="K390" s="132"/>
    </row>
    <row r="391" hidden="1">
      <c r="A391" s="133" t="s">
        <v>3456</v>
      </c>
      <c r="B391" s="133" t="s">
        <v>3457</v>
      </c>
      <c r="C391" s="130">
        <v>753.0</v>
      </c>
      <c r="D391" s="131"/>
      <c r="E391" s="130">
        <v>481.18</v>
      </c>
      <c r="F391" s="132">
        <v>0.16</v>
      </c>
      <c r="G391" s="130">
        <f t="shared" si="1"/>
        <v>120.48</v>
      </c>
      <c r="H391" s="130">
        <v>67.10000000000001</v>
      </c>
      <c r="I391" s="130">
        <f t="shared" si="8"/>
        <v>84.24</v>
      </c>
      <c r="J391" s="132">
        <f t="shared" si="9"/>
        <v>0.1750696205</v>
      </c>
      <c r="K391" s="132"/>
    </row>
    <row r="392" hidden="1">
      <c r="A392" s="133" t="s">
        <v>3458</v>
      </c>
      <c r="B392" s="133" t="s">
        <v>3459</v>
      </c>
      <c r="C392" s="134">
        <v>759.0</v>
      </c>
      <c r="D392" s="131"/>
      <c r="E392" s="130">
        <v>510.01</v>
      </c>
      <c r="F392" s="132">
        <v>0.15</v>
      </c>
      <c r="G392" s="130">
        <f t="shared" si="1"/>
        <v>113.85</v>
      </c>
      <c r="H392" s="130">
        <v>67.10000000000001</v>
      </c>
      <c r="I392" s="130">
        <f t="shared" si="8"/>
        <v>68.04</v>
      </c>
      <c r="J392" s="132">
        <f t="shared" si="9"/>
        <v>0.1334091488</v>
      </c>
      <c r="K392" s="132"/>
    </row>
    <row r="393" hidden="1">
      <c r="A393" s="133" t="s">
        <v>3460</v>
      </c>
      <c r="B393" s="133" t="s">
        <v>3461</v>
      </c>
      <c r="C393" s="130">
        <v>239.0</v>
      </c>
      <c r="D393" s="131"/>
      <c r="E393" s="130">
        <v>113.77</v>
      </c>
      <c r="F393" s="132">
        <v>0.16</v>
      </c>
      <c r="G393" s="130">
        <f t="shared" si="1"/>
        <v>38.24</v>
      </c>
      <c r="H393" s="130">
        <v>67.10000000000001</v>
      </c>
      <c r="I393" s="130">
        <f t="shared" si="8"/>
        <v>19.89</v>
      </c>
      <c r="J393" s="132">
        <f t="shared" si="9"/>
        <v>0.1748264041</v>
      </c>
      <c r="K393" s="132"/>
    </row>
    <row r="394" hidden="1">
      <c r="A394" s="133" t="s">
        <v>3462</v>
      </c>
      <c r="B394" s="133" t="s">
        <v>3463</v>
      </c>
      <c r="C394" s="130">
        <v>4599.0</v>
      </c>
      <c r="D394" s="131"/>
      <c r="E394" s="130">
        <v>3610.0</v>
      </c>
      <c r="F394" s="132">
        <v>0.11</v>
      </c>
      <c r="G394" s="130">
        <f t="shared" si="1"/>
        <v>505.89</v>
      </c>
      <c r="H394" s="130">
        <v>67.10000000000001</v>
      </c>
      <c r="I394" s="130">
        <f t="shared" si="8"/>
        <v>416.01</v>
      </c>
      <c r="J394" s="132">
        <f t="shared" si="9"/>
        <v>0.1152382271</v>
      </c>
      <c r="K394" s="132"/>
    </row>
    <row r="395" hidden="1">
      <c r="A395" s="133" t="s">
        <v>3464</v>
      </c>
      <c r="B395" s="133" t="s">
        <v>3465</v>
      </c>
      <c r="C395" s="130">
        <v>15599.0</v>
      </c>
      <c r="D395" s="131"/>
      <c r="E395" s="130">
        <v>12260.35</v>
      </c>
      <c r="F395" s="132">
        <v>0.11</v>
      </c>
      <c r="G395" s="130">
        <f t="shared" si="1"/>
        <v>1715.89</v>
      </c>
      <c r="H395" s="130">
        <v>67.10000000000001</v>
      </c>
      <c r="I395" s="130">
        <f t="shared" si="8"/>
        <v>1555.66</v>
      </c>
      <c r="J395" s="132">
        <f t="shared" si="9"/>
        <v>0.1268854478</v>
      </c>
      <c r="K395" s="132"/>
    </row>
    <row r="396" hidden="1">
      <c r="A396" s="133" t="s">
        <v>3466</v>
      </c>
      <c r="B396" s="133" t="s">
        <v>3467</v>
      </c>
      <c r="C396" s="130">
        <v>2829.0</v>
      </c>
      <c r="D396" s="131"/>
      <c r="E396" s="130">
        <v>2220.0</v>
      </c>
      <c r="F396" s="132">
        <v>0.1</v>
      </c>
      <c r="G396" s="130">
        <f t="shared" si="1"/>
        <v>282.9</v>
      </c>
      <c r="H396" s="130">
        <v>67.10000000000001</v>
      </c>
      <c r="I396" s="130">
        <f t="shared" si="8"/>
        <v>259</v>
      </c>
      <c r="J396" s="132">
        <f t="shared" si="9"/>
        <v>0.1166666667</v>
      </c>
      <c r="K396" s="132"/>
    </row>
    <row r="397" hidden="1">
      <c r="A397" s="133" t="s">
        <v>3468</v>
      </c>
      <c r="B397" s="133" t="s">
        <v>3469</v>
      </c>
      <c r="C397" s="134">
        <v>4480.0</v>
      </c>
      <c r="D397" s="131"/>
      <c r="E397" s="130">
        <v>3610.0</v>
      </c>
      <c r="F397" s="132">
        <v>0.1</v>
      </c>
      <c r="G397" s="130">
        <f t="shared" si="1"/>
        <v>448</v>
      </c>
      <c r="H397" s="130">
        <v>67.10000000000001</v>
      </c>
      <c r="I397" s="130">
        <f t="shared" si="8"/>
        <v>354.9</v>
      </c>
      <c r="J397" s="132">
        <f t="shared" si="9"/>
        <v>0.09831024931</v>
      </c>
      <c r="K397" s="132"/>
    </row>
    <row r="398">
      <c r="A398" s="133" t="s">
        <v>3470</v>
      </c>
      <c r="B398" s="133" t="s">
        <v>3471</v>
      </c>
      <c r="C398" s="130">
        <v>13599.0</v>
      </c>
      <c r="D398" s="131"/>
      <c r="E398" s="130">
        <v>10145.84</v>
      </c>
      <c r="F398" s="132">
        <v>0.15</v>
      </c>
      <c r="G398" s="130">
        <f t="shared" si="1"/>
        <v>2039.85</v>
      </c>
      <c r="H398" s="130">
        <v>374.67999999999995</v>
      </c>
      <c r="I398" s="130">
        <f t="shared" si="8"/>
        <v>1038.63</v>
      </c>
      <c r="J398" s="132">
        <f t="shared" si="9"/>
        <v>0.1023700354</v>
      </c>
      <c r="K398" s="142" t="s">
        <v>4731</v>
      </c>
    </row>
    <row r="399" hidden="1">
      <c r="A399" s="133" t="s">
        <v>3472</v>
      </c>
      <c r="B399" s="133" t="s">
        <v>3473</v>
      </c>
      <c r="C399" s="130">
        <v>9999.0</v>
      </c>
      <c r="D399" s="131"/>
      <c r="E399" s="130">
        <v>8059.85</v>
      </c>
      <c r="F399" s="132">
        <v>0.1</v>
      </c>
      <c r="G399" s="130">
        <f t="shared" si="1"/>
        <v>999.9</v>
      </c>
      <c r="H399" s="130">
        <v>74.80000000000001</v>
      </c>
      <c r="I399" s="130">
        <f t="shared" si="8"/>
        <v>864.45</v>
      </c>
      <c r="J399" s="132">
        <f t="shared" si="9"/>
        <v>0.1072538571</v>
      </c>
      <c r="K399" s="132"/>
    </row>
    <row r="400" hidden="1">
      <c r="A400" s="133" t="s">
        <v>3474</v>
      </c>
      <c r="B400" s="133" t="s">
        <v>3475</v>
      </c>
      <c r="C400" s="130">
        <v>799.0</v>
      </c>
      <c r="D400" s="131"/>
      <c r="E400" s="130">
        <v>528.11</v>
      </c>
      <c r="F400" s="132">
        <v>0.15</v>
      </c>
      <c r="G400" s="130">
        <f t="shared" si="1"/>
        <v>119.85</v>
      </c>
      <c r="H400" s="130">
        <v>74.80000000000001</v>
      </c>
      <c r="I400" s="130">
        <f t="shared" si="8"/>
        <v>76.24</v>
      </c>
      <c r="J400" s="132">
        <f t="shared" si="9"/>
        <v>0.1443638636</v>
      </c>
      <c r="K400" s="132"/>
    </row>
    <row r="401" hidden="1">
      <c r="A401" s="133" t="s">
        <v>3476</v>
      </c>
      <c r="B401" s="133" t="s">
        <v>3477</v>
      </c>
      <c r="C401" s="130">
        <v>899.0</v>
      </c>
      <c r="D401" s="131"/>
      <c r="E401" s="130">
        <v>565.91</v>
      </c>
      <c r="F401" s="132">
        <v>0.15</v>
      </c>
      <c r="G401" s="130">
        <f t="shared" si="1"/>
        <v>134.85</v>
      </c>
      <c r="H401" s="130">
        <v>74.80000000000001</v>
      </c>
      <c r="I401" s="130">
        <f t="shared" si="8"/>
        <v>123.44</v>
      </c>
      <c r="J401" s="132">
        <f t="shared" si="9"/>
        <v>0.2181265572</v>
      </c>
      <c r="K401" s="132"/>
    </row>
    <row r="402" hidden="1">
      <c r="A402" s="133" t="s">
        <v>3712</v>
      </c>
      <c r="B402" s="133" t="s">
        <v>3713</v>
      </c>
      <c r="C402" s="134">
        <v>1429.0</v>
      </c>
      <c r="D402" s="131"/>
      <c r="E402" s="134">
        <v>1018.0</v>
      </c>
      <c r="F402" s="132">
        <v>0.15</v>
      </c>
      <c r="G402" s="130">
        <f t="shared" si="1"/>
        <v>214.35</v>
      </c>
      <c r="H402" s="130">
        <v>74.80000000000001</v>
      </c>
      <c r="I402" s="130">
        <f t="shared" si="8"/>
        <v>121.85</v>
      </c>
      <c r="J402" s="132">
        <f t="shared" si="9"/>
        <v>0.1196954813</v>
      </c>
      <c r="K402" s="132"/>
    </row>
    <row r="403" hidden="1">
      <c r="A403" s="133" t="s">
        <v>3478</v>
      </c>
      <c r="B403" s="133" t="s">
        <v>3479</v>
      </c>
      <c r="C403" s="134">
        <v>2099.0</v>
      </c>
      <c r="D403" s="131"/>
      <c r="E403" s="130">
        <v>1556.39</v>
      </c>
      <c r="F403" s="132">
        <v>0.15</v>
      </c>
      <c r="G403" s="130">
        <f t="shared" si="1"/>
        <v>314.85</v>
      </c>
      <c r="H403" s="130">
        <v>74.80000000000001</v>
      </c>
      <c r="I403" s="130">
        <f t="shared" si="8"/>
        <v>152.96</v>
      </c>
      <c r="J403" s="132">
        <f t="shared" si="9"/>
        <v>0.09827870906</v>
      </c>
      <c r="K403" s="132"/>
    </row>
    <row r="404" hidden="1">
      <c r="A404" s="133" t="s">
        <v>3480</v>
      </c>
      <c r="B404" s="133" t="s">
        <v>3481</v>
      </c>
      <c r="C404" s="130">
        <v>4999.0</v>
      </c>
      <c r="D404" s="131"/>
      <c r="E404" s="130">
        <v>3698.05</v>
      </c>
      <c r="F404" s="132">
        <v>0.1</v>
      </c>
      <c r="G404" s="130">
        <f t="shared" si="1"/>
        <v>499.9</v>
      </c>
      <c r="H404" s="130">
        <v>74.80000000000001</v>
      </c>
      <c r="I404" s="130">
        <f t="shared" si="8"/>
        <v>726.25</v>
      </c>
      <c r="J404" s="132">
        <f t="shared" si="9"/>
        <v>0.1963872852</v>
      </c>
      <c r="K404" s="132"/>
    </row>
    <row r="405" hidden="1">
      <c r="A405" s="133" t="s">
        <v>3482</v>
      </c>
      <c r="B405" s="133" t="s">
        <v>3483</v>
      </c>
      <c r="C405" s="130">
        <v>999.0</v>
      </c>
      <c r="D405" s="131"/>
      <c r="E405" s="130">
        <v>663.75</v>
      </c>
      <c r="F405" s="132">
        <v>0.15</v>
      </c>
      <c r="G405" s="130">
        <f t="shared" si="1"/>
        <v>149.85</v>
      </c>
      <c r="H405" s="130">
        <v>74.80000000000001</v>
      </c>
      <c r="I405" s="130">
        <f t="shared" si="8"/>
        <v>110.6</v>
      </c>
      <c r="J405" s="132">
        <f t="shared" si="9"/>
        <v>0.1666290019</v>
      </c>
      <c r="K405" s="132"/>
    </row>
    <row r="406" hidden="1">
      <c r="A406" s="133" t="s">
        <v>3484</v>
      </c>
      <c r="B406" s="133" t="s">
        <v>3485</v>
      </c>
      <c r="C406" s="130">
        <v>4599.0</v>
      </c>
      <c r="D406" s="131"/>
      <c r="E406" s="130">
        <v>3413.59</v>
      </c>
      <c r="F406" s="132">
        <v>0.15</v>
      </c>
      <c r="G406" s="130">
        <f t="shared" si="1"/>
        <v>689.85</v>
      </c>
      <c r="H406" s="130">
        <v>74.80000000000001</v>
      </c>
      <c r="I406" s="130">
        <f t="shared" si="8"/>
        <v>420.76</v>
      </c>
      <c r="J406" s="132">
        <f t="shared" si="9"/>
        <v>0.1232602627</v>
      </c>
      <c r="K406" s="132"/>
    </row>
    <row r="407" hidden="1">
      <c r="A407" s="133" t="s">
        <v>3486</v>
      </c>
      <c r="B407" s="133" t="s">
        <v>3487</v>
      </c>
      <c r="C407" s="134">
        <v>1055.0</v>
      </c>
      <c r="D407" s="131"/>
      <c r="E407" s="130">
        <v>813.75</v>
      </c>
      <c r="F407" s="132">
        <v>0.15</v>
      </c>
      <c r="G407" s="130">
        <f t="shared" si="1"/>
        <v>158.25</v>
      </c>
      <c r="H407" s="130">
        <v>74.80000000000001</v>
      </c>
      <c r="I407" s="130">
        <f t="shared" si="8"/>
        <v>8.2</v>
      </c>
      <c r="J407" s="132">
        <f t="shared" si="9"/>
        <v>0.01007680492</v>
      </c>
      <c r="K407" s="132"/>
    </row>
    <row r="408" hidden="1">
      <c r="A408" s="133" t="s">
        <v>3488</v>
      </c>
      <c r="B408" s="133" t="s">
        <v>3489</v>
      </c>
      <c r="C408" s="130">
        <v>18999.0</v>
      </c>
      <c r="D408" s="131"/>
      <c r="E408" s="130">
        <v>14886.04</v>
      </c>
      <c r="F408" s="132">
        <v>0.1</v>
      </c>
      <c r="G408" s="130">
        <f t="shared" si="1"/>
        <v>1899.9</v>
      </c>
      <c r="H408" s="130">
        <v>80.30000000000001</v>
      </c>
      <c r="I408" s="130">
        <f t="shared" si="8"/>
        <v>2132.76</v>
      </c>
      <c r="J408" s="132">
        <f t="shared" si="9"/>
        <v>0.1432724889</v>
      </c>
      <c r="K408" s="132"/>
    </row>
    <row r="409" hidden="1">
      <c r="A409" s="133" t="s">
        <v>3490</v>
      </c>
      <c r="B409" s="133" t="s">
        <v>3491</v>
      </c>
      <c r="C409" s="134">
        <v>479.0</v>
      </c>
      <c r="D409" s="131"/>
      <c r="E409" s="134">
        <v>299.0</v>
      </c>
      <c r="F409" s="135">
        <v>0.15</v>
      </c>
      <c r="G409" s="130">
        <f t="shared" si="1"/>
        <v>71.85</v>
      </c>
      <c r="H409" s="130">
        <v>80.30000000000001</v>
      </c>
      <c r="I409" s="130">
        <f t="shared" si="8"/>
        <v>27.85</v>
      </c>
      <c r="J409" s="132">
        <f t="shared" si="9"/>
        <v>0.09314381271</v>
      </c>
      <c r="K409" s="132"/>
    </row>
    <row r="410" hidden="1">
      <c r="A410" s="133" t="s">
        <v>3492</v>
      </c>
      <c r="B410" s="133" t="s">
        <v>3493</v>
      </c>
      <c r="C410" s="130">
        <v>1999.0</v>
      </c>
      <c r="D410" s="131"/>
      <c r="E410" s="130">
        <v>1326.3</v>
      </c>
      <c r="F410" s="132">
        <v>0.15</v>
      </c>
      <c r="G410" s="130">
        <f t="shared" si="1"/>
        <v>299.85</v>
      </c>
      <c r="H410" s="130">
        <v>67.10000000000001</v>
      </c>
      <c r="I410" s="130">
        <f t="shared" si="8"/>
        <v>305.75</v>
      </c>
      <c r="J410" s="132">
        <f t="shared" si="9"/>
        <v>0.230528538</v>
      </c>
      <c r="K410" s="132"/>
    </row>
    <row r="411" hidden="1">
      <c r="A411" s="133" t="s">
        <v>3492</v>
      </c>
      <c r="B411" s="133" t="s">
        <v>3495</v>
      </c>
      <c r="C411" s="130">
        <v>1899.0</v>
      </c>
      <c r="D411" s="131"/>
      <c r="E411" s="130">
        <v>1326.3</v>
      </c>
      <c r="F411" s="132">
        <v>0.15</v>
      </c>
      <c r="G411" s="130">
        <f t="shared" si="1"/>
        <v>284.85</v>
      </c>
      <c r="H411" s="130">
        <v>67.10000000000001</v>
      </c>
      <c r="I411" s="130">
        <f t="shared" si="8"/>
        <v>220.75</v>
      </c>
      <c r="J411" s="132">
        <f t="shared" si="9"/>
        <v>0.1664404735</v>
      </c>
      <c r="K411" s="132"/>
    </row>
    <row r="412" hidden="1">
      <c r="A412" s="133" t="s">
        <v>3497</v>
      </c>
      <c r="B412" s="133" t="s">
        <v>3498</v>
      </c>
      <c r="C412" s="130">
        <v>1299.0</v>
      </c>
      <c r="D412" s="131"/>
      <c r="E412" s="130">
        <v>904.46</v>
      </c>
      <c r="F412" s="132">
        <v>0.15</v>
      </c>
      <c r="G412" s="130">
        <f t="shared" si="1"/>
        <v>194.85</v>
      </c>
      <c r="H412" s="130">
        <v>67.10000000000001</v>
      </c>
      <c r="I412" s="130">
        <f t="shared" si="8"/>
        <v>132.59</v>
      </c>
      <c r="J412" s="132">
        <f t="shared" si="9"/>
        <v>0.1465957588</v>
      </c>
      <c r="K412" s="132"/>
    </row>
    <row r="413" hidden="1">
      <c r="A413" s="133" t="s">
        <v>3499</v>
      </c>
      <c r="B413" s="133" t="s">
        <v>3500</v>
      </c>
      <c r="C413" s="130">
        <v>599.0</v>
      </c>
      <c r="D413" s="131"/>
      <c r="E413" s="130">
        <v>326.62</v>
      </c>
      <c r="F413" s="132">
        <v>0.15</v>
      </c>
      <c r="G413" s="130">
        <f t="shared" si="1"/>
        <v>89.85</v>
      </c>
      <c r="H413" s="130">
        <v>74.80000000000001</v>
      </c>
      <c r="I413" s="130">
        <f t="shared" si="8"/>
        <v>107.73</v>
      </c>
      <c r="J413" s="132">
        <f t="shared" si="9"/>
        <v>0.3298328333</v>
      </c>
      <c r="K413" s="132"/>
    </row>
    <row r="414" hidden="1">
      <c r="A414" s="133" t="s">
        <v>3501</v>
      </c>
      <c r="B414" s="133" t="s">
        <v>3502</v>
      </c>
      <c r="C414" s="130">
        <v>5999.0</v>
      </c>
      <c r="D414" s="131"/>
      <c r="E414" s="130">
        <v>4787.11</v>
      </c>
      <c r="F414" s="132">
        <v>0.1</v>
      </c>
      <c r="G414" s="130">
        <f t="shared" si="1"/>
        <v>599.9</v>
      </c>
      <c r="H414" s="130">
        <v>82.5</v>
      </c>
      <c r="I414" s="130">
        <f t="shared" si="8"/>
        <v>529.49</v>
      </c>
      <c r="J414" s="132">
        <f t="shared" si="9"/>
        <v>0.1106074437</v>
      </c>
      <c r="K414" s="132"/>
    </row>
    <row r="415" hidden="1">
      <c r="A415" s="133" t="s">
        <v>3503</v>
      </c>
      <c r="B415" s="133" t="s">
        <v>3504</v>
      </c>
      <c r="C415" s="130">
        <v>2899.0</v>
      </c>
      <c r="D415" s="131"/>
      <c r="E415" s="130">
        <v>2120.0</v>
      </c>
      <c r="F415" s="132">
        <v>0.1</v>
      </c>
      <c r="G415" s="130">
        <f t="shared" si="1"/>
        <v>289.9</v>
      </c>
      <c r="H415" s="130">
        <v>74.80000000000001</v>
      </c>
      <c r="I415" s="130">
        <f t="shared" si="8"/>
        <v>414.3</v>
      </c>
      <c r="J415" s="132">
        <f t="shared" si="9"/>
        <v>0.1954245283</v>
      </c>
      <c r="K415" s="132"/>
    </row>
    <row r="416" hidden="1">
      <c r="A416" s="133" t="s">
        <v>3505</v>
      </c>
      <c r="B416" s="133" t="s">
        <v>3506</v>
      </c>
      <c r="C416" s="130">
        <v>4499.0</v>
      </c>
      <c r="D416" s="131"/>
      <c r="E416" s="130">
        <v>3335.27</v>
      </c>
      <c r="F416" s="132">
        <v>0.15</v>
      </c>
      <c r="G416" s="130">
        <f t="shared" si="1"/>
        <v>674.85</v>
      </c>
      <c r="H416" s="130">
        <v>74.80000000000001</v>
      </c>
      <c r="I416" s="130">
        <f t="shared" si="8"/>
        <v>414.08</v>
      </c>
      <c r="J416" s="132">
        <f t="shared" si="9"/>
        <v>0.1241518678</v>
      </c>
      <c r="K416" s="132"/>
    </row>
    <row r="417" hidden="1">
      <c r="A417" s="133" t="s">
        <v>3507</v>
      </c>
      <c r="B417" s="133" t="s">
        <v>3508</v>
      </c>
      <c r="C417" s="130">
        <v>1229.0</v>
      </c>
      <c r="D417" s="131"/>
      <c r="E417" s="130">
        <v>880.09</v>
      </c>
      <c r="F417" s="132">
        <v>0.15</v>
      </c>
      <c r="G417" s="130">
        <f t="shared" si="1"/>
        <v>184.35</v>
      </c>
      <c r="H417" s="130">
        <v>74.80000000000001</v>
      </c>
      <c r="I417" s="130">
        <f t="shared" si="8"/>
        <v>89.76</v>
      </c>
      <c r="J417" s="132">
        <f t="shared" si="9"/>
        <v>0.1019895692</v>
      </c>
      <c r="K417" s="132"/>
    </row>
    <row r="418" hidden="1">
      <c r="A418" s="133" t="s">
        <v>3509</v>
      </c>
      <c r="B418" s="133" t="s">
        <v>3510</v>
      </c>
      <c r="C418" s="130">
        <v>5899.0</v>
      </c>
      <c r="D418" s="131"/>
      <c r="E418" s="130">
        <v>4780.0</v>
      </c>
      <c r="F418" s="132">
        <v>0.1</v>
      </c>
      <c r="G418" s="130">
        <f t="shared" si="1"/>
        <v>589.9</v>
      </c>
      <c r="H418" s="130">
        <v>74.80000000000001</v>
      </c>
      <c r="I418" s="130">
        <f t="shared" si="8"/>
        <v>454.3</v>
      </c>
      <c r="J418" s="132">
        <f t="shared" si="9"/>
        <v>0.095041841</v>
      </c>
      <c r="K418" s="132"/>
    </row>
    <row r="419" hidden="1">
      <c r="A419" s="133" t="s">
        <v>3511</v>
      </c>
      <c r="B419" s="133" t="s">
        <v>3512</v>
      </c>
      <c r="C419" s="134">
        <v>2315.0</v>
      </c>
      <c r="D419" s="131"/>
      <c r="E419" s="130">
        <v>1871.36</v>
      </c>
      <c r="F419" s="132">
        <v>0.1</v>
      </c>
      <c r="G419" s="130">
        <f t="shared" si="1"/>
        <v>231.5</v>
      </c>
      <c r="H419" s="130">
        <f>66*1.16</f>
        <v>76.56</v>
      </c>
      <c r="I419" s="130">
        <f t="shared" si="8"/>
        <v>135.58</v>
      </c>
      <c r="J419" s="132">
        <f t="shared" si="9"/>
        <v>0.0724499829</v>
      </c>
      <c r="K419" s="132"/>
    </row>
    <row r="420" hidden="1">
      <c r="A420" s="133" t="s">
        <v>3513</v>
      </c>
      <c r="B420" s="133" t="s">
        <v>3514</v>
      </c>
      <c r="C420" s="130">
        <v>18699.0</v>
      </c>
      <c r="D420" s="131"/>
      <c r="E420" s="130">
        <v>14602.55</v>
      </c>
      <c r="F420" s="132">
        <v>0.1</v>
      </c>
      <c r="G420" s="130">
        <f t="shared" si="1"/>
        <v>1869.9</v>
      </c>
      <c r="H420" s="130">
        <v>74.80000000000001</v>
      </c>
      <c r="I420" s="130">
        <f t="shared" si="8"/>
        <v>2151.75</v>
      </c>
      <c r="J420" s="132">
        <f t="shared" si="9"/>
        <v>0.1473544004</v>
      </c>
      <c r="K420" s="132"/>
    </row>
    <row r="421" hidden="1">
      <c r="A421" s="133" t="s">
        <v>3515</v>
      </c>
      <c r="B421" s="133" t="s">
        <v>3516</v>
      </c>
      <c r="C421" s="130">
        <v>529.0</v>
      </c>
      <c r="D421" s="131"/>
      <c r="E421" s="130">
        <v>322.4</v>
      </c>
      <c r="F421" s="132">
        <v>0.15</v>
      </c>
      <c r="G421" s="130">
        <f t="shared" si="1"/>
        <v>79.35</v>
      </c>
      <c r="H421" s="130">
        <v>74.80000000000001</v>
      </c>
      <c r="I421" s="130">
        <f t="shared" si="8"/>
        <v>52.45</v>
      </c>
      <c r="J421" s="132">
        <f t="shared" si="9"/>
        <v>0.1626861042</v>
      </c>
      <c r="K421" s="132"/>
    </row>
    <row r="422">
      <c r="A422" s="133" t="s">
        <v>4562</v>
      </c>
      <c r="B422" s="133" t="s">
        <v>4563</v>
      </c>
      <c r="C422" s="134">
        <v>899.0</v>
      </c>
      <c r="D422" s="131"/>
      <c r="E422" s="134">
        <v>600.0</v>
      </c>
      <c r="F422" s="132">
        <v>0.15</v>
      </c>
      <c r="G422" s="130">
        <f t="shared" si="1"/>
        <v>134.85</v>
      </c>
      <c r="H422" s="130">
        <v>74.80000000000001</v>
      </c>
      <c r="I422" s="130">
        <f t="shared" si="8"/>
        <v>89.35</v>
      </c>
      <c r="J422" s="132">
        <f t="shared" si="9"/>
        <v>0.1489166667</v>
      </c>
      <c r="K422" s="142" t="s">
        <v>4731</v>
      </c>
    </row>
    <row r="423" hidden="1">
      <c r="A423" s="133" t="s">
        <v>3517</v>
      </c>
      <c r="B423" s="133" t="s">
        <v>3518</v>
      </c>
      <c r="C423" s="130">
        <v>772.0</v>
      </c>
      <c r="D423" s="131"/>
      <c r="E423" s="130" t="str">
        <f>508.44</f>
        <v>#ERROR!</v>
      </c>
      <c r="F423" s="132">
        <v>0.15</v>
      </c>
      <c r="G423" s="130">
        <f t="shared" si="1"/>
        <v>115.8</v>
      </c>
      <c r="H423" s="130">
        <v>74.80000000000001</v>
      </c>
      <c r="I423" s="130" t="str">
        <f t="shared" si="8"/>
        <v>#ERROR!</v>
      </c>
      <c r="J423" s="132" t="str">
        <f t="shared" si="9"/>
        <v>#ERROR!</v>
      </c>
      <c r="K423" s="132"/>
    </row>
    <row r="424" hidden="1">
      <c r="A424" s="133" t="s">
        <v>3519</v>
      </c>
      <c r="B424" s="133" t="s">
        <v>3520</v>
      </c>
      <c r="C424" s="130">
        <v>2799.0</v>
      </c>
      <c r="D424" s="131"/>
      <c r="E424" s="130">
        <v>2220.0</v>
      </c>
      <c r="F424" s="132">
        <v>0.1</v>
      </c>
      <c r="G424" s="130">
        <f t="shared" si="1"/>
        <v>279.9</v>
      </c>
      <c r="H424" s="130">
        <v>74.80000000000001</v>
      </c>
      <c r="I424" s="130">
        <f t="shared" si="8"/>
        <v>224.3</v>
      </c>
      <c r="J424" s="132">
        <f t="shared" si="9"/>
        <v>0.101036036</v>
      </c>
      <c r="K424" s="132"/>
    </row>
    <row r="425">
      <c r="A425" s="133" t="s">
        <v>3521</v>
      </c>
      <c r="B425" s="133" t="s">
        <v>3522</v>
      </c>
      <c r="C425" s="130">
        <v>3959.0</v>
      </c>
      <c r="D425" s="131"/>
      <c r="E425" s="130">
        <v>3150.0</v>
      </c>
      <c r="F425" s="132">
        <v>0.1</v>
      </c>
      <c r="G425" s="130">
        <f t="shared" si="1"/>
        <v>395.9</v>
      </c>
      <c r="H425" s="130">
        <v>74.80000000000001</v>
      </c>
      <c r="I425" s="130">
        <f t="shared" si="8"/>
        <v>338.3</v>
      </c>
      <c r="J425" s="132">
        <f t="shared" si="9"/>
        <v>0.1073968254</v>
      </c>
      <c r="K425" s="142" t="s">
        <v>4731</v>
      </c>
    </row>
    <row r="426" hidden="1">
      <c r="A426" s="133" t="s">
        <v>3523</v>
      </c>
      <c r="B426" s="133" t="s">
        <v>3524</v>
      </c>
      <c r="C426" s="130">
        <v>7899.0</v>
      </c>
      <c r="D426" s="131"/>
      <c r="E426" s="130">
        <v>6192.12</v>
      </c>
      <c r="F426" s="132">
        <v>0.1</v>
      </c>
      <c r="G426" s="130">
        <f t="shared" si="1"/>
        <v>789.9</v>
      </c>
      <c r="H426" s="130">
        <v>74.80000000000001</v>
      </c>
      <c r="I426" s="130">
        <f t="shared" si="8"/>
        <v>842.18</v>
      </c>
      <c r="J426" s="132">
        <f t="shared" si="9"/>
        <v>0.1360083461</v>
      </c>
      <c r="K426" s="132"/>
    </row>
    <row r="427">
      <c r="A427" s="133" t="s">
        <v>3525</v>
      </c>
      <c r="B427" s="133" t="s">
        <v>3526</v>
      </c>
      <c r="C427" s="134">
        <v>1747.0</v>
      </c>
      <c r="D427" s="131"/>
      <c r="E427" s="130">
        <v>1300.0</v>
      </c>
      <c r="F427" s="132">
        <v>0.15</v>
      </c>
      <c r="G427" s="130">
        <f t="shared" si="1"/>
        <v>262.05</v>
      </c>
      <c r="H427" s="130">
        <f>63*1.16</f>
        <v>73.08</v>
      </c>
      <c r="I427" s="130">
        <f t="shared" si="8"/>
        <v>111.87</v>
      </c>
      <c r="J427" s="132">
        <f t="shared" si="9"/>
        <v>0.08605384615</v>
      </c>
      <c r="K427" s="142" t="s">
        <v>4731</v>
      </c>
    </row>
    <row r="428" hidden="1">
      <c r="A428" s="133" t="s">
        <v>3527</v>
      </c>
      <c r="B428" s="133" t="s">
        <v>3528</v>
      </c>
      <c r="C428" s="130">
        <v>1799.0</v>
      </c>
      <c r="D428" s="131"/>
      <c r="E428" s="130">
        <v>1300.0</v>
      </c>
      <c r="F428" s="132">
        <v>0.15</v>
      </c>
      <c r="G428" s="130">
        <f t="shared" si="1"/>
        <v>269.85</v>
      </c>
      <c r="H428" s="130">
        <v>67.10000000000001</v>
      </c>
      <c r="I428" s="130">
        <f t="shared" si="8"/>
        <v>162.05</v>
      </c>
      <c r="J428" s="132">
        <f t="shared" si="9"/>
        <v>0.1246538462</v>
      </c>
      <c r="K428" s="132"/>
    </row>
    <row r="429" hidden="1">
      <c r="A429" s="133" t="s">
        <v>3529</v>
      </c>
      <c r="B429" s="133" t="s">
        <v>3530</v>
      </c>
      <c r="C429" s="130">
        <v>4869.0</v>
      </c>
      <c r="D429" s="131"/>
      <c r="E429" s="130">
        <v>3880.0</v>
      </c>
      <c r="F429" s="132">
        <v>0.1</v>
      </c>
      <c r="G429" s="130">
        <f t="shared" si="1"/>
        <v>486.9</v>
      </c>
      <c r="H429" s="130">
        <v>67.10000000000001</v>
      </c>
      <c r="I429" s="130">
        <f t="shared" si="8"/>
        <v>435</v>
      </c>
      <c r="J429" s="132">
        <f t="shared" si="9"/>
        <v>0.1121134021</v>
      </c>
      <c r="K429" s="132"/>
    </row>
    <row r="430" hidden="1">
      <c r="A430" s="133" t="s">
        <v>3531</v>
      </c>
      <c r="B430" s="133" t="s">
        <v>3532</v>
      </c>
      <c r="C430" s="130">
        <v>5999.0</v>
      </c>
      <c r="D430" s="131"/>
      <c r="E430" s="130">
        <v>4880.0</v>
      </c>
      <c r="F430" s="132">
        <v>0.1</v>
      </c>
      <c r="G430" s="130">
        <f t="shared" si="1"/>
        <v>599.9</v>
      </c>
      <c r="H430" s="130">
        <v>67.10000000000001</v>
      </c>
      <c r="I430" s="130">
        <f t="shared" si="8"/>
        <v>452</v>
      </c>
      <c r="J430" s="132">
        <f t="shared" si="9"/>
        <v>0.09262295082</v>
      </c>
      <c r="K430" s="132"/>
    </row>
    <row r="431" hidden="1">
      <c r="A431" s="133" t="s">
        <v>3533</v>
      </c>
      <c r="B431" s="133" t="s">
        <v>3534</v>
      </c>
      <c r="C431" s="130">
        <v>7199.0</v>
      </c>
      <c r="D431" s="131"/>
      <c r="E431" s="130">
        <v>5750.0</v>
      </c>
      <c r="F431" s="132">
        <v>0.1</v>
      </c>
      <c r="G431" s="130">
        <f t="shared" si="1"/>
        <v>719.9</v>
      </c>
      <c r="H431" s="130">
        <v>67.10000000000001</v>
      </c>
      <c r="I431" s="130">
        <f t="shared" si="8"/>
        <v>662</v>
      </c>
      <c r="J431" s="132">
        <f t="shared" si="9"/>
        <v>0.1151304348</v>
      </c>
      <c r="K431" s="132"/>
    </row>
    <row r="432" hidden="1">
      <c r="A432" s="133" t="s">
        <v>1168</v>
      </c>
      <c r="B432" s="133" t="s">
        <v>3535</v>
      </c>
      <c r="C432" s="130">
        <v>599.0</v>
      </c>
      <c r="D432" s="131"/>
      <c r="E432" s="130">
        <v>368.16</v>
      </c>
      <c r="F432" s="132">
        <v>0.15</v>
      </c>
      <c r="G432" s="130">
        <f t="shared" si="1"/>
        <v>89.85</v>
      </c>
      <c r="H432" s="130">
        <v>67.10000000000001</v>
      </c>
      <c r="I432" s="130">
        <f t="shared" si="8"/>
        <v>73.89</v>
      </c>
      <c r="J432" s="132">
        <f t="shared" si="9"/>
        <v>0.2007007823</v>
      </c>
      <c r="K432" s="132"/>
    </row>
    <row r="433" hidden="1">
      <c r="A433" s="133"/>
      <c r="B433" s="133" t="s">
        <v>3536</v>
      </c>
      <c r="C433" s="130">
        <v>5999.0</v>
      </c>
      <c r="D433" s="131"/>
      <c r="E433" s="130">
        <v>4880.0</v>
      </c>
      <c r="F433" s="132">
        <v>0.1</v>
      </c>
      <c r="G433" s="130">
        <f t="shared" si="1"/>
        <v>599.9</v>
      </c>
      <c r="H433" s="130">
        <v>67.10000000000001</v>
      </c>
      <c r="I433" s="130">
        <f t="shared" si="8"/>
        <v>452</v>
      </c>
      <c r="J433" s="132">
        <f t="shared" si="9"/>
        <v>0.09262295082</v>
      </c>
      <c r="K433" s="132"/>
    </row>
    <row r="434" hidden="1">
      <c r="A434" s="133" t="s">
        <v>3537</v>
      </c>
      <c r="B434" s="133" t="s">
        <v>3538</v>
      </c>
      <c r="C434" s="130">
        <v>379.0</v>
      </c>
      <c r="D434" s="131"/>
      <c r="E434" s="130">
        <v>218.46</v>
      </c>
      <c r="F434" s="132">
        <v>0.15</v>
      </c>
      <c r="G434" s="130">
        <f t="shared" si="1"/>
        <v>56.85</v>
      </c>
      <c r="H434" s="130">
        <v>67.10000000000001</v>
      </c>
      <c r="I434" s="130">
        <f t="shared" si="8"/>
        <v>36.59</v>
      </c>
      <c r="J434" s="132">
        <f t="shared" si="9"/>
        <v>0.1674906161</v>
      </c>
      <c r="K434" s="132"/>
    </row>
    <row r="435">
      <c r="A435" s="147" t="s">
        <v>4736</v>
      </c>
      <c r="B435" s="133" t="s">
        <v>3540</v>
      </c>
      <c r="C435" s="130">
        <v>4699.0</v>
      </c>
      <c r="D435" s="131"/>
      <c r="E435" s="130">
        <v>3911.46</v>
      </c>
      <c r="F435" s="132">
        <v>0.1</v>
      </c>
      <c r="G435" s="130">
        <f t="shared" si="1"/>
        <v>469.9</v>
      </c>
      <c r="H435" s="130">
        <v>73.7</v>
      </c>
      <c r="I435" s="130">
        <f t="shared" si="8"/>
        <v>243.94</v>
      </c>
      <c r="J435" s="132">
        <f t="shared" si="9"/>
        <v>0.06236545944</v>
      </c>
      <c r="K435" s="142" t="s">
        <v>4731</v>
      </c>
    </row>
    <row r="436" hidden="1">
      <c r="A436" s="133" t="s">
        <v>3541</v>
      </c>
      <c r="B436" s="133" t="s">
        <v>3542</v>
      </c>
      <c r="C436" s="130">
        <v>6999.0</v>
      </c>
      <c r="D436" s="131"/>
      <c r="E436" s="130">
        <v>5730.01</v>
      </c>
      <c r="F436" s="132">
        <v>0.1</v>
      </c>
      <c r="G436" s="130">
        <f t="shared" si="1"/>
        <v>699.9</v>
      </c>
      <c r="H436" s="130">
        <v>73.7</v>
      </c>
      <c r="I436" s="130">
        <f t="shared" si="8"/>
        <v>495.39</v>
      </c>
      <c r="J436" s="132">
        <f t="shared" si="9"/>
        <v>0.0864553465</v>
      </c>
      <c r="K436" s="132"/>
    </row>
    <row r="437">
      <c r="A437" s="133" t="s">
        <v>3543</v>
      </c>
      <c r="B437" s="133" t="s">
        <v>3544</v>
      </c>
      <c r="C437" s="130">
        <v>1599.0</v>
      </c>
      <c r="D437" s="131"/>
      <c r="E437" s="130">
        <v>1057.4</v>
      </c>
      <c r="F437" s="132">
        <v>0.15</v>
      </c>
      <c r="G437" s="130">
        <f t="shared" si="1"/>
        <v>239.85</v>
      </c>
      <c r="H437" s="130">
        <v>69.30000000000001</v>
      </c>
      <c r="I437" s="130">
        <f t="shared" si="8"/>
        <v>232.45</v>
      </c>
      <c r="J437" s="132">
        <f t="shared" si="9"/>
        <v>0.2198316626</v>
      </c>
      <c r="K437" s="142"/>
    </row>
    <row r="438" hidden="1">
      <c r="A438" s="133" t="s">
        <v>3545</v>
      </c>
      <c r="B438" s="133" t="s">
        <v>3546</v>
      </c>
      <c r="C438" s="130">
        <v>679.0</v>
      </c>
      <c r="D438" s="131"/>
      <c r="E438" s="130">
        <v>460.28</v>
      </c>
      <c r="F438" s="132">
        <v>0.15</v>
      </c>
      <c r="G438" s="130">
        <f t="shared" si="1"/>
        <v>101.85</v>
      </c>
      <c r="H438" s="130">
        <v>69.30000000000001</v>
      </c>
      <c r="I438" s="130">
        <f t="shared" si="8"/>
        <v>47.57</v>
      </c>
      <c r="J438" s="132">
        <f t="shared" si="9"/>
        <v>0.1033501347</v>
      </c>
      <c r="K438" s="132"/>
    </row>
    <row r="439" hidden="1">
      <c r="A439" s="133" t="s">
        <v>3547</v>
      </c>
      <c r="B439" s="133" t="s">
        <v>3548</v>
      </c>
      <c r="C439" s="130">
        <v>689.0</v>
      </c>
      <c r="D439" s="131"/>
      <c r="E439" s="130">
        <v>460.28</v>
      </c>
      <c r="F439" s="132">
        <v>0.15</v>
      </c>
      <c r="G439" s="130">
        <f t="shared" si="1"/>
        <v>103.35</v>
      </c>
      <c r="H439" s="130">
        <v>69.30000000000001</v>
      </c>
      <c r="I439" s="130">
        <f t="shared" si="8"/>
        <v>56.07</v>
      </c>
      <c r="J439" s="132">
        <f t="shared" si="9"/>
        <v>0.1218171548</v>
      </c>
      <c r="K439" s="132"/>
    </row>
    <row r="440" hidden="1">
      <c r="A440" s="133" t="s">
        <v>3549</v>
      </c>
      <c r="B440" s="133" t="s">
        <v>3550</v>
      </c>
      <c r="C440" s="130">
        <v>689.0</v>
      </c>
      <c r="D440" s="131"/>
      <c r="E440" s="130">
        <v>460.28</v>
      </c>
      <c r="F440" s="132">
        <v>0.15</v>
      </c>
      <c r="G440" s="130">
        <f t="shared" si="1"/>
        <v>103.35</v>
      </c>
      <c r="H440" s="130">
        <v>69.30000000000001</v>
      </c>
      <c r="I440" s="130">
        <f t="shared" si="8"/>
        <v>56.07</v>
      </c>
      <c r="J440" s="132">
        <f t="shared" si="9"/>
        <v>0.1218171548</v>
      </c>
      <c r="K440" s="132"/>
    </row>
    <row r="441" hidden="1">
      <c r="A441" s="133" t="s">
        <v>3551</v>
      </c>
      <c r="B441" s="133" t="s">
        <v>3552</v>
      </c>
      <c r="C441" s="130">
        <v>7399.0</v>
      </c>
      <c r="D441" s="131"/>
      <c r="E441" s="130">
        <v>5940.0</v>
      </c>
      <c r="F441" s="132">
        <v>0.1</v>
      </c>
      <c r="G441" s="130">
        <f t="shared" si="1"/>
        <v>739.9</v>
      </c>
      <c r="H441" s="130">
        <v>113.30000000000001</v>
      </c>
      <c r="I441" s="130">
        <f t="shared" si="8"/>
        <v>605.8</v>
      </c>
      <c r="J441" s="132">
        <f t="shared" si="9"/>
        <v>0.101986532</v>
      </c>
      <c r="K441" s="132"/>
    </row>
    <row r="442" hidden="1">
      <c r="A442" s="133" t="s">
        <v>3553</v>
      </c>
      <c r="B442" s="133" t="s">
        <v>3554</v>
      </c>
      <c r="C442" s="130">
        <v>3999.0</v>
      </c>
      <c r="D442" s="131"/>
      <c r="E442" s="130">
        <v>3150.0</v>
      </c>
      <c r="F442" s="132">
        <v>0.1</v>
      </c>
      <c r="G442" s="130">
        <f t="shared" si="1"/>
        <v>399.9</v>
      </c>
      <c r="H442" s="130">
        <v>113.30000000000001</v>
      </c>
      <c r="I442" s="130">
        <f t="shared" si="8"/>
        <v>335.8</v>
      </c>
      <c r="J442" s="132">
        <f t="shared" si="9"/>
        <v>0.1066031746</v>
      </c>
      <c r="K442" s="132"/>
    </row>
    <row r="443" hidden="1">
      <c r="A443" s="133" t="s">
        <v>3555</v>
      </c>
      <c r="B443" s="133" t="s">
        <v>3556</v>
      </c>
      <c r="C443" s="130">
        <v>1199.0</v>
      </c>
      <c r="D443" s="131"/>
      <c r="E443" s="130">
        <v>813.75</v>
      </c>
      <c r="F443" s="132">
        <v>0.15</v>
      </c>
      <c r="G443" s="130">
        <f t="shared" si="1"/>
        <v>179.85</v>
      </c>
      <c r="H443" s="130">
        <v>72.60000000000001</v>
      </c>
      <c r="I443" s="130">
        <f t="shared" si="8"/>
        <v>132.8</v>
      </c>
      <c r="J443" s="132">
        <f t="shared" si="9"/>
        <v>0.1631950845</v>
      </c>
      <c r="K443" s="132"/>
    </row>
    <row r="444">
      <c r="A444" s="133" t="s">
        <v>3557</v>
      </c>
      <c r="B444" s="133" t="s">
        <v>3558</v>
      </c>
      <c r="C444" s="130">
        <v>17199.0</v>
      </c>
      <c r="D444" s="131"/>
      <c r="E444" s="130">
        <v>12787.21</v>
      </c>
      <c r="F444" s="132">
        <v>0.15</v>
      </c>
      <c r="G444" s="130">
        <f t="shared" si="1"/>
        <v>2579.85</v>
      </c>
      <c r="H444" s="130">
        <v>79.2</v>
      </c>
      <c r="I444" s="130">
        <f t="shared" si="8"/>
        <v>1752.74</v>
      </c>
      <c r="J444" s="132">
        <f t="shared" si="9"/>
        <v>0.1370697752</v>
      </c>
      <c r="K444" s="142" t="s">
        <v>4731</v>
      </c>
    </row>
    <row r="445">
      <c r="A445" s="147" t="s">
        <v>4737</v>
      </c>
      <c r="B445" s="133" t="s">
        <v>3560</v>
      </c>
      <c r="C445" s="134">
        <v>16149.0</v>
      </c>
      <c r="D445" s="131"/>
      <c r="E445" s="130">
        <v>13528.56</v>
      </c>
      <c r="F445" s="132">
        <v>0.15</v>
      </c>
      <c r="G445" s="130">
        <f t="shared" si="1"/>
        <v>2422.35</v>
      </c>
      <c r="H445" s="130">
        <v>79.2</v>
      </c>
      <c r="I445" s="130">
        <f t="shared" si="8"/>
        <v>118.89</v>
      </c>
      <c r="J445" s="132">
        <f t="shared" si="9"/>
        <v>0.008788075006</v>
      </c>
      <c r="K445" s="142" t="s">
        <v>4731</v>
      </c>
    </row>
    <row r="446" hidden="1">
      <c r="A446" s="133" t="s">
        <v>3561</v>
      </c>
      <c r="B446" s="133" t="s">
        <v>3562</v>
      </c>
      <c r="C446" s="130">
        <v>3999.0</v>
      </c>
      <c r="D446" s="131"/>
      <c r="E446" s="130">
        <v>3057.74</v>
      </c>
      <c r="F446" s="132">
        <v>0.15</v>
      </c>
      <c r="G446" s="130">
        <f t="shared" si="1"/>
        <v>599.85</v>
      </c>
      <c r="H446" s="130">
        <v>79.2</v>
      </c>
      <c r="I446" s="130">
        <f t="shared" si="8"/>
        <v>262.21</v>
      </c>
      <c r="J446" s="132">
        <f t="shared" si="9"/>
        <v>0.08575287631</v>
      </c>
      <c r="K446" s="132"/>
    </row>
    <row r="447" hidden="1">
      <c r="A447" s="133"/>
      <c r="B447" s="133" t="s">
        <v>3563</v>
      </c>
      <c r="C447" s="130">
        <v>15999.0</v>
      </c>
      <c r="D447" s="131"/>
      <c r="E447" s="130">
        <v>11675.29</v>
      </c>
      <c r="F447" s="132">
        <v>0.15</v>
      </c>
      <c r="G447" s="130">
        <f t="shared" si="1"/>
        <v>2399.85</v>
      </c>
      <c r="H447" s="130">
        <v>79.2</v>
      </c>
      <c r="I447" s="130">
        <f t="shared" si="8"/>
        <v>1844.66</v>
      </c>
      <c r="J447" s="132">
        <f t="shared" si="9"/>
        <v>0.157996932</v>
      </c>
      <c r="K447" s="132"/>
    </row>
    <row r="448">
      <c r="A448" s="133" t="s">
        <v>3564</v>
      </c>
      <c r="B448" s="133" t="s">
        <v>3565</v>
      </c>
      <c r="C448" s="130">
        <v>1169.0</v>
      </c>
      <c r="D448" s="131"/>
      <c r="E448" s="130">
        <v>827.35</v>
      </c>
      <c r="F448" s="132">
        <v>0.15</v>
      </c>
      <c r="G448" s="130">
        <f t="shared" si="1"/>
        <v>175.35</v>
      </c>
      <c r="H448" s="130">
        <v>79.2</v>
      </c>
      <c r="I448" s="130">
        <f t="shared" si="8"/>
        <v>87.1</v>
      </c>
      <c r="J448" s="132">
        <f t="shared" si="9"/>
        <v>0.1052758808</v>
      </c>
      <c r="K448" s="142" t="s">
        <v>4731</v>
      </c>
    </row>
    <row r="449" hidden="1">
      <c r="A449" s="133" t="s">
        <v>3566</v>
      </c>
      <c r="B449" s="133" t="s">
        <v>3567</v>
      </c>
      <c r="C449" s="130">
        <v>1699.0</v>
      </c>
      <c r="D449" s="131"/>
      <c r="E449" s="130">
        <v>1220.05</v>
      </c>
      <c r="F449" s="132">
        <v>0.15</v>
      </c>
      <c r="G449" s="130">
        <f t="shared" si="1"/>
        <v>254.85</v>
      </c>
      <c r="H449" s="130">
        <v>79.2</v>
      </c>
      <c r="I449" s="130">
        <f t="shared" si="8"/>
        <v>144.9</v>
      </c>
      <c r="J449" s="132">
        <f t="shared" si="9"/>
        <v>0.1187656244</v>
      </c>
      <c r="K449" s="132"/>
    </row>
    <row r="450" hidden="1">
      <c r="A450" s="133" t="s">
        <v>3568</v>
      </c>
      <c r="B450" s="133" t="s">
        <v>3569</v>
      </c>
      <c r="C450" s="130">
        <v>4499.0</v>
      </c>
      <c r="D450" s="131"/>
      <c r="E450" s="130">
        <v>3150.0</v>
      </c>
      <c r="F450" s="132">
        <v>0.15</v>
      </c>
      <c r="G450" s="130">
        <f t="shared" si="1"/>
        <v>674.85</v>
      </c>
      <c r="H450" s="130">
        <v>79.2</v>
      </c>
      <c r="I450" s="130">
        <f t="shared" si="8"/>
        <v>594.95</v>
      </c>
      <c r="J450" s="132">
        <f t="shared" si="9"/>
        <v>0.1888730159</v>
      </c>
      <c r="K450" s="132"/>
    </row>
    <row r="451">
      <c r="A451" s="133" t="s">
        <v>3570</v>
      </c>
      <c r="B451" s="133" t="s">
        <v>3571</v>
      </c>
      <c r="C451" s="130">
        <v>1249.0</v>
      </c>
      <c r="D451" s="131"/>
      <c r="E451" s="130">
        <v>915.73</v>
      </c>
      <c r="F451" s="132">
        <v>0.15</v>
      </c>
      <c r="G451" s="130">
        <f t="shared" si="1"/>
        <v>187.35</v>
      </c>
      <c r="H451" s="130">
        <v>79.2</v>
      </c>
      <c r="I451" s="130">
        <f t="shared" si="8"/>
        <v>66.72</v>
      </c>
      <c r="J451" s="132">
        <f t="shared" si="9"/>
        <v>0.07285990412</v>
      </c>
      <c r="K451" s="142" t="s">
        <v>4731</v>
      </c>
    </row>
    <row r="452" hidden="1">
      <c r="A452" s="133" t="s">
        <v>3572</v>
      </c>
      <c r="B452" s="133" t="s">
        <v>3573</v>
      </c>
      <c r="C452" s="130">
        <v>2799.0</v>
      </c>
      <c r="D452" s="131"/>
      <c r="E452" s="130">
        <v>2104.41</v>
      </c>
      <c r="F452" s="132">
        <v>0.1</v>
      </c>
      <c r="G452" s="130">
        <f t="shared" si="1"/>
        <v>279.9</v>
      </c>
      <c r="H452" s="130">
        <v>79.2</v>
      </c>
      <c r="I452" s="130">
        <f t="shared" si="8"/>
        <v>335.49</v>
      </c>
      <c r="J452" s="132">
        <f t="shared" si="9"/>
        <v>0.1594223559</v>
      </c>
      <c r="K452" s="132"/>
    </row>
    <row r="453" hidden="1">
      <c r="A453" s="133" t="s">
        <v>3574</v>
      </c>
      <c r="B453" s="133" t="s">
        <v>3575</v>
      </c>
      <c r="C453" s="130">
        <v>1899.0</v>
      </c>
      <c r="D453" s="131"/>
      <c r="E453" s="130">
        <v>1407.0</v>
      </c>
      <c r="F453" s="132">
        <v>0.1</v>
      </c>
      <c r="G453" s="130">
        <f t="shared" si="1"/>
        <v>189.9</v>
      </c>
      <c r="H453" s="130">
        <v>79.2</v>
      </c>
      <c r="I453" s="130">
        <f t="shared" si="8"/>
        <v>222.9</v>
      </c>
      <c r="J453" s="132">
        <f t="shared" si="9"/>
        <v>0.1584221748</v>
      </c>
      <c r="K453" s="132"/>
    </row>
    <row r="454">
      <c r="A454" s="147" t="s">
        <v>4738</v>
      </c>
      <c r="B454" s="133" t="s">
        <v>3577</v>
      </c>
      <c r="C454" s="134">
        <v>3185.0</v>
      </c>
      <c r="D454" s="131"/>
      <c r="E454" s="130">
        <v>2935.52</v>
      </c>
      <c r="F454" s="132">
        <v>0.1</v>
      </c>
      <c r="G454" s="130">
        <f t="shared" si="1"/>
        <v>318.5</v>
      </c>
      <c r="H454" s="130">
        <v>79.2</v>
      </c>
      <c r="I454" s="130">
        <f t="shared" si="8"/>
        <v>-148.22</v>
      </c>
      <c r="J454" s="132">
        <f t="shared" si="9"/>
        <v>-0.05049190603</v>
      </c>
      <c r="K454" s="142" t="s">
        <v>4731</v>
      </c>
    </row>
    <row r="455" hidden="1">
      <c r="A455" s="133" t="s">
        <v>3578</v>
      </c>
      <c r="B455" s="133" t="s">
        <v>3579</v>
      </c>
      <c r="C455" s="134">
        <v>739.0</v>
      </c>
      <c r="D455" s="131"/>
      <c r="E455" s="130">
        <v>510.01</v>
      </c>
      <c r="F455" s="135">
        <v>0.15</v>
      </c>
      <c r="G455" s="130">
        <f t="shared" si="1"/>
        <v>110.85</v>
      </c>
      <c r="H455" s="130">
        <v>67.10000000000001</v>
      </c>
      <c r="I455" s="130">
        <f t="shared" si="8"/>
        <v>51.04</v>
      </c>
      <c r="J455" s="132">
        <f t="shared" si="9"/>
        <v>0.1000764691</v>
      </c>
      <c r="K455" s="132"/>
    </row>
    <row r="456" hidden="1">
      <c r="A456" s="148" t="s">
        <v>3580</v>
      </c>
      <c r="B456" s="149" t="s">
        <v>3581</v>
      </c>
      <c r="C456" s="150">
        <v>6999.0</v>
      </c>
      <c r="D456" s="131"/>
      <c r="E456" s="150">
        <v>5711.13</v>
      </c>
      <c r="F456" s="132">
        <v>0.1</v>
      </c>
      <c r="G456" s="130">
        <f t="shared" si="1"/>
        <v>699.9</v>
      </c>
      <c r="H456" s="130">
        <v>83.52</v>
      </c>
      <c r="I456" s="130">
        <f t="shared" si="8"/>
        <v>504.45</v>
      </c>
      <c r="J456" s="132">
        <f t="shared" si="9"/>
        <v>0.08832752888</v>
      </c>
      <c r="K456" s="132"/>
    </row>
    <row r="457" hidden="1">
      <c r="A457" s="148" t="s">
        <v>3582</v>
      </c>
      <c r="B457" s="149" t="s">
        <v>3583</v>
      </c>
      <c r="C457" s="150">
        <v>6880.0</v>
      </c>
      <c r="D457" s="131"/>
      <c r="E457" s="150">
        <v>5711.13</v>
      </c>
      <c r="F457" s="132">
        <v>0.1</v>
      </c>
      <c r="G457" s="130">
        <f t="shared" si="1"/>
        <v>688</v>
      </c>
      <c r="H457" s="130">
        <v>83.52</v>
      </c>
      <c r="I457" s="130">
        <f t="shared" si="8"/>
        <v>397.35</v>
      </c>
      <c r="J457" s="132">
        <f t="shared" si="9"/>
        <v>0.06957467261</v>
      </c>
      <c r="K457" s="132"/>
    </row>
    <row r="458" hidden="1">
      <c r="A458" s="149" t="s">
        <v>3584</v>
      </c>
      <c r="B458" s="149" t="s">
        <v>3585</v>
      </c>
      <c r="C458" s="131"/>
      <c r="D458" s="131"/>
      <c r="E458" s="151">
        <v>2472.32</v>
      </c>
      <c r="F458" s="132">
        <v>0.1</v>
      </c>
      <c r="G458" s="130">
        <f t="shared" si="1"/>
        <v>0</v>
      </c>
      <c r="H458" s="130">
        <v>83.52</v>
      </c>
      <c r="I458" s="130">
        <f t="shared" si="8"/>
        <v>-2555.84</v>
      </c>
      <c r="J458" s="132">
        <f t="shared" si="9"/>
        <v>-1.033782035</v>
      </c>
      <c r="K458" s="132"/>
    </row>
    <row r="459" hidden="1">
      <c r="A459" s="149" t="s">
        <v>3586</v>
      </c>
      <c r="B459" s="149" t="s">
        <v>3587</v>
      </c>
      <c r="C459" s="150">
        <v>2999.0</v>
      </c>
      <c r="D459" s="131"/>
      <c r="E459" s="151">
        <v>2157.87</v>
      </c>
      <c r="F459" s="132">
        <v>0.15</v>
      </c>
      <c r="G459" s="130">
        <f t="shared" si="1"/>
        <v>449.85</v>
      </c>
      <c r="H459" s="130">
        <v>83.52</v>
      </c>
      <c r="I459" s="130">
        <f t="shared" si="8"/>
        <v>307.76</v>
      </c>
      <c r="J459" s="132">
        <f t="shared" si="9"/>
        <v>0.1426221227</v>
      </c>
      <c r="K459" s="132"/>
    </row>
    <row r="460" hidden="1">
      <c r="A460" s="149" t="s">
        <v>3588</v>
      </c>
      <c r="B460" s="149" t="s">
        <v>3589</v>
      </c>
      <c r="C460" s="131"/>
      <c r="D460" s="131"/>
      <c r="E460" s="150">
        <v>6900.0</v>
      </c>
      <c r="F460" s="132">
        <v>0.1</v>
      </c>
      <c r="G460" s="130">
        <f t="shared" si="1"/>
        <v>0</v>
      </c>
      <c r="H460" s="130">
        <v>83.52</v>
      </c>
      <c r="I460" s="130">
        <f t="shared" si="8"/>
        <v>-6983.52</v>
      </c>
      <c r="J460" s="132">
        <f t="shared" si="9"/>
        <v>-1.012104348</v>
      </c>
      <c r="K460" s="132"/>
    </row>
    <row r="461" hidden="1">
      <c r="A461" s="149" t="s">
        <v>3590</v>
      </c>
      <c r="B461" s="149" t="s">
        <v>3591</v>
      </c>
      <c r="C461" s="131"/>
      <c r="D461" s="131"/>
      <c r="E461" s="151">
        <v>727.46</v>
      </c>
      <c r="F461" s="132">
        <v>0.1</v>
      </c>
      <c r="G461" s="130">
        <f t="shared" si="1"/>
        <v>0</v>
      </c>
      <c r="H461" s="130">
        <v>83.52</v>
      </c>
      <c r="I461" s="130">
        <f t="shared" si="8"/>
        <v>-810.98</v>
      </c>
      <c r="J461" s="132">
        <f t="shared" si="9"/>
        <v>-1.114810436</v>
      </c>
      <c r="K461" s="132"/>
    </row>
    <row r="462" hidden="1">
      <c r="A462" s="149" t="s">
        <v>3592</v>
      </c>
      <c r="B462" s="149" t="s">
        <v>3593</v>
      </c>
      <c r="C462" s="152">
        <v>8199.0</v>
      </c>
      <c r="D462" s="131"/>
      <c r="E462" s="151">
        <v>6509.62</v>
      </c>
      <c r="F462" s="135">
        <v>0.11</v>
      </c>
      <c r="G462" s="130">
        <f t="shared" si="1"/>
        <v>901.89</v>
      </c>
      <c r="H462" s="130">
        <v>83.52</v>
      </c>
      <c r="I462" s="130">
        <f t="shared" si="8"/>
        <v>703.97</v>
      </c>
      <c r="J462" s="132">
        <f t="shared" si="9"/>
        <v>0.1081430252</v>
      </c>
      <c r="K462" s="132"/>
      <c r="L462" s="1" t="s">
        <v>4739</v>
      </c>
    </row>
    <row r="463" hidden="1">
      <c r="A463" s="149" t="s">
        <v>3594</v>
      </c>
      <c r="B463" s="149" t="s">
        <v>3595</v>
      </c>
      <c r="C463" s="153">
        <v>6799.0</v>
      </c>
      <c r="D463" s="131"/>
      <c r="E463" s="151">
        <v>5490.0</v>
      </c>
      <c r="F463" s="132">
        <v>0.1</v>
      </c>
      <c r="G463" s="130">
        <f t="shared" si="1"/>
        <v>679.9</v>
      </c>
      <c r="H463" s="130">
        <v>87.0</v>
      </c>
      <c r="I463" s="130">
        <f t="shared" si="8"/>
        <v>542.1</v>
      </c>
      <c r="J463" s="132">
        <f t="shared" si="9"/>
        <v>0.0987431694</v>
      </c>
      <c r="K463" s="132"/>
    </row>
    <row r="464">
      <c r="A464" s="133" t="s">
        <v>3596</v>
      </c>
      <c r="B464" s="133" t="s">
        <v>3597</v>
      </c>
      <c r="C464" s="130">
        <v>6699.0</v>
      </c>
      <c r="D464" s="131"/>
      <c r="E464" s="130">
        <v>5369.2</v>
      </c>
      <c r="F464" s="132">
        <v>0.1</v>
      </c>
      <c r="G464" s="130">
        <f t="shared" si="1"/>
        <v>669.9</v>
      </c>
      <c r="H464" s="130">
        <f>67*1.16</f>
        <v>77.72</v>
      </c>
      <c r="I464" s="130">
        <f t="shared" si="8"/>
        <v>582.18</v>
      </c>
      <c r="J464" s="132">
        <f t="shared" si="9"/>
        <v>0.1084295612</v>
      </c>
      <c r="K464" s="142" t="s">
        <v>4731</v>
      </c>
    </row>
    <row r="465">
      <c r="A465" s="133" t="s">
        <v>3598</v>
      </c>
      <c r="B465" s="133" t="s">
        <v>3599</v>
      </c>
      <c r="C465" s="134">
        <v>4671.0</v>
      </c>
      <c r="D465" s="131"/>
      <c r="E465" s="130">
        <v>3880.0</v>
      </c>
      <c r="F465" s="132">
        <v>0.1</v>
      </c>
      <c r="G465" s="130">
        <f t="shared" si="1"/>
        <v>467.1</v>
      </c>
      <c r="H465" s="130">
        <v>83.52</v>
      </c>
      <c r="I465" s="130">
        <f t="shared" si="8"/>
        <v>240.38</v>
      </c>
      <c r="J465" s="132">
        <f t="shared" si="9"/>
        <v>0.06195360825</v>
      </c>
      <c r="K465" s="142" t="s">
        <v>4731</v>
      </c>
    </row>
    <row r="466">
      <c r="A466" s="133" t="s">
        <v>3598</v>
      </c>
      <c r="B466" s="133" t="s">
        <v>3600</v>
      </c>
      <c r="C466" s="134">
        <v>4626.0</v>
      </c>
      <c r="D466" s="131"/>
      <c r="E466" s="134">
        <v>3791.0</v>
      </c>
      <c r="F466" s="132">
        <v>0.1</v>
      </c>
      <c r="G466" s="130">
        <f t="shared" si="1"/>
        <v>462.6</v>
      </c>
      <c r="H466" s="130">
        <v>83.52</v>
      </c>
      <c r="I466" s="130">
        <f t="shared" si="8"/>
        <v>288.88</v>
      </c>
      <c r="J466" s="132">
        <f t="shared" si="9"/>
        <v>0.07620152994</v>
      </c>
      <c r="K466" s="142" t="s">
        <v>4731</v>
      </c>
    </row>
    <row r="467">
      <c r="A467" s="133"/>
      <c r="B467" s="133" t="s">
        <v>3601</v>
      </c>
      <c r="C467" s="134">
        <v>3799.0</v>
      </c>
      <c r="D467" s="131"/>
      <c r="E467" s="130">
        <v>3150.0</v>
      </c>
      <c r="F467" s="132">
        <v>0.1</v>
      </c>
      <c r="G467" s="130">
        <f t="shared" si="1"/>
        <v>379.9</v>
      </c>
      <c r="H467" s="130">
        <v>83.52</v>
      </c>
      <c r="I467" s="130">
        <f t="shared" si="8"/>
        <v>185.58</v>
      </c>
      <c r="J467" s="132">
        <f t="shared" si="9"/>
        <v>0.05891428571</v>
      </c>
      <c r="K467" s="142" t="s">
        <v>4731</v>
      </c>
    </row>
    <row r="468">
      <c r="A468" s="133" t="s">
        <v>3602</v>
      </c>
      <c r="B468" s="133" t="s">
        <v>3603</v>
      </c>
      <c r="C468" s="130">
        <v>2679.0</v>
      </c>
      <c r="D468" s="131"/>
      <c r="E468" s="130">
        <v>2041.88</v>
      </c>
      <c r="F468" s="132">
        <v>0.15</v>
      </c>
      <c r="G468" s="130">
        <f t="shared" si="1"/>
        <v>401.85</v>
      </c>
      <c r="H468" s="130">
        <v>74.24</v>
      </c>
      <c r="I468" s="130">
        <f t="shared" si="8"/>
        <v>161.03</v>
      </c>
      <c r="J468" s="132">
        <f t="shared" si="9"/>
        <v>0.07886359629</v>
      </c>
      <c r="K468" s="142" t="s">
        <v>4731</v>
      </c>
      <c r="L468" s="1" t="s">
        <v>4740</v>
      </c>
      <c r="M468" s="1" t="s">
        <v>4735</v>
      </c>
      <c r="N468" s="1">
        <v>20.0</v>
      </c>
    </row>
    <row r="469" hidden="1">
      <c r="A469" s="133"/>
      <c r="B469" s="133"/>
      <c r="C469" s="130">
        <v>4999.0</v>
      </c>
      <c r="D469" s="131"/>
      <c r="E469" s="131"/>
      <c r="F469" s="138"/>
      <c r="G469" s="130">
        <f t="shared" si="1"/>
        <v>0</v>
      </c>
      <c r="H469" s="131"/>
      <c r="I469" s="131"/>
      <c r="J469" s="138"/>
      <c r="K469" s="132"/>
    </row>
    <row r="470" hidden="1">
      <c r="A470" s="133"/>
      <c r="B470" s="133"/>
      <c r="C470" s="130">
        <f>C469-C468</f>
        <v>2320</v>
      </c>
      <c r="D470" s="131"/>
      <c r="E470" s="131"/>
      <c r="F470" s="138"/>
      <c r="G470" s="130">
        <f t="shared" si="1"/>
        <v>0</v>
      </c>
      <c r="H470" s="131"/>
      <c r="I470" s="131"/>
      <c r="J470" s="138"/>
      <c r="K470" s="132"/>
    </row>
    <row r="471" hidden="1">
      <c r="A471" s="133" t="s">
        <v>3604</v>
      </c>
      <c r="B471" s="133" t="s">
        <v>3605</v>
      </c>
      <c r="C471" s="130">
        <v>1999.0</v>
      </c>
      <c r="D471" s="131"/>
      <c r="E471" s="130">
        <v>1454.39</v>
      </c>
      <c r="F471" s="132">
        <v>0.15</v>
      </c>
      <c r="G471" s="130">
        <f t="shared" si="1"/>
        <v>299.85</v>
      </c>
      <c r="H471" s="130">
        <v>82.36</v>
      </c>
      <c r="I471" s="130">
        <f t="shared" ref="I471:I510" si="10">C471-E471-G471-H471</f>
        <v>162.4</v>
      </c>
      <c r="J471" s="132">
        <f t="shared" ref="J471:J510" si="11">I471/E471</f>
        <v>0.1116619339</v>
      </c>
      <c r="K471" s="132"/>
    </row>
    <row r="472" hidden="1">
      <c r="A472" s="133" t="s">
        <v>3606</v>
      </c>
      <c r="B472" s="133"/>
      <c r="C472" s="130">
        <v>11999.0</v>
      </c>
      <c r="D472" s="131"/>
      <c r="E472" s="130">
        <v>9578.28</v>
      </c>
      <c r="F472" s="132">
        <v>0.1</v>
      </c>
      <c r="G472" s="130">
        <f t="shared" si="1"/>
        <v>1199.9</v>
      </c>
      <c r="H472" s="130">
        <v>82.36</v>
      </c>
      <c r="I472" s="130">
        <f t="shared" si="10"/>
        <v>1138.46</v>
      </c>
      <c r="J472" s="132">
        <f t="shared" si="11"/>
        <v>0.1188585007</v>
      </c>
      <c r="K472" s="132"/>
    </row>
    <row r="473" hidden="1">
      <c r="A473" s="133" t="s">
        <v>3607</v>
      </c>
      <c r="B473" s="133"/>
      <c r="C473" s="130">
        <v>11999.0</v>
      </c>
      <c r="D473" s="131"/>
      <c r="E473" s="130">
        <v>9578.28</v>
      </c>
      <c r="F473" s="132">
        <v>0.1</v>
      </c>
      <c r="G473" s="130">
        <f t="shared" si="1"/>
        <v>1199.9</v>
      </c>
      <c r="H473" s="130">
        <v>82.36</v>
      </c>
      <c r="I473" s="130">
        <f t="shared" si="10"/>
        <v>1138.46</v>
      </c>
      <c r="J473" s="132">
        <f t="shared" si="11"/>
        <v>0.1188585007</v>
      </c>
      <c r="K473" s="132"/>
    </row>
    <row r="474" hidden="1">
      <c r="A474" s="133" t="s">
        <v>1210</v>
      </c>
      <c r="B474" s="133" t="s">
        <v>3611</v>
      </c>
      <c r="C474" s="130">
        <v>1099.0</v>
      </c>
      <c r="D474" s="131"/>
      <c r="E474" s="130">
        <v>794.74</v>
      </c>
      <c r="F474" s="132">
        <v>0.15</v>
      </c>
      <c r="G474" s="130">
        <f t="shared" si="1"/>
        <v>164.85</v>
      </c>
      <c r="H474" s="130">
        <v>70.75999999999999</v>
      </c>
      <c r="I474" s="130">
        <f t="shared" si="10"/>
        <v>68.65</v>
      </c>
      <c r="J474" s="132">
        <f t="shared" si="11"/>
        <v>0.08638045147</v>
      </c>
      <c r="K474" s="132"/>
    </row>
    <row r="475" hidden="1">
      <c r="A475" s="133" t="s">
        <v>3608</v>
      </c>
      <c r="B475" s="133"/>
      <c r="C475" s="130">
        <v>11999.0</v>
      </c>
      <c r="D475" s="131"/>
      <c r="E475" s="130">
        <v>9578.28</v>
      </c>
      <c r="F475" s="132">
        <v>0.1</v>
      </c>
      <c r="G475" s="130">
        <f t="shared" si="1"/>
        <v>1199.9</v>
      </c>
      <c r="H475" s="130">
        <v>82.36</v>
      </c>
      <c r="I475" s="130">
        <f t="shared" si="10"/>
        <v>1138.46</v>
      </c>
      <c r="J475" s="132">
        <f t="shared" si="11"/>
        <v>0.1188585007</v>
      </c>
      <c r="K475" s="132"/>
    </row>
    <row r="476">
      <c r="A476" s="133" t="s">
        <v>3609</v>
      </c>
      <c r="B476" s="133" t="s">
        <v>3610</v>
      </c>
      <c r="C476" s="130">
        <v>1299.0</v>
      </c>
      <c r="D476" s="131"/>
      <c r="E476" s="130">
        <v>977.41</v>
      </c>
      <c r="F476" s="132">
        <v>0.1</v>
      </c>
      <c r="G476" s="130">
        <f t="shared" si="1"/>
        <v>129.9</v>
      </c>
      <c r="H476" s="130">
        <v>70.75999999999999</v>
      </c>
      <c r="I476" s="130">
        <f t="shared" si="10"/>
        <v>120.93</v>
      </c>
      <c r="J476" s="132">
        <f t="shared" si="11"/>
        <v>0.1237249465</v>
      </c>
      <c r="K476" s="142" t="s">
        <v>4731</v>
      </c>
    </row>
    <row r="477">
      <c r="A477" s="133" t="s">
        <v>3612</v>
      </c>
      <c r="B477" s="133" t="s">
        <v>3613</v>
      </c>
      <c r="C477" s="134">
        <v>4399.0</v>
      </c>
      <c r="D477" s="131"/>
      <c r="E477" s="130">
        <v>3880.0</v>
      </c>
      <c r="F477" s="132">
        <v>0.1</v>
      </c>
      <c r="G477" s="130">
        <f t="shared" si="1"/>
        <v>439.9</v>
      </c>
      <c r="H477" s="130">
        <v>70.75999999999999</v>
      </c>
      <c r="I477" s="130">
        <f t="shared" si="10"/>
        <v>8.34</v>
      </c>
      <c r="J477" s="132">
        <f t="shared" si="11"/>
        <v>0.002149484536</v>
      </c>
      <c r="K477" s="142" t="s">
        <v>4731</v>
      </c>
    </row>
    <row r="478" hidden="1">
      <c r="A478" s="133" t="s">
        <v>3612</v>
      </c>
      <c r="B478" s="133" t="s">
        <v>3615</v>
      </c>
      <c r="C478" s="134">
        <v>4499.0</v>
      </c>
      <c r="D478" s="131"/>
      <c r="E478" s="134">
        <v>3489.0</v>
      </c>
      <c r="F478" s="132">
        <v>0.1</v>
      </c>
      <c r="G478" s="130">
        <f t="shared" si="1"/>
        <v>449.9</v>
      </c>
      <c r="H478" s="130">
        <v>70.75999999999999</v>
      </c>
      <c r="I478" s="130">
        <f t="shared" si="10"/>
        <v>489.34</v>
      </c>
      <c r="J478" s="132">
        <f t="shared" si="11"/>
        <v>0.1402522213</v>
      </c>
      <c r="K478" s="132"/>
    </row>
    <row r="479" hidden="1">
      <c r="A479" s="133" t="s">
        <v>3616</v>
      </c>
      <c r="B479" s="133" t="s">
        <v>3617</v>
      </c>
      <c r="C479" s="134">
        <v>3229.0</v>
      </c>
      <c r="D479" s="131"/>
      <c r="E479" s="130">
        <v>2593.95</v>
      </c>
      <c r="F479" s="132">
        <v>0.1</v>
      </c>
      <c r="G479" s="130">
        <f t="shared" si="1"/>
        <v>322.9</v>
      </c>
      <c r="H479" s="130">
        <v>70.75999999999999</v>
      </c>
      <c r="I479" s="130">
        <f t="shared" si="10"/>
        <v>241.39</v>
      </c>
      <c r="J479" s="132">
        <f t="shared" si="11"/>
        <v>0.09305884847</v>
      </c>
      <c r="K479" s="132"/>
    </row>
    <row r="480" hidden="1">
      <c r="A480" s="133" t="s">
        <v>3618</v>
      </c>
      <c r="B480" s="133" t="s">
        <v>3619</v>
      </c>
      <c r="C480" s="130">
        <v>5689.0</v>
      </c>
      <c r="D480" s="131"/>
      <c r="E480" s="130">
        <v>4641.54</v>
      </c>
      <c r="F480" s="132">
        <v>0.1</v>
      </c>
      <c r="G480" s="130">
        <f t="shared" si="1"/>
        <v>568.9</v>
      </c>
      <c r="H480" s="130">
        <v>70.75999999999999</v>
      </c>
      <c r="I480" s="130">
        <f t="shared" si="10"/>
        <v>407.8</v>
      </c>
      <c r="J480" s="132">
        <f t="shared" si="11"/>
        <v>0.08785877101</v>
      </c>
      <c r="K480" s="132"/>
    </row>
    <row r="481">
      <c r="A481" s="133" t="s">
        <v>3620</v>
      </c>
      <c r="B481" s="133" t="s">
        <v>3621</v>
      </c>
      <c r="C481" s="134">
        <v>3799.0</v>
      </c>
      <c r="D481" s="131"/>
      <c r="E481" s="134">
        <v>3022.0</v>
      </c>
      <c r="F481" s="132">
        <v>0.1</v>
      </c>
      <c r="G481" s="130">
        <f t="shared" si="1"/>
        <v>379.9</v>
      </c>
      <c r="H481" s="130">
        <v>70.75999999999999</v>
      </c>
      <c r="I481" s="130">
        <f t="shared" si="10"/>
        <v>326.34</v>
      </c>
      <c r="J481" s="132">
        <f t="shared" si="11"/>
        <v>0.1079880874</v>
      </c>
      <c r="K481" s="142" t="s">
        <v>4731</v>
      </c>
    </row>
    <row r="482" hidden="1">
      <c r="A482" s="133" t="s">
        <v>3622</v>
      </c>
      <c r="B482" s="133" t="s">
        <v>3623</v>
      </c>
      <c r="C482" s="130">
        <v>499.0</v>
      </c>
      <c r="D482" s="131"/>
      <c r="E482" s="130">
        <v>279.85</v>
      </c>
      <c r="F482" s="132">
        <v>0.15</v>
      </c>
      <c r="G482" s="130">
        <f t="shared" si="1"/>
        <v>74.85</v>
      </c>
      <c r="H482" s="130">
        <v>70.75999999999999</v>
      </c>
      <c r="I482" s="130">
        <f t="shared" si="10"/>
        <v>73.54</v>
      </c>
      <c r="J482" s="132">
        <f t="shared" si="11"/>
        <v>0.2627836341</v>
      </c>
      <c r="K482" s="132"/>
    </row>
    <row r="483" hidden="1">
      <c r="A483" s="133" t="s">
        <v>3625</v>
      </c>
      <c r="B483" s="133" t="s">
        <v>3626</v>
      </c>
      <c r="C483" s="130">
        <v>799.0</v>
      </c>
      <c r="D483" s="131"/>
      <c r="E483" s="130">
        <v>547.88</v>
      </c>
      <c r="F483" s="132">
        <v>0.15</v>
      </c>
      <c r="G483" s="130">
        <f t="shared" si="1"/>
        <v>119.85</v>
      </c>
      <c r="H483" s="130">
        <v>70.75999999999999</v>
      </c>
      <c r="I483" s="130">
        <f t="shared" si="10"/>
        <v>60.51</v>
      </c>
      <c r="J483" s="132">
        <f t="shared" si="11"/>
        <v>0.1104438928</v>
      </c>
      <c r="K483" s="132"/>
    </row>
    <row r="484" hidden="1">
      <c r="A484" s="133" t="s">
        <v>3627</v>
      </c>
      <c r="B484" s="133" t="s">
        <v>3628</v>
      </c>
      <c r="C484" s="130">
        <v>7800.0</v>
      </c>
      <c r="D484" s="131"/>
      <c r="E484" s="130">
        <v>6192.12</v>
      </c>
      <c r="F484" s="132">
        <v>0.1</v>
      </c>
      <c r="G484" s="130">
        <f t="shared" si="1"/>
        <v>780</v>
      </c>
      <c r="H484" s="130">
        <v>70.75999999999999</v>
      </c>
      <c r="I484" s="130">
        <f t="shared" si="10"/>
        <v>757.12</v>
      </c>
      <c r="J484" s="132">
        <f t="shared" si="11"/>
        <v>0.1222715322</v>
      </c>
      <c r="K484" s="132"/>
    </row>
    <row r="485" hidden="1">
      <c r="A485" s="133" t="s">
        <v>3629</v>
      </c>
      <c r="B485" s="133" t="s">
        <v>4741</v>
      </c>
      <c r="C485" s="130">
        <v>7899.0</v>
      </c>
      <c r="D485" s="131"/>
      <c r="E485" s="130">
        <v>6192.12</v>
      </c>
      <c r="F485" s="132">
        <v>0.1</v>
      </c>
      <c r="G485" s="130">
        <f t="shared" si="1"/>
        <v>789.9</v>
      </c>
      <c r="H485" s="130">
        <v>80.03999999999999</v>
      </c>
      <c r="I485" s="130">
        <f t="shared" si="10"/>
        <v>836.94</v>
      </c>
      <c r="J485" s="132">
        <f t="shared" si="11"/>
        <v>0.1351621093</v>
      </c>
      <c r="K485" s="132"/>
    </row>
    <row r="486" hidden="1">
      <c r="A486" s="133" t="s">
        <v>3631</v>
      </c>
      <c r="B486" s="133" t="s">
        <v>3632</v>
      </c>
      <c r="C486" s="130">
        <v>13299.0</v>
      </c>
      <c r="D486" s="131"/>
      <c r="E486" s="130">
        <v>9792.17</v>
      </c>
      <c r="F486" s="132">
        <v>0.15</v>
      </c>
      <c r="G486" s="130">
        <f t="shared" si="1"/>
        <v>1994.85</v>
      </c>
      <c r="H486" s="130">
        <v>509.23999999999995</v>
      </c>
      <c r="I486" s="130">
        <f t="shared" si="10"/>
        <v>1002.74</v>
      </c>
      <c r="J486" s="132">
        <f t="shared" si="11"/>
        <v>0.1024022255</v>
      </c>
      <c r="K486" s="132"/>
    </row>
    <row r="487" hidden="1">
      <c r="A487" s="133" t="s">
        <v>3633</v>
      </c>
      <c r="B487" s="133" t="s">
        <v>3634</v>
      </c>
      <c r="C487" s="130">
        <v>259.0</v>
      </c>
      <c r="D487" s="131"/>
      <c r="E487" s="130">
        <v>75.0</v>
      </c>
      <c r="F487" s="132">
        <v>0.15</v>
      </c>
      <c r="G487" s="130">
        <f t="shared" si="1"/>
        <v>38.85</v>
      </c>
      <c r="H487" s="130">
        <v>70.75999999999999</v>
      </c>
      <c r="I487" s="130">
        <f t="shared" si="10"/>
        <v>74.39</v>
      </c>
      <c r="J487" s="132">
        <f t="shared" si="11"/>
        <v>0.9918666667</v>
      </c>
      <c r="K487" s="132"/>
    </row>
    <row r="488" hidden="1">
      <c r="A488" s="133" t="s">
        <v>3635</v>
      </c>
      <c r="B488" s="133" t="s">
        <v>3636</v>
      </c>
      <c r="C488" s="130">
        <v>2999.0</v>
      </c>
      <c r="D488" s="131"/>
      <c r="E488" s="130">
        <v>2140.0</v>
      </c>
      <c r="F488" s="132">
        <v>0.15</v>
      </c>
      <c r="G488" s="130">
        <f t="shared" si="1"/>
        <v>449.85</v>
      </c>
      <c r="H488" s="130">
        <v>139.2</v>
      </c>
      <c r="I488" s="130">
        <f t="shared" si="10"/>
        <v>269.95</v>
      </c>
      <c r="J488" s="132">
        <f t="shared" si="11"/>
        <v>0.1261448598</v>
      </c>
      <c r="K488" s="132"/>
    </row>
    <row r="489">
      <c r="A489" s="133" t="s">
        <v>3637</v>
      </c>
      <c r="B489" s="133" t="s">
        <v>3638</v>
      </c>
      <c r="C489" s="134">
        <v>1079.0</v>
      </c>
      <c r="D489" s="131"/>
      <c r="E489" s="130">
        <v>765.78</v>
      </c>
      <c r="F489" s="132">
        <v>0.15</v>
      </c>
      <c r="G489" s="130">
        <f t="shared" si="1"/>
        <v>161.85</v>
      </c>
      <c r="H489" s="130">
        <v>73.08</v>
      </c>
      <c r="I489" s="130">
        <f t="shared" si="10"/>
        <v>78.29</v>
      </c>
      <c r="J489" s="132">
        <f t="shared" si="11"/>
        <v>0.102235629</v>
      </c>
      <c r="K489" s="142" t="s">
        <v>4731</v>
      </c>
      <c r="L489" s="1" t="s">
        <v>4733</v>
      </c>
    </row>
    <row r="490">
      <c r="A490" s="133" t="s">
        <v>3639</v>
      </c>
      <c r="B490" s="133" t="s">
        <v>3640</v>
      </c>
      <c r="C490" s="130">
        <v>1079.0</v>
      </c>
      <c r="D490" s="131"/>
      <c r="E490" s="130">
        <v>765.78</v>
      </c>
      <c r="F490" s="132">
        <v>0.15</v>
      </c>
      <c r="G490" s="130">
        <f t="shared" si="1"/>
        <v>161.85</v>
      </c>
      <c r="H490" s="130">
        <v>73.08</v>
      </c>
      <c r="I490" s="130">
        <f t="shared" si="10"/>
        <v>78.29</v>
      </c>
      <c r="J490" s="132">
        <f t="shared" si="11"/>
        <v>0.102235629</v>
      </c>
      <c r="K490" s="142" t="s">
        <v>4731</v>
      </c>
      <c r="L490" s="1" t="s">
        <v>4733</v>
      </c>
      <c r="M490" s="1" t="s">
        <v>4735</v>
      </c>
    </row>
    <row r="491" hidden="1">
      <c r="A491" s="133"/>
      <c r="B491" s="133" t="s">
        <v>3641</v>
      </c>
      <c r="C491" s="134">
        <v>2350.0</v>
      </c>
      <c r="D491" s="131"/>
      <c r="E491" s="134">
        <v>1722.0</v>
      </c>
      <c r="F491" s="132">
        <v>0.15</v>
      </c>
      <c r="G491" s="130">
        <f t="shared" si="1"/>
        <v>352.5</v>
      </c>
      <c r="H491" s="130">
        <v>73.08</v>
      </c>
      <c r="I491" s="130">
        <f t="shared" si="10"/>
        <v>202.42</v>
      </c>
      <c r="J491" s="132">
        <f t="shared" si="11"/>
        <v>0.1175493612</v>
      </c>
      <c r="K491" s="132"/>
    </row>
    <row r="492">
      <c r="A492" s="133" t="s">
        <v>3642</v>
      </c>
      <c r="B492" s="133" t="s">
        <v>3643</v>
      </c>
      <c r="C492" s="134">
        <v>5781.0</v>
      </c>
      <c r="D492" s="131"/>
      <c r="E492" s="130">
        <v>5750.0</v>
      </c>
      <c r="F492" s="132">
        <v>0.1</v>
      </c>
      <c r="G492" s="130">
        <f t="shared" si="1"/>
        <v>578.1</v>
      </c>
      <c r="H492" s="130">
        <v>78.88</v>
      </c>
      <c r="I492" s="130">
        <f t="shared" si="10"/>
        <v>-625.98</v>
      </c>
      <c r="J492" s="132">
        <f t="shared" si="11"/>
        <v>-0.108866087</v>
      </c>
      <c r="K492" s="142" t="s">
        <v>4731</v>
      </c>
    </row>
    <row r="493" hidden="1">
      <c r="A493" s="133" t="s">
        <v>3644</v>
      </c>
      <c r="B493" s="133" t="s">
        <v>3645</v>
      </c>
      <c r="C493" s="130">
        <v>1399.0</v>
      </c>
      <c r="D493" s="131"/>
      <c r="E493" s="130">
        <v>849.57</v>
      </c>
      <c r="F493" s="132">
        <v>0.1</v>
      </c>
      <c r="G493" s="130">
        <f t="shared" si="1"/>
        <v>139.9</v>
      </c>
      <c r="H493" s="130">
        <v>70.75999999999999</v>
      </c>
      <c r="I493" s="130">
        <f t="shared" si="10"/>
        <v>338.77</v>
      </c>
      <c r="J493" s="132">
        <f t="shared" si="11"/>
        <v>0.3987546641</v>
      </c>
      <c r="K493" s="132"/>
    </row>
    <row r="494" hidden="1">
      <c r="A494" s="133" t="s">
        <v>3646</v>
      </c>
      <c r="B494" s="133" t="s">
        <v>3647</v>
      </c>
      <c r="C494" s="131"/>
      <c r="D494" s="131"/>
      <c r="E494" s="130">
        <v>510.01</v>
      </c>
      <c r="F494" s="132">
        <v>0.15</v>
      </c>
      <c r="G494" s="130">
        <f t="shared" si="1"/>
        <v>0</v>
      </c>
      <c r="H494" s="130">
        <v>70.75999999999999</v>
      </c>
      <c r="I494" s="130">
        <f t="shared" si="10"/>
        <v>-580.77</v>
      </c>
      <c r="J494" s="132">
        <f t="shared" si="11"/>
        <v>-1.138742378</v>
      </c>
      <c r="K494" s="132"/>
    </row>
    <row r="495" hidden="1">
      <c r="A495" s="133" t="s">
        <v>3648</v>
      </c>
      <c r="B495" s="133" t="s">
        <v>3649</v>
      </c>
      <c r="C495" s="130">
        <v>748.0</v>
      </c>
      <c r="D495" s="131"/>
      <c r="E495" s="130">
        <v>510.01</v>
      </c>
      <c r="F495" s="132">
        <v>0.15</v>
      </c>
      <c r="G495" s="130">
        <f t="shared" si="1"/>
        <v>112.2</v>
      </c>
      <c r="H495" s="130">
        <v>70.75999999999999</v>
      </c>
      <c r="I495" s="130">
        <f t="shared" si="10"/>
        <v>55.03</v>
      </c>
      <c r="J495" s="132">
        <f t="shared" si="11"/>
        <v>0.1078998451</v>
      </c>
      <c r="K495" s="132"/>
    </row>
    <row r="496" hidden="1">
      <c r="A496" s="133" t="s">
        <v>866</v>
      </c>
      <c r="B496" s="133" t="s">
        <v>3650</v>
      </c>
      <c r="C496" s="130">
        <v>379.0</v>
      </c>
      <c r="D496" s="131"/>
      <c r="E496" s="130">
        <v>214.55</v>
      </c>
      <c r="F496" s="132">
        <v>0.15</v>
      </c>
      <c r="G496" s="130">
        <f t="shared" si="1"/>
        <v>56.85</v>
      </c>
      <c r="H496" s="130">
        <v>70.75999999999999</v>
      </c>
      <c r="I496" s="130">
        <f t="shared" si="10"/>
        <v>36.84</v>
      </c>
      <c r="J496" s="132">
        <f t="shared" si="11"/>
        <v>0.1717082265</v>
      </c>
      <c r="K496" s="132"/>
    </row>
    <row r="497" hidden="1">
      <c r="A497" s="133" t="s">
        <v>3651</v>
      </c>
      <c r="B497" s="133" t="s">
        <v>3652</v>
      </c>
      <c r="C497" s="130">
        <v>2499.0</v>
      </c>
      <c r="D497" s="131"/>
      <c r="E497" s="130">
        <v>1867.61</v>
      </c>
      <c r="F497" s="132">
        <v>0.15</v>
      </c>
      <c r="G497" s="130">
        <f t="shared" si="1"/>
        <v>374.85</v>
      </c>
      <c r="H497" s="130">
        <v>70.75999999999999</v>
      </c>
      <c r="I497" s="130">
        <f t="shared" si="10"/>
        <v>185.78</v>
      </c>
      <c r="J497" s="132">
        <f t="shared" si="11"/>
        <v>0.09947472973</v>
      </c>
      <c r="K497" s="132"/>
    </row>
    <row r="498" hidden="1">
      <c r="A498" s="133" t="s">
        <v>3653</v>
      </c>
      <c r="B498" s="133" t="s">
        <v>3654</v>
      </c>
      <c r="C498" s="130">
        <v>1149.0</v>
      </c>
      <c r="D498" s="131"/>
      <c r="E498" s="130">
        <v>765.78</v>
      </c>
      <c r="F498" s="132">
        <v>0.15</v>
      </c>
      <c r="G498" s="130">
        <f t="shared" si="1"/>
        <v>172.35</v>
      </c>
      <c r="H498" s="130">
        <v>70.75999999999999</v>
      </c>
      <c r="I498" s="130">
        <f t="shared" si="10"/>
        <v>140.11</v>
      </c>
      <c r="J498" s="132">
        <f t="shared" si="11"/>
        <v>0.1829637755</v>
      </c>
      <c r="K498" s="132"/>
    </row>
    <row r="499" hidden="1">
      <c r="A499" s="133" t="s">
        <v>3655</v>
      </c>
      <c r="B499" s="133" t="s">
        <v>3656</v>
      </c>
      <c r="C499" s="134">
        <v>779.0</v>
      </c>
      <c r="D499" s="131"/>
      <c r="E499" s="130">
        <v>516.03</v>
      </c>
      <c r="F499" s="132">
        <v>0.15</v>
      </c>
      <c r="G499" s="130">
        <f t="shared" si="1"/>
        <v>116.85</v>
      </c>
      <c r="H499" s="130">
        <v>70.75999999999999</v>
      </c>
      <c r="I499" s="130">
        <f t="shared" si="10"/>
        <v>75.36</v>
      </c>
      <c r="J499" s="132">
        <f t="shared" si="11"/>
        <v>0.146038021</v>
      </c>
      <c r="K499" s="132"/>
    </row>
    <row r="500" hidden="1">
      <c r="A500" s="133" t="s">
        <v>3657</v>
      </c>
      <c r="B500" s="133" t="s">
        <v>3658</v>
      </c>
      <c r="C500" s="130">
        <v>1176.0</v>
      </c>
      <c r="D500" s="131"/>
      <c r="E500" s="130">
        <v>765.78</v>
      </c>
      <c r="F500" s="132">
        <v>0.15</v>
      </c>
      <c r="G500" s="130">
        <f t="shared" si="1"/>
        <v>176.4</v>
      </c>
      <c r="H500" s="130">
        <v>70.75999999999999</v>
      </c>
      <c r="I500" s="130">
        <f t="shared" si="10"/>
        <v>163.06</v>
      </c>
      <c r="J500" s="132">
        <f t="shared" si="11"/>
        <v>0.2129332184</v>
      </c>
      <c r="K500" s="132"/>
    </row>
    <row r="501" hidden="1">
      <c r="A501" s="133" t="s">
        <v>3659</v>
      </c>
      <c r="B501" s="133" t="s">
        <v>3660</v>
      </c>
      <c r="C501" s="130">
        <v>2053.0</v>
      </c>
      <c r="D501" s="131"/>
      <c r="E501" s="130">
        <v>1668.29</v>
      </c>
      <c r="F501" s="132">
        <v>0.1</v>
      </c>
      <c r="G501" s="130">
        <f t="shared" si="1"/>
        <v>205.3</v>
      </c>
      <c r="H501" s="130">
        <v>70.75999999999999</v>
      </c>
      <c r="I501" s="130">
        <f t="shared" si="10"/>
        <v>108.65</v>
      </c>
      <c r="J501" s="132">
        <f t="shared" si="11"/>
        <v>0.06512656672</v>
      </c>
      <c r="K501" s="132"/>
    </row>
    <row r="502">
      <c r="A502" s="133" t="s">
        <v>3661</v>
      </c>
      <c r="B502" s="133" t="s">
        <v>3662</v>
      </c>
      <c r="C502" s="134">
        <v>2671.0</v>
      </c>
      <c r="D502" s="131"/>
      <c r="E502" s="130">
        <v>2411.68</v>
      </c>
      <c r="F502" s="132">
        <v>0.1</v>
      </c>
      <c r="G502" s="130">
        <f t="shared" si="1"/>
        <v>267.1</v>
      </c>
      <c r="H502" s="130">
        <v>70.75999999999999</v>
      </c>
      <c r="I502" s="130">
        <f t="shared" si="10"/>
        <v>-78.54</v>
      </c>
      <c r="J502" s="132">
        <f t="shared" si="11"/>
        <v>-0.03256650965</v>
      </c>
      <c r="K502" s="142" t="s">
        <v>4731</v>
      </c>
    </row>
    <row r="503">
      <c r="A503" s="133" t="s">
        <v>3663</v>
      </c>
      <c r="B503" s="133" t="s">
        <v>3664</v>
      </c>
      <c r="C503" s="134">
        <v>6999.0</v>
      </c>
      <c r="D503" s="131"/>
      <c r="E503" s="130">
        <v>5768.38</v>
      </c>
      <c r="F503" s="132">
        <v>0.1</v>
      </c>
      <c r="G503" s="130">
        <f t="shared" si="1"/>
        <v>699.9</v>
      </c>
      <c r="H503" s="130">
        <v>78.88</v>
      </c>
      <c r="I503" s="130">
        <f t="shared" si="10"/>
        <v>451.84</v>
      </c>
      <c r="J503" s="132">
        <f t="shared" si="11"/>
        <v>0.07833048447</v>
      </c>
      <c r="K503" s="142" t="s">
        <v>4731</v>
      </c>
    </row>
    <row r="504" hidden="1">
      <c r="A504" s="133" t="s">
        <v>3665</v>
      </c>
      <c r="B504" s="133" t="s">
        <v>3666</v>
      </c>
      <c r="C504" s="130">
        <v>749.0</v>
      </c>
      <c r="D504" s="131"/>
      <c r="E504" s="130">
        <v>464.03</v>
      </c>
      <c r="F504" s="132">
        <v>0.15</v>
      </c>
      <c r="G504" s="130">
        <f t="shared" si="1"/>
        <v>112.35</v>
      </c>
      <c r="H504" s="130">
        <v>78.88</v>
      </c>
      <c r="I504" s="130">
        <f t="shared" si="10"/>
        <v>93.74</v>
      </c>
      <c r="J504" s="132">
        <f t="shared" si="11"/>
        <v>0.2020128009</v>
      </c>
      <c r="K504" s="132"/>
    </row>
    <row r="505" hidden="1">
      <c r="A505" s="133" t="s">
        <v>3665</v>
      </c>
      <c r="B505" s="133" t="s">
        <v>3668</v>
      </c>
      <c r="C505" s="130">
        <v>799.0</v>
      </c>
      <c r="D505" s="131"/>
      <c r="E505" s="130">
        <v>464.03</v>
      </c>
      <c r="F505" s="132">
        <v>0.15</v>
      </c>
      <c r="G505" s="130">
        <f t="shared" si="1"/>
        <v>119.85</v>
      </c>
      <c r="H505" s="130">
        <v>78.88</v>
      </c>
      <c r="I505" s="130">
        <f t="shared" si="10"/>
        <v>136.24</v>
      </c>
      <c r="J505" s="132">
        <f t="shared" si="11"/>
        <v>0.2936017068</v>
      </c>
      <c r="K505" s="132"/>
    </row>
    <row r="506">
      <c r="A506" s="147" t="s">
        <v>3669</v>
      </c>
      <c r="B506" s="147" t="s">
        <v>3670</v>
      </c>
      <c r="C506" s="154">
        <v>4099.0</v>
      </c>
      <c r="D506" s="131"/>
      <c r="E506" s="154">
        <v>3489.0</v>
      </c>
      <c r="F506" s="135">
        <v>0.1</v>
      </c>
      <c r="G506" s="130">
        <f t="shared" si="1"/>
        <v>409.9</v>
      </c>
      <c r="H506" s="130">
        <f>67*1.16</f>
        <v>77.72</v>
      </c>
      <c r="I506" s="130">
        <f t="shared" si="10"/>
        <v>122.38</v>
      </c>
      <c r="J506" s="132">
        <f t="shared" si="11"/>
        <v>0.035075953</v>
      </c>
      <c r="K506" s="142" t="s">
        <v>4731</v>
      </c>
    </row>
    <row r="507" hidden="1">
      <c r="A507" s="147" t="s">
        <v>3671</v>
      </c>
      <c r="B507" s="147" t="s">
        <v>3672</v>
      </c>
      <c r="C507" s="154">
        <v>1499.0</v>
      </c>
      <c r="D507" s="131"/>
      <c r="E507" s="154">
        <v>1018.0</v>
      </c>
      <c r="F507" s="135">
        <v>0.15</v>
      </c>
      <c r="G507" s="130">
        <f t="shared" si="1"/>
        <v>224.85</v>
      </c>
      <c r="H507" s="130">
        <v>78.88</v>
      </c>
      <c r="I507" s="130">
        <f t="shared" si="10"/>
        <v>177.27</v>
      </c>
      <c r="J507" s="132">
        <f t="shared" si="11"/>
        <v>0.1741355599</v>
      </c>
      <c r="K507" s="132"/>
    </row>
    <row r="508" hidden="1">
      <c r="A508" s="147" t="s">
        <v>3673</v>
      </c>
      <c r="B508" s="147" t="s">
        <v>3674</v>
      </c>
      <c r="C508" s="154">
        <v>7199.0</v>
      </c>
      <c r="D508" s="131"/>
      <c r="E508" s="154">
        <v>5732.0</v>
      </c>
      <c r="F508" s="135">
        <v>0.1</v>
      </c>
      <c r="G508" s="130">
        <f t="shared" si="1"/>
        <v>719.9</v>
      </c>
      <c r="H508" s="130">
        <v>78.88</v>
      </c>
      <c r="I508" s="130">
        <f t="shared" si="10"/>
        <v>668.22</v>
      </c>
      <c r="J508" s="132">
        <f t="shared" si="11"/>
        <v>0.116577111</v>
      </c>
      <c r="K508" s="132"/>
    </row>
    <row r="509" hidden="1">
      <c r="A509" s="147" t="s">
        <v>3675</v>
      </c>
      <c r="B509" s="147" t="s">
        <v>3676</v>
      </c>
      <c r="C509" s="154">
        <v>8199.0</v>
      </c>
      <c r="D509" s="131"/>
      <c r="E509" s="154">
        <v>6576.0</v>
      </c>
      <c r="F509" s="135">
        <v>0.1</v>
      </c>
      <c r="G509" s="130">
        <f t="shared" si="1"/>
        <v>819.9</v>
      </c>
      <c r="H509" s="130">
        <v>78.88</v>
      </c>
      <c r="I509" s="130">
        <f t="shared" si="10"/>
        <v>724.22</v>
      </c>
      <c r="J509" s="132">
        <f t="shared" si="11"/>
        <v>0.1101307786</v>
      </c>
      <c r="K509" s="132"/>
    </row>
    <row r="510" hidden="1">
      <c r="A510" s="147" t="s">
        <v>3677</v>
      </c>
      <c r="B510" s="147" t="s">
        <v>3678</v>
      </c>
      <c r="C510" s="154">
        <v>2199.0</v>
      </c>
      <c r="D510" s="131"/>
      <c r="E510" s="154">
        <v>1527.0</v>
      </c>
      <c r="F510" s="135">
        <v>0.15</v>
      </c>
      <c r="G510" s="130">
        <f t="shared" si="1"/>
        <v>329.85</v>
      </c>
      <c r="H510" s="130">
        <f>87*1.16</f>
        <v>100.92</v>
      </c>
      <c r="I510" s="130">
        <f t="shared" si="10"/>
        <v>241.23</v>
      </c>
      <c r="J510" s="132">
        <f t="shared" si="11"/>
        <v>0.1579764244</v>
      </c>
      <c r="K510" s="132"/>
    </row>
    <row r="511" hidden="1">
      <c r="A511" s="133"/>
      <c r="B511" s="133"/>
      <c r="C511" s="131"/>
      <c r="D511" s="131"/>
      <c r="E511" s="131"/>
      <c r="F511" s="138"/>
      <c r="G511" s="130"/>
      <c r="H511" s="131"/>
      <c r="I511" s="131"/>
      <c r="J511" s="138"/>
      <c r="K511" s="132"/>
    </row>
    <row r="512" hidden="1">
      <c r="A512" s="133"/>
      <c r="B512" s="133"/>
      <c r="C512" s="131"/>
      <c r="D512" s="131"/>
      <c r="E512" s="131"/>
      <c r="F512" s="138"/>
      <c r="G512" s="130"/>
      <c r="H512" s="131"/>
      <c r="I512" s="131"/>
      <c r="J512" s="138"/>
      <c r="K512" s="132"/>
    </row>
    <row r="513" hidden="1">
      <c r="A513" s="133"/>
      <c r="B513" s="133"/>
      <c r="C513" s="131"/>
      <c r="D513" s="131"/>
      <c r="E513" s="131"/>
      <c r="F513" s="138"/>
      <c r="G513" s="130"/>
      <c r="H513" s="131"/>
      <c r="I513" s="131"/>
      <c r="J513" s="138"/>
      <c r="K513" s="132"/>
    </row>
    <row r="514" hidden="1">
      <c r="A514" s="133"/>
      <c r="B514" s="133"/>
      <c r="C514" s="131"/>
      <c r="D514" s="131"/>
      <c r="E514" s="131"/>
      <c r="F514" s="138"/>
      <c r="G514" s="130"/>
      <c r="H514" s="131"/>
      <c r="I514" s="131"/>
      <c r="J514" s="138"/>
      <c r="K514" s="132"/>
    </row>
    <row r="515" hidden="1">
      <c r="A515" s="133"/>
      <c r="B515" s="133"/>
      <c r="C515" s="131"/>
      <c r="D515" s="131"/>
      <c r="E515" s="131"/>
      <c r="F515" s="138"/>
      <c r="G515" s="130"/>
      <c r="H515" s="131"/>
      <c r="I515" s="131"/>
      <c r="J515" s="138"/>
      <c r="K515" s="132"/>
    </row>
    <row r="516" hidden="1">
      <c r="A516" s="133"/>
      <c r="B516" s="133"/>
      <c r="C516" s="131"/>
      <c r="D516" s="131"/>
      <c r="E516" s="131"/>
      <c r="F516" s="138"/>
      <c r="G516" s="130"/>
      <c r="H516" s="131"/>
      <c r="I516" s="131"/>
      <c r="J516" s="138"/>
      <c r="K516" s="132"/>
    </row>
    <row r="517" hidden="1">
      <c r="A517" s="133"/>
      <c r="B517" s="133"/>
      <c r="C517" s="131"/>
      <c r="D517" s="131"/>
      <c r="E517" s="131"/>
      <c r="F517" s="138"/>
      <c r="G517" s="130"/>
      <c r="H517" s="131"/>
      <c r="I517" s="131"/>
      <c r="J517" s="138"/>
      <c r="K517" s="132"/>
    </row>
    <row r="518" hidden="1">
      <c r="A518" s="133"/>
      <c r="B518" s="133"/>
      <c r="C518" s="131"/>
      <c r="D518" s="131"/>
      <c r="E518" s="131"/>
      <c r="F518" s="138"/>
      <c r="G518" s="130"/>
      <c r="H518" s="131"/>
      <c r="I518" s="131"/>
      <c r="J518" s="138"/>
      <c r="K518" s="132"/>
    </row>
    <row r="519" hidden="1">
      <c r="A519" s="133"/>
      <c r="B519" s="133"/>
      <c r="C519" s="131"/>
      <c r="D519" s="131"/>
      <c r="E519" s="131"/>
      <c r="F519" s="138"/>
      <c r="G519" s="130"/>
      <c r="H519" s="131"/>
      <c r="I519" s="131"/>
      <c r="J519" s="138"/>
      <c r="K519" s="132"/>
    </row>
    <row r="520" hidden="1">
      <c r="A520" s="133"/>
      <c r="B520" s="133"/>
      <c r="C520" s="131"/>
      <c r="D520" s="131"/>
      <c r="E520" s="131"/>
      <c r="F520" s="138"/>
      <c r="G520" s="130"/>
      <c r="H520" s="131"/>
      <c r="I520" s="131"/>
      <c r="J520" s="138"/>
      <c r="K520" s="132"/>
    </row>
    <row r="521" hidden="1">
      <c r="A521" s="133"/>
      <c r="B521" s="133"/>
      <c r="C521" s="131"/>
      <c r="D521" s="131"/>
      <c r="E521" s="131"/>
      <c r="F521" s="138"/>
      <c r="G521" s="130"/>
      <c r="H521" s="131"/>
      <c r="I521" s="131"/>
      <c r="J521" s="138"/>
      <c r="K521" s="132"/>
    </row>
    <row r="522" hidden="1">
      <c r="A522" s="133"/>
      <c r="B522" s="133"/>
      <c r="C522" s="131"/>
      <c r="D522" s="131"/>
      <c r="E522" s="131"/>
      <c r="F522" s="138"/>
      <c r="G522" s="130"/>
      <c r="H522" s="131"/>
      <c r="I522" s="131"/>
      <c r="J522" s="138"/>
      <c r="K522" s="132"/>
    </row>
    <row r="523" hidden="1">
      <c r="A523" s="133"/>
      <c r="B523" s="133"/>
      <c r="C523" s="131"/>
      <c r="D523" s="131"/>
      <c r="E523" s="131"/>
      <c r="F523" s="138"/>
      <c r="G523" s="130"/>
      <c r="H523" s="131"/>
      <c r="I523" s="131"/>
      <c r="J523" s="138"/>
      <c r="K523" s="132"/>
    </row>
    <row r="524" hidden="1">
      <c r="A524" s="133"/>
      <c r="B524" s="133"/>
      <c r="C524" s="131"/>
      <c r="D524" s="131"/>
      <c r="E524" s="131"/>
      <c r="F524" s="138"/>
      <c r="G524" s="130"/>
      <c r="H524" s="131"/>
      <c r="I524" s="131"/>
      <c r="J524" s="138"/>
      <c r="K524" s="132"/>
    </row>
    <row r="525" hidden="1">
      <c r="A525" s="133"/>
      <c r="B525" s="133"/>
      <c r="C525" s="131"/>
      <c r="D525" s="131"/>
      <c r="E525" s="131"/>
      <c r="F525" s="138"/>
      <c r="G525" s="130"/>
      <c r="H525" s="131"/>
      <c r="I525" s="131"/>
      <c r="J525" s="138"/>
      <c r="K525" s="132"/>
    </row>
    <row r="526" hidden="1">
      <c r="A526" s="133"/>
      <c r="B526" s="133"/>
      <c r="C526" s="131"/>
      <c r="D526" s="131"/>
      <c r="E526" s="131"/>
      <c r="F526" s="138"/>
      <c r="G526" s="130"/>
      <c r="H526" s="131"/>
      <c r="I526" s="131"/>
      <c r="J526" s="138"/>
      <c r="K526" s="132"/>
    </row>
    <row r="527" hidden="1">
      <c r="A527" s="133"/>
      <c r="B527" s="133"/>
      <c r="C527" s="131"/>
      <c r="D527" s="131"/>
      <c r="E527" s="131"/>
      <c r="F527" s="138"/>
      <c r="G527" s="130"/>
      <c r="H527" s="131"/>
      <c r="I527" s="131"/>
      <c r="J527" s="138"/>
      <c r="K527" s="132"/>
    </row>
    <row r="528" hidden="1">
      <c r="A528" s="133"/>
      <c r="B528" s="133"/>
      <c r="C528" s="131"/>
      <c r="D528" s="131"/>
      <c r="E528" s="131"/>
      <c r="F528" s="138"/>
      <c r="G528" s="131"/>
      <c r="H528" s="131"/>
      <c r="I528" s="131"/>
      <c r="J528" s="138"/>
      <c r="K528" s="132"/>
    </row>
    <row r="529" hidden="1">
      <c r="A529" s="133"/>
      <c r="B529" s="133"/>
      <c r="C529" s="131"/>
      <c r="D529" s="131"/>
      <c r="E529" s="131"/>
      <c r="F529" s="138"/>
      <c r="G529" s="131"/>
      <c r="H529" s="131"/>
      <c r="I529" s="131"/>
      <c r="J529" s="138"/>
      <c r="K529" s="132"/>
    </row>
    <row r="530" hidden="1">
      <c r="A530" s="133"/>
      <c r="B530" s="133"/>
      <c r="C530" s="131"/>
      <c r="D530" s="131"/>
      <c r="E530" s="131"/>
      <c r="F530" s="138"/>
      <c r="G530" s="131"/>
      <c r="H530" s="131"/>
      <c r="I530" s="131"/>
      <c r="J530" s="138"/>
      <c r="K530" s="132"/>
    </row>
    <row r="531" hidden="1">
      <c r="A531" s="133"/>
      <c r="B531" s="133"/>
      <c r="C531" s="131"/>
      <c r="D531" s="131"/>
      <c r="E531" s="131"/>
      <c r="F531" s="138"/>
      <c r="G531" s="131"/>
      <c r="H531" s="131"/>
      <c r="I531" s="131"/>
      <c r="J531" s="138"/>
      <c r="K531" s="132"/>
    </row>
    <row r="532" hidden="1">
      <c r="A532" s="133"/>
      <c r="B532" s="133"/>
      <c r="C532" s="131"/>
      <c r="D532" s="131"/>
      <c r="E532" s="131"/>
      <c r="F532" s="138"/>
      <c r="G532" s="131"/>
      <c r="H532" s="131"/>
      <c r="I532" s="131"/>
      <c r="J532" s="138"/>
      <c r="K532" s="132"/>
    </row>
    <row r="533" hidden="1">
      <c r="A533" s="133"/>
      <c r="B533" s="133"/>
      <c r="C533" s="131"/>
      <c r="D533" s="131"/>
      <c r="E533" s="131"/>
      <c r="F533" s="138"/>
      <c r="G533" s="131"/>
      <c r="H533" s="131"/>
      <c r="I533" s="131"/>
      <c r="J533" s="138"/>
      <c r="K533" s="132"/>
    </row>
    <row r="534" hidden="1">
      <c r="A534" s="133"/>
      <c r="B534" s="133"/>
      <c r="C534" s="131"/>
      <c r="D534" s="131"/>
      <c r="E534" s="131"/>
      <c r="F534" s="138"/>
      <c r="G534" s="131"/>
      <c r="H534" s="131"/>
      <c r="I534" s="131"/>
      <c r="J534" s="138"/>
      <c r="K534" s="132"/>
    </row>
    <row r="535" hidden="1">
      <c r="A535" s="133"/>
      <c r="B535" s="133"/>
      <c r="C535" s="131"/>
      <c r="D535" s="131"/>
      <c r="E535" s="131"/>
      <c r="F535" s="138"/>
      <c r="G535" s="131"/>
      <c r="H535" s="131"/>
      <c r="I535" s="131"/>
      <c r="J535" s="138"/>
      <c r="K535" s="132"/>
    </row>
    <row r="536" hidden="1">
      <c r="A536" s="133"/>
      <c r="B536" s="133"/>
      <c r="C536" s="131"/>
      <c r="D536" s="131"/>
      <c r="E536" s="131"/>
      <c r="F536" s="138"/>
      <c r="G536" s="131"/>
      <c r="H536" s="131"/>
      <c r="I536" s="131"/>
      <c r="J536" s="138"/>
      <c r="K536" s="132"/>
    </row>
    <row r="537" hidden="1">
      <c r="A537" s="133"/>
      <c r="B537" s="133"/>
      <c r="C537" s="131"/>
      <c r="D537" s="131"/>
      <c r="E537" s="131"/>
      <c r="F537" s="138"/>
      <c r="G537" s="131"/>
      <c r="H537" s="131"/>
      <c r="I537" s="131"/>
      <c r="J537" s="138"/>
      <c r="K537" s="132"/>
    </row>
    <row r="538" hidden="1">
      <c r="A538" s="133"/>
      <c r="B538" s="133"/>
      <c r="C538" s="131"/>
      <c r="D538" s="131"/>
      <c r="E538" s="131"/>
      <c r="F538" s="138"/>
      <c r="G538" s="131"/>
      <c r="H538" s="131"/>
      <c r="I538" s="131"/>
      <c r="J538" s="138"/>
      <c r="K538" s="132"/>
    </row>
    <row r="539" hidden="1">
      <c r="A539" s="133"/>
      <c r="B539" s="133"/>
      <c r="C539" s="131"/>
      <c r="D539" s="131"/>
      <c r="E539" s="131"/>
      <c r="F539" s="138"/>
      <c r="G539" s="131"/>
      <c r="H539" s="131"/>
      <c r="I539" s="131"/>
      <c r="J539" s="138"/>
      <c r="K539" s="132"/>
    </row>
    <row r="540" hidden="1">
      <c r="A540" s="133"/>
      <c r="B540" s="133"/>
      <c r="C540" s="131"/>
      <c r="D540" s="131"/>
      <c r="E540" s="131"/>
      <c r="F540" s="138"/>
      <c r="G540" s="131"/>
      <c r="H540" s="131"/>
      <c r="I540" s="131"/>
      <c r="J540" s="138"/>
      <c r="K540" s="132"/>
    </row>
    <row r="541" hidden="1">
      <c r="A541" s="133"/>
      <c r="B541" s="133"/>
      <c r="C541" s="131"/>
      <c r="D541" s="131"/>
      <c r="E541" s="131"/>
      <c r="F541" s="138"/>
      <c r="G541" s="131"/>
      <c r="H541" s="131"/>
      <c r="I541" s="131"/>
      <c r="J541" s="138"/>
      <c r="K541" s="132"/>
    </row>
    <row r="542" hidden="1">
      <c r="A542" s="133"/>
      <c r="B542" s="133"/>
      <c r="C542" s="131"/>
      <c r="D542" s="131"/>
      <c r="E542" s="131"/>
      <c r="F542" s="138"/>
      <c r="G542" s="131"/>
      <c r="H542" s="131"/>
      <c r="I542" s="131"/>
      <c r="J542" s="138"/>
      <c r="K542" s="132"/>
    </row>
    <row r="543" hidden="1">
      <c r="A543" s="133"/>
      <c r="B543" s="133"/>
      <c r="C543" s="131"/>
      <c r="D543" s="131"/>
      <c r="E543" s="131"/>
      <c r="F543" s="138"/>
      <c r="G543" s="131"/>
      <c r="H543" s="131"/>
      <c r="I543" s="131"/>
      <c r="J543" s="138"/>
      <c r="K543" s="132"/>
    </row>
    <row r="544" hidden="1">
      <c r="A544" s="133"/>
      <c r="B544" s="133"/>
      <c r="C544" s="131"/>
      <c r="D544" s="131"/>
      <c r="E544" s="131"/>
      <c r="F544" s="138"/>
      <c r="G544" s="131"/>
      <c r="H544" s="131"/>
      <c r="I544" s="131"/>
      <c r="J544" s="138"/>
      <c r="K544" s="132"/>
    </row>
    <row r="545" hidden="1">
      <c r="A545" s="133"/>
      <c r="B545" s="133"/>
      <c r="C545" s="131"/>
      <c r="D545" s="131"/>
      <c r="E545" s="131"/>
      <c r="F545" s="138"/>
      <c r="G545" s="131"/>
      <c r="H545" s="131"/>
      <c r="I545" s="131"/>
      <c r="J545" s="138"/>
      <c r="K545" s="132"/>
    </row>
    <row r="546" hidden="1">
      <c r="A546" s="133"/>
      <c r="B546" s="133"/>
      <c r="C546" s="131"/>
      <c r="D546" s="131"/>
      <c r="E546" s="131"/>
      <c r="F546" s="138"/>
      <c r="G546" s="131"/>
      <c r="H546" s="131"/>
      <c r="I546" s="131"/>
      <c r="J546" s="138"/>
      <c r="K546" s="132"/>
    </row>
    <row r="547" hidden="1">
      <c r="A547" s="133"/>
      <c r="B547" s="133"/>
      <c r="C547" s="131"/>
      <c r="D547" s="131"/>
      <c r="E547" s="131"/>
      <c r="F547" s="138"/>
      <c r="G547" s="131"/>
      <c r="H547" s="131"/>
      <c r="I547" s="131"/>
      <c r="J547" s="138"/>
      <c r="K547" s="132"/>
    </row>
    <row r="548" hidden="1">
      <c r="A548" s="133"/>
      <c r="B548" s="133"/>
      <c r="C548" s="131"/>
      <c r="D548" s="131"/>
      <c r="E548" s="131"/>
      <c r="F548" s="138"/>
      <c r="G548" s="131"/>
      <c r="H548" s="131"/>
      <c r="I548" s="131"/>
      <c r="J548" s="138"/>
    </row>
    <row r="549" hidden="1">
      <c r="A549" s="133"/>
      <c r="B549" s="133"/>
      <c r="C549" s="131"/>
      <c r="D549" s="131"/>
      <c r="E549" s="131"/>
      <c r="F549" s="138"/>
      <c r="G549" s="131"/>
      <c r="H549" s="131"/>
      <c r="I549" s="131"/>
      <c r="J549" s="138"/>
    </row>
    <row r="550" hidden="1">
      <c r="A550" s="133"/>
      <c r="B550" s="133"/>
      <c r="C550" s="131"/>
      <c r="D550" s="131"/>
      <c r="E550" s="131"/>
      <c r="F550" s="138"/>
      <c r="G550" s="131"/>
      <c r="H550" s="131"/>
      <c r="I550" s="131"/>
      <c r="J550" s="138"/>
    </row>
    <row r="551" hidden="1">
      <c r="A551" s="133"/>
      <c r="B551" s="133"/>
      <c r="C551" s="131"/>
      <c r="D551" s="131"/>
      <c r="E551" s="131"/>
      <c r="F551" s="138"/>
      <c r="G551" s="131"/>
      <c r="H551" s="131"/>
      <c r="I551" s="131"/>
      <c r="J551" s="138"/>
    </row>
    <row r="552">
      <c r="A552" s="133"/>
      <c r="B552" s="133"/>
      <c r="C552" s="131"/>
      <c r="D552" s="131"/>
      <c r="E552" s="131"/>
      <c r="F552" s="138"/>
      <c r="G552" s="131"/>
      <c r="H552" s="131"/>
      <c r="I552" s="131"/>
      <c r="J552" s="138"/>
    </row>
    <row r="553">
      <c r="A553" s="133"/>
      <c r="B553" s="133"/>
      <c r="C553" s="131"/>
      <c r="D553" s="131"/>
      <c r="E553" s="131"/>
      <c r="F553" s="138"/>
      <c r="G553" s="131"/>
      <c r="H553" s="131"/>
      <c r="I553" s="131"/>
      <c r="J553" s="138"/>
    </row>
    <row r="554">
      <c r="A554" s="133"/>
      <c r="B554" s="133"/>
      <c r="C554" s="131"/>
      <c r="D554" s="131"/>
      <c r="E554" s="131"/>
      <c r="F554" s="138"/>
      <c r="G554" s="131"/>
      <c r="H554" s="131"/>
      <c r="I554" s="131"/>
      <c r="J554" s="138"/>
    </row>
    <row r="555">
      <c r="A555" s="133"/>
      <c r="B555" s="133"/>
      <c r="C555" s="131"/>
      <c r="D555" s="131"/>
      <c r="E555" s="131"/>
      <c r="F555" s="138"/>
      <c r="G555" s="131"/>
      <c r="H555" s="131"/>
      <c r="I555" s="131"/>
      <c r="J555" s="138"/>
    </row>
    <row r="556">
      <c r="A556" s="133"/>
      <c r="B556" s="133"/>
      <c r="C556" s="131"/>
      <c r="D556" s="131"/>
      <c r="E556" s="131"/>
      <c r="F556" s="138"/>
      <c r="G556" s="131"/>
      <c r="H556" s="131"/>
      <c r="I556" s="131"/>
      <c r="J556" s="138"/>
    </row>
    <row r="557">
      <c r="A557" s="133"/>
      <c r="B557" s="133"/>
      <c r="C557" s="131"/>
      <c r="D557" s="131"/>
      <c r="E557" s="131"/>
      <c r="F557" s="138"/>
      <c r="G557" s="131"/>
      <c r="H557" s="131"/>
      <c r="I557" s="131"/>
      <c r="J557" s="138"/>
    </row>
    <row r="558">
      <c r="A558" s="133"/>
      <c r="B558" s="133"/>
      <c r="C558" s="131"/>
      <c r="D558" s="131"/>
      <c r="E558" s="131"/>
      <c r="F558" s="138"/>
      <c r="G558" s="131"/>
      <c r="H558" s="131"/>
      <c r="I558" s="131"/>
      <c r="J558" s="138"/>
    </row>
    <row r="559">
      <c r="A559" s="133"/>
      <c r="B559" s="133"/>
      <c r="C559" s="131"/>
      <c r="D559" s="131"/>
      <c r="E559" s="131"/>
      <c r="F559" s="138"/>
      <c r="G559" s="131"/>
      <c r="H559" s="131"/>
      <c r="I559" s="131"/>
      <c r="J559" s="138"/>
    </row>
    <row r="560">
      <c r="A560" s="133"/>
      <c r="B560" s="133"/>
      <c r="C560" s="131"/>
      <c r="D560" s="131"/>
      <c r="E560" s="131"/>
      <c r="F560" s="138"/>
      <c r="G560" s="131"/>
      <c r="H560" s="131"/>
      <c r="I560" s="131"/>
      <c r="J560" s="138"/>
    </row>
    <row r="561">
      <c r="A561" s="133"/>
      <c r="B561" s="133"/>
      <c r="C561" s="131"/>
      <c r="D561" s="131"/>
      <c r="E561" s="131"/>
      <c r="F561" s="138"/>
      <c r="G561" s="131"/>
      <c r="H561" s="131"/>
      <c r="I561" s="131"/>
      <c r="J561" s="138"/>
    </row>
    <row r="562">
      <c r="A562" s="133"/>
      <c r="B562" s="133"/>
      <c r="C562" s="131"/>
      <c r="D562" s="131"/>
      <c r="E562" s="131"/>
      <c r="F562" s="138"/>
      <c r="G562" s="131"/>
      <c r="H562" s="131"/>
      <c r="I562" s="131"/>
      <c r="J562" s="138"/>
    </row>
    <row r="563">
      <c r="A563" s="133"/>
      <c r="B563" s="133"/>
      <c r="C563" s="131"/>
      <c r="D563" s="131"/>
      <c r="E563" s="131"/>
      <c r="F563" s="138"/>
      <c r="G563" s="131"/>
      <c r="H563" s="131"/>
      <c r="I563" s="131"/>
      <c r="J563" s="138"/>
    </row>
    <row r="564">
      <c r="A564" s="133"/>
      <c r="B564" s="133"/>
      <c r="C564" s="131"/>
      <c r="D564" s="131"/>
      <c r="E564" s="131"/>
      <c r="F564" s="138"/>
      <c r="G564" s="131"/>
      <c r="H564" s="131"/>
      <c r="I564" s="131"/>
      <c r="J564" s="138"/>
    </row>
    <row r="565">
      <c r="A565" s="133"/>
      <c r="B565" s="133"/>
      <c r="C565" s="131"/>
      <c r="D565" s="131"/>
      <c r="E565" s="131"/>
      <c r="F565" s="138"/>
      <c r="G565" s="131"/>
      <c r="H565" s="131"/>
      <c r="I565" s="131"/>
      <c r="J565" s="138"/>
    </row>
    <row r="566">
      <c r="A566" s="133"/>
      <c r="B566" s="133"/>
      <c r="C566" s="131"/>
      <c r="D566" s="131"/>
      <c r="E566" s="131"/>
      <c r="F566" s="138"/>
      <c r="G566" s="131"/>
      <c r="H566" s="131"/>
      <c r="I566" s="131"/>
      <c r="J566" s="138"/>
    </row>
    <row r="567">
      <c r="A567" s="133"/>
      <c r="B567" s="133"/>
      <c r="C567" s="131"/>
      <c r="D567" s="131"/>
      <c r="E567" s="131"/>
      <c r="F567" s="138"/>
      <c r="G567" s="131"/>
      <c r="H567" s="131"/>
      <c r="I567" s="131"/>
      <c r="J567" s="138"/>
    </row>
    <row r="568">
      <c r="A568" s="133"/>
      <c r="B568" s="133"/>
      <c r="C568" s="131"/>
      <c r="D568" s="131"/>
      <c r="E568" s="131"/>
      <c r="F568" s="138"/>
      <c r="G568" s="131"/>
      <c r="H568" s="131"/>
      <c r="I568" s="131"/>
      <c r="J568" s="138"/>
    </row>
    <row r="569">
      <c r="A569" s="133"/>
      <c r="B569" s="133"/>
      <c r="C569" s="131"/>
      <c r="D569" s="131"/>
      <c r="E569" s="131"/>
      <c r="F569" s="138"/>
      <c r="G569" s="131"/>
      <c r="H569" s="131"/>
      <c r="I569" s="131"/>
      <c r="J569" s="138"/>
    </row>
    <row r="570">
      <c r="A570" s="133"/>
      <c r="B570" s="133"/>
      <c r="C570" s="131"/>
      <c r="D570" s="131"/>
      <c r="E570" s="131"/>
      <c r="F570" s="138"/>
      <c r="G570" s="131"/>
      <c r="H570" s="131"/>
      <c r="I570" s="131"/>
      <c r="J570" s="138"/>
    </row>
    <row r="571">
      <c r="A571" s="133"/>
      <c r="B571" s="133"/>
      <c r="C571" s="131"/>
      <c r="D571" s="131"/>
      <c r="E571" s="131"/>
      <c r="F571" s="138"/>
      <c r="G571" s="131"/>
      <c r="H571" s="131"/>
      <c r="I571" s="131"/>
      <c r="J571" s="138"/>
    </row>
    <row r="572">
      <c r="A572" s="133"/>
      <c r="B572" s="133"/>
      <c r="C572" s="131"/>
      <c r="D572" s="131"/>
      <c r="E572" s="131"/>
      <c r="F572" s="138"/>
      <c r="G572" s="131"/>
      <c r="H572" s="131"/>
      <c r="I572" s="131"/>
      <c r="J572" s="138"/>
    </row>
    <row r="573">
      <c r="A573" s="133"/>
      <c r="B573" s="133"/>
      <c r="C573" s="131"/>
      <c r="D573" s="131"/>
      <c r="E573" s="131"/>
      <c r="F573" s="138"/>
      <c r="G573" s="131"/>
      <c r="H573" s="131"/>
      <c r="I573" s="131"/>
      <c r="J573" s="138"/>
    </row>
    <row r="574">
      <c r="A574" s="133"/>
      <c r="B574" s="133"/>
      <c r="C574" s="131"/>
      <c r="D574" s="131"/>
      <c r="E574" s="131"/>
      <c r="F574" s="138"/>
      <c r="G574" s="131"/>
      <c r="H574" s="131"/>
      <c r="I574" s="131"/>
      <c r="J574" s="138"/>
    </row>
    <row r="575">
      <c r="A575" s="133"/>
      <c r="B575" s="133"/>
      <c r="C575" s="131"/>
      <c r="D575" s="131"/>
      <c r="E575" s="131"/>
      <c r="F575" s="138"/>
      <c r="G575" s="131"/>
      <c r="H575" s="131"/>
      <c r="I575" s="131"/>
      <c r="J575" s="138"/>
    </row>
    <row r="576">
      <c r="A576" s="133"/>
      <c r="B576" s="133"/>
      <c r="C576" s="131"/>
      <c r="D576" s="131"/>
      <c r="E576" s="131"/>
      <c r="F576" s="138"/>
      <c r="G576" s="131"/>
      <c r="H576" s="131"/>
      <c r="I576" s="131"/>
      <c r="J576" s="138"/>
    </row>
    <row r="577">
      <c r="A577" s="133"/>
      <c r="B577" s="133"/>
      <c r="C577" s="131"/>
      <c r="D577" s="131"/>
      <c r="E577" s="131"/>
      <c r="F577" s="138"/>
      <c r="G577" s="131"/>
      <c r="H577" s="131"/>
      <c r="I577" s="131"/>
      <c r="J577" s="138"/>
    </row>
    <row r="578">
      <c r="A578" s="133"/>
      <c r="B578" s="133"/>
      <c r="C578" s="131"/>
      <c r="D578" s="131"/>
      <c r="E578" s="131"/>
      <c r="F578" s="138"/>
      <c r="G578" s="131"/>
      <c r="H578" s="131"/>
      <c r="I578" s="131"/>
      <c r="J578" s="138"/>
    </row>
    <row r="579">
      <c r="A579" s="133"/>
      <c r="B579" s="133"/>
      <c r="C579" s="131"/>
      <c r="D579" s="131"/>
      <c r="E579" s="131"/>
      <c r="F579" s="138"/>
      <c r="G579" s="131"/>
      <c r="H579" s="131"/>
      <c r="I579" s="131"/>
      <c r="J579" s="138"/>
    </row>
    <row r="580">
      <c r="A580" s="133"/>
      <c r="B580" s="133"/>
      <c r="C580" s="131"/>
      <c r="D580" s="131"/>
      <c r="E580" s="131"/>
      <c r="F580" s="138"/>
      <c r="G580" s="131"/>
      <c r="H580" s="131"/>
      <c r="I580" s="131"/>
      <c r="J580" s="138"/>
    </row>
    <row r="581">
      <c r="A581" s="133"/>
      <c r="B581" s="133"/>
      <c r="C581" s="131"/>
      <c r="D581" s="131"/>
      <c r="E581" s="131"/>
      <c r="F581" s="138"/>
      <c r="G581" s="131"/>
      <c r="H581" s="131"/>
      <c r="I581" s="131"/>
      <c r="J581" s="138"/>
    </row>
    <row r="582">
      <c r="A582" s="133"/>
      <c r="B582" s="133"/>
      <c r="C582" s="131"/>
      <c r="D582" s="131"/>
      <c r="E582" s="131"/>
      <c r="F582" s="138"/>
      <c r="G582" s="131"/>
      <c r="H582" s="131"/>
      <c r="I582" s="131"/>
      <c r="J582" s="138"/>
    </row>
    <row r="583">
      <c r="A583" s="133"/>
      <c r="B583" s="133"/>
      <c r="C583" s="131"/>
      <c r="D583" s="131"/>
      <c r="E583" s="131"/>
      <c r="F583" s="138"/>
      <c r="G583" s="131"/>
      <c r="H583" s="131"/>
      <c r="I583" s="131"/>
      <c r="J583" s="138"/>
    </row>
    <row r="584">
      <c r="A584" s="133"/>
      <c r="B584" s="133"/>
      <c r="C584" s="131"/>
      <c r="D584" s="131"/>
      <c r="E584" s="131"/>
      <c r="F584" s="138"/>
      <c r="G584" s="131"/>
      <c r="H584" s="131"/>
      <c r="I584" s="131"/>
      <c r="J584" s="138"/>
    </row>
    <row r="585">
      <c r="A585" s="133"/>
      <c r="B585" s="133"/>
      <c r="C585" s="131"/>
      <c r="D585" s="131"/>
      <c r="E585" s="131"/>
      <c r="F585" s="138"/>
      <c r="G585" s="131"/>
      <c r="H585" s="131"/>
      <c r="I585" s="131"/>
      <c r="J585" s="138"/>
    </row>
    <row r="586">
      <c r="A586" s="133"/>
      <c r="B586" s="133"/>
      <c r="C586" s="131"/>
      <c r="D586" s="131"/>
      <c r="E586" s="131"/>
      <c r="F586" s="138"/>
      <c r="G586" s="131"/>
      <c r="H586" s="131"/>
      <c r="I586" s="131"/>
      <c r="J586" s="138"/>
    </row>
    <row r="587">
      <c r="A587" s="133"/>
      <c r="B587" s="133"/>
      <c r="C587" s="131"/>
      <c r="D587" s="131"/>
      <c r="E587" s="131"/>
      <c r="F587" s="138"/>
      <c r="G587" s="131"/>
      <c r="H587" s="131"/>
      <c r="I587" s="131"/>
      <c r="J587" s="138"/>
    </row>
    <row r="588">
      <c r="A588" s="133"/>
      <c r="B588" s="133"/>
      <c r="C588" s="131"/>
      <c r="D588" s="131"/>
      <c r="E588" s="131"/>
      <c r="F588" s="138"/>
      <c r="G588" s="131"/>
      <c r="H588" s="131"/>
      <c r="I588" s="131"/>
      <c r="J588" s="138"/>
    </row>
    <row r="589">
      <c r="A589" s="133"/>
      <c r="B589" s="133"/>
      <c r="C589" s="131"/>
      <c r="D589" s="131"/>
      <c r="E589" s="131"/>
      <c r="F589" s="138"/>
      <c r="G589" s="131"/>
      <c r="H589" s="131"/>
      <c r="I589" s="131"/>
      <c r="J589" s="138"/>
    </row>
    <row r="590">
      <c r="A590" s="133"/>
      <c r="B590" s="133"/>
      <c r="C590" s="131"/>
      <c r="D590" s="131"/>
      <c r="E590" s="131"/>
      <c r="F590" s="138"/>
      <c r="G590" s="131"/>
      <c r="H590" s="131"/>
      <c r="I590" s="131"/>
      <c r="J590" s="138"/>
    </row>
    <row r="591">
      <c r="A591" s="133"/>
      <c r="B591" s="133"/>
      <c r="C591" s="131"/>
      <c r="D591" s="131"/>
      <c r="E591" s="131"/>
      <c r="F591" s="138"/>
      <c r="G591" s="131"/>
      <c r="H591" s="131"/>
      <c r="I591" s="131"/>
      <c r="J591" s="138"/>
    </row>
    <row r="592">
      <c r="A592" s="133"/>
      <c r="B592" s="133"/>
      <c r="C592" s="131"/>
      <c r="D592" s="131"/>
      <c r="E592" s="131"/>
      <c r="F592" s="138"/>
      <c r="G592" s="131"/>
      <c r="H592" s="131"/>
      <c r="I592" s="131"/>
      <c r="J592" s="138"/>
    </row>
    <row r="593">
      <c r="A593" s="133"/>
      <c r="B593" s="133"/>
      <c r="C593" s="131"/>
      <c r="D593" s="131"/>
      <c r="E593" s="131"/>
      <c r="F593" s="138"/>
      <c r="G593" s="131"/>
      <c r="H593" s="131"/>
      <c r="I593" s="131"/>
      <c r="J593" s="138"/>
    </row>
    <row r="594">
      <c r="A594" s="133"/>
      <c r="B594" s="133"/>
      <c r="C594" s="131"/>
      <c r="D594" s="131"/>
      <c r="E594" s="131"/>
      <c r="F594" s="138"/>
      <c r="G594" s="131"/>
      <c r="H594" s="131"/>
      <c r="I594" s="131"/>
      <c r="J594" s="138"/>
    </row>
    <row r="595">
      <c r="A595" s="133"/>
      <c r="B595" s="133"/>
      <c r="C595" s="131"/>
      <c r="D595" s="131"/>
      <c r="E595" s="131"/>
      <c r="F595" s="138"/>
      <c r="G595" s="131"/>
      <c r="H595" s="131"/>
      <c r="I595" s="131"/>
      <c r="J595" s="138"/>
    </row>
    <row r="596">
      <c r="A596" s="133"/>
      <c r="B596" s="133"/>
      <c r="C596" s="131"/>
      <c r="D596" s="131"/>
      <c r="E596" s="131"/>
      <c r="F596" s="138"/>
      <c r="G596" s="131"/>
      <c r="H596" s="131"/>
      <c r="I596" s="131"/>
      <c r="J596" s="138"/>
    </row>
    <row r="597">
      <c r="A597" s="133"/>
      <c r="B597" s="133"/>
      <c r="C597" s="131"/>
      <c r="D597" s="131"/>
      <c r="E597" s="131"/>
      <c r="F597" s="138"/>
      <c r="G597" s="131"/>
      <c r="H597" s="131"/>
      <c r="I597" s="131"/>
      <c r="J597" s="138"/>
    </row>
    <row r="598">
      <c r="A598" s="133"/>
      <c r="B598" s="133"/>
      <c r="C598" s="131"/>
      <c r="D598" s="131"/>
      <c r="E598" s="131"/>
      <c r="F598" s="138"/>
      <c r="G598" s="131"/>
      <c r="H598" s="131"/>
      <c r="I598" s="131"/>
      <c r="J598" s="138"/>
    </row>
    <row r="599">
      <c r="A599" s="133"/>
      <c r="B599" s="133"/>
      <c r="C599" s="131"/>
      <c r="D599" s="131"/>
      <c r="E599" s="131"/>
      <c r="F599" s="138"/>
      <c r="G599" s="131"/>
      <c r="H599" s="131"/>
      <c r="I599" s="131"/>
      <c r="J599" s="138"/>
    </row>
    <row r="600">
      <c r="A600" s="133"/>
      <c r="B600" s="133"/>
      <c r="C600" s="131"/>
      <c r="D600" s="131"/>
      <c r="E600" s="131"/>
      <c r="F600" s="138"/>
      <c r="G600" s="131"/>
      <c r="H600" s="131"/>
      <c r="I600" s="131"/>
      <c r="J600" s="138"/>
    </row>
    <row r="601">
      <c r="A601" s="133"/>
      <c r="B601" s="133"/>
      <c r="C601" s="131"/>
      <c r="D601" s="131"/>
      <c r="E601" s="131"/>
      <c r="F601" s="138"/>
      <c r="G601" s="131"/>
      <c r="H601" s="131"/>
      <c r="I601" s="131"/>
      <c r="J601" s="138"/>
    </row>
    <row r="602">
      <c r="A602" s="133"/>
      <c r="B602" s="133"/>
      <c r="C602" s="131"/>
      <c r="D602" s="131"/>
      <c r="E602" s="131"/>
      <c r="F602" s="138"/>
      <c r="G602" s="131"/>
      <c r="H602" s="131"/>
      <c r="I602" s="131"/>
      <c r="J602" s="138"/>
    </row>
    <row r="603">
      <c r="A603" s="133"/>
      <c r="B603" s="133"/>
      <c r="C603" s="131"/>
      <c r="D603" s="131"/>
      <c r="E603" s="131"/>
      <c r="F603" s="138"/>
      <c r="G603" s="131"/>
      <c r="H603" s="131"/>
      <c r="I603" s="131"/>
      <c r="J603" s="138"/>
    </row>
    <row r="604">
      <c r="A604" s="133"/>
      <c r="B604" s="133"/>
      <c r="C604" s="131"/>
      <c r="D604" s="131"/>
      <c r="E604" s="131"/>
      <c r="F604" s="138"/>
      <c r="G604" s="131"/>
      <c r="H604" s="131"/>
      <c r="I604" s="131"/>
      <c r="J604" s="138"/>
    </row>
    <row r="605">
      <c r="A605" s="133"/>
      <c r="B605" s="133"/>
      <c r="C605" s="131"/>
      <c r="D605" s="131"/>
      <c r="E605" s="131"/>
      <c r="F605" s="138"/>
      <c r="G605" s="131"/>
      <c r="H605" s="131"/>
      <c r="I605" s="131"/>
      <c r="J605" s="138"/>
    </row>
    <row r="606">
      <c r="A606" s="133"/>
      <c r="B606" s="133"/>
      <c r="C606" s="131"/>
      <c r="D606" s="131"/>
      <c r="E606" s="131"/>
      <c r="F606" s="138"/>
      <c r="G606" s="131"/>
      <c r="H606" s="131"/>
      <c r="I606" s="131"/>
      <c r="J606" s="138"/>
    </row>
    <row r="607">
      <c r="A607" s="133"/>
      <c r="B607" s="133"/>
      <c r="C607" s="131"/>
      <c r="D607" s="131"/>
      <c r="E607" s="131"/>
      <c r="F607" s="138"/>
      <c r="G607" s="131"/>
      <c r="H607" s="131"/>
      <c r="I607" s="131"/>
      <c r="J607" s="138"/>
    </row>
    <row r="608">
      <c r="A608" s="133"/>
      <c r="B608" s="133"/>
      <c r="C608" s="131"/>
      <c r="D608" s="131"/>
      <c r="E608" s="131"/>
      <c r="F608" s="138"/>
      <c r="G608" s="131"/>
      <c r="H608" s="131"/>
      <c r="I608" s="131"/>
      <c r="J608" s="138"/>
    </row>
    <row r="609">
      <c r="A609" s="133"/>
      <c r="B609" s="133"/>
      <c r="C609" s="131"/>
      <c r="D609" s="131"/>
      <c r="E609" s="131"/>
      <c r="F609" s="138"/>
      <c r="G609" s="131"/>
      <c r="H609" s="131"/>
      <c r="I609" s="131"/>
      <c r="J609" s="138"/>
    </row>
    <row r="610">
      <c r="A610" s="133"/>
      <c r="B610" s="133"/>
      <c r="C610" s="131"/>
      <c r="D610" s="131"/>
      <c r="E610" s="131"/>
      <c r="F610" s="138"/>
      <c r="G610" s="131"/>
      <c r="H610" s="131"/>
      <c r="I610" s="131"/>
      <c r="J610" s="138"/>
    </row>
    <row r="611">
      <c r="A611" s="133"/>
      <c r="B611" s="133"/>
      <c r="C611" s="131"/>
      <c r="D611" s="131"/>
      <c r="E611" s="131"/>
      <c r="F611" s="138"/>
      <c r="G611" s="131"/>
      <c r="H611" s="131"/>
      <c r="I611" s="131"/>
      <c r="J611" s="138"/>
    </row>
    <row r="612">
      <c r="A612" s="133"/>
      <c r="B612" s="133"/>
      <c r="C612" s="131"/>
      <c r="D612" s="131"/>
      <c r="E612" s="131"/>
      <c r="F612" s="138"/>
      <c r="G612" s="131"/>
      <c r="H612" s="131"/>
      <c r="I612" s="131"/>
      <c r="J612" s="138"/>
    </row>
    <row r="613">
      <c r="A613" s="133"/>
      <c r="B613" s="133"/>
      <c r="C613" s="131"/>
      <c r="D613" s="131"/>
      <c r="E613" s="131"/>
      <c r="F613" s="138"/>
      <c r="G613" s="131"/>
      <c r="H613" s="131"/>
      <c r="I613" s="131"/>
      <c r="J613" s="138"/>
    </row>
    <row r="614">
      <c r="A614" s="133"/>
      <c r="B614" s="133"/>
      <c r="C614" s="131"/>
      <c r="D614" s="131"/>
      <c r="E614" s="131"/>
      <c r="F614" s="138"/>
      <c r="G614" s="131"/>
      <c r="H614" s="131"/>
      <c r="I614" s="131"/>
      <c r="J614" s="138"/>
    </row>
    <row r="615">
      <c r="A615" s="133"/>
      <c r="B615" s="133"/>
      <c r="C615" s="131"/>
      <c r="D615" s="131"/>
      <c r="E615" s="131"/>
      <c r="F615" s="138"/>
      <c r="G615" s="131"/>
      <c r="H615" s="131"/>
      <c r="I615" s="131"/>
      <c r="J615" s="138"/>
    </row>
    <row r="616">
      <c r="A616" s="133"/>
      <c r="B616" s="133"/>
      <c r="C616" s="131"/>
      <c r="D616" s="131"/>
      <c r="E616" s="131"/>
      <c r="F616" s="138"/>
      <c r="G616" s="131"/>
      <c r="H616" s="131"/>
      <c r="I616" s="131"/>
      <c r="J616" s="138"/>
    </row>
    <row r="617">
      <c r="A617" s="133"/>
      <c r="B617" s="133"/>
      <c r="C617" s="131"/>
      <c r="D617" s="131"/>
      <c r="E617" s="131"/>
      <c r="F617" s="138"/>
      <c r="G617" s="131"/>
      <c r="H617" s="131"/>
      <c r="I617" s="131"/>
      <c r="J617" s="138"/>
    </row>
    <row r="618">
      <c r="A618" s="133"/>
      <c r="B618" s="133"/>
      <c r="C618" s="131"/>
      <c r="D618" s="131"/>
      <c r="E618" s="131"/>
      <c r="F618" s="138"/>
      <c r="G618" s="131"/>
      <c r="H618" s="131"/>
      <c r="I618" s="131"/>
      <c r="J618" s="138"/>
    </row>
    <row r="619">
      <c r="A619" s="133"/>
      <c r="B619" s="133"/>
      <c r="C619" s="131"/>
      <c r="D619" s="131"/>
      <c r="E619" s="131"/>
      <c r="F619" s="138"/>
      <c r="G619" s="131"/>
      <c r="H619" s="131"/>
      <c r="I619" s="131"/>
      <c r="J619" s="138"/>
    </row>
    <row r="620">
      <c r="A620" s="133"/>
      <c r="B620" s="133"/>
      <c r="C620" s="131"/>
      <c r="D620" s="131"/>
      <c r="E620" s="131"/>
      <c r="F620" s="138"/>
      <c r="G620" s="131"/>
      <c r="H620" s="131"/>
      <c r="I620" s="131"/>
      <c r="J620" s="138"/>
    </row>
    <row r="621">
      <c r="A621" s="133"/>
      <c r="B621" s="133"/>
      <c r="C621" s="131"/>
      <c r="D621" s="131"/>
      <c r="E621" s="131"/>
      <c r="F621" s="138"/>
      <c r="G621" s="131"/>
      <c r="H621" s="131"/>
      <c r="I621" s="131"/>
      <c r="J621" s="138"/>
    </row>
    <row r="622">
      <c r="A622" s="133"/>
      <c r="B622" s="133"/>
      <c r="C622" s="131"/>
      <c r="D622" s="131"/>
      <c r="E622" s="131"/>
      <c r="F622" s="138"/>
      <c r="G622" s="131"/>
      <c r="H622" s="131"/>
      <c r="I622" s="131"/>
      <c r="J622" s="138"/>
    </row>
    <row r="623">
      <c r="A623" s="133"/>
      <c r="B623" s="133"/>
      <c r="C623" s="131"/>
      <c r="D623" s="131"/>
      <c r="E623" s="131"/>
      <c r="F623" s="138"/>
      <c r="G623" s="131"/>
      <c r="H623" s="131"/>
      <c r="I623" s="131"/>
      <c r="J623" s="138"/>
    </row>
    <row r="624">
      <c r="A624" s="133"/>
      <c r="B624" s="133"/>
      <c r="C624" s="131"/>
      <c r="D624" s="131"/>
      <c r="E624" s="131"/>
      <c r="F624" s="138"/>
      <c r="G624" s="131"/>
      <c r="H624" s="131"/>
      <c r="I624" s="131"/>
      <c r="J624" s="138"/>
    </row>
    <row r="625">
      <c r="A625" s="133"/>
      <c r="B625" s="133"/>
      <c r="C625" s="131"/>
      <c r="D625" s="131"/>
      <c r="E625" s="131"/>
      <c r="F625" s="138"/>
      <c r="G625" s="131"/>
      <c r="H625" s="131"/>
      <c r="I625" s="131"/>
      <c r="J625" s="138"/>
    </row>
    <row r="626">
      <c r="A626" s="133"/>
      <c r="B626" s="133"/>
      <c r="C626" s="131"/>
      <c r="D626" s="131"/>
      <c r="E626" s="131"/>
      <c r="F626" s="138"/>
      <c r="G626" s="131"/>
      <c r="H626" s="131"/>
      <c r="I626" s="131"/>
      <c r="J626" s="138"/>
    </row>
    <row r="627">
      <c r="A627" s="133"/>
      <c r="B627" s="133"/>
      <c r="C627" s="131"/>
      <c r="D627" s="131"/>
      <c r="E627" s="131"/>
      <c r="F627" s="138"/>
      <c r="G627" s="131"/>
      <c r="H627" s="131"/>
      <c r="I627" s="131"/>
      <c r="J627" s="138"/>
    </row>
    <row r="628">
      <c r="A628" s="133"/>
      <c r="B628" s="133"/>
      <c r="C628" s="131"/>
      <c r="D628" s="131"/>
      <c r="E628" s="131"/>
      <c r="F628" s="138"/>
      <c r="G628" s="131"/>
      <c r="H628" s="131"/>
      <c r="I628" s="131"/>
      <c r="J628" s="138"/>
    </row>
    <row r="629">
      <c r="A629" s="133"/>
      <c r="B629" s="133"/>
      <c r="C629" s="131"/>
      <c r="D629" s="131"/>
      <c r="E629" s="131"/>
      <c r="F629" s="138"/>
      <c r="G629" s="131"/>
      <c r="H629" s="131"/>
      <c r="I629" s="131"/>
      <c r="J629" s="138"/>
    </row>
    <row r="630">
      <c r="A630" s="133"/>
      <c r="B630" s="133"/>
      <c r="C630" s="131"/>
      <c r="D630" s="131"/>
      <c r="E630" s="131"/>
      <c r="F630" s="138"/>
      <c r="G630" s="131"/>
      <c r="H630" s="131"/>
      <c r="I630" s="131"/>
      <c r="J630" s="138"/>
    </row>
    <row r="631">
      <c r="A631" s="133"/>
      <c r="B631" s="133"/>
      <c r="C631" s="131"/>
      <c r="D631" s="131"/>
      <c r="E631" s="131"/>
      <c r="F631" s="138"/>
      <c r="G631" s="131"/>
      <c r="H631" s="131"/>
      <c r="I631" s="131"/>
      <c r="J631" s="138"/>
    </row>
    <row r="632">
      <c r="A632" s="133"/>
      <c r="B632" s="133"/>
      <c r="C632" s="131"/>
      <c r="D632" s="131"/>
      <c r="E632" s="131"/>
      <c r="F632" s="138"/>
      <c r="G632" s="131"/>
      <c r="H632" s="131"/>
      <c r="I632" s="131"/>
      <c r="J632" s="138"/>
    </row>
    <row r="633">
      <c r="A633" s="133"/>
      <c r="B633" s="133"/>
      <c r="C633" s="131"/>
      <c r="D633" s="131"/>
      <c r="E633" s="131"/>
      <c r="F633" s="138"/>
      <c r="G633" s="131"/>
      <c r="H633" s="131"/>
      <c r="I633" s="131"/>
      <c r="J633" s="138"/>
    </row>
    <row r="634">
      <c r="A634" s="133"/>
      <c r="B634" s="133"/>
      <c r="C634" s="131"/>
      <c r="D634" s="131"/>
      <c r="E634" s="131"/>
      <c r="F634" s="138"/>
      <c r="G634" s="131"/>
      <c r="H634" s="131"/>
      <c r="I634" s="131"/>
      <c r="J634" s="138"/>
    </row>
    <row r="635">
      <c r="A635" s="133"/>
      <c r="B635" s="133"/>
      <c r="C635" s="131"/>
      <c r="D635" s="131"/>
      <c r="E635" s="131"/>
      <c r="F635" s="138"/>
      <c r="G635" s="131"/>
      <c r="H635" s="131"/>
      <c r="I635" s="131"/>
      <c r="J635" s="138"/>
    </row>
    <row r="636">
      <c r="A636" s="133"/>
      <c r="B636" s="133"/>
      <c r="C636" s="131"/>
      <c r="D636" s="131"/>
      <c r="E636" s="131"/>
      <c r="F636" s="138"/>
      <c r="G636" s="131"/>
      <c r="H636" s="131"/>
      <c r="I636" s="131"/>
      <c r="J636" s="138"/>
    </row>
    <row r="637">
      <c r="A637" s="133"/>
      <c r="B637" s="133"/>
      <c r="C637" s="131"/>
      <c r="D637" s="131"/>
      <c r="E637" s="131"/>
      <c r="F637" s="138"/>
      <c r="G637" s="131"/>
      <c r="H637" s="131"/>
      <c r="I637" s="131"/>
      <c r="J637" s="138"/>
    </row>
    <row r="638">
      <c r="A638" s="133"/>
      <c r="B638" s="133"/>
      <c r="C638" s="131"/>
      <c r="D638" s="131"/>
      <c r="E638" s="131"/>
      <c r="F638" s="138"/>
      <c r="G638" s="131"/>
      <c r="H638" s="131"/>
      <c r="I638" s="131"/>
      <c r="J638" s="138"/>
    </row>
    <row r="639">
      <c r="A639" s="133"/>
      <c r="B639" s="133"/>
      <c r="C639" s="131"/>
      <c r="D639" s="131"/>
      <c r="E639" s="131"/>
      <c r="F639" s="138"/>
      <c r="G639" s="131"/>
      <c r="H639" s="131"/>
      <c r="I639" s="131"/>
      <c r="J639" s="138"/>
    </row>
    <row r="640">
      <c r="A640" s="133"/>
      <c r="B640" s="133"/>
      <c r="C640" s="131"/>
      <c r="D640" s="131"/>
      <c r="E640" s="131"/>
      <c r="F640" s="138"/>
      <c r="G640" s="131"/>
      <c r="H640" s="131"/>
      <c r="I640" s="131"/>
      <c r="J640" s="138"/>
    </row>
    <row r="641">
      <c r="A641" s="133"/>
      <c r="B641" s="133"/>
      <c r="C641" s="131"/>
      <c r="D641" s="131"/>
      <c r="E641" s="131"/>
      <c r="F641" s="138"/>
      <c r="G641" s="131"/>
      <c r="H641" s="131"/>
      <c r="I641" s="131"/>
      <c r="J641" s="138"/>
    </row>
    <row r="642">
      <c r="A642" s="133"/>
      <c r="B642" s="133"/>
      <c r="C642" s="131"/>
      <c r="D642" s="131"/>
      <c r="E642" s="131"/>
      <c r="F642" s="138"/>
      <c r="G642" s="131"/>
      <c r="H642" s="131"/>
      <c r="I642" s="131"/>
      <c r="J642" s="138"/>
    </row>
    <row r="643">
      <c r="A643" s="133"/>
      <c r="B643" s="133"/>
      <c r="C643" s="131"/>
      <c r="D643" s="131"/>
      <c r="E643" s="131"/>
      <c r="F643" s="138"/>
      <c r="G643" s="131"/>
      <c r="H643" s="131"/>
      <c r="I643" s="131"/>
      <c r="J643" s="138"/>
    </row>
    <row r="644">
      <c r="A644" s="133"/>
      <c r="B644" s="133"/>
      <c r="C644" s="131"/>
      <c r="D644" s="131"/>
      <c r="E644" s="131"/>
      <c r="F644" s="138"/>
      <c r="G644" s="131"/>
      <c r="H644" s="131"/>
      <c r="I644" s="131"/>
      <c r="J644" s="138"/>
    </row>
    <row r="645">
      <c r="A645" s="133"/>
      <c r="B645" s="133"/>
      <c r="C645" s="131"/>
      <c r="D645" s="131"/>
      <c r="E645" s="131"/>
      <c r="F645" s="138"/>
      <c r="G645" s="131"/>
      <c r="H645" s="131"/>
      <c r="I645" s="131"/>
      <c r="J645" s="138"/>
    </row>
    <row r="646">
      <c r="A646" s="133"/>
      <c r="B646" s="133"/>
      <c r="C646" s="131"/>
      <c r="D646" s="131"/>
      <c r="E646" s="131"/>
      <c r="F646" s="138"/>
      <c r="G646" s="131"/>
      <c r="H646" s="131"/>
      <c r="I646" s="131"/>
      <c r="J646" s="138"/>
    </row>
    <row r="647">
      <c r="A647" s="133"/>
      <c r="B647" s="133"/>
      <c r="C647" s="131"/>
      <c r="D647" s="131"/>
      <c r="E647" s="131"/>
      <c r="F647" s="138"/>
      <c r="G647" s="131"/>
      <c r="H647" s="131"/>
      <c r="I647" s="131"/>
      <c r="J647" s="138"/>
    </row>
    <row r="648">
      <c r="A648" s="133"/>
      <c r="B648" s="133"/>
      <c r="C648" s="131"/>
      <c r="D648" s="131"/>
      <c r="E648" s="131"/>
      <c r="F648" s="138"/>
      <c r="G648" s="131"/>
      <c r="H648" s="131"/>
      <c r="I648" s="131"/>
      <c r="J648" s="138"/>
    </row>
    <row r="649">
      <c r="A649" s="133"/>
      <c r="B649" s="133"/>
      <c r="C649" s="131"/>
      <c r="D649" s="131"/>
      <c r="E649" s="131"/>
      <c r="F649" s="138"/>
      <c r="G649" s="131"/>
      <c r="H649" s="131"/>
      <c r="I649" s="131"/>
      <c r="J649" s="138"/>
    </row>
    <row r="650">
      <c r="A650" s="133"/>
      <c r="B650" s="133"/>
      <c r="C650" s="131"/>
      <c r="D650" s="131"/>
      <c r="E650" s="131"/>
      <c r="F650" s="138"/>
      <c r="G650" s="131"/>
      <c r="H650" s="131"/>
      <c r="I650" s="131"/>
      <c r="J650" s="138"/>
    </row>
    <row r="651">
      <c r="A651" s="133"/>
      <c r="B651" s="133"/>
      <c r="C651" s="131"/>
      <c r="D651" s="131"/>
      <c r="E651" s="131"/>
      <c r="F651" s="138"/>
      <c r="G651" s="131"/>
      <c r="H651" s="131"/>
      <c r="I651" s="131"/>
      <c r="J651" s="138"/>
    </row>
    <row r="652">
      <c r="A652" s="133"/>
      <c r="B652" s="133"/>
      <c r="C652" s="131"/>
      <c r="D652" s="131"/>
      <c r="E652" s="131"/>
      <c r="F652" s="138"/>
      <c r="G652" s="131"/>
      <c r="H652" s="131"/>
      <c r="I652" s="131"/>
      <c r="J652" s="138"/>
    </row>
    <row r="653">
      <c r="A653" s="133"/>
      <c r="B653" s="133"/>
      <c r="C653" s="131"/>
      <c r="D653" s="131"/>
      <c r="E653" s="131"/>
      <c r="F653" s="138"/>
      <c r="G653" s="131"/>
      <c r="H653" s="131"/>
      <c r="I653" s="131"/>
      <c r="J653" s="138"/>
    </row>
    <row r="654">
      <c r="A654" s="133"/>
      <c r="B654" s="133"/>
      <c r="C654" s="131"/>
      <c r="D654" s="131"/>
      <c r="E654" s="131"/>
      <c r="F654" s="138"/>
      <c r="G654" s="131"/>
      <c r="H654" s="131"/>
      <c r="I654" s="131"/>
      <c r="J654" s="138"/>
    </row>
    <row r="655">
      <c r="A655" s="133"/>
      <c r="B655" s="133"/>
      <c r="C655" s="131"/>
      <c r="D655" s="131"/>
      <c r="E655" s="131"/>
      <c r="F655" s="138"/>
      <c r="G655" s="131"/>
      <c r="H655" s="131"/>
      <c r="I655" s="131"/>
      <c r="J655" s="138"/>
    </row>
    <row r="656">
      <c r="A656" s="133"/>
      <c r="B656" s="133"/>
      <c r="C656" s="131"/>
      <c r="D656" s="131"/>
      <c r="E656" s="131"/>
      <c r="F656" s="138"/>
      <c r="G656" s="131"/>
      <c r="H656" s="131"/>
      <c r="I656" s="131"/>
      <c r="J656" s="138"/>
    </row>
    <row r="657">
      <c r="A657" s="133"/>
      <c r="B657" s="133"/>
      <c r="C657" s="131"/>
      <c r="D657" s="131"/>
      <c r="E657" s="131"/>
      <c r="F657" s="138"/>
      <c r="G657" s="131"/>
      <c r="H657" s="131"/>
      <c r="I657" s="131"/>
      <c r="J657" s="138"/>
    </row>
    <row r="658">
      <c r="A658" s="133"/>
      <c r="B658" s="133"/>
      <c r="C658" s="131"/>
      <c r="D658" s="131"/>
      <c r="E658" s="131"/>
      <c r="F658" s="138"/>
      <c r="G658" s="131"/>
      <c r="H658" s="131"/>
      <c r="I658" s="131"/>
      <c r="J658" s="138"/>
    </row>
    <row r="659">
      <c r="A659" s="133"/>
      <c r="B659" s="133"/>
      <c r="C659" s="131"/>
      <c r="D659" s="131"/>
      <c r="E659" s="131"/>
      <c r="F659" s="138"/>
      <c r="G659" s="131"/>
      <c r="H659" s="131"/>
      <c r="I659" s="131"/>
      <c r="J659" s="138"/>
    </row>
    <row r="660">
      <c r="A660" s="133"/>
      <c r="B660" s="133"/>
      <c r="C660" s="131"/>
      <c r="D660" s="131"/>
      <c r="E660" s="131"/>
      <c r="F660" s="138"/>
      <c r="G660" s="131"/>
      <c r="H660" s="131"/>
      <c r="I660" s="131"/>
      <c r="J660" s="138"/>
    </row>
    <row r="661">
      <c r="A661" s="133"/>
      <c r="B661" s="133"/>
      <c r="C661" s="131"/>
      <c r="D661" s="131"/>
      <c r="E661" s="131"/>
      <c r="F661" s="138"/>
      <c r="G661" s="131"/>
      <c r="H661" s="131"/>
      <c r="I661" s="131"/>
      <c r="J661" s="138"/>
    </row>
    <row r="662">
      <c r="A662" s="133"/>
      <c r="B662" s="133"/>
      <c r="C662" s="131"/>
      <c r="D662" s="131"/>
      <c r="E662" s="131"/>
      <c r="F662" s="138"/>
      <c r="G662" s="131"/>
      <c r="H662" s="131"/>
      <c r="I662" s="131"/>
      <c r="J662" s="138"/>
    </row>
    <row r="663">
      <c r="A663" s="133"/>
      <c r="B663" s="133"/>
      <c r="C663" s="131"/>
      <c r="D663" s="131"/>
      <c r="E663" s="131"/>
      <c r="F663" s="138"/>
      <c r="G663" s="131"/>
      <c r="H663" s="131"/>
      <c r="I663" s="131"/>
      <c r="J663" s="138"/>
    </row>
    <row r="664">
      <c r="A664" s="133"/>
      <c r="B664" s="133"/>
      <c r="C664" s="131"/>
      <c r="D664" s="131"/>
      <c r="E664" s="131"/>
      <c r="F664" s="138"/>
      <c r="G664" s="131"/>
      <c r="H664" s="131"/>
      <c r="I664" s="131"/>
      <c r="J664" s="138"/>
    </row>
    <row r="665">
      <c r="A665" s="133"/>
      <c r="B665" s="133"/>
      <c r="C665" s="131"/>
      <c r="D665" s="131"/>
      <c r="E665" s="131"/>
      <c r="F665" s="138"/>
      <c r="G665" s="131"/>
      <c r="H665" s="131"/>
      <c r="I665" s="131"/>
      <c r="J665" s="138"/>
    </row>
    <row r="666">
      <c r="A666" s="133"/>
      <c r="B666" s="133"/>
      <c r="C666" s="131"/>
      <c r="D666" s="131"/>
      <c r="E666" s="131"/>
      <c r="F666" s="138"/>
      <c r="G666" s="131"/>
      <c r="H666" s="131"/>
      <c r="I666" s="131"/>
      <c r="J666" s="138"/>
    </row>
    <row r="667">
      <c r="A667" s="133"/>
      <c r="B667" s="133"/>
      <c r="C667" s="131"/>
      <c r="D667" s="131"/>
      <c r="E667" s="131"/>
      <c r="F667" s="138"/>
      <c r="G667" s="131"/>
      <c r="H667" s="131"/>
      <c r="I667" s="131"/>
      <c r="J667" s="138"/>
    </row>
    <row r="668">
      <c r="A668" s="133"/>
      <c r="B668" s="133"/>
      <c r="C668" s="131"/>
      <c r="D668" s="131"/>
      <c r="E668" s="131"/>
      <c r="F668" s="138"/>
      <c r="G668" s="131"/>
      <c r="H668" s="131"/>
      <c r="I668" s="131"/>
      <c r="J668" s="138"/>
    </row>
    <row r="669">
      <c r="A669" s="133"/>
      <c r="B669" s="133"/>
      <c r="C669" s="131"/>
      <c r="D669" s="131"/>
      <c r="E669" s="131"/>
      <c r="F669" s="138"/>
      <c r="G669" s="131"/>
      <c r="H669" s="131"/>
      <c r="I669" s="131"/>
      <c r="J669" s="138"/>
    </row>
    <row r="670">
      <c r="A670" s="133"/>
      <c r="B670" s="133"/>
      <c r="C670" s="131"/>
      <c r="D670" s="131"/>
      <c r="E670" s="131"/>
      <c r="F670" s="138"/>
      <c r="G670" s="131"/>
      <c r="H670" s="131"/>
      <c r="I670" s="131"/>
      <c r="J670" s="138"/>
    </row>
    <row r="671">
      <c r="A671" s="133"/>
      <c r="B671" s="133"/>
      <c r="C671" s="131"/>
      <c r="D671" s="131"/>
      <c r="E671" s="131"/>
      <c r="F671" s="138"/>
      <c r="G671" s="131"/>
      <c r="H671" s="131"/>
      <c r="I671" s="131"/>
      <c r="J671" s="138"/>
    </row>
    <row r="672">
      <c r="A672" s="133"/>
      <c r="B672" s="133"/>
      <c r="C672" s="131"/>
      <c r="D672" s="131"/>
      <c r="E672" s="131"/>
      <c r="F672" s="138"/>
      <c r="G672" s="131"/>
      <c r="H672" s="131"/>
      <c r="I672" s="131"/>
      <c r="J672" s="138"/>
    </row>
    <row r="673">
      <c r="A673" s="133"/>
      <c r="B673" s="133"/>
      <c r="C673" s="131"/>
      <c r="D673" s="131"/>
      <c r="E673" s="131"/>
      <c r="F673" s="138"/>
      <c r="G673" s="131"/>
      <c r="H673" s="131"/>
      <c r="I673" s="131"/>
      <c r="J673" s="138"/>
    </row>
    <row r="674">
      <c r="A674" s="133"/>
      <c r="B674" s="133"/>
      <c r="C674" s="131"/>
      <c r="D674" s="131"/>
      <c r="E674" s="131"/>
      <c r="F674" s="138"/>
      <c r="G674" s="131"/>
      <c r="H674" s="131"/>
      <c r="I674" s="131"/>
      <c r="J674" s="138"/>
    </row>
    <row r="675">
      <c r="A675" s="133"/>
      <c r="B675" s="133"/>
      <c r="C675" s="131"/>
      <c r="D675" s="131"/>
      <c r="E675" s="131"/>
      <c r="F675" s="138"/>
      <c r="G675" s="131"/>
      <c r="H675" s="131"/>
      <c r="I675" s="131"/>
      <c r="J675" s="138"/>
    </row>
    <row r="676">
      <c r="A676" s="133"/>
      <c r="B676" s="133"/>
      <c r="C676" s="131"/>
      <c r="D676" s="131"/>
      <c r="E676" s="131"/>
      <c r="F676" s="138"/>
      <c r="G676" s="131"/>
      <c r="H676" s="131"/>
      <c r="I676" s="131"/>
      <c r="J676" s="138"/>
    </row>
    <row r="677">
      <c r="A677" s="133"/>
      <c r="B677" s="133"/>
      <c r="C677" s="131"/>
      <c r="D677" s="131"/>
      <c r="E677" s="131"/>
      <c r="F677" s="138"/>
      <c r="G677" s="131"/>
      <c r="H677" s="131"/>
      <c r="I677" s="131"/>
      <c r="J677" s="138"/>
    </row>
    <row r="678">
      <c r="A678" s="133"/>
      <c r="B678" s="133"/>
      <c r="C678" s="131"/>
      <c r="D678" s="131"/>
      <c r="E678" s="131"/>
      <c r="F678" s="138"/>
      <c r="G678" s="131"/>
      <c r="H678" s="131"/>
      <c r="I678" s="131"/>
      <c r="J678" s="138"/>
    </row>
    <row r="679">
      <c r="A679" s="133"/>
      <c r="B679" s="133"/>
      <c r="C679" s="131"/>
      <c r="D679" s="131"/>
      <c r="E679" s="131"/>
      <c r="F679" s="138"/>
      <c r="G679" s="131"/>
      <c r="H679" s="131"/>
      <c r="I679" s="131"/>
      <c r="J679" s="138"/>
    </row>
    <row r="680">
      <c r="A680" s="133"/>
      <c r="B680" s="133"/>
      <c r="C680" s="131"/>
      <c r="D680" s="131"/>
      <c r="E680" s="131"/>
      <c r="F680" s="138"/>
      <c r="G680" s="131"/>
      <c r="H680" s="131"/>
      <c r="I680" s="131"/>
      <c r="J680" s="138"/>
    </row>
    <row r="681">
      <c r="A681" s="133"/>
      <c r="B681" s="133"/>
      <c r="C681" s="131"/>
      <c r="D681" s="131"/>
      <c r="E681" s="131"/>
      <c r="F681" s="138"/>
      <c r="G681" s="131"/>
      <c r="H681" s="131"/>
      <c r="I681" s="131"/>
      <c r="J681" s="138"/>
    </row>
    <row r="682">
      <c r="A682" s="133"/>
      <c r="B682" s="133"/>
      <c r="C682" s="131"/>
      <c r="D682" s="131"/>
      <c r="E682" s="131"/>
      <c r="F682" s="138"/>
      <c r="G682" s="131"/>
      <c r="H682" s="131"/>
      <c r="I682" s="131"/>
      <c r="J682" s="138"/>
    </row>
    <row r="683">
      <c r="A683" s="133"/>
      <c r="B683" s="133"/>
      <c r="C683" s="131"/>
      <c r="D683" s="131"/>
      <c r="E683" s="131"/>
      <c r="F683" s="138"/>
      <c r="G683" s="131"/>
      <c r="H683" s="131"/>
      <c r="I683" s="131"/>
      <c r="J683" s="138"/>
    </row>
    <row r="684">
      <c r="A684" s="133"/>
      <c r="B684" s="133"/>
      <c r="C684" s="131"/>
      <c r="D684" s="131"/>
      <c r="E684" s="131"/>
      <c r="F684" s="138"/>
      <c r="G684" s="131"/>
      <c r="H684" s="131"/>
      <c r="I684" s="131"/>
      <c r="J684" s="138"/>
    </row>
    <row r="685">
      <c r="A685" s="133"/>
      <c r="B685" s="133"/>
      <c r="C685" s="131"/>
      <c r="D685" s="131"/>
      <c r="E685" s="131"/>
      <c r="F685" s="138"/>
      <c r="G685" s="131"/>
      <c r="H685" s="131"/>
      <c r="I685" s="131"/>
      <c r="J685" s="138"/>
    </row>
    <row r="686">
      <c r="A686" s="133"/>
      <c r="B686" s="133"/>
      <c r="C686" s="131"/>
      <c r="D686" s="131"/>
      <c r="E686" s="131"/>
      <c r="F686" s="138"/>
      <c r="G686" s="131"/>
      <c r="H686" s="131"/>
      <c r="I686" s="131"/>
      <c r="J686" s="138"/>
    </row>
    <row r="687">
      <c r="A687" s="133"/>
      <c r="B687" s="133"/>
      <c r="C687" s="131"/>
      <c r="D687" s="131"/>
      <c r="E687" s="131"/>
      <c r="F687" s="138"/>
      <c r="G687" s="131"/>
      <c r="H687" s="131"/>
      <c r="I687" s="131"/>
      <c r="J687" s="138"/>
    </row>
    <row r="688">
      <c r="A688" s="133"/>
      <c r="B688" s="133"/>
      <c r="C688" s="131"/>
      <c r="D688" s="131"/>
      <c r="E688" s="131"/>
      <c r="F688" s="138"/>
      <c r="G688" s="131"/>
      <c r="H688" s="131"/>
      <c r="I688" s="131"/>
      <c r="J688" s="138"/>
    </row>
    <row r="689">
      <c r="A689" s="133"/>
      <c r="B689" s="133"/>
      <c r="C689" s="131"/>
      <c r="D689" s="131"/>
      <c r="E689" s="131"/>
      <c r="F689" s="138"/>
      <c r="G689" s="131"/>
      <c r="H689" s="131"/>
      <c r="I689" s="131"/>
      <c r="J689" s="138"/>
    </row>
    <row r="690">
      <c r="A690" s="133"/>
      <c r="B690" s="133"/>
      <c r="C690" s="131"/>
      <c r="D690" s="131"/>
      <c r="E690" s="131"/>
      <c r="F690" s="138"/>
      <c r="G690" s="131"/>
      <c r="H690" s="131"/>
      <c r="I690" s="131"/>
      <c r="J690" s="138"/>
    </row>
    <row r="691">
      <c r="A691" s="133"/>
      <c r="B691" s="133"/>
      <c r="C691" s="131"/>
      <c r="D691" s="131"/>
      <c r="E691" s="131"/>
      <c r="F691" s="138"/>
      <c r="G691" s="131"/>
      <c r="H691" s="131"/>
      <c r="I691" s="131"/>
      <c r="J691" s="138"/>
    </row>
    <row r="692">
      <c r="A692" s="133"/>
      <c r="B692" s="133"/>
      <c r="C692" s="131"/>
      <c r="D692" s="131"/>
      <c r="E692" s="131"/>
      <c r="F692" s="138"/>
      <c r="G692" s="131"/>
      <c r="H692" s="131"/>
      <c r="I692" s="131"/>
      <c r="J692" s="138"/>
    </row>
    <row r="693">
      <c r="A693" s="133"/>
      <c r="B693" s="133"/>
      <c r="C693" s="131"/>
      <c r="D693" s="131"/>
      <c r="E693" s="131"/>
      <c r="F693" s="138"/>
      <c r="G693" s="131"/>
      <c r="H693" s="131"/>
      <c r="I693" s="131"/>
      <c r="J693" s="138"/>
    </row>
    <row r="694">
      <c r="A694" s="133"/>
      <c r="B694" s="133"/>
      <c r="C694" s="131"/>
      <c r="D694" s="131"/>
      <c r="E694" s="131"/>
      <c r="F694" s="138"/>
      <c r="G694" s="131"/>
      <c r="H694" s="131"/>
      <c r="I694" s="131"/>
      <c r="J694" s="138"/>
    </row>
    <row r="695">
      <c r="A695" s="133"/>
      <c r="B695" s="133"/>
      <c r="C695" s="131"/>
      <c r="D695" s="131"/>
      <c r="E695" s="131"/>
      <c r="F695" s="138"/>
      <c r="G695" s="131"/>
      <c r="H695" s="131"/>
      <c r="I695" s="131"/>
      <c r="J695" s="138"/>
    </row>
    <row r="696">
      <c r="A696" s="133"/>
      <c r="B696" s="133"/>
      <c r="C696" s="131"/>
      <c r="D696" s="131"/>
      <c r="E696" s="131"/>
      <c r="F696" s="138"/>
      <c r="G696" s="131"/>
      <c r="H696" s="131"/>
      <c r="I696" s="131"/>
      <c r="J696" s="138"/>
    </row>
    <row r="697">
      <c r="A697" s="133"/>
      <c r="B697" s="133"/>
      <c r="C697" s="131"/>
      <c r="D697" s="131"/>
      <c r="E697" s="131"/>
      <c r="F697" s="138"/>
      <c r="G697" s="131"/>
      <c r="H697" s="131"/>
      <c r="I697" s="131"/>
      <c r="J697" s="138"/>
    </row>
    <row r="698">
      <c r="A698" s="133"/>
      <c r="B698" s="133"/>
      <c r="C698" s="131"/>
      <c r="D698" s="131"/>
      <c r="E698" s="131"/>
      <c r="F698" s="138"/>
      <c r="G698" s="131"/>
      <c r="H698" s="131"/>
      <c r="I698" s="131"/>
      <c r="J698" s="138"/>
    </row>
    <row r="699">
      <c r="A699" s="133"/>
      <c r="B699" s="133"/>
      <c r="C699" s="131"/>
      <c r="D699" s="131"/>
      <c r="E699" s="131"/>
      <c r="F699" s="138"/>
      <c r="G699" s="131"/>
      <c r="H699" s="131"/>
      <c r="I699" s="131"/>
      <c r="J699" s="138"/>
    </row>
    <row r="700">
      <c r="A700" s="133"/>
      <c r="B700" s="133"/>
      <c r="C700" s="131"/>
      <c r="D700" s="131"/>
      <c r="E700" s="131"/>
      <c r="F700" s="138"/>
      <c r="G700" s="131"/>
      <c r="H700" s="131"/>
      <c r="I700" s="131"/>
      <c r="J700" s="138"/>
    </row>
    <row r="701">
      <c r="A701" s="133"/>
      <c r="B701" s="133"/>
      <c r="C701" s="131"/>
      <c r="D701" s="131"/>
      <c r="E701" s="131"/>
      <c r="F701" s="138"/>
      <c r="G701" s="131"/>
      <c r="H701" s="131"/>
      <c r="I701" s="131"/>
      <c r="J701" s="138"/>
    </row>
    <row r="702">
      <c r="A702" s="133"/>
      <c r="B702" s="133"/>
      <c r="C702" s="131"/>
      <c r="D702" s="131"/>
      <c r="E702" s="131"/>
      <c r="F702" s="138"/>
      <c r="G702" s="131"/>
      <c r="H702" s="131"/>
      <c r="I702" s="131"/>
      <c r="J702" s="138"/>
    </row>
    <row r="703">
      <c r="A703" s="133"/>
      <c r="B703" s="133"/>
      <c r="C703" s="131"/>
      <c r="D703" s="131"/>
      <c r="E703" s="131"/>
      <c r="F703" s="138"/>
      <c r="G703" s="131"/>
      <c r="H703" s="131"/>
      <c r="I703" s="131"/>
      <c r="J703" s="138"/>
    </row>
    <row r="704">
      <c r="A704" s="133"/>
      <c r="B704" s="133"/>
      <c r="C704" s="131"/>
      <c r="D704" s="131"/>
      <c r="E704" s="131"/>
      <c r="F704" s="138"/>
      <c r="G704" s="131"/>
      <c r="H704" s="131"/>
      <c r="I704" s="131"/>
      <c r="J704" s="138"/>
    </row>
    <row r="705">
      <c r="A705" s="133"/>
      <c r="B705" s="133"/>
      <c r="C705" s="131"/>
      <c r="D705" s="131"/>
      <c r="E705" s="131"/>
      <c r="F705" s="138"/>
      <c r="G705" s="131"/>
      <c r="H705" s="131"/>
      <c r="I705" s="131"/>
      <c r="J705" s="138"/>
    </row>
    <row r="706">
      <c r="A706" s="133"/>
      <c r="B706" s="133"/>
      <c r="C706" s="131"/>
      <c r="D706" s="131"/>
      <c r="E706" s="131"/>
      <c r="F706" s="138"/>
      <c r="G706" s="131"/>
      <c r="H706" s="131"/>
      <c r="I706" s="131"/>
      <c r="J706" s="138"/>
    </row>
    <row r="707">
      <c r="A707" s="133"/>
      <c r="B707" s="133"/>
      <c r="C707" s="131"/>
      <c r="D707" s="131"/>
      <c r="E707" s="131"/>
      <c r="F707" s="138"/>
      <c r="G707" s="131"/>
      <c r="H707" s="131"/>
      <c r="I707" s="131"/>
      <c r="J707" s="138"/>
    </row>
    <row r="708">
      <c r="A708" s="133"/>
      <c r="B708" s="133"/>
      <c r="C708" s="131"/>
      <c r="D708" s="131"/>
      <c r="E708" s="131"/>
      <c r="F708" s="138"/>
      <c r="G708" s="131"/>
      <c r="H708" s="131"/>
      <c r="I708" s="131"/>
      <c r="J708" s="138"/>
    </row>
    <row r="709">
      <c r="A709" s="133"/>
      <c r="B709" s="133"/>
      <c r="C709" s="131"/>
      <c r="D709" s="131"/>
      <c r="E709" s="131"/>
      <c r="F709" s="138"/>
      <c r="G709" s="131"/>
      <c r="H709" s="131"/>
      <c r="I709" s="131"/>
      <c r="J709" s="138"/>
    </row>
    <row r="710">
      <c r="A710" s="133"/>
      <c r="B710" s="133"/>
      <c r="C710" s="131"/>
      <c r="D710" s="131"/>
      <c r="E710" s="131"/>
      <c r="F710" s="138"/>
      <c r="G710" s="131"/>
      <c r="H710" s="131"/>
      <c r="I710" s="131"/>
      <c r="J710" s="138"/>
    </row>
    <row r="711">
      <c r="A711" s="133"/>
      <c r="B711" s="133"/>
      <c r="C711" s="131"/>
      <c r="D711" s="131"/>
      <c r="E711" s="131"/>
      <c r="F711" s="138"/>
      <c r="G711" s="131"/>
      <c r="H711" s="131"/>
      <c r="I711" s="131"/>
      <c r="J711" s="138"/>
    </row>
    <row r="712">
      <c r="A712" s="133"/>
      <c r="B712" s="133"/>
      <c r="C712" s="131"/>
      <c r="D712" s="131"/>
      <c r="E712" s="131"/>
      <c r="F712" s="138"/>
      <c r="G712" s="131"/>
      <c r="H712" s="131"/>
      <c r="I712" s="131"/>
      <c r="J712" s="138"/>
    </row>
    <row r="713">
      <c r="A713" s="133"/>
      <c r="B713" s="133"/>
      <c r="C713" s="131"/>
      <c r="D713" s="131"/>
      <c r="E713" s="131"/>
      <c r="F713" s="138"/>
      <c r="G713" s="131"/>
      <c r="H713" s="131"/>
      <c r="I713" s="131"/>
      <c r="J713" s="138"/>
    </row>
    <row r="714">
      <c r="A714" s="133"/>
      <c r="B714" s="133"/>
      <c r="C714" s="131"/>
      <c r="D714" s="131"/>
      <c r="E714" s="131"/>
      <c r="F714" s="138"/>
      <c r="G714" s="131"/>
      <c r="H714" s="131"/>
      <c r="I714" s="131"/>
      <c r="J714" s="138"/>
    </row>
    <row r="715">
      <c r="A715" s="133"/>
      <c r="B715" s="133"/>
      <c r="C715" s="131"/>
      <c r="D715" s="131"/>
      <c r="E715" s="131"/>
      <c r="F715" s="138"/>
      <c r="G715" s="131"/>
      <c r="H715" s="131"/>
      <c r="I715" s="131"/>
      <c r="J715" s="138"/>
    </row>
    <row r="716">
      <c r="A716" s="133"/>
      <c r="B716" s="133"/>
      <c r="C716" s="131"/>
      <c r="D716" s="131"/>
      <c r="E716" s="131"/>
      <c r="F716" s="138"/>
      <c r="G716" s="131"/>
      <c r="H716" s="131"/>
      <c r="I716" s="131"/>
      <c r="J716" s="138"/>
    </row>
    <row r="717">
      <c r="A717" s="133"/>
      <c r="B717" s="133"/>
      <c r="C717" s="131"/>
      <c r="D717" s="131"/>
      <c r="E717" s="131"/>
      <c r="F717" s="138"/>
      <c r="G717" s="131"/>
      <c r="H717" s="131"/>
      <c r="I717" s="131"/>
      <c r="J717" s="138"/>
    </row>
    <row r="718">
      <c r="A718" s="133"/>
      <c r="B718" s="133"/>
      <c r="C718" s="131"/>
      <c r="D718" s="131"/>
      <c r="E718" s="131"/>
      <c r="F718" s="138"/>
      <c r="G718" s="131"/>
      <c r="H718" s="131"/>
      <c r="I718" s="131"/>
      <c r="J718" s="138"/>
    </row>
    <row r="719">
      <c r="A719" s="133"/>
      <c r="B719" s="133"/>
      <c r="C719" s="131"/>
      <c r="D719" s="131"/>
      <c r="E719" s="131"/>
      <c r="F719" s="138"/>
      <c r="G719" s="131"/>
      <c r="H719" s="131"/>
      <c r="I719" s="131"/>
      <c r="J719" s="138"/>
    </row>
    <row r="720">
      <c r="A720" s="133"/>
      <c r="B720" s="133"/>
      <c r="C720" s="131"/>
      <c r="D720" s="131"/>
      <c r="E720" s="131"/>
      <c r="F720" s="138"/>
      <c r="G720" s="131"/>
      <c r="H720" s="131"/>
      <c r="I720" s="131"/>
      <c r="J720" s="138"/>
    </row>
    <row r="721">
      <c r="A721" s="133"/>
      <c r="B721" s="133"/>
      <c r="C721" s="131"/>
      <c r="D721" s="131"/>
      <c r="E721" s="131"/>
      <c r="F721" s="138"/>
      <c r="G721" s="131"/>
      <c r="H721" s="131"/>
      <c r="I721" s="131"/>
      <c r="J721" s="138"/>
    </row>
    <row r="722">
      <c r="A722" s="133"/>
      <c r="B722" s="133"/>
      <c r="C722" s="131"/>
      <c r="D722" s="131"/>
      <c r="E722" s="131"/>
      <c r="F722" s="138"/>
      <c r="G722" s="131"/>
      <c r="H722" s="131"/>
      <c r="I722" s="131"/>
      <c r="J722" s="138"/>
    </row>
    <row r="723">
      <c r="A723" s="133"/>
      <c r="B723" s="133"/>
      <c r="C723" s="131"/>
      <c r="D723" s="131"/>
      <c r="E723" s="131"/>
      <c r="F723" s="138"/>
      <c r="G723" s="131"/>
      <c r="H723" s="131"/>
      <c r="I723" s="131"/>
      <c r="J723" s="138"/>
    </row>
    <row r="724">
      <c r="A724" s="133"/>
      <c r="B724" s="133"/>
      <c r="C724" s="131"/>
      <c r="D724" s="131"/>
      <c r="E724" s="131"/>
      <c r="F724" s="138"/>
      <c r="G724" s="131"/>
      <c r="H724" s="131"/>
      <c r="I724" s="131"/>
      <c r="J724" s="138"/>
    </row>
    <row r="725">
      <c r="A725" s="133"/>
      <c r="B725" s="133"/>
      <c r="C725" s="131"/>
      <c r="D725" s="131"/>
      <c r="E725" s="131"/>
      <c r="F725" s="138"/>
      <c r="G725" s="131"/>
      <c r="H725" s="131"/>
      <c r="I725" s="131"/>
      <c r="J725" s="138"/>
    </row>
    <row r="726">
      <c r="A726" s="133"/>
      <c r="B726" s="133"/>
      <c r="C726" s="131"/>
      <c r="D726" s="131"/>
      <c r="E726" s="131"/>
      <c r="F726" s="138"/>
      <c r="G726" s="131"/>
      <c r="H726" s="131"/>
      <c r="I726" s="131"/>
      <c r="J726" s="138"/>
    </row>
    <row r="727">
      <c r="A727" s="133"/>
      <c r="B727" s="133"/>
      <c r="C727" s="131"/>
      <c r="D727" s="131"/>
      <c r="E727" s="131"/>
      <c r="F727" s="138"/>
      <c r="G727" s="131"/>
      <c r="H727" s="131"/>
      <c r="I727" s="131"/>
      <c r="J727" s="138"/>
    </row>
    <row r="728">
      <c r="A728" s="133"/>
      <c r="B728" s="133"/>
      <c r="C728" s="131"/>
      <c r="D728" s="131"/>
      <c r="E728" s="131"/>
      <c r="F728" s="138"/>
      <c r="G728" s="131"/>
      <c r="H728" s="131"/>
      <c r="I728" s="131"/>
      <c r="J728" s="138"/>
    </row>
    <row r="729">
      <c r="A729" s="133"/>
      <c r="B729" s="133"/>
      <c r="C729" s="131"/>
      <c r="D729" s="131"/>
      <c r="E729" s="131"/>
      <c r="F729" s="138"/>
      <c r="G729" s="131"/>
      <c r="H729" s="131"/>
      <c r="I729" s="131"/>
      <c r="J729" s="138"/>
    </row>
    <row r="730">
      <c r="A730" s="133"/>
      <c r="B730" s="133"/>
      <c r="C730" s="131"/>
      <c r="D730" s="131"/>
      <c r="E730" s="131"/>
      <c r="F730" s="138"/>
      <c r="G730" s="131"/>
      <c r="H730" s="131"/>
      <c r="I730" s="131"/>
      <c r="J730" s="138"/>
    </row>
    <row r="731">
      <c r="A731" s="133"/>
      <c r="B731" s="133"/>
      <c r="C731" s="131"/>
      <c r="D731" s="131"/>
      <c r="E731" s="131"/>
      <c r="F731" s="138"/>
      <c r="G731" s="131"/>
      <c r="H731" s="131"/>
      <c r="I731" s="131"/>
      <c r="J731" s="138"/>
    </row>
    <row r="732">
      <c r="A732" s="133"/>
      <c r="B732" s="133"/>
      <c r="C732" s="131"/>
      <c r="D732" s="131"/>
      <c r="E732" s="131"/>
      <c r="F732" s="138"/>
      <c r="G732" s="131"/>
      <c r="H732" s="131"/>
      <c r="I732" s="131"/>
      <c r="J732" s="138"/>
    </row>
    <row r="733">
      <c r="A733" s="133"/>
      <c r="B733" s="133"/>
      <c r="C733" s="131"/>
      <c r="D733" s="131"/>
      <c r="E733" s="131"/>
      <c r="F733" s="138"/>
      <c r="G733" s="131"/>
      <c r="H733" s="131"/>
      <c r="I733" s="131"/>
      <c r="J733" s="138"/>
    </row>
    <row r="734">
      <c r="A734" s="133"/>
      <c r="B734" s="133"/>
      <c r="C734" s="131"/>
      <c r="D734" s="131"/>
      <c r="E734" s="131"/>
      <c r="F734" s="138"/>
      <c r="G734" s="131"/>
      <c r="H734" s="131"/>
      <c r="I734" s="131"/>
      <c r="J734" s="138"/>
    </row>
    <row r="735">
      <c r="A735" s="133"/>
      <c r="B735" s="133"/>
      <c r="C735" s="131"/>
      <c r="D735" s="131"/>
      <c r="E735" s="131"/>
      <c r="F735" s="138"/>
      <c r="G735" s="131"/>
      <c r="H735" s="131"/>
      <c r="I735" s="131"/>
      <c r="J735" s="138"/>
    </row>
    <row r="736">
      <c r="A736" s="133"/>
      <c r="B736" s="133"/>
      <c r="C736" s="131"/>
      <c r="D736" s="131"/>
      <c r="E736" s="131"/>
      <c r="F736" s="138"/>
      <c r="G736" s="131"/>
      <c r="H736" s="131"/>
      <c r="I736" s="131"/>
      <c r="J736" s="138"/>
    </row>
    <row r="737">
      <c r="A737" s="133"/>
      <c r="B737" s="133"/>
      <c r="C737" s="131"/>
      <c r="D737" s="131"/>
      <c r="E737" s="131"/>
      <c r="F737" s="138"/>
      <c r="G737" s="131"/>
      <c r="H737" s="131"/>
      <c r="I737" s="131"/>
      <c r="J737" s="138"/>
    </row>
    <row r="738">
      <c r="A738" s="133"/>
      <c r="B738" s="133"/>
      <c r="C738" s="131"/>
      <c r="D738" s="131"/>
      <c r="E738" s="131"/>
      <c r="F738" s="138"/>
      <c r="G738" s="131"/>
      <c r="H738" s="131"/>
      <c r="I738" s="131"/>
      <c r="J738" s="138"/>
    </row>
    <row r="739">
      <c r="A739" s="133"/>
      <c r="B739" s="133"/>
      <c r="C739" s="131"/>
      <c r="D739" s="131"/>
      <c r="E739" s="131"/>
      <c r="F739" s="138"/>
      <c r="G739" s="131"/>
      <c r="H739" s="131"/>
      <c r="I739" s="131"/>
      <c r="J739" s="138"/>
    </row>
    <row r="740">
      <c r="A740" s="133"/>
      <c r="B740" s="133"/>
      <c r="C740" s="131"/>
      <c r="D740" s="131"/>
      <c r="E740" s="131"/>
      <c r="F740" s="138"/>
      <c r="G740" s="131"/>
      <c r="H740" s="131"/>
      <c r="I740" s="131"/>
      <c r="J740" s="138"/>
    </row>
    <row r="741">
      <c r="A741" s="133"/>
      <c r="B741" s="133"/>
      <c r="C741" s="131"/>
      <c r="D741" s="131"/>
      <c r="E741" s="131"/>
      <c r="F741" s="138"/>
      <c r="G741" s="131"/>
      <c r="H741" s="131"/>
      <c r="I741" s="131"/>
      <c r="J741" s="138"/>
    </row>
    <row r="742">
      <c r="A742" s="133"/>
      <c r="B742" s="133"/>
      <c r="C742" s="131"/>
      <c r="D742" s="131"/>
      <c r="E742" s="131"/>
      <c r="F742" s="138"/>
      <c r="G742" s="131"/>
      <c r="H742" s="131"/>
      <c r="I742" s="131"/>
      <c r="J742" s="138"/>
    </row>
    <row r="743">
      <c r="A743" s="133"/>
      <c r="B743" s="133"/>
      <c r="C743" s="131"/>
      <c r="D743" s="131"/>
      <c r="E743" s="131"/>
      <c r="F743" s="138"/>
      <c r="G743" s="131"/>
      <c r="H743" s="131"/>
      <c r="I743" s="131"/>
      <c r="J743" s="138"/>
    </row>
    <row r="744">
      <c r="A744" s="133"/>
      <c r="B744" s="133"/>
      <c r="C744" s="131"/>
      <c r="D744" s="131"/>
      <c r="E744" s="131"/>
      <c r="F744" s="138"/>
      <c r="G744" s="131"/>
      <c r="H744" s="131"/>
      <c r="I744" s="131"/>
      <c r="J744" s="138"/>
    </row>
    <row r="745">
      <c r="A745" s="133"/>
      <c r="B745" s="133"/>
      <c r="C745" s="131"/>
      <c r="D745" s="131"/>
      <c r="E745" s="131"/>
      <c r="F745" s="138"/>
      <c r="G745" s="131"/>
      <c r="H745" s="131"/>
      <c r="I745" s="131"/>
      <c r="J745" s="138"/>
    </row>
    <row r="746">
      <c r="A746" s="133"/>
      <c r="B746" s="133"/>
      <c r="C746" s="131"/>
      <c r="D746" s="131"/>
      <c r="E746" s="131"/>
      <c r="F746" s="138"/>
      <c r="G746" s="131"/>
      <c r="H746" s="131"/>
      <c r="I746" s="131"/>
      <c r="J746" s="138"/>
    </row>
    <row r="747">
      <c r="A747" s="133"/>
      <c r="B747" s="133"/>
      <c r="C747" s="131"/>
      <c r="D747" s="131"/>
      <c r="E747" s="131"/>
      <c r="F747" s="138"/>
      <c r="G747" s="131"/>
      <c r="H747" s="131"/>
      <c r="I747" s="131"/>
      <c r="J747" s="138"/>
    </row>
    <row r="748">
      <c r="A748" s="133"/>
      <c r="B748" s="133"/>
      <c r="C748" s="131"/>
      <c r="D748" s="131"/>
      <c r="E748" s="131"/>
      <c r="F748" s="138"/>
      <c r="G748" s="131"/>
      <c r="H748" s="131"/>
      <c r="I748" s="131"/>
      <c r="J748" s="138"/>
    </row>
    <row r="749">
      <c r="A749" s="133"/>
      <c r="B749" s="133"/>
      <c r="C749" s="131"/>
      <c r="D749" s="131"/>
      <c r="E749" s="131"/>
      <c r="F749" s="138"/>
      <c r="G749" s="131"/>
      <c r="H749" s="131"/>
      <c r="I749" s="131"/>
      <c r="J749" s="138"/>
    </row>
    <row r="750">
      <c r="A750" s="133"/>
      <c r="B750" s="133"/>
      <c r="C750" s="131"/>
      <c r="D750" s="131"/>
      <c r="E750" s="131"/>
      <c r="F750" s="138"/>
      <c r="G750" s="131"/>
      <c r="H750" s="131"/>
      <c r="I750" s="131"/>
      <c r="J750" s="138"/>
    </row>
    <row r="751">
      <c r="A751" s="133"/>
      <c r="B751" s="133"/>
      <c r="C751" s="131"/>
      <c r="D751" s="131"/>
      <c r="E751" s="131"/>
      <c r="F751" s="138"/>
      <c r="G751" s="131"/>
      <c r="H751" s="131"/>
      <c r="I751" s="131"/>
      <c r="J751" s="138"/>
    </row>
    <row r="752">
      <c r="A752" s="133"/>
      <c r="B752" s="133"/>
      <c r="C752" s="131"/>
      <c r="D752" s="131"/>
      <c r="E752" s="131"/>
      <c r="F752" s="138"/>
      <c r="G752" s="131"/>
      <c r="H752" s="131"/>
      <c r="I752" s="131"/>
      <c r="J752" s="138"/>
    </row>
    <row r="753">
      <c r="A753" s="133"/>
      <c r="B753" s="133"/>
      <c r="C753" s="131"/>
      <c r="D753" s="131"/>
      <c r="E753" s="131"/>
      <c r="F753" s="138"/>
      <c r="G753" s="131"/>
      <c r="H753" s="131"/>
      <c r="I753" s="131"/>
      <c r="J753" s="138"/>
    </row>
    <row r="754">
      <c r="A754" s="133"/>
      <c r="B754" s="133"/>
      <c r="C754" s="131"/>
      <c r="D754" s="131"/>
      <c r="E754" s="131"/>
      <c r="F754" s="138"/>
      <c r="G754" s="131"/>
      <c r="H754" s="131"/>
      <c r="I754" s="131"/>
      <c r="J754" s="138"/>
    </row>
    <row r="755">
      <c r="A755" s="133"/>
      <c r="B755" s="133"/>
      <c r="C755" s="131"/>
      <c r="D755" s="131"/>
      <c r="E755" s="131"/>
      <c r="F755" s="138"/>
      <c r="G755" s="131"/>
      <c r="H755" s="131"/>
      <c r="I755" s="131"/>
      <c r="J755" s="138"/>
    </row>
    <row r="756">
      <c r="A756" s="133"/>
      <c r="B756" s="133"/>
      <c r="C756" s="131"/>
      <c r="D756" s="131"/>
      <c r="E756" s="131"/>
      <c r="F756" s="138"/>
      <c r="G756" s="131"/>
      <c r="H756" s="131"/>
      <c r="I756" s="131"/>
      <c r="J756" s="138"/>
    </row>
    <row r="757">
      <c r="A757" s="133"/>
      <c r="B757" s="133"/>
      <c r="C757" s="131"/>
      <c r="D757" s="131"/>
      <c r="E757" s="131"/>
      <c r="F757" s="138"/>
      <c r="G757" s="131"/>
      <c r="H757" s="131"/>
      <c r="I757" s="131"/>
      <c r="J757" s="138"/>
    </row>
    <row r="758">
      <c r="A758" s="133"/>
      <c r="B758" s="133"/>
      <c r="C758" s="131"/>
      <c r="D758" s="131"/>
      <c r="E758" s="131"/>
      <c r="F758" s="138"/>
      <c r="G758" s="131"/>
      <c r="H758" s="131"/>
      <c r="I758" s="131"/>
      <c r="J758" s="138"/>
    </row>
    <row r="759">
      <c r="A759" s="133"/>
      <c r="B759" s="133"/>
      <c r="C759" s="131"/>
      <c r="D759" s="131"/>
      <c r="E759" s="131"/>
      <c r="F759" s="138"/>
      <c r="G759" s="131"/>
      <c r="H759" s="131"/>
      <c r="I759" s="131"/>
      <c r="J759" s="138"/>
    </row>
    <row r="760">
      <c r="A760" s="133"/>
      <c r="B760" s="133"/>
      <c r="C760" s="131"/>
      <c r="D760" s="131"/>
      <c r="E760" s="131"/>
      <c r="F760" s="138"/>
      <c r="G760" s="131"/>
      <c r="H760" s="131"/>
      <c r="I760" s="131"/>
      <c r="J760" s="138"/>
    </row>
    <row r="761">
      <c r="A761" s="133"/>
      <c r="B761" s="133"/>
      <c r="C761" s="131"/>
      <c r="D761" s="131"/>
      <c r="E761" s="131"/>
      <c r="F761" s="138"/>
      <c r="G761" s="131"/>
      <c r="H761" s="131"/>
      <c r="I761" s="131"/>
      <c r="J761" s="138"/>
    </row>
    <row r="762">
      <c r="A762" s="133"/>
      <c r="B762" s="133"/>
      <c r="C762" s="131"/>
      <c r="D762" s="131"/>
      <c r="E762" s="131"/>
      <c r="F762" s="138"/>
      <c r="G762" s="131"/>
      <c r="H762" s="131"/>
      <c r="I762" s="131"/>
      <c r="J762" s="138"/>
    </row>
    <row r="763">
      <c r="A763" s="133"/>
      <c r="B763" s="133"/>
      <c r="C763" s="131"/>
      <c r="D763" s="131"/>
      <c r="E763" s="131"/>
      <c r="F763" s="138"/>
      <c r="G763" s="131"/>
      <c r="H763" s="131"/>
      <c r="I763" s="131"/>
      <c r="J763" s="138"/>
    </row>
    <row r="764">
      <c r="A764" s="133"/>
      <c r="B764" s="133"/>
      <c r="C764" s="131"/>
      <c r="D764" s="131"/>
      <c r="E764" s="131"/>
      <c r="F764" s="138"/>
      <c r="G764" s="131"/>
      <c r="H764" s="131"/>
      <c r="I764" s="131"/>
      <c r="J764" s="138"/>
    </row>
    <row r="765">
      <c r="A765" s="133"/>
      <c r="B765" s="133"/>
      <c r="C765" s="131"/>
      <c r="D765" s="131"/>
      <c r="E765" s="131"/>
      <c r="F765" s="138"/>
      <c r="G765" s="131"/>
      <c r="H765" s="131"/>
      <c r="I765" s="131"/>
      <c r="J765" s="138"/>
    </row>
    <row r="766">
      <c r="A766" s="133"/>
      <c r="B766" s="133"/>
      <c r="C766" s="131"/>
      <c r="D766" s="131"/>
      <c r="E766" s="131"/>
      <c r="F766" s="138"/>
      <c r="G766" s="131"/>
      <c r="H766" s="131"/>
      <c r="I766" s="131"/>
      <c r="J766" s="138"/>
    </row>
    <row r="767">
      <c r="A767" s="133"/>
      <c r="B767" s="133"/>
      <c r="C767" s="131"/>
      <c r="D767" s="131"/>
      <c r="E767" s="131"/>
      <c r="F767" s="138"/>
      <c r="G767" s="131"/>
      <c r="H767" s="131"/>
      <c r="I767" s="131"/>
      <c r="J767" s="138"/>
    </row>
    <row r="768">
      <c r="A768" s="133"/>
      <c r="B768" s="133"/>
      <c r="C768" s="131"/>
      <c r="D768" s="131"/>
      <c r="E768" s="131"/>
      <c r="F768" s="138"/>
      <c r="G768" s="131"/>
      <c r="H768" s="131"/>
      <c r="I768" s="131"/>
      <c r="J768" s="138"/>
    </row>
    <row r="769">
      <c r="A769" s="133"/>
      <c r="B769" s="133"/>
      <c r="C769" s="131"/>
      <c r="D769" s="131"/>
      <c r="E769" s="131"/>
      <c r="F769" s="138"/>
      <c r="G769" s="131"/>
      <c r="H769" s="131"/>
      <c r="I769" s="131"/>
      <c r="J769" s="138"/>
    </row>
    <row r="770">
      <c r="A770" s="133"/>
      <c r="B770" s="133"/>
      <c r="C770" s="131"/>
      <c r="D770" s="131"/>
      <c r="E770" s="131"/>
      <c r="F770" s="138"/>
      <c r="G770" s="131"/>
      <c r="H770" s="131"/>
      <c r="I770" s="131"/>
      <c r="J770" s="138"/>
    </row>
    <row r="771">
      <c r="A771" s="133"/>
      <c r="B771" s="133"/>
      <c r="C771" s="131"/>
      <c r="D771" s="131"/>
      <c r="E771" s="131"/>
      <c r="F771" s="138"/>
      <c r="G771" s="131"/>
      <c r="H771" s="131"/>
      <c r="I771" s="131"/>
      <c r="J771" s="138"/>
    </row>
    <row r="772">
      <c r="A772" s="133"/>
      <c r="B772" s="133"/>
      <c r="C772" s="131"/>
      <c r="D772" s="131"/>
      <c r="E772" s="131"/>
      <c r="F772" s="138"/>
      <c r="G772" s="131"/>
      <c r="H772" s="131"/>
      <c r="I772" s="131"/>
      <c r="J772" s="138"/>
    </row>
    <row r="773">
      <c r="A773" s="133"/>
      <c r="B773" s="133"/>
      <c r="C773" s="131"/>
      <c r="D773" s="131"/>
      <c r="E773" s="131"/>
      <c r="F773" s="138"/>
      <c r="G773" s="131"/>
      <c r="H773" s="131"/>
      <c r="I773" s="131"/>
      <c r="J773" s="138"/>
    </row>
    <row r="774">
      <c r="A774" s="133"/>
      <c r="B774" s="133"/>
      <c r="C774" s="131"/>
      <c r="D774" s="131"/>
      <c r="E774" s="131"/>
      <c r="F774" s="138"/>
      <c r="G774" s="131"/>
      <c r="H774" s="131"/>
      <c r="I774" s="131"/>
      <c r="J774" s="138"/>
    </row>
    <row r="775">
      <c r="A775" s="133"/>
      <c r="B775" s="133"/>
      <c r="C775" s="131"/>
      <c r="D775" s="131"/>
      <c r="E775" s="131"/>
      <c r="F775" s="138"/>
      <c r="G775" s="131"/>
      <c r="H775" s="131"/>
      <c r="I775" s="131"/>
      <c r="J775" s="138"/>
    </row>
    <row r="776">
      <c r="A776" s="133"/>
      <c r="B776" s="133"/>
      <c r="C776" s="131"/>
      <c r="D776" s="131"/>
      <c r="E776" s="131"/>
      <c r="F776" s="138"/>
      <c r="G776" s="131"/>
      <c r="H776" s="131"/>
      <c r="I776" s="131"/>
      <c r="J776" s="138"/>
    </row>
    <row r="777">
      <c r="A777" s="133"/>
      <c r="B777" s="133"/>
      <c r="C777" s="131"/>
      <c r="D777" s="131"/>
      <c r="E777" s="131"/>
      <c r="F777" s="138"/>
      <c r="G777" s="131"/>
      <c r="H777" s="131"/>
      <c r="I777" s="131"/>
      <c r="J777" s="138"/>
    </row>
    <row r="778">
      <c r="A778" s="133"/>
      <c r="B778" s="133"/>
      <c r="C778" s="131"/>
      <c r="D778" s="131"/>
      <c r="E778" s="131"/>
      <c r="F778" s="138"/>
      <c r="G778" s="131"/>
      <c r="H778" s="131"/>
      <c r="I778" s="131"/>
      <c r="J778" s="138"/>
    </row>
    <row r="779">
      <c r="A779" s="133"/>
      <c r="B779" s="133"/>
      <c r="C779" s="131"/>
      <c r="D779" s="131"/>
      <c r="E779" s="131"/>
      <c r="F779" s="138"/>
      <c r="G779" s="131"/>
      <c r="H779" s="131"/>
      <c r="I779" s="131"/>
      <c r="J779" s="138"/>
    </row>
    <row r="780">
      <c r="A780" s="133"/>
      <c r="B780" s="133"/>
      <c r="C780" s="131"/>
      <c r="D780" s="131"/>
      <c r="E780" s="131"/>
      <c r="F780" s="138"/>
      <c r="G780" s="131"/>
      <c r="H780" s="131"/>
      <c r="I780" s="131"/>
      <c r="J780" s="138"/>
    </row>
    <row r="781">
      <c r="A781" s="133"/>
      <c r="B781" s="133"/>
      <c r="C781" s="131"/>
      <c r="D781" s="131"/>
      <c r="E781" s="131"/>
      <c r="F781" s="138"/>
      <c r="G781" s="131"/>
      <c r="H781" s="131"/>
      <c r="I781" s="131"/>
      <c r="J781" s="138"/>
    </row>
    <row r="782">
      <c r="A782" s="133"/>
      <c r="B782" s="133"/>
      <c r="C782" s="131"/>
      <c r="D782" s="131"/>
      <c r="E782" s="131"/>
      <c r="F782" s="138"/>
      <c r="G782" s="131"/>
      <c r="H782" s="131"/>
      <c r="I782" s="131"/>
      <c r="J782" s="138"/>
    </row>
    <row r="783">
      <c r="A783" s="133"/>
      <c r="B783" s="133"/>
      <c r="C783" s="131"/>
      <c r="D783" s="131"/>
      <c r="E783" s="131"/>
      <c r="F783" s="138"/>
      <c r="G783" s="131"/>
      <c r="H783" s="131"/>
      <c r="I783" s="131"/>
      <c r="J783" s="138"/>
    </row>
    <row r="784">
      <c r="A784" s="133"/>
      <c r="B784" s="133"/>
      <c r="C784" s="131"/>
      <c r="D784" s="131"/>
      <c r="E784" s="131"/>
      <c r="F784" s="138"/>
      <c r="G784" s="131"/>
      <c r="H784" s="131"/>
      <c r="I784" s="131"/>
      <c r="J784" s="138"/>
    </row>
    <row r="785">
      <c r="A785" s="133"/>
      <c r="B785" s="133"/>
      <c r="C785" s="131"/>
      <c r="D785" s="131"/>
      <c r="E785" s="131"/>
      <c r="F785" s="138"/>
      <c r="G785" s="131"/>
      <c r="H785" s="131"/>
      <c r="I785" s="131"/>
      <c r="J785" s="138"/>
    </row>
    <row r="786">
      <c r="A786" s="133"/>
      <c r="B786" s="133"/>
      <c r="C786" s="131"/>
      <c r="D786" s="131"/>
      <c r="E786" s="131"/>
      <c r="F786" s="138"/>
      <c r="G786" s="131"/>
      <c r="H786" s="131"/>
      <c r="I786" s="131"/>
      <c r="J786" s="138"/>
    </row>
    <row r="787">
      <c r="A787" s="133"/>
      <c r="B787" s="133"/>
      <c r="C787" s="131"/>
      <c r="D787" s="131"/>
      <c r="E787" s="131"/>
      <c r="F787" s="138"/>
      <c r="G787" s="131"/>
      <c r="H787" s="131"/>
      <c r="I787" s="131"/>
      <c r="J787" s="138"/>
    </row>
    <row r="788">
      <c r="A788" s="133"/>
      <c r="B788" s="133"/>
      <c r="C788" s="131"/>
      <c r="D788" s="131"/>
      <c r="E788" s="131"/>
      <c r="F788" s="138"/>
      <c r="G788" s="131"/>
      <c r="H788" s="131"/>
      <c r="I788" s="131"/>
      <c r="J788" s="138"/>
    </row>
    <row r="789">
      <c r="A789" s="133"/>
      <c r="B789" s="133"/>
      <c r="C789" s="131"/>
      <c r="D789" s="131"/>
      <c r="E789" s="131"/>
      <c r="F789" s="138"/>
      <c r="G789" s="131"/>
      <c r="H789" s="131"/>
      <c r="I789" s="131"/>
      <c r="J789" s="138"/>
    </row>
    <row r="790">
      <c r="A790" s="133"/>
      <c r="B790" s="133"/>
      <c r="C790" s="131"/>
      <c r="D790" s="131"/>
      <c r="E790" s="131"/>
      <c r="F790" s="138"/>
      <c r="G790" s="131"/>
      <c r="H790" s="131"/>
      <c r="I790" s="131"/>
      <c r="J790" s="138"/>
    </row>
    <row r="791">
      <c r="A791" s="133"/>
      <c r="B791" s="133"/>
      <c r="C791" s="131"/>
      <c r="D791" s="131"/>
      <c r="E791" s="131"/>
      <c r="F791" s="138"/>
      <c r="G791" s="131"/>
      <c r="H791" s="131"/>
      <c r="I791" s="131"/>
      <c r="J791" s="138"/>
    </row>
    <row r="792">
      <c r="A792" s="133"/>
      <c r="B792" s="133"/>
      <c r="C792" s="131"/>
      <c r="D792" s="131"/>
      <c r="E792" s="131"/>
      <c r="F792" s="138"/>
      <c r="G792" s="131"/>
      <c r="H792" s="131"/>
      <c r="I792" s="131"/>
      <c r="J792" s="138"/>
    </row>
    <row r="793">
      <c r="A793" s="133"/>
      <c r="B793" s="133"/>
      <c r="C793" s="131"/>
      <c r="D793" s="131"/>
      <c r="E793" s="131"/>
      <c r="F793" s="138"/>
      <c r="G793" s="131"/>
      <c r="H793" s="131"/>
      <c r="I793" s="131"/>
      <c r="J793" s="138"/>
    </row>
    <row r="794">
      <c r="A794" s="133"/>
      <c r="B794" s="133"/>
      <c r="C794" s="131"/>
      <c r="D794" s="131"/>
      <c r="E794" s="131"/>
      <c r="F794" s="138"/>
      <c r="G794" s="131"/>
      <c r="H794" s="131"/>
      <c r="I794" s="131"/>
      <c r="J794" s="138"/>
    </row>
    <row r="795">
      <c r="A795" s="133"/>
      <c r="B795" s="133"/>
      <c r="C795" s="131"/>
      <c r="D795" s="131"/>
      <c r="E795" s="131"/>
      <c r="F795" s="138"/>
      <c r="G795" s="131"/>
      <c r="H795" s="131"/>
      <c r="I795" s="131"/>
      <c r="J795" s="138"/>
    </row>
    <row r="796">
      <c r="A796" s="133"/>
      <c r="B796" s="133"/>
      <c r="C796" s="131"/>
      <c r="D796" s="131"/>
      <c r="E796" s="131"/>
      <c r="F796" s="138"/>
      <c r="G796" s="131"/>
      <c r="H796" s="131"/>
      <c r="I796" s="131"/>
      <c r="J796" s="138"/>
    </row>
    <row r="797">
      <c r="A797" s="133"/>
      <c r="B797" s="133"/>
      <c r="C797" s="131"/>
      <c r="D797" s="131"/>
      <c r="E797" s="131"/>
      <c r="F797" s="138"/>
      <c r="G797" s="131"/>
      <c r="H797" s="131"/>
      <c r="I797" s="131"/>
      <c r="J797" s="138"/>
    </row>
    <row r="798">
      <c r="A798" s="133"/>
      <c r="B798" s="133"/>
      <c r="C798" s="131"/>
      <c r="D798" s="131"/>
      <c r="E798" s="131"/>
      <c r="F798" s="138"/>
      <c r="G798" s="131"/>
      <c r="H798" s="131"/>
      <c r="I798" s="131"/>
      <c r="J798" s="138"/>
    </row>
    <row r="799">
      <c r="A799" s="133"/>
      <c r="B799" s="133"/>
      <c r="C799" s="131"/>
      <c r="D799" s="131"/>
      <c r="E799" s="131"/>
      <c r="F799" s="138"/>
      <c r="G799" s="131"/>
      <c r="H799" s="131"/>
      <c r="I799" s="131"/>
      <c r="J799" s="138"/>
    </row>
    <row r="800">
      <c r="A800" s="133"/>
      <c r="B800" s="133"/>
      <c r="C800" s="131"/>
      <c r="D800" s="131"/>
      <c r="E800" s="131"/>
      <c r="F800" s="138"/>
      <c r="G800" s="131"/>
      <c r="H800" s="131"/>
      <c r="I800" s="131"/>
      <c r="J800" s="138"/>
    </row>
    <row r="801">
      <c r="A801" s="133"/>
      <c r="B801" s="133"/>
      <c r="C801" s="131"/>
      <c r="D801" s="131"/>
      <c r="E801" s="131"/>
      <c r="F801" s="138"/>
      <c r="G801" s="131"/>
      <c r="H801" s="131"/>
      <c r="I801" s="131"/>
      <c r="J801" s="138"/>
    </row>
    <row r="802">
      <c r="A802" s="133"/>
      <c r="B802" s="133"/>
      <c r="C802" s="131"/>
      <c r="D802" s="131"/>
      <c r="E802" s="131"/>
      <c r="F802" s="138"/>
      <c r="G802" s="131"/>
      <c r="H802" s="131"/>
      <c r="I802" s="131"/>
      <c r="J802" s="138"/>
    </row>
    <row r="803">
      <c r="A803" s="133"/>
      <c r="B803" s="133"/>
      <c r="C803" s="131"/>
      <c r="D803" s="131"/>
      <c r="E803" s="131"/>
      <c r="F803" s="138"/>
      <c r="G803" s="131"/>
      <c r="H803" s="131"/>
      <c r="I803" s="131"/>
      <c r="J803" s="138"/>
    </row>
    <row r="804">
      <c r="A804" s="133"/>
      <c r="B804" s="133"/>
      <c r="C804" s="131"/>
      <c r="D804" s="131"/>
      <c r="E804" s="131"/>
      <c r="F804" s="138"/>
      <c r="G804" s="131"/>
      <c r="H804" s="131"/>
      <c r="I804" s="131"/>
      <c r="J804" s="138"/>
    </row>
    <row r="805">
      <c r="A805" s="133"/>
      <c r="B805" s="133"/>
      <c r="C805" s="131"/>
      <c r="D805" s="131"/>
      <c r="E805" s="131"/>
      <c r="F805" s="138"/>
      <c r="G805" s="131"/>
      <c r="H805" s="131"/>
      <c r="I805" s="131"/>
      <c r="J805" s="138"/>
    </row>
    <row r="806">
      <c r="A806" s="133"/>
      <c r="B806" s="133"/>
      <c r="C806" s="131"/>
      <c r="D806" s="131"/>
      <c r="E806" s="131"/>
      <c r="F806" s="138"/>
      <c r="G806" s="131"/>
      <c r="H806" s="131"/>
      <c r="I806" s="131"/>
      <c r="J806" s="138"/>
    </row>
    <row r="807">
      <c r="A807" s="133"/>
      <c r="B807" s="133"/>
      <c r="C807" s="131"/>
      <c r="D807" s="131"/>
      <c r="E807" s="131"/>
      <c r="F807" s="138"/>
      <c r="G807" s="131"/>
      <c r="H807" s="131"/>
      <c r="I807" s="131"/>
      <c r="J807" s="138"/>
    </row>
    <row r="808">
      <c r="A808" s="133"/>
      <c r="B808" s="133"/>
      <c r="C808" s="131"/>
      <c r="D808" s="131"/>
      <c r="E808" s="131"/>
      <c r="F808" s="138"/>
      <c r="G808" s="131"/>
      <c r="H808" s="131"/>
      <c r="I808" s="131"/>
      <c r="J808" s="138"/>
    </row>
    <row r="809">
      <c r="A809" s="133"/>
      <c r="B809" s="133"/>
      <c r="C809" s="131"/>
      <c r="D809" s="131"/>
      <c r="E809" s="131"/>
      <c r="F809" s="138"/>
      <c r="G809" s="131"/>
      <c r="H809" s="131"/>
      <c r="I809" s="131"/>
      <c r="J809" s="138"/>
    </row>
    <row r="810">
      <c r="A810" s="133"/>
      <c r="B810" s="133"/>
      <c r="C810" s="131"/>
      <c r="D810" s="131"/>
      <c r="E810" s="131"/>
      <c r="F810" s="138"/>
      <c r="G810" s="131"/>
      <c r="H810" s="131"/>
      <c r="I810" s="131"/>
      <c r="J810" s="138"/>
    </row>
    <row r="811">
      <c r="A811" s="133"/>
      <c r="B811" s="133"/>
      <c r="C811" s="131"/>
      <c r="D811" s="131"/>
      <c r="E811" s="131"/>
      <c r="F811" s="138"/>
      <c r="G811" s="131"/>
      <c r="H811" s="131"/>
      <c r="I811" s="131"/>
      <c r="J811" s="138"/>
    </row>
    <row r="812">
      <c r="A812" s="133"/>
      <c r="B812" s="133"/>
      <c r="C812" s="131"/>
      <c r="D812" s="131"/>
      <c r="E812" s="131"/>
      <c r="F812" s="138"/>
      <c r="G812" s="131"/>
      <c r="H812" s="131"/>
      <c r="I812" s="131"/>
      <c r="J812" s="138"/>
    </row>
    <row r="813">
      <c r="A813" s="133"/>
      <c r="B813" s="133"/>
      <c r="C813" s="131"/>
      <c r="D813" s="131"/>
      <c r="E813" s="131"/>
      <c r="F813" s="138"/>
      <c r="G813" s="131"/>
      <c r="H813" s="131"/>
      <c r="I813" s="131"/>
      <c r="J813" s="138"/>
    </row>
    <row r="814">
      <c r="A814" s="133"/>
      <c r="B814" s="133"/>
      <c r="C814" s="131"/>
      <c r="D814" s="131"/>
      <c r="E814" s="131"/>
      <c r="F814" s="138"/>
      <c r="G814" s="131"/>
      <c r="H814" s="131"/>
      <c r="I814" s="131"/>
      <c r="J814" s="138"/>
    </row>
    <row r="815">
      <c r="A815" s="133"/>
      <c r="B815" s="133"/>
      <c r="C815" s="131"/>
      <c r="D815" s="131"/>
      <c r="E815" s="131"/>
      <c r="F815" s="138"/>
      <c r="G815" s="131"/>
      <c r="H815" s="131"/>
      <c r="I815" s="131"/>
      <c r="J815" s="138"/>
    </row>
    <row r="816">
      <c r="A816" s="133"/>
      <c r="B816" s="133"/>
      <c r="C816" s="131"/>
      <c r="D816" s="131"/>
      <c r="E816" s="131"/>
      <c r="F816" s="138"/>
      <c r="G816" s="131"/>
      <c r="H816" s="131"/>
      <c r="I816" s="131"/>
      <c r="J816" s="138"/>
    </row>
    <row r="817">
      <c r="A817" s="133"/>
      <c r="B817" s="133"/>
      <c r="C817" s="131"/>
      <c r="D817" s="131"/>
      <c r="E817" s="131"/>
      <c r="F817" s="138"/>
      <c r="G817" s="131"/>
      <c r="H817" s="131"/>
      <c r="I817" s="131"/>
      <c r="J817" s="138"/>
    </row>
    <row r="818">
      <c r="A818" s="133"/>
      <c r="B818" s="133"/>
      <c r="C818" s="131"/>
      <c r="D818" s="131"/>
      <c r="E818" s="131"/>
      <c r="F818" s="138"/>
      <c r="G818" s="131"/>
      <c r="H818" s="131"/>
      <c r="I818" s="131"/>
      <c r="J818" s="138"/>
    </row>
    <row r="819">
      <c r="A819" s="133"/>
      <c r="B819" s="133"/>
      <c r="C819" s="131"/>
      <c r="D819" s="131"/>
      <c r="E819" s="131"/>
      <c r="F819" s="138"/>
      <c r="G819" s="131"/>
      <c r="H819" s="131"/>
      <c r="I819" s="131"/>
      <c r="J819" s="138"/>
    </row>
    <row r="820">
      <c r="A820" s="133"/>
      <c r="B820" s="133"/>
      <c r="C820" s="131"/>
      <c r="D820" s="131"/>
      <c r="E820" s="131"/>
      <c r="F820" s="138"/>
      <c r="G820" s="131"/>
      <c r="H820" s="131"/>
      <c r="I820" s="131"/>
      <c r="J820" s="138"/>
    </row>
    <row r="821">
      <c r="A821" s="133"/>
      <c r="B821" s="133"/>
      <c r="C821" s="131"/>
      <c r="D821" s="131"/>
      <c r="E821" s="131"/>
      <c r="F821" s="138"/>
      <c r="G821" s="131"/>
      <c r="H821" s="131"/>
      <c r="I821" s="131"/>
      <c r="J821" s="138"/>
    </row>
    <row r="822">
      <c r="A822" s="133"/>
      <c r="B822" s="133"/>
      <c r="C822" s="131"/>
      <c r="D822" s="131"/>
      <c r="E822" s="131"/>
      <c r="F822" s="138"/>
      <c r="G822" s="131"/>
      <c r="H822" s="131"/>
      <c r="I822" s="131"/>
      <c r="J822" s="138"/>
    </row>
    <row r="823">
      <c r="A823" s="133"/>
      <c r="B823" s="133"/>
      <c r="C823" s="131"/>
      <c r="D823" s="131"/>
      <c r="E823" s="131"/>
      <c r="F823" s="138"/>
      <c r="G823" s="131"/>
      <c r="H823" s="131"/>
      <c r="I823" s="131"/>
      <c r="J823" s="138"/>
    </row>
    <row r="824">
      <c r="A824" s="133"/>
      <c r="B824" s="133"/>
      <c r="C824" s="131"/>
      <c r="D824" s="131"/>
      <c r="E824" s="131"/>
      <c r="F824" s="138"/>
      <c r="G824" s="131"/>
      <c r="H824" s="131"/>
      <c r="I824" s="131"/>
      <c r="J824" s="138"/>
    </row>
    <row r="825">
      <c r="A825" s="133"/>
      <c r="B825" s="133"/>
      <c r="C825" s="131"/>
      <c r="D825" s="131"/>
      <c r="E825" s="131"/>
      <c r="F825" s="138"/>
      <c r="G825" s="131"/>
      <c r="H825" s="131"/>
      <c r="I825" s="131"/>
      <c r="J825" s="138"/>
    </row>
    <row r="826">
      <c r="A826" s="133"/>
      <c r="B826" s="133"/>
      <c r="C826" s="131"/>
      <c r="D826" s="131"/>
      <c r="E826" s="131"/>
      <c r="F826" s="138"/>
      <c r="G826" s="131"/>
      <c r="H826" s="131"/>
      <c r="I826" s="131"/>
      <c r="J826" s="138"/>
    </row>
    <row r="827">
      <c r="A827" s="133"/>
      <c r="B827" s="133"/>
      <c r="C827" s="131"/>
      <c r="D827" s="131"/>
      <c r="E827" s="131"/>
      <c r="F827" s="138"/>
      <c r="G827" s="131"/>
      <c r="H827" s="131"/>
      <c r="I827" s="131"/>
      <c r="J827" s="138"/>
    </row>
    <row r="828">
      <c r="A828" s="133"/>
      <c r="B828" s="133"/>
      <c r="C828" s="131"/>
      <c r="D828" s="131"/>
      <c r="E828" s="131"/>
      <c r="F828" s="138"/>
      <c r="G828" s="131"/>
      <c r="H828" s="131"/>
      <c r="I828" s="131"/>
      <c r="J828" s="138"/>
    </row>
    <row r="829">
      <c r="A829" s="133"/>
      <c r="B829" s="133"/>
      <c r="C829" s="131"/>
      <c r="D829" s="131"/>
      <c r="E829" s="131"/>
      <c r="F829" s="138"/>
      <c r="G829" s="131"/>
      <c r="H829" s="131"/>
      <c r="I829" s="131"/>
      <c r="J829" s="138"/>
    </row>
    <row r="830">
      <c r="A830" s="133"/>
      <c r="B830" s="133"/>
      <c r="C830" s="131"/>
      <c r="D830" s="131"/>
      <c r="E830" s="131"/>
      <c r="F830" s="138"/>
      <c r="G830" s="131"/>
      <c r="H830" s="131"/>
      <c r="I830" s="131"/>
      <c r="J830" s="138"/>
    </row>
    <row r="831">
      <c r="A831" s="133"/>
      <c r="B831" s="133"/>
      <c r="C831" s="131"/>
      <c r="D831" s="131"/>
      <c r="E831" s="131"/>
      <c r="F831" s="138"/>
      <c r="G831" s="131"/>
      <c r="H831" s="131"/>
      <c r="I831" s="131"/>
      <c r="J831" s="138"/>
    </row>
    <row r="832">
      <c r="A832" s="133"/>
      <c r="B832" s="133"/>
      <c r="C832" s="131"/>
      <c r="D832" s="131"/>
      <c r="E832" s="131"/>
      <c r="F832" s="138"/>
      <c r="G832" s="131"/>
      <c r="H832" s="131"/>
      <c r="I832" s="131"/>
      <c r="J832" s="138"/>
    </row>
    <row r="833">
      <c r="A833" s="133"/>
      <c r="B833" s="133"/>
      <c r="C833" s="131"/>
      <c r="D833" s="131"/>
      <c r="E833" s="131"/>
      <c r="F833" s="138"/>
      <c r="G833" s="131"/>
      <c r="H833" s="131"/>
      <c r="I833" s="131"/>
      <c r="J833" s="138"/>
    </row>
    <row r="834">
      <c r="A834" s="133"/>
      <c r="B834" s="133"/>
      <c r="C834" s="131"/>
      <c r="D834" s="131"/>
      <c r="E834" s="131"/>
      <c r="F834" s="138"/>
      <c r="G834" s="131"/>
      <c r="H834" s="131"/>
      <c r="I834" s="131"/>
      <c r="J834" s="138"/>
    </row>
    <row r="835">
      <c r="A835" s="133"/>
      <c r="B835" s="133"/>
      <c r="C835" s="131"/>
      <c r="D835" s="131"/>
      <c r="E835" s="131"/>
      <c r="F835" s="138"/>
      <c r="G835" s="131"/>
      <c r="H835" s="131"/>
      <c r="I835" s="131"/>
      <c r="J835" s="138"/>
    </row>
    <row r="836">
      <c r="A836" s="133"/>
      <c r="B836" s="133"/>
      <c r="C836" s="131"/>
      <c r="D836" s="131"/>
      <c r="E836" s="131"/>
      <c r="F836" s="138"/>
      <c r="G836" s="131"/>
      <c r="H836" s="131"/>
      <c r="I836" s="131"/>
      <c r="J836" s="138"/>
    </row>
    <row r="837">
      <c r="A837" s="133"/>
      <c r="B837" s="133"/>
      <c r="C837" s="131"/>
      <c r="D837" s="131"/>
      <c r="E837" s="131"/>
      <c r="F837" s="138"/>
      <c r="G837" s="131"/>
      <c r="H837" s="131"/>
      <c r="I837" s="131"/>
      <c r="J837" s="138"/>
    </row>
    <row r="838">
      <c r="A838" s="133"/>
      <c r="B838" s="133"/>
      <c r="C838" s="131"/>
      <c r="D838" s="131"/>
      <c r="E838" s="131"/>
      <c r="F838" s="138"/>
      <c r="G838" s="131"/>
      <c r="H838" s="131"/>
      <c r="I838" s="131"/>
      <c r="J838" s="138"/>
    </row>
    <row r="839">
      <c r="A839" s="133"/>
      <c r="B839" s="133"/>
      <c r="C839" s="131"/>
      <c r="D839" s="131"/>
      <c r="E839" s="131"/>
      <c r="F839" s="138"/>
      <c r="G839" s="131"/>
      <c r="H839" s="131"/>
      <c r="I839" s="131"/>
      <c r="J839" s="138"/>
    </row>
    <row r="840">
      <c r="A840" s="133"/>
      <c r="B840" s="133"/>
      <c r="C840" s="131"/>
      <c r="D840" s="131"/>
      <c r="E840" s="131"/>
      <c r="F840" s="138"/>
      <c r="G840" s="131"/>
      <c r="H840" s="131"/>
      <c r="I840" s="131"/>
      <c r="J840" s="138"/>
    </row>
    <row r="841">
      <c r="A841" s="133"/>
      <c r="B841" s="133"/>
      <c r="C841" s="131"/>
      <c r="D841" s="131"/>
      <c r="E841" s="131"/>
      <c r="F841" s="138"/>
      <c r="G841" s="131"/>
      <c r="H841" s="131"/>
      <c r="I841" s="131"/>
      <c r="J841" s="138"/>
    </row>
    <row r="842">
      <c r="A842" s="133"/>
      <c r="B842" s="133"/>
      <c r="C842" s="131"/>
      <c r="D842" s="131"/>
      <c r="E842" s="131"/>
      <c r="F842" s="138"/>
      <c r="G842" s="131"/>
      <c r="H842" s="131"/>
      <c r="I842" s="131"/>
      <c r="J842" s="138"/>
    </row>
    <row r="843">
      <c r="A843" s="133"/>
      <c r="B843" s="133"/>
      <c r="C843" s="131"/>
      <c r="D843" s="131"/>
      <c r="E843" s="131"/>
      <c r="F843" s="138"/>
      <c r="G843" s="131"/>
      <c r="H843" s="131"/>
      <c r="I843" s="131"/>
      <c r="J843" s="138"/>
    </row>
    <row r="844">
      <c r="A844" s="133"/>
      <c r="B844" s="133"/>
      <c r="C844" s="131"/>
      <c r="D844" s="131"/>
      <c r="E844" s="131"/>
      <c r="F844" s="138"/>
      <c r="G844" s="131"/>
      <c r="H844" s="131"/>
      <c r="I844" s="131"/>
      <c r="J844" s="138"/>
    </row>
    <row r="845">
      <c r="A845" s="133"/>
      <c r="B845" s="133"/>
      <c r="C845" s="131"/>
      <c r="D845" s="131"/>
      <c r="E845" s="131"/>
      <c r="F845" s="138"/>
      <c r="G845" s="131"/>
      <c r="H845" s="131"/>
      <c r="I845" s="131"/>
      <c r="J845" s="138"/>
    </row>
    <row r="846">
      <c r="A846" s="133"/>
      <c r="B846" s="133"/>
      <c r="C846" s="131"/>
      <c r="D846" s="131"/>
      <c r="E846" s="131"/>
      <c r="F846" s="138"/>
      <c r="G846" s="131"/>
      <c r="H846" s="131"/>
      <c r="I846" s="131"/>
      <c r="J846" s="138"/>
    </row>
    <row r="847">
      <c r="A847" s="133"/>
      <c r="B847" s="133"/>
      <c r="C847" s="131"/>
      <c r="D847" s="131"/>
      <c r="E847" s="131"/>
      <c r="F847" s="138"/>
      <c r="G847" s="131"/>
      <c r="H847" s="131"/>
      <c r="I847" s="131"/>
      <c r="J847" s="138"/>
    </row>
    <row r="848">
      <c r="A848" s="133"/>
      <c r="B848" s="133"/>
      <c r="C848" s="131"/>
      <c r="D848" s="131"/>
      <c r="E848" s="131"/>
      <c r="F848" s="138"/>
      <c r="G848" s="131"/>
      <c r="H848" s="131"/>
      <c r="I848" s="131"/>
      <c r="J848" s="138"/>
    </row>
    <row r="849">
      <c r="A849" s="133"/>
      <c r="B849" s="133"/>
      <c r="C849" s="131"/>
      <c r="D849" s="131"/>
      <c r="E849" s="131"/>
      <c r="F849" s="138"/>
      <c r="G849" s="131"/>
      <c r="H849" s="131"/>
      <c r="I849" s="131"/>
      <c r="J849" s="138"/>
    </row>
    <row r="850">
      <c r="A850" s="133"/>
      <c r="B850" s="133"/>
      <c r="C850" s="131"/>
      <c r="D850" s="131"/>
      <c r="E850" s="131"/>
      <c r="F850" s="138"/>
      <c r="G850" s="131"/>
      <c r="H850" s="131"/>
      <c r="I850" s="131"/>
      <c r="J850" s="138"/>
    </row>
    <row r="851">
      <c r="A851" s="133"/>
      <c r="B851" s="133"/>
      <c r="C851" s="131"/>
      <c r="D851" s="131"/>
      <c r="E851" s="131"/>
      <c r="F851" s="138"/>
      <c r="G851" s="131"/>
      <c r="H851" s="131"/>
      <c r="I851" s="131"/>
      <c r="J851" s="138"/>
    </row>
    <row r="852">
      <c r="A852" s="133"/>
      <c r="B852" s="133"/>
      <c r="C852" s="131"/>
      <c r="D852" s="131"/>
      <c r="E852" s="131"/>
      <c r="F852" s="138"/>
      <c r="G852" s="131"/>
      <c r="H852" s="131"/>
      <c r="I852" s="131"/>
      <c r="J852" s="138"/>
    </row>
    <row r="853">
      <c r="A853" s="133"/>
      <c r="B853" s="133"/>
      <c r="C853" s="131"/>
      <c r="D853" s="131"/>
      <c r="E853" s="131"/>
      <c r="F853" s="138"/>
      <c r="G853" s="131"/>
      <c r="H853" s="131"/>
      <c r="I853" s="131"/>
      <c r="J853" s="138"/>
    </row>
    <row r="854">
      <c r="A854" s="133"/>
      <c r="B854" s="133"/>
      <c r="C854" s="131"/>
      <c r="D854" s="131"/>
      <c r="E854" s="131"/>
      <c r="F854" s="138"/>
      <c r="G854" s="131"/>
      <c r="H854" s="131"/>
      <c r="I854" s="131"/>
      <c r="J854" s="138"/>
    </row>
    <row r="855">
      <c r="A855" s="133"/>
      <c r="B855" s="133"/>
      <c r="C855" s="131"/>
      <c r="D855" s="131"/>
      <c r="E855" s="131"/>
      <c r="F855" s="138"/>
      <c r="G855" s="131"/>
      <c r="H855" s="131"/>
      <c r="I855" s="131"/>
      <c r="J855" s="138"/>
    </row>
    <row r="856">
      <c r="A856" s="133"/>
      <c r="B856" s="133"/>
      <c r="C856" s="131"/>
      <c r="D856" s="131"/>
      <c r="E856" s="131"/>
      <c r="F856" s="138"/>
      <c r="G856" s="131"/>
      <c r="H856" s="131"/>
      <c r="I856" s="131"/>
      <c r="J856" s="138"/>
    </row>
    <row r="857">
      <c r="A857" s="133"/>
      <c r="B857" s="133"/>
      <c r="C857" s="131"/>
      <c r="D857" s="131"/>
      <c r="E857" s="131"/>
      <c r="F857" s="138"/>
      <c r="G857" s="131"/>
      <c r="H857" s="131"/>
      <c r="I857" s="131"/>
      <c r="J857" s="138"/>
    </row>
    <row r="858">
      <c r="A858" s="133"/>
      <c r="B858" s="133"/>
      <c r="C858" s="131"/>
      <c r="D858" s="131"/>
      <c r="E858" s="131"/>
      <c r="F858" s="138"/>
      <c r="G858" s="131"/>
      <c r="H858" s="131"/>
      <c r="I858" s="131"/>
      <c r="J858" s="138"/>
    </row>
    <row r="859">
      <c r="A859" s="133"/>
      <c r="B859" s="133"/>
      <c r="C859" s="131"/>
      <c r="D859" s="131"/>
      <c r="E859" s="131"/>
      <c r="F859" s="138"/>
      <c r="G859" s="131"/>
      <c r="H859" s="131"/>
      <c r="I859" s="131"/>
      <c r="J859" s="138"/>
    </row>
    <row r="860">
      <c r="A860" s="133"/>
      <c r="B860" s="133"/>
      <c r="C860" s="131"/>
      <c r="D860" s="131"/>
      <c r="E860" s="131"/>
      <c r="F860" s="138"/>
      <c r="G860" s="131"/>
      <c r="H860" s="131"/>
      <c r="I860" s="131"/>
      <c r="J860" s="138"/>
    </row>
    <row r="861">
      <c r="A861" s="133"/>
      <c r="B861" s="133"/>
      <c r="C861" s="131"/>
      <c r="D861" s="131"/>
      <c r="E861" s="131"/>
      <c r="F861" s="138"/>
      <c r="G861" s="131"/>
      <c r="H861" s="131"/>
      <c r="I861" s="131"/>
      <c r="J861" s="138"/>
    </row>
    <row r="862">
      <c r="A862" s="133"/>
      <c r="B862" s="133"/>
      <c r="C862" s="131"/>
      <c r="D862" s="131"/>
      <c r="E862" s="131"/>
      <c r="F862" s="138"/>
      <c r="G862" s="131"/>
      <c r="H862" s="131"/>
      <c r="I862" s="131"/>
      <c r="J862" s="138"/>
    </row>
    <row r="863">
      <c r="A863" s="133"/>
      <c r="B863" s="133"/>
      <c r="C863" s="131"/>
      <c r="D863" s="131"/>
      <c r="E863" s="131"/>
      <c r="F863" s="138"/>
      <c r="G863" s="131"/>
      <c r="H863" s="131"/>
      <c r="I863" s="131"/>
      <c r="J863" s="138"/>
    </row>
    <row r="864">
      <c r="A864" s="133"/>
      <c r="B864" s="133"/>
      <c r="C864" s="131"/>
      <c r="D864" s="131"/>
      <c r="E864" s="131"/>
      <c r="F864" s="138"/>
      <c r="G864" s="131"/>
      <c r="H864" s="131"/>
      <c r="I864" s="131"/>
      <c r="J864" s="138"/>
    </row>
    <row r="865">
      <c r="A865" s="133"/>
      <c r="B865" s="133"/>
      <c r="C865" s="131"/>
      <c r="D865" s="131"/>
      <c r="E865" s="131"/>
      <c r="F865" s="138"/>
      <c r="G865" s="131"/>
      <c r="H865" s="131"/>
      <c r="I865" s="131"/>
      <c r="J865" s="138"/>
    </row>
    <row r="866">
      <c r="A866" s="133"/>
      <c r="B866" s="133"/>
      <c r="C866" s="131"/>
      <c r="D866" s="131"/>
      <c r="E866" s="131"/>
      <c r="F866" s="138"/>
      <c r="G866" s="131"/>
      <c r="H866" s="131"/>
      <c r="I866" s="131"/>
      <c r="J866" s="138"/>
    </row>
    <row r="867">
      <c r="A867" s="133"/>
      <c r="B867" s="133"/>
      <c r="C867" s="131"/>
      <c r="D867" s="131"/>
      <c r="E867" s="131"/>
      <c r="F867" s="138"/>
      <c r="G867" s="131"/>
      <c r="H867" s="131"/>
      <c r="I867" s="131"/>
      <c r="J867" s="138"/>
    </row>
    <row r="868">
      <c r="A868" s="133"/>
      <c r="B868" s="133"/>
      <c r="C868" s="131"/>
      <c r="D868" s="131"/>
      <c r="E868" s="131"/>
      <c r="F868" s="138"/>
      <c r="G868" s="131"/>
      <c r="H868" s="131"/>
      <c r="I868" s="131"/>
      <c r="J868" s="138"/>
    </row>
    <row r="869">
      <c r="A869" s="133"/>
      <c r="B869" s="133"/>
      <c r="C869" s="131"/>
      <c r="D869" s="131"/>
      <c r="E869" s="131"/>
      <c r="F869" s="138"/>
      <c r="G869" s="131"/>
      <c r="H869" s="131"/>
      <c r="I869" s="131"/>
      <c r="J869" s="138"/>
    </row>
    <row r="870">
      <c r="A870" s="133"/>
      <c r="B870" s="133"/>
      <c r="C870" s="131"/>
      <c r="D870" s="131"/>
      <c r="E870" s="131"/>
      <c r="F870" s="138"/>
      <c r="G870" s="131"/>
      <c r="H870" s="131"/>
      <c r="I870" s="131"/>
      <c r="J870" s="138"/>
    </row>
    <row r="871">
      <c r="A871" s="133"/>
      <c r="B871" s="133"/>
      <c r="C871" s="131"/>
      <c r="D871" s="131"/>
      <c r="E871" s="131"/>
      <c r="F871" s="138"/>
      <c r="G871" s="131"/>
      <c r="H871" s="131"/>
      <c r="I871" s="131"/>
      <c r="J871" s="138"/>
    </row>
    <row r="872">
      <c r="A872" s="133"/>
      <c r="B872" s="133"/>
      <c r="C872" s="131"/>
      <c r="D872" s="131"/>
      <c r="E872" s="131"/>
      <c r="F872" s="138"/>
      <c r="G872" s="131"/>
      <c r="H872" s="131"/>
      <c r="I872" s="131"/>
      <c r="J872" s="138"/>
    </row>
    <row r="873">
      <c r="A873" s="133"/>
      <c r="B873" s="133"/>
      <c r="C873" s="131"/>
      <c r="D873" s="131"/>
      <c r="E873" s="131"/>
      <c r="F873" s="138"/>
      <c r="G873" s="131"/>
      <c r="H873" s="131"/>
      <c r="I873" s="131"/>
      <c r="J873" s="138"/>
    </row>
    <row r="874">
      <c r="A874" s="133"/>
      <c r="B874" s="133"/>
      <c r="C874" s="131"/>
      <c r="D874" s="131"/>
      <c r="E874" s="131"/>
      <c r="F874" s="138"/>
      <c r="G874" s="131"/>
      <c r="H874" s="131"/>
      <c r="I874" s="131"/>
      <c r="J874" s="138"/>
    </row>
    <row r="875">
      <c r="A875" s="133"/>
      <c r="B875" s="133"/>
      <c r="C875" s="131"/>
      <c r="D875" s="131"/>
      <c r="E875" s="131"/>
      <c r="F875" s="138"/>
      <c r="G875" s="131"/>
      <c r="H875" s="131"/>
      <c r="I875" s="131"/>
      <c r="J875" s="138"/>
    </row>
    <row r="876">
      <c r="A876" s="133"/>
      <c r="B876" s="133"/>
      <c r="C876" s="131"/>
      <c r="D876" s="131"/>
      <c r="E876" s="131"/>
      <c r="F876" s="138"/>
      <c r="G876" s="131"/>
      <c r="H876" s="131"/>
      <c r="I876" s="131"/>
      <c r="J876" s="138"/>
    </row>
    <row r="877">
      <c r="A877" s="133"/>
      <c r="B877" s="133"/>
      <c r="C877" s="131"/>
      <c r="D877" s="131"/>
      <c r="E877" s="131"/>
      <c r="F877" s="138"/>
      <c r="G877" s="131"/>
      <c r="H877" s="131"/>
      <c r="I877" s="131"/>
      <c r="J877" s="138"/>
    </row>
    <row r="878">
      <c r="A878" s="133"/>
      <c r="B878" s="133"/>
      <c r="C878" s="131"/>
      <c r="D878" s="131"/>
      <c r="E878" s="131"/>
      <c r="F878" s="138"/>
      <c r="G878" s="131"/>
      <c r="H878" s="131"/>
      <c r="I878" s="131"/>
      <c r="J878" s="138"/>
    </row>
    <row r="879">
      <c r="A879" s="133"/>
      <c r="B879" s="133"/>
      <c r="C879" s="131"/>
      <c r="D879" s="131"/>
      <c r="E879" s="131"/>
      <c r="F879" s="138"/>
      <c r="G879" s="131"/>
      <c r="H879" s="131"/>
      <c r="I879" s="131"/>
      <c r="J879" s="138"/>
    </row>
    <row r="880">
      <c r="A880" s="133"/>
      <c r="B880" s="133"/>
      <c r="C880" s="131"/>
      <c r="D880" s="131"/>
      <c r="E880" s="131"/>
      <c r="F880" s="138"/>
      <c r="G880" s="131"/>
      <c r="H880" s="131"/>
      <c r="I880" s="131"/>
      <c r="J880" s="138"/>
    </row>
    <row r="881">
      <c r="A881" s="133"/>
      <c r="B881" s="133"/>
      <c r="C881" s="131"/>
      <c r="D881" s="131"/>
      <c r="E881" s="131"/>
      <c r="F881" s="138"/>
      <c r="G881" s="131"/>
      <c r="H881" s="131"/>
      <c r="I881" s="131"/>
      <c r="J881" s="138"/>
    </row>
    <row r="882">
      <c r="A882" s="133"/>
      <c r="B882" s="133"/>
      <c r="C882" s="131"/>
      <c r="D882" s="131"/>
      <c r="E882" s="131"/>
      <c r="F882" s="138"/>
      <c r="G882" s="131"/>
      <c r="H882" s="131"/>
      <c r="I882" s="131"/>
      <c r="J882" s="138"/>
    </row>
    <row r="883">
      <c r="A883" s="133"/>
      <c r="B883" s="133"/>
      <c r="C883" s="131"/>
      <c r="D883" s="131"/>
      <c r="E883" s="131"/>
      <c r="F883" s="138"/>
      <c r="G883" s="131"/>
      <c r="H883" s="131"/>
      <c r="I883" s="131"/>
      <c r="J883" s="138"/>
    </row>
    <row r="884">
      <c r="A884" s="133"/>
      <c r="B884" s="133"/>
      <c r="C884" s="131"/>
      <c r="D884" s="131"/>
      <c r="E884" s="131"/>
      <c r="F884" s="138"/>
      <c r="G884" s="131"/>
      <c r="H884" s="131"/>
      <c r="I884" s="131"/>
      <c r="J884" s="138"/>
    </row>
    <row r="885">
      <c r="A885" s="133"/>
      <c r="B885" s="133"/>
      <c r="C885" s="131"/>
      <c r="D885" s="131"/>
      <c r="E885" s="131"/>
      <c r="F885" s="138"/>
      <c r="G885" s="131"/>
      <c r="H885" s="131"/>
      <c r="I885" s="131"/>
      <c r="J885" s="138"/>
    </row>
    <row r="886">
      <c r="A886" s="133"/>
      <c r="B886" s="133"/>
      <c r="C886" s="131"/>
      <c r="D886" s="131"/>
      <c r="E886" s="131"/>
      <c r="F886" s="138"/>
      <c r="G886" s="131"/>
      <c r="H886" s="131"/>
      <c r="I886" s="131"/>
      <c r="J886" s="138"/>
    </row>
    <row r="887">
      <c r="A887" s="133"/>
      <c r="B887" s="133"/>
      <c r="C887" s="131"/>
      <c r="D887" s="131"/>
      <c r="E887" s="131"/>
      <c r="F887" s="138"/>
      <c r="G887" s="131"/>
      <c r="H887" s="131"/>
      <c r="I887" s="131"/>
      <c r="J887" s="138"/>
    </row>
    <row r="888">
      <c r="A888" s="133"/>
      <c r="B888" s="133"/>
      <c r="C888" s="131"/>
      <c r="D888" s="131"/>
      <c r="E888" s="131"/>
      <c r="F888" s="138"/>
      <c r="G888" s="131"/>
      <c r="H888" s="131"/>
      <c r="I888" s="131"/>
      <c r="J888" s="138"/>
    </row>
    <row r="889">
      <c r="A889" s="133"/>
      <c r="B889" s="133"/>
      <c r="C889" s="131"/>
      <c r="D889" s="131"/>
      <c r="E889" s="131"/>
      <c r="F889" s="138"/>
      <c r="G889" s="131"/>
      <c r="H889" s="131"/>
      <c r="I889" s="131"/>
      <c r="J889" s="138"/>
    </row>
    <row r="890">
      <c r="A890" s="133"/>
      <c r="B890" s="133"/>
      <c r="C890" s="131"/>
      <c r="D890" s="131"/>
      <c r="E890" s="131"/>
      <c r="F890" s="138"/>
      <c r="G890" s="131"/>
      <c r="H890" s="131"/>
      <c r="I890" s="131"/>
      <c r="J890" s="138"/>
    </row>
    <row r="891">
      <c r="A891" s="133"/>
      <c r="B891" s="133"/>
      <c r="C891" s="131"/>
      <c r="D891" s="131"/>
      <c r="E891" s="131"/>
      <c r="F891" s="138"/>
      <c r="G891" s="131"/>
      <c r="H891" s="131"/>
      <c r="I891" s="131"/>
      <c r="J891" s="138"/>
    </row>
    <row r="892">
      <c r="A892" s="133"/>
      <c r="B892" s="133"/>
      <c r="C892" s="131"/>
      <c r="D892" s="131"/>
      <c r="E892" s="131"/>
      <c r="F892" s="138"/>
      <c r="G892" s="131"/>
      <c r="H892" s="131"/>
      <c r="I892" s="131"/>
      <c r="J892" s="138"/>
    </row>
    <row r="893">
      <c r="A893" s="133"/>
      <c r="B893" s="133"/>
      <c r="C893" s="131"/>
      <c r="D893" s="131"/>
      <c r="E893" s="131"/>
      <c r="F893" s="138"/>
      <c r="G893" s="131"/>
      <c r="H893" s="131"/>
      <c r="I893" s="131"/>
      <c r="J893" s="138"/>
    </row>
    <row r="894">
      <c r="A894" s="133"/>
      <c r="B894" s="133"/>
      <c r="C894" s="131"/>
      <c r="D894" s="131"/>
      <c r="E894" s="131"/>
      <c r="F894" s="138"/>
      <c r="G894" s="131"/>
      <c r="H894" s="131"/>
      <c r="I894" s="131"/>
      <c r="J894" s="138"/>
    </row>
    <row r="895">
      <c r="A895" s="133"/>
      <c r="B895" s="133"/>
      <c r="C895" s="131"/>
      <c r="D895" s="131"/>
      <c r="E895" s="131"/>
      <c r="F895" s="138"/>
      <c r="G895" s="131"/>
      <c r="H895" s="131"/>
      <c r="I895" s="131"/>
      <c r="J895" s="138"/>
    </row>
    <row r="896">
      <c r="A896" s="133"/>
      <c r="B896" s="133"/>
      <c r="C896" s="131"/>
      <c r="D896" s="131"/>
      <c r="E896" s="131"/>
      <c r="F896" s="138"/>
      <c r="G896" s="131"/>
      <c r="H896" s="131"/>
      <c r="I896" s="131"/>
      <c r="J896" s="138"/>
    </row>
    <row r="897">
      <c r="A897" s="133"/>
      <c r="B897" s="133"/>
      <c r="C897" s="131"/>
      <c r="D897" s="131"/>
      <c r="E897" s="131"/>
      <c r="F897" s="138"/>
      <c r="G897" s="131"/>
      <c r="H897" s="131"/>
      <c r="I897" s="131"/>
      <c r="J897" s="138"/>
    </row>
    <row r="898">
      <c r="A898" s="133"/>
      <c r="B898" s="133"/>
      <c r="C898" s="131"/>
      <c r="D898" s="131"/>
      <c r="E898" s="131"/>
      <c r="F898" s="138"/>
      <c r="G898" s="131"/>
      <c r="H898" s="131"/>
      <c r="I898" s="131"/>
      <c r="J898" s="138"/>
    </row>
    <row r="899">
      <c r="A899" s="133"/>
      <c r="B899" s="133"/>
      <c r="C899" s="131"/>
      <c r="D899" s="131"/>
      <c r="E899" s="131"/>
      <c r="F899" s="138"/>
      <c r="G899" s="131"/>
      <c r="H899" s="131"/>
      <c r="I899" s="131"/>
      <c r="J899" s="138"/>
    </row>
    <row r="900">
      <c r="A900" s="133"/>
      <c r="B900" s="133"/>
      <c r="C900" s="131"/>
      <c r="D900" s="131"/>
      <c r="E900" s="131"/>
      <c r="F900" s="138"/>
      <c r="G900" s="131"/>
      <c r="H900" s="131"/>
      <c r="I900" s="131"/>
      <c r="J900" s="138"/>
    </row>
    <row r="901">
      <c r="A901" s="133"/>
      <c r="B901" s="133"/>
      <c r="C901" s="131"/>
      <c r="D901" s="131"/>
      <c r="E901" s="131"/>
      <c r="F901" s="138"/>
      <c r="G901" s="131"/>
      <c r="H901" s="131"/>
      <c r="I901" s="131"/>
      <c r="J901" s="138"/>
    </row>
    <row r="902">
      <c r="A902" s="133"/>
      <c r="B902" s="133"/>
      <c r="C902" s="131"/>
      <c r="D902" s="131"/>
      <c r="E902" s="131"/>
      <c r="F902" s="138"/>
      <c r="G902" s="131"/>
      <c r="H902" s="131"/>
      <c r="I902" s="131"/>
      <c r="J902" s="138"/>
    </row>
    <row r="903">
      <c r="A903" s="133"/>
      <c r="B903" s="133"/>
      <c r="C903" s="131"/>
      <c r="D903" s="131"/>
      <c r="E903" s="131"/>
      <c r="F903" s="138"/>
      <c r="G903" s="131"/>
      <c r="H903" s="131"/>
      <c r="I903" s="131"/>
      <c r="J903" s="138"/>
    </row>
    <row r="904">
      <c r="A904" s="133"/>
      <c r="B904" s="133"/>
      <c r="C904" s="131"/>
      <c r="D904" s="131"/>
      <c r="E904" s="131"/>
      <c r="F904" s="138"/>
      <c r="G904" s="131"/>
      <c r="H904" s="131"/>
      <c r="I904" s="131"/>
      <c r="J904" s="138"/>
    </row>
    <row r="905">
      <c r="A905" s="133"/>
      <c r="B905" s="133"/>
      <c r="C905" s="131"/>
      <c r="D905" s="131"/>
      <c r="E905" s="131"/>
      <c r="F905" s="138"/>
      <c r="G905" s="131"/>
      <c r="H905" s="131"/>
      <c r="I905" s="131"/>
      <c r="J905" s="138"/>
    </row>
    <row r="906">
      <c r="A906" s="133"/>
      <c r="B906" s="133"/>
      <c r="C906" s="131"/>
      <c r="D906" s="131"/>
      <c r="E906" s="131"/>
      <c r="F906" s="138"/>
      <c r="G906" s="131"/>
      <c r="H906" s="131"/>
      <c r="I906" s="131"/>
      <c r="J906" s="138"/>
    </row>
    <row r="907">
      <c r="A907" s="133"/>
      <c r="B907" s="133"/>
      <c r="C907" s="131"/>
      <c r="D907" s="131"/>
      <c r="E907" s="131"/>
      <c r="F907" s="138"/>
      <c r="G907" s="131"/>
      <c r="H907" s="131"/>
      <c r="I907" s="131"/>
      <c r="J907" s="138"/>
    </row>
    <row r="908">
      <c r="A908" s="133"/>
      <c r="B908" s="133"/>
      <c r="C908" s="131"/>
      <c r="D908" s="131"/>
      <c r="E908" s="131"/>
      <c r="F908" s="138"/>
      <c r="G908" s="131"/>
      <c r="H908" s="131"/>
      <c r="I908" s="131"/>
      <c r="J908" s="138"/>
    </row>
    <row r="909">
      <c r="A909" s="133"/>
      <c r="B909" s="133"/>
      <c r="C909" s="131"/>
      <c r="D909" s="131"/>
      <c r="E909" s="131"/>
      <c r="F909" s="138"/>
      <c r="G909" s="131"/>
      <c r="H909" s="131"/>
      <c r="I909" s="131"/>
      <c r="J909" s="138"/>
    </row>
    <row r="910">
      <c r="A910" s="133"/>
      <c r="B910" s="133"/>
      <c r="C910" s="131"/>
      <c r="D910" s="131"/>
      <c r="E910" s="131"/>
      <c r="F910" s="138"/>
      <c r="G910" s="131"/>
      <c r="H910" s="131"/>
      <c r="I910" s="131"/>
      <c r="J910" s="138"/>
    </row>
    <row r="911">
      <c r="A911" s="133"/>
      <c r="B911" s="133"/>
      <c r="C911" s="131"/>
      <c r="D911" s="131"/>
      <c r="E911" s="131"/>
      <c r="F911" s="138"/>
      <c r="G911" s="131"/>
      <c r="H911" s="131"/>
      <c r="I911" s="131"/>
      <c r="J911" s="138"/>
    </row>
    <row r="912">
      <c r="A912" s="133"/>
      <c r="B912" s="133"/>
      <c r="C912" s="131"/>
      <c r="D912" s="131"/>
      <c r="E912" s="131"/>
      <c r="F912" s="138"/>
      <c r="G912" s="131"/>
      <c r="H912" s="131"/>
      <c r="I912" s="131"/>
      <c r="J912" s="138"/>
    </row>
    <row r="913">
      <c r="A913" s="133"/>
      <c r="B913" s="133"/>
      <c r="C913" s="131"/>
      <c r="D913" s="131"/>
      <c r="E913" s="131"/>
      <c r="F913" s="138"/>
      <c r="G913" s="131"/>
      <c r="H913" s="131"/>
      <c r="I913" s="131"/>
      <c r="J913" s="138"/>
    </row>
    <row r="914">
      <c r="A914" s="133"/>
      <c r="B914" s="133"/>
      <c r="C914" s="131"/>
      <c r="D914" s="131"/>
      <c r="E914" s="131"/>
      <c r="F914" s="138"/>
      <c r="G914" s="131"/>
      <c r="H914" s="131"/>
      <c r="I914" s="131"/>
      <c r="J914" s="138"/>
    </row>
    <row r="915">
      <c r="A915" s="133"/>
      <c r="B915" s="133"/>
      <c r="C915" s="131"/>
      <c r="D915" s="131"/>
      <c r="E915" s="131"/>
      <c r="F915" s="138"/>
      <c r="G915" s="131"/>
      <c r="H915" s="131"/>
      <c r="I915" s="131"/>
      <c r="J915" s="138"/>
    </row>
    <row r="916">
      <c r="A916" s="133"/>
      <c r="B916" s="133"/>
      <c r="C916" s="131"/>
      <c r="D916" s="131"/>
      <c r="E916" s="131"/>
      <c r="F916" s="138"/>
      <c r="G916" s="131"/>
      <c r="H916" s="131"/>
      <c r="I916" s="131"/>
      <c r="J916" s="138"/>
    </row>
    <row r="917">
      <c r="A917" s="133"/>
      <c r="B917" s="133"/>
      <c r="C917" s="131"/>
      <c r="D917" s="131"/>
      <c r="E917" s="131"/>
      <c r="F917" s="138"/>
      <c r="G917" s="131"/>
      <c r="H917" s="131"/>
      <c r="I917" s="131"/>
      <c r="J917" s="138"/>
    </row>
    <row r="918">
      <c r="A918" s="133"/>
      <c r="B918" s="133"/>
      <c r="C918" s="131"/>
      <c r="D918" s="131"/>
      <c r="E918" s="131"/>
      <c r="F918" s="138"/>
      <c r="G918" s="131"/>
      <c r="H918" s="131"/>
      <c r="I918" s="131"/>
      <c r="J918" s="138"/>
    </row>
    <row r="919">
      <c r="A919" s="133"/>
      <c r="B919" s="133"/>
      <c r="C919" s="131"/>
      <c r="D919" s="131"/>
      <c r="E919" s="131"/>
      <c r="F919" s="138"/>
      <c r="G919" s="131"/>
      <c r="H919" s="131"/>
      <c r="I919" s="131"/>
      <c r="J919" s="138"/>
    </row>
    <row r="920">
      <c r="A920" s="133"/>
      <c r="B920" s="133"/>
      <c r="C920" s="131"/>
      <c r="D920" s="131"/>
      <c r="E920" s="131"/>
      <c r="F920" s="138"/>
      <c r="G920" s="131"/>
      <c r="H920" s="131"/>
      <c r="I920" s="131"/>
      <c r="J920" s="138"/>
    </row>
    <row r="921">
      <c r="A921" s="133"/>
      <c r="B921" s="133"/>
      <c r="C921" s="131"/>
      <c r="D921" s="131"/>
      <c r="E921" s="131"/>
      <c r="F921" s="138"/>
      <c r="G921" s="131"/>
      <c r="H921" s="131"/>
      <c r="I921" s="131"/>
      <c r="J921" s="138"/>
    </row>
    <row r="922">
      <c r="A922" s="133"/>
      <c r="B922" s="133"/>
      <c r="C922" s="131"/>
      <c r="D922" s="131"/>
      <c r="E922" s="131"/>
      <c r="F922" s="138"/>
      <c r="G922" s="131"/>
      <c r="H922" s="131"/>
      <c r="I922" s="131"/>
      <c r="J922" s="138"/>
    </row>
    <row r="923">
      <c r="A923" s="133"/>
      <c r="B923" s="133"/>
      <c r="C923" s="131"/>
      <c r="D923" s="131"/>
      <c r="E923" s="131"/>
      <c r="F923" s="138"/>
      <c r="G923" s="131"/>
      <c r="H923" s="131"/>
      <c r="I923" s="131"/>
      <c r="J923" s="138"/>
    </row>
    <row r="924">
      <c r="A924" s="133"/>
      <c r="B924" s="133"/>
      <c r="C924" s="131"/>
      <c r="D924" s="131"/>
      <c r="E924" s="131"/>
      <c r="F924" s="138"/>
      <c r="G924" s="131"/>
      <c r="H924" s="131"/>
      <c r="I924" s="131"/>
      <c r="J924" s="138"/>
    </row>
    <row r="925">
      <c r="A925" s="133"/>
      <c r="B925" s="133"/>
      <c r="C925" s="131"/>
      <c r="D925" s="131"/>
      <c r="E925" s="131"/>
      <c r="F925" s="138"/>
      <c r="G925" s="131"/>
      <c r="H925" s="131"/>
      <c r="I925" s="131"/>
      <c r="J925" s="138"/>
    </row>
    <row r="926">
      <c r="A926" s="133"/>
      <c r="B926" s="133"/>
      <c r="C926" s="131"/>
      <c r="D926" s="131"/>
      <c r="E926" s="131"/>
      <c r="F926" s="138"/>
      <c r="G926" s="131"/>
      <c r="H926" s="131"/>
      <c r="I926" s="131"/>
      <c r="J926" s="138"/>
    </row>
    <row r="927">
      <c r="A927" s="133"/>
      <c r="B927" s="133"/>
      <c r="C927" s="131"/>
      <c r="D927" s="131"/>
      <c r="E927" s="131"/>
      <c r="F927" s="138"/>
      <c r="G927" s="131"/>
      <c r="H927" s="131"/>
      <c r="I927" s="131"/>
      <c r="J927" s="138"/>
    </row>
    <row r="928">
      <c r="A928" s="133"/>
      <c r="B928" s="133"/>
      <c r="C928" s="131"/>
      <c r="D928" s="131"/>
      <c r="E928" s="131"/>
      <c r="F928" s="138"/>
      <c r="G928" s="131"/>
      <c r="H928" s="131"/>
      <c r="I928" s="131"/>
      <c r="J928" s="138"/>
    </row>
    <row r="929">
      <c r="A929" s="133"/>
      <c r="B929" s="133"/>
      <c r="C929" s="131"/>
      <c r="D929" s="131"/>
      <c r="E929" s="131"/>
      <c r="F929" s="138"/>
      <c r="G929" s="131"/>
      <c r="H929" s="131"/>
      <c r="I929" s="131"/>
      <c r="J929" s="138"/>
    </row>
    <row r="930">
      <c r="A930" s="133"/>
      <c r="B930" s="133"/>
      <c r="C930" s="131"/>
      <c r="D930" s="131"/>
      <c r="E930" s="131"/>
      <c r="F930" s="138"/>
      <c r="G930" s="131"/>
      <c r="H930" s="131"/>
      <c r="I930" s="131"/>
      <c r="J930" s="138"/>
    </row>
    <row r="931">
      <c r="A931" s="133"/>
      <c r="B931" s="133"/>
      <c r="C931" s="131"/>
      <c r="D931" s="131"/>
      <c r="E931" s="131"/>
      <c r="F931" s="138"/>
      <c r="G931" s="131"/>
      <c r="H931" s="131"/>
      <c r="I931" s="131"/>
      <c r="J931" s="138"/>
    </row>
    <row r="932">
      <c r="A932" s="133"/>
      <c r="B932" s="133"/>
      <c r="C932" s="131"/>
      <c r="D932" s="131"/>
      <c r="E932" s="131"/>
      <c r="F932" s="138"/>
      <c r="G932" s="131"/>
      <c r="H932" s="131"/>
      <c r="I932" s="131"/>
      <c r="J932" s="138"/>
    </row>
    <row r="933">
      <c r="A933" s="133"/>
      <c r="B933" s="133"/>
      <c r="C933" s="131"/>
      <c r="D933" s="131"/>
      <c r="E933" s="131"/>
      <c r="F933" s="138"/>
      <c r="G933" s="131"/>
      <c r="H933" s="131"/>
      <c r="I933" s="131"/>
      <c r="J933" s="138"/>
    </row>
    <row r="934">
      <c r="A934" s="133"/>
      <c r="B934" s="133"/>
      <c r="C934" s="131"/>
      <c r="D934" s="131"/>
      <c r="E934" s="131"/>
      <c r="F934" s="138"/>
      <c r="G934" s="131"/>
      <c r="H934" s="131"/>
      <c r="I934" s="131"/>
      <c r="J934" s="138"/>
    </row>
    <row r="935">
      <c r="A935" s="133"/>
      <c r="B935" s="133"/>
      <c r="C935" s="131"/>
      <c r="D935" s="131"/>
      <c r="E935" s="131"/>
      <c r="F935" s="138"/>
      <c r="G935" s="131"/>
      <c r="H935" s="131"/>
      <c r="I935" s="131"/>
      <c r="J935" s="138"/>
    </row>
    <row r="936">
      <c r="A936" s="133"/>
      <c r="B936" s="133"/>
      <c r="C936" s="131"/>
      <c r="D936" s="131"/>
      <c r="E936" s="131"/>
      <c r="F936" s="138"/>
      <c r="G936" s="131"/>
      <c r="H936" s="131"/>
      <c r="I936" s="131"/>
      <c r="J936" s="138"/>
    </row>
    <row r="937">
      <c r="A937" s="133"/>
      <c r="B937" s="133"/>
      <c r="C937" s="131"/>
      <c r="D937" s="131"/>
      <c r="E937" s="131"/>
      <c r="F937" s="138"/>
      <c r="G937" s="131"/>
      <c r="H937" s="131"/>
      <c r="I937" s="131"/>
      <c r="J937" s="138"/>
    </row>
    <row r="938">
      <c r="A938" s="133"/>
      <c r="B938" s="133"/>
      <c r="C938" s="131"/>
      <c r="D938" s="131"/>
      <c r="E938" s="131"/>
      <c r="F938" s="138"/>
      <c r="G938" s="131"/>
      <c r="H938" s="131"/>
      <c r="I938" s="131"/>
      <c r="J938" s="138"/>
    </row>
    <row r="939">
      <c r="A939" s="133"/>
      <c r="B939" s="133"/>
      <c r="C939" s="131"/>
      <c r="D939" s="131"/>
      <c r="E939" s="131"/>
      <c r="F939" s="138"/>
      <c r="G939" s="131"/>
      <c r="H939" s="131"/>
      <c r="I939" s="131"/>
      <c r="J939" s="138"/>
    </row>
    <row r="940">
      <c r="A940" s="133"/>
      <c r="B940" s="133"/>
      <c r="C940" s="131"/>
      <c r="D940" s="131"/>
      <c r="E940" s="131"/>
      <c r="F940" s="138"/>
      <c r="G940" s="131"/>
      <c r="H940" s="131"/>
      <c r="I940" s="131"/>
      <c r="J940" s="138"/>
    </row>
    <row r="941">
      <c r="A941" s="133"/>
      <c r="B941" s="133"/>
      <c r="C941" s="131"/>
      <c r="D941" s="131"/>
      <c r="E941" s="131"/>
      <c r="F941" s="138"/>
      <c r="G941" s="131"/>
      <c r="H941" s="131"/>
      <c r="I941" s="131"/>
      <c r="J941" s="138"/>
    </row>
    <row r="942">
      <c r="A942" s="133"/>
      <c r="B942" s="133"/>
      <c r="C942" s="131"/>
      <c r="D942" s="131"/>
      <c r="E942" s="131"/>
      <c r="F942" s="138"/>
      <c r="G942" s="131"/>
      <c r="H942" s="131"/>
      <c r="I942" s="131"/>
      <c r="J942" s="138"/>
    </row>
    <row r="943">
      <c r="A943" s="133"/>
      <c r="B943" s="133"/>
      <c r="C943" s="131"/>
      <c r="D943" s="131"/>
      <c r="E943" s="131"/>
      <c r="F943" s="138"/>
      <c r="G943" s="131"/>
      <c r="H943" s="131"/>
      <c r="I943" s="131"/>
      <c r="J943" s="138"/>
    </row>
    <row r="944">
      <c r="A944" s="133"/>
      <c r="B944" s="133"/>
      <c r="C944" s="131"/>
      <c r="D944" s="131"/>
      <c r="E944" s="131"/>
      <c r="F944" s="138"/>
      <c r="G944" s="131"/>
      <c r="H944" s="131"/>
      <c r="I944" s="131"/>
      <c r="J944" s="138"/>
    </row>
    <row r="945">
      <c r="A945" s="133"/>
      <c r="B945" s="133"/>
      <c r="C945" s="131"/>
      <c r="D945" s="131"/>
      <c r="E945" s="131"/>
      <c r="F945" s="138"/>
      <c r="G945" s="131"/>
      <c r="H945" s="131"/>
      <c r="I945" s="131"/>
      <c r="J945" s="138"/>
    </row>
    <row r="946">
      <c r="A946" s="133"/>
      <c r="B946" s="133"/>
      <c r="C946" s="131"/>
      <c r="D946" s="131"/>
      <c r="E946" s="131"/>
      <c r="F946" s="138"/>
      <c r="G946" s="131"/>
      <c r="H946" s="131"/>
      <c r="I946" s="131"/>
      <c r="J946" s="138"/>
    </row>
    <row r="947">
      <c r="A947" s="133"/>
      <c r="B947" s="133"/>
      <c r="C947" s="131"/>
      <c r="D947" s="131"/>
      <c r="E947" s="131"/>
      <c r="F947" s="138"/>
      <c r="G947" s="131"/>
      <c r="H947" s="131"/>
      <c r="I947" s="131"/>
      <c r="J947" s="138"/>
    </row>
    <row r="948">
      <c r="A948" s="133"/>
      <c r="B948" s="133"/>
      <c r="C948" s="131"/>
      <c r="D948" s="131"/>
      <c r="E948" s="131"/>
      <c r="F948" s="138"/>
      <c r="G948" s="131"/>
      <c r="H948" s="131"/>
      <c r="I948" s="131"/>
      <c r="J948" s="138"/>
    </row>
    <row r="949">
      <c r="A949" s="133"/>
      <c r="B949" s="133"/>
      <c r="C949" s="131"/>
      <c r="D949" s="131"/>
      <c r="E949" s="131"/>
      <c r="F949" s="138"/>
      <c r="G949" s="131"/>
      <c r="H949" s="131"/>
      <c r="I949" s="131"/>
      <c r="J949" s="138"/>
    </row>
    <row r="950">
      <c r="A950" s="133"/>
      <c r="B950" s="133"/>
      <c r="C950" s="131"/>
      <c r="D950" s="131"/>
      <c r="E950" s="131"/>
      <c r="F950" s="138"/>
      <c r="G950" s="131"/>
      <c r="H950" s="131"/>
      <c r="I950" s="131"/>
      <c r="J950" s="138"/>
    </row>
    <row r="951">
      <c r="A951" s="133"/>
      <c r="B951" s="133"/>
      <c r="C951" s="131"/>
      <c r="D951" s="131"/>
      <c r="E951" s="131"/>
      <c r="F951" s="138"/>
      <c r="G951" s="131"/>
      <c r="H951" s="131"/>
      <c r="I951" s="131"/>
      <c r="J951" s="138"/>
    </row>
    <row r="952">
      <c r="A952" s="133"/>
      <c r="B952" s="133"/>
      <c r="C952" s="131"/>
      <c r="D952" s="131"/>
      <c r="E952" s="131"/>
      <c r="F952" s="138"/>
      <c r="G952" s="131"/>
      <c r="H952" s="131"/>
      <c r="I952" s="131"/>
      <c r="J952" s="138"/>
    </row>
    <row r="953">
      <c r="A953" s="133"/>
      <c r="B953" s="133"/>
      <c r="C953" s="131"/>
      <c r="D953" s="131"/>
      <c r="E953" s="131"/>
      <c r="F953" s="138"/>
      <c r="G953" s="131"/>
      <c r="H953" s="131"/>
      <c r="I953" s="131"/>
      <c r="J953" s="138"/>
    </row>
    <row r="954">
      <c r="A954" s="133"/>
      <c r="B954" s="133"/>
      <c r="C954" s="131"/>
      <c r="D954" s="131"/>
      <c r="E954" s="131"/>
      <c r="F954" s="138"/>
      <c r="G954" s="131"/>
      <c r="H954" s="131"/>
      <c r="I954" s="131"/>
      <c r="J954" s="138"/>
    </row>
    <row r="955">
      <c r="A955" s="133"/>
      <c r="B955" s="133"/>
      <c r="C955" s="131"/>
      <c r="D955" s="131"/>
      <c r="E955" s="131"/>
      <c r="F955" s="138"/>
      <c r="G955" s="131"/>
      <c r="H955" s="131"/>
      <c r="I955" s="131"/>
      <c r="J955" s="138"/>
    </row>
    <row r="956">
      <c r="A956" s="133"/>
      <c r="B956" s="133"/>
      <c r="C956" s="131"/>
      <c r="D956" s="131"/>
      <c r="E956" s="131"/>
      <c r="F956" s="138"/>
      <c r="G956" s="131"/>
      <c r="H956" s="131"/>
      <c r="I956" s="131"/>
      <c r="J956" s="138"/>
    </row>
    <row r="957">
      <c r="A957" s="133"/>
      <c r="B957" s="133"/>
      <c r="C957" s="131"/>
      <c r="D957" s="131"/>
      <c r="E957" s="131"/>
      <c r="F957" s="138"/>
      <c r="G957" s="131"/>
      <c r="H957" s="131"/>
      <c r="I957" s="131"/>
      <c r="J957" s="138"/>
    </row>
    <row r="958">
      <c r="A958" s="133"/>
      <c r="B958" s="133"/>
      <c r="C958" s="131"/>
      <c r="D958" s="131"/>
      <c r="E958" s="131"/>
      <c r="F958" s="138"/>
      <c r="G958" s="131"/>
      <c r="H958" s="131"/>
      <c r="I958" s="131"/>
      <c r="J958" s="138"/>
    </row>
    <row r="959">
      <c r="A959" s="133"/>
      <c r="B959" s="133"/>
      <c r="C959" s="131"/>
      <c r="D959" s="131"/>
      <c r="E959" s="131"/>
      <c r="F959" s="138"/>
      <c r="G959" s="131"/>
      <c r="H959" s="131"/>
      <c r="I959" s="131"/>
      <c r="J959" s="138"/>
    </row>
    <row r="960">
      <c r="A960" s="133"/>
      <c r="B960" s="133"/>
      <c r="C960" s="131"/>
      <c r="D960" s="131"/>
      <c r="E960" s="131"/>
      <c r="F960" s="138"/>
      <c r="G960" s="131"/>
      <c r="H960" s="131"/>
      <c r="I960" s="131"/>
      <c r="J960" s="138"/>
    </row>
    <row r="961">
      <c r="A961" s="133"/>
      <c r="B961" s="133"/>
      <c r="C961" s="131"/>
      <c r="D961" s="131"/>
      <c r="E961" s="131"/>
      <c r="F961" s="138"/>
      <c r="G961" s="131"/>
      <c r="H961" s="131"/>
      <c r="I961" s="131"/>
      <c r="J961" s="138"/>
    </row>
    <row r="962">
      <c r="A962" s="133"/>
      <c r="B962" s="133"/>
      <c r="C962" s="131"/>
      <c r="D962" s="131"/>
      <c r="E962" s="131"/>
      <c r="F962" s="138"/>
      <c r="G962" s="131"/>
      <c r="H962" s="131"/>
      <c r="I962" s="131"/>
      <c r="J962" s="138"/>
    </row>
    <row r="963">
      <c r="A963" s="133"/>
      <c r="B963" s="133"/>
      <c r="C963" s="131"/>
      <c r="D963" s="131"/>
      <c r="E963" s="131"/>
      <c r="F963" s="138"/>
      <c r="G963" s="131"/>
      <c r="H963" s="131"/>
      <c r="I963" s="131"/>
      <c r="J963" s="138"/>
    </row>
    <row r="964">
      <c r="A964" s="133"/>
      <c r="B964" s="133"/>
      <c r="C964" s="131"/>
      <c r="D964" s="131"/>
      <c r="E964" s="131"/>
      <c r="F964" s="138"/>
      <c r="G964" s="131"/>
      <c r="H964" s="131"/>
      <c r="I964" s="131"/>
      <c r="J964" s="138"/>
    </row>
    <row r="965">
      <c r="A965" s="133"/>
      <c r="B965" s="133"/>
      <c r="C965" s="131"/>
      <c r="D965" s="131"/>
      <c r="E965" s="131"/>
      <c r="F965" s="138"/>
      <c r="G965" s="131"/>
      <c r="H965" s="131"/>
      <c r="I965" s="131"/>
      <c r="J965" s="138"/>
    </row>
    <row r="966">
      <c r="A966" s="133"/>
      <c r="B966" s="133"/>
      <c r="C966" s="131"/>
      <c r="D966" s="131"/>
      <c r="E966" s="131"/>
      <c r="F966" s="138"/>
      <c r="G966" s="131"/>
      <c r="H966" s="131"/>
      <c r="I966" s="131"/>
      <c r="J966" s="138"/>
    </row>
    <row r="967">
      <c r="A967" s="133"/>
      <c r="B967" s="133"/>
      <c r="C967" s="131"/>
      <c r="D967" s="131"/>
      <c r="E967" s="131"/>
      <c r="F967" s="138"/>
      <c r="G967" s="131"/>
      <c r="H967" s="131"/>
      <c r="I967" s="131"/>
      <c r="J967" s="138"/>
    </row>
    <row r="968">
      <c r="A968" s="133"/>
      <c r="B968" s="133"/>
      <c r="C968" s="131"/>
      <c r="D968" s="131"/>
      <c r="E968" s="131"/>
      <c r="F968" s="138"/>
      <c r="G968" s="131"/>
      <c r="H968" s="131"/>
      <c r="I968" s="131"/>
      <c r="J968" s="138"/>
    </row>
    <row r="969">
      <c r="A969" s="133"/>
      <c r="B969" s="133"/>
      <c r="C969" s="131"/>
      <c r="D969" s="131"/>
      <c r="E969" s="131"/>
      <c r="F969" s="138"/>
      <c r="G969" s="131"/>
      <c r="H969" s="131"/>
      <c r="I969" s="131"/>
      <c r="J969" s="138"/>
    </row>
    <row r="970">
      <c r="A970" s="133"/>
      <c r="B970" s="133"/>
      <c r="C970" s="131"/>
      <c r="D970" s="131"/>
      <c r="E970" s="131"/>
      <c r="F970" s="138"/>
      <c r="G970" s="131"/>
      <c r="H970" s="131"/>
      <c r="I970" s="131"/>
      <c r="J970" s="138"/>
    </row>
    <row r="971">
      <c r="A971" s="133"/>
      <c r="B971" s="133"/>
      <c r="C971" s="131"/>
      <c r="D971" s="131"/>
      <c r="E971" s="131"/>
      <c r="F971" s="138"/>
      <c r="G971" s="131"/>
      <c r="H971" s="131"/>
      <c r="I971" s="131"/>
      <c r="J971" s="138"/>
    </row>
    <row r="972">
      <c r="A972" s="133"/>
      <c r="B972" s="133"/>
      <c r="C972" s="131"/>
      <c r="D972" s="131"/>
      <c r="E972" s="131"/>
      <c r="F972" s="138"/>
      <c r="G972" s="131"/>
      <c r="H972" s="131"/>
      <c r="I972" s="131"/>
      <c r="J972" s="138"/>
    </row>
    <row r="973">
      <c r="A973" s="133"/>
      <c r="B973" s="133"/>
      <c r="C973" s="131"/>
      <c r="D973" s="131"/>
      <c r="E973" s="131"/>
      <c r="F973" s="138"/>
      <c r="G973" s="131"/>
      <c r="H973" s="131"/>
      <c r="I973" s="131"/>
      <c r="J973" s="138"/>
    </row>
    <row r="974">
      <c r="A974" s="133"/>
      <c r="B974" s="133"/>
      <c r="C974" s="131"/>
      <c r="D974" s="131"/>
      <c r="E974" s="131"/>
      <c r="F974" s="138"/>
      <c r="G974" s="131"/>
      <c r="H974" s="131"/>
      <c r="I974" s="131"/>
      <c r="J974" s="138"/>
    </row>
    <row r="975">
      <c r="A975" s="133"/>
      <c r="B975" s="133"/>
      <c r="C975" s="131"/>
      <c r="D975" s="131"/>
      <c r="E975" s="131"/>
      <c r="F975" s="138"/>
      <c r="G975" s="131"/>
      <c r="H975" s="131"/>
      <c r="I975" s="131"/>
      <c r="J975" s="138"/>
    </row>
    <row r="976">
      <c r="A976" s="133"/>
      <c r="B976" s="133"/>
      <c r="C976" s="131"/>
      <c r="D976" s="131"/>
      <c r="E976" s="131"/>
      <c r="F976" s="138"/>
      <c r="G976" s="131"/>
      <c r="H976" s="131"/>
      <c r="I976" s="131"/>
      <c r="J976" s="138"/>
    </row>
    <row r="977">
      <c r="A977" s="133"/>
      <c r="B977" s="133"/>
      <c r="C977" s="131"/>
      <c r="D977" s="131"/>
      <c r="E977" s="131"/>
      <c r="F977" s="138"/>
      <c r="G977" s="131"/>
      <c r="H977" s="131"/>
      <c r="I977" s="131"/>
      <c r="J977" s="138"/>
    </row>
    <row r="978">
      <c r="A978" s="133"/>
      <c r="B978" s="133"/>
      <c r="C978" s="131"/>
      <c r="D978" s="131"/>
      <c r="E978" s="131"/>
      <c r="F978" s="138"/>
      <c r="G978" s="131"/>
      <c r="H978" s="131"/>
      <c r="I978" s="131"/>
      <c r="J978" s="138"/>
    </row>
    <row r="979">
      <c r="A979" s="133"/>
      <c r="B979" s="133"/>
      <c r="C979" s="131"/>
      <c r="D979" s="131"/>
      <c r="E979" s="131"/>
      <c r="F979" s="138"/>
      <c r="G979" s="131"/>
      <c r="H979" s="131"/>
      <c r="I979" s="131"/>
      <c r="J979" s="138"/>
    </row>
    <row r="980">
      <c r="A980" s="133"/>
      <c r="B980" s="133"/>
      <c r="C980" s="131"/>
      <c r="D980" s="131"/>
      <c r="E980" s="131"/>
      <c r="F980" s="138"/>
      <c r="G980" s="131"/>
      <c r="H980" s="131"/>
      <c r="I980" s="131"/>
      <c r="J980" s="138"/>
    </row>
    <row r="981">
      <c r="A981" s="133"/>
      <c r="B981" s="133"/>
      <c r="C981" s="131"/>
      <c r="D981" s="131"/>
      <c r="E981" s="131"/>
      <c r="F981" s="138"/>
      <c r="G981" s="131"/>
      <c r="H981" s="131"/>
      <c r="I981" s="131"/>
      <c r="J981" s="138"/>
    </row>
    <row r="982">
      <c r="A982" s="133"/>
      <c r="B982" s="133"/>
      <c r="C982" s="131"/>
      <c r="D982" s="131"/>
      <c r="E982" s="131"/>
      <c r="F982" s="138"/>
      <c r="G982" s="131"/>
      <c r="H982" s="131"/>
      <c r="I982" s="131"/>
      <c r="J982" s="138"/>
    </row>
    <row r="983">
      <c r="A983" s="133"/>
      <c r="B983" s="133"/>
      <c r="C983" s="131"/>
      <c r="D983" s="131"/>
      <c r="E983" s="131"/>
      <c r="F983" s="138"/>
      <c r="G983" s="131"/>
      <c r="H983" s="131"/>
      <c r="I983" s="131"/>
      <c r="J983" s="138"/>
    </row>
    <row r="984">
      <c r="A984" s="133"/>
      <c r="B984" s="133"/>
      <c r="C984" s="131"/>
      <c r="D984" s="131"/>
      <c r="E984" s="131"/>
      <c r="F984" s="138"/>
      <c r="G984" s="131"/>
      <c r="H984" s="131"/>
      <c r="I984" s="131"/>
      <c r="J984" s="138"/>
    </row>
    <row r="985">
      <c r="A985" s="133"/>
      <c r="B985" s="133"/>
      <c r="C985" s="131"/>
      <c r="D985" s="131"/>
      <c r="E985" s="131"/>
      <c r="F985" s="138"/>
      <c r="G985" s="131"/>
      <c r="H985" s="131"/>
      <c r="I985" s="131"/>
      <c r="J985" s="138"/>
    </row>
    <row r="986">
      <c r="A986" s="133"/>
      <c r="B986" s="133"/>
      <c r="C986" s="131"/>
      <c r="D986" s="131"/>
      <c r="E986" s="131"/>
      <c r="F986" s="138"/>
      <c r="G986" s="131"/>
      <c r="H986" s="131"/>
      <c r="I986" s="131"/>
      <c r="J986" s="138"/>
    </row>
    <row r="987">
      <c r="A987" s="133"/>
      <c r="B987" s="133"/>
      <c r="C987" s="131"/>
      <c r="D987" s="131"/>
      <c r="E987" s="131"/>
      <c r="F987" s="138"/>
      <c r="G987" s="131"/>
      <c r="H987" s="131"/>
      <c r="I987" s="131"/>
      <c r="J987" s="138"/>
    </row>
    <row r="988">
      <c r="A988" s="133"/>
      <c r="B988" s="133"/>
      <c r="C988" s="131"/>
      <c r="D988" s="131"/>
      <c r="E988" s="131"/>
      <c r="F988" s="138"/>
      <c r="G988" s="131"/>
      <c r="H988" s="131"/>
      <c r="I988" s="131"/>
      <c r="J988" s="138"/>
    </row>
    <row r="989">
      <c r="A989" s="133"/>
      <c r="B989" s="133"/>
      <c r="C989" s="131"/>
      <c r="D989" s="131"/>
      <c r="E989" s="131"/>
      <c r="F989" s="138"/>
      <c r="G989" s="131"/>
      <c r="H989" s="131"/>
      <c r="I989" s="131"/>
      <c r="J989" s="138"/>
    </row>
    <row r="990">
      <c r="A990" s="133"/>
      <c r="B990" s="133"/>
      <c r="C990" s="131"/>
      <c r="D990" s="131"/>
      <c r="E990" s="131"/>
      <c r="F990" s="138"/>
      <c r="G990" s="131"/>
      <c r="H990" s="131"/>
      <c r="I990" s="131"/>
      <c r="J990" s="138"/>
    </row>
    <row r="991">
      <c r="A991" s="133"/>
      <c r="B991" s="133"/>
      <c r="C991" s="131"/>
      <c r="D991" s="131"/>
      <c r="E991" s="131"/>
      <c r="F991" s="138"/>
      <c r="G991" s="131"/>
      <c r="H991" s="131"/>
      <c r="I991" s="131"/>
      <c r="J991" s="138"/>
    </row>
    <row r="992">
      <c r="A992" s="133"/>
      <c r="B992" s="133"/>
      <c r="C992" s="131"/>
      <c r="D992" s="131"/>
      <c r="E992" s="131"/>
      <c r="F992" s="138"/>
      <c r="G992" s="131"/>
      <c r="H992" s="131"/>
      <c r="I992" s="131"/>
      <c r="J992" s="138"/>
    </row>
    <row r="993">
      <c r="A993" s="133"/>
      <c r="B993" s="133"/>
      <c r="C993" s="131"/>
      <c r="D993" s="131"/>
      <c r="E993" s="131"/>
      <c r="F993" s="138"/>
      <c r="G993" s="131"/>
      <c r="H993" s="131"/>
      <c r="I993" s="131"/>
      <c r="J993" s="138"/>
    </row>
    <row r="994">
      <c r="A994" s="133"/>
      <c r="B994" s="133"/>
      <c r="C994" s="131"/>
      <c r="D994" s="131"/>
      <c r="E994" s="131"/>
      <c r="F994" s="138"/>
      <c r="G994" s="131"/>
      <c r="H994" s="131"/>
      <c r="I994" s="131"/>
      <c r="J994" s="138"/>
    </row>
    <row r="995">
      <c r="A995" s="133"/>
      <c r="B995" s="133"/>
      <c r="C995" s="131"/>
      <c r="D995" s="131"/>
      <c r="E995" s="131"/>
      <c r="F995" s="138"/>
      <c r="G995" s="131"/>
      <c r="H995" s="131"/>
      <c r="I995" s="131"/>
      <c r="J995" s="138"/>
    </row>
    <row r="996">
      <c r="A996" s="133"/>
      <c r="B996" s="133"/>
      <c r="C996" s="131"/>
      <c r="D996" s="131"/>
      <c r="E996" s="131"/>
      <c r="F996" s="138"/>
      <c r="G996" s="131"/>
      <c r="H996" s="131"/>
      <c r="I996" s="131"/>
      <c r="J996" s="138"/>
    </row>
    <row r="997">
      <c r="A997" s="133"/>
      <c r="B997" s="133"/>
      <c r="C997" s="131"/>
      <c r="D997" s="131"/>
      <c r="E997" s="131"/>
      <c r="F997" s="138"/>
      <c r="G997" s="131"/>
      <c r="H997" s="131"/>
      <c r="I997" s="131"/>
      <c r="J997" s="138"/>
    </row>
    <row r="998">
      <c r="A998" s="133"/>
      <c r="B998" s="133"/>
      <c r="C998" s="131"/>
      <c r="D998" s="131"/>
      <c r="E998" s="131"/>
      <c r="F998" s="138"/>
      <c r="G998" s="131"/>
      <c r="H998" s="131"/>
      <c r="I998" s="131"/>
      <c r="J998" s="138"/>
    </row>
    <row r="999">
      <c r="A999" s="133"/>
      <c r="B999" s="133"/>
      <c r="C999" s="131"/>
      <c r="D999" s="131"/>
      <c r="E999" s="131"/>
      <c r="F999" s="138"/>
      <c r="G999" s="131"/>
      <c r="H999" s="131"/>
      <c r="I999" s="131"/>
      <c r="J999" s="138"/>
    </row>
    <row r="1000">
      <c r="A1000" s="133"/>
      <c r="B1000" s="133"/>
      <c r="C1000" s="131"/>
      <c r="D1000" s="131"/>
      <c r="E1000" s="131"/>
      <c r="F1000" s="138"/>
      <c r="G1000" s="131"/>
      <c r="H1000" s="131"/>
      <c r="I1000" s="131"/>
      <c r="J1000" s="138"/>
    </row>
    <row r="1001">
      <c r="A1001" s="133"/>
      <c r="B1001" s="133"/>
      <c r="C1001" s="131"/>
      <c r="D1001" s="131"/>
      <c r="E1001" s="131"/>
      <c r="F1001" s="138"/>
      <c r="G1001" s="131"/>
      <c r="H1001" s="131"/>
      <c r="I1001" s="131"/>
      <c r="J1001" s="138"/>
    </row>
    <row r="1002">
      <c r="A1002" s="133"/>
      <c r="B1002" s="133"/>
      <c r="C1002" s="131"/>
      <c r="D1002" s="131"/>
      <c r="E1002" s="131"/>
      <c r="F1002" s="138"/>
      <c r="G1002" s="131"/>
      <c r="H1002" s="131"/>
      <c r="I1002" s="131"/>
      <c r="J1002" s="138"/>
    </row>
    <row r="1003">
      <c r="A1003" s="133"/>
      <c r="B1003" s="133"/>
      <c r="C1003" s="131"/>
      <c r="D1003" s="131"/>
      <c r="E1003" s="131"/>
      <c r="F1003" s="138"/>
      <c r="G1003" s="131"/>
      <c r="H1003" s="131"/>
      <c r="I1003" s="131"/>
      <c r="J1003" s="138"/>
    </row>
    <row r="1004">
      <c r="A1004" s="133"/>
      <c r="B1004" s="133"/>
      <c r="C1004" s="131"/>
      <c r="D1004" s="131"/>
      <c r="E1004" s="131"/>
      <c r="F1004" s="138"/>
      <c r="G1004" s="131"/>
      <c r="H1004" s="131"/>
      <c r="I1004" s="131"/>
      <c r="J1004" s="138"/>
    </row>
    <row r="1005">
      <c r="A1005" s="133"/>
      <c r="B1005" s="133"/>
      <c r="C1005" s="131"/>
      <c r="D1005" s="131"/>
      <c r="E1005" s="131"/>
      <c r="F1005" s="138"/>
      <c r="G1005" s="131"/>
      <c r="H1005" s="131"/>
      <c r="I1005" s="131"/>
      <c r="J1005" s="138"/>
    </row>
    <row r="1006">
      <c r="A1006" s="133"/>
      <c r="B1006" s="133"/>
      <c r="C1006" s="131"/>
      <c r="D1006" s="131"/>
      <c r="E1006" s="131"/>
      <c r="F1006" s="138"/>
      <c r="G1006" s="131"/>
      <c r="H1006" s="131"/>
      <c r="I1006" s="131"/>
      <c r="J1006" s="138"/>
    </row>
    <row r="1007">
      <c r="A1007" s="133"/>
      <c r="B1007" s="133"/>
      <c r="C1007" s="131"/>
      <c r="D1007" s="131"/>
      <c r="E1007" s="131"/>
      <c r="F1007" s="138"/>
      <c r="G1007" s="131"/>
      <c r="H1007" s="131"/>
      <c r="I1007" s="131"/>
      <c r="J1007" s="138"/>
    </row>
    <row r="1008">
      <c r="A1008" s="133"/>
      <c r="B1008" s="133"/>
      <c r="C1008" s="131"/>
      <c r="D1008" s="131"/>
      <c r="E1008" s="131"/>
      <c r="F1008" s="138"/>
      <c r="G1008" s="131"/>
      <c r="H1008" s="131"/>
      <c r="I1008" s="131"/>
      <c r="J1008" s="138"/>
    </row>
    <row r="1009">
      <c r="A1009" s="133"/>
      <c r="B1009" s="133"/>
      <c r="C1009" s="131"/>
      <c r="D1009" s="131"/>
      <c r="E1009" s="131"/>
      <c r="F1009" s="138"/>
      <c r="G1009" s="131"/>
      <c r="H1009" s="131"/>
      <c r="I1009" s="131"/>
      <c r="J1009" s="138"/>
    </row>
    <row r="1010">
      <c r="A1010" s="133"/>
      <c r="B1010" s="133"/>
      <c r="C1010" s="131"/>
      <c r="D1010" s="131"/>
      <c r="E1010" s="131"/>
      <c r="F1010" s="138"/>
      <c r="G1010" s="131"/>
      <c r="H1010" s="131"/>
      <c r="I1010" s="131"/>
      <c r="J1010" s="138"/>
    </row>
    <row r="1011">
      <c r="A1011" s="133"/>
      <c r="B1011" s="133"/>
      <c r="C1011" s="131"/>
      <c r="D1011" s="131"/>
      <c r="E1011" s="131"/>
      <c r="F1011" s="138"/>
      <c r="G1011" s="131"/>
      <c r="H1011" s="131"/>
      <c r="I1011" s="131"/>
      <c r="J1011" s="138"/>
    </row>
    <row r="1012">
      <c r="A1012" s="133"/>
      <c r="B1012" s="133"/>
      <c r="C1012" s="131"/>
      <c r="D1012" s="131"/>
      <c r="E1012" s="131"/>
      <c r="F1012" s="138"/>
      <c r="G1012" s="131"/>
      <c r="H1012" s="131"/>
      <c r="I1012" s="131"/>
      <c r="J1012" s="138"/>
    </row>
    <row r="1013">
      <c r="A1013" s="133"/>
      <c r="B1013" s="133"/>
      <c r="C1013" s="131"/>
      <c r="D1013" s="131"/>
      <c r="E1013" s="131"/>
      <c r="F1013" s="138"/>
      <c r="G1013" s="131"/>
      <c r="H1013" s="131"/>
      <c r="I1013" s="131"/>
      <c r="J1013" s="138"/>
    </row>
    <row r="1014">
      <c r="A1014" s="133"/>
      <c r="B1014" s="133"/>
      <c r="C1014" s="131"/>
      <c r="D1014" s="131"/>
      <c r="E1014" s="131"/>
      <c r="F1014" s="138"/>
      <c r="G1014" s="131"/>
      <c r="H1014" s="131"/>
      <c r="I1014" s="131"/>
      <c r="J1014" s="138"/>
    </row>
    <row r="1015">
      <c r="A1015" s="133"/>
      <c r="B1015" s="133"/>
      <c r="C1015" s="131"/>
      <c r="D1015" s="131"/>
      <c r="E1015" s="131"/>
      <c r="F1015" s="138"/>
      <c r="G1015" s="131"/>
      <c r="H1015" s="131"/>
      <c r="I1015" s="131"/>
      <c r="J1015" s="138"/>
    </row>
    <row r="1016">
      <c r="A1016" s="133"/>
      <c r="B1016" s="133"/>
      <c r="C1016" s="131"/>
      <c r="D1016" s="131"/>
      <c r="E1016" s="131"/>
      <c r="F1016" s="138"/>
      <c r="G1016" s="131"/>
      <c r="H1016" s="131"/>
      <c r="I1016" s="131"/>
      <c r="J1016" s="138"/>
    </row>
    <row r="1017">
      <c r="A1017" s="133"/>
      <c r="B1017" s="133"/>
      <c r="C1017" s="131"/>
      <c r="D1017" s="131"/>
      <c r="E1017" s="131"/>
      <c r="F1017" s="138"/>
      <c r="G1017" s="131"/>
      <c r="H1017" s="131"/>
      <c r="I1017" s="131"/>
      <c r="J1017" s="138"/>
    </row>
  </sheetData>
  <autoFilter ref="$A$4:$K$551">
    <filterColumn colId="10">
      <filters>
        <filter val="Remate"/>
      </filters>
    </filterColumn>
  </autoFilter>
  <mergeCells count="1">
    <mergeCell ref="A1:K3"/>
  </mergeCells>
  <dataValidations>
    <dataValidation type="list" allowBlank="1" showErrorMessage="1" sqref="K5:K510">
      <formula1>"Remate"</formula1>
    </dataValidation>
  </dataValidations>
  <hyperlinks>
    <hyperlink r:id="rId1" ref="A5"/>
    <hyperlink r:id="rId2" ref="A6"/>
    <hyperlink r:id="rId3" ref="A7"/>
    <hyperlink r:id="rId4" ref="A8"/>
    <hyperlink r:id="rId5" ref="A11"/>
    <hyperlink r:id="rId6" ref="A12"/>
    <hyperlink r:id="rId7" ref="A13"/>
    <hyperlink r:id="rId8" ref="A14"/>
    <hyperlink r:id="rId9" ref="A15"/>
    <hyperlink r:id="rId10" ref="A16"/>
    <hyperlink r:id="rId11" ref="B17"/>
    <hyperlink r:id="rId12" ref="A18"/>
    <hyperlink r:id="rId13" ref="A19"/>
    <hyperlink r:id="rId14" ref="A20"/>
    <hyperlink r:id="rId15" ref="A23"/>
    <hyperlink r:id="rId16" ref="A93"/>
    <hyperlink r:id="rId17" ref="A94"/>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55" t="s">
        <v>4742</v>
      </c>
      <c r="B1" s="156" t="s">
        <v>4743</v>
      </c>
      <c r="C1" s="156" t="s">
        <v>9</v>
      </c>
      <c r="D1" s="157" t="s">
        <v>10</v>
      </c>
      <c r="E1" s="158" t="s">
        <v>4744</v>
      </c>
      <c r="F1" s="158" t="s">
        <v>13</v>
      </c>
      <c r="G1" s="159" t="s">
        <v>14</v>
      </c>
      <c r="H1" s="160" t="s">
        <v>14</v>
      </c>
      <c r="I1" s="158" t="s">
        <v>15</v>
      </c>
      <c r="J1" s="158" t="s">
        <v>16</v>
      </c>
      <c r="K1" s="161" t="s">
        <v>17</v>
      </c>
      <c r="L1" s="156" t="s">
        <v>2721</v>
      </c>
    </row>
    <row r="2">
      <c r="A2" s="140" t="s">
        <v>4742</v>
      </c>
      <c r="B2" s="162">
        <v>2.019878109E9</v>
      </c>
      <c r="C2" s="140" t="s">
        <v>388</v>
      </c>
      <c r="D2" s="163">
        <v>539.0</v>
      </c>
      <c r="E2" s="163">
        <v>499.0</v>
      </c>
      <c r="F2" s="164">
        <v>308.83</v>
      </c>
      <c r="G2" s="165">
        <v>0.1</v>
      </c>
      <c r="H2" s="164">
        <f>G2*D2</f>
        <v>53.9</v>
      </c>
      <c r="I2" s="166">
        <v>62.5</v>
      </c>
      <c r="J2" s="164">
        <f>D2-F2-H2-I2</f>
        <v>113.77</v>
      </c>
      <c r="K2" s="167">
        <f>J2/F2</f>
        <v>0.3683903766</v>
      </c>
      <c r="L2" s="140" t="s">
        <v>237</v>
      </c>
    </row>
    <row r="4">
      <c r="A4" s="1" t="s">
        <v>4745</v>
      </c>
    </row>
    <row r="5">
      <c r="A5" s="1" t="s">
        <v>4746</v>
      </c>
      <c r="B5" s="168">
        <f>J2</f>
        <v>113.77</v>
      </c>
    </row>
    <row r="6">
      <c r="A6" s="1" t="s">
        <v>17</v>
      </c>
      <c r="B6" s="2">
        <f>K2</f>
        <v>0.3683903766</v>
      </c>
    </row>
    <row r="7">
      <c r="A7" s="1"/>
    </row>
    <row r="8">
      <c r="A8" s="1" t="s">
        <v>4747</v>
      </c>
      <c r="B8" s="169">
        <v>0.2</v>
      </c>
    </row>
    <row r="9">
      <c r="A9" s="170" t="s">
        <v>4748</v>
      </c>
      <c r="D9" s="170" t="s">
        <v>4749</v>
      </c>
    </row>
    <row r="10">
      <c r="A10" s="1" t="s">
        <v>4750</v>
      </c>
      <c r="B10" s="168">
        <f>D2</f>
        <v>539</v>
      </c>
      <c r="D10" s="1" t="s">
        <v>2720</v>
      </c>
      <c r="E10" s="168">
        <f>D2</f>
        <v>539</v>
      </c>
      <c r="F10" s="1" t="s">
        <v>4751</v>
      </c>
    </row>
    <row r="11">
      <c r="A11" s="1" t="s">
        <v>4752</v>
      </c>
      <c r="B11" s="168">
        <f>B10*B8</f>
        <v>107.8</v>
      </c>
      <c r="D11" s="1" t="s">
        <v>4753</v>
      </c>
      <c r="E11" s="1">
        <v>125.0</v>
      </c>
      <c r="F11" s="1" t="s">
        <v>4754</v>
      </c>
    </row>
    <row r="12">
      <c r="A12" s="1" t="s">
        <v>4755</v>
      </c>
      <c r="B12" s="171">
        <f>(1-B8)*H2</f>
        <v>43.12</v>
      </c>
      <c r="D12" s="1" t="s">
        <v>4756</v>
      </c>
      <c r="E12" s="168">
        <f>H2</f>
        <v>53.9</v>
      </c>
    </row>
    <row r="13">
      <c r="A13" s="1" t="s">
        <v>15</v>
      </c>
      <c r="B13" s="168">
        <f>I2</f>
        <v>62.5</v>
      </c>
      <c r="D13" s="1"/>
    </row>
    <row r="14">
      <c r="A14" s="1" t="s">
        <v>4757</v>
      </c>
      <c r="B14" s="168">
        <f>F2</f>
        <v>308.83</v>
      </c>
      <c r="D14" s="1" t="s">
        <v>4758</v>
      </c>
      <c r="E14" s="168">
        <f>I2</f>
        <v>62.5</v>
      </c>
    </row>
    <row r="15">
      <c r="A15" s="1" t="s">
        <v>2727</v>
      </c>
      <c r="B15" s="172">
        <f>B10-B11-B12-B13-B14</f>
        <v>16.75</v>
      </c>
      <c r="D15" s="1" t="s">
        <v>13</v>
      </c>
      <c r="E15" s="168">
        <f>F2</f>
        <v>308.83</v>
      </c>
    </row>
    <row r="16">
      <c r="D16" s="1" t="s">
        <v>2727</v>
      </c>
      <c r="E16" s="173">
        <f>E10-E11-E12-E14-E15</f>
        <v>-11.23</v>
      </c>
      <c r="F16" s="1" t="s">
        <v>4759</v>
      </c>
    </row>
  </sheetData>
  <mergeCells count="3">
    <mergeCell ref="A4:B4"/>
    <mergeCell ref="A9:B9"/>
    <mergeCell ref="D9:E9"/>
  </mergeCells>
  <dataValidations>
    <dataValidation type="list" allowBlank="1" sqref="A1:A2">
      <formula1>"Catalogo,Publicación Normal,Remate"</formula1>
    </dataValidation>
    <dataValidation type="list" allowBlank="1" showErrorMessage="1" sqref="L2">
      <formula1>"Activa,Apagada"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8.57"/>
    <col customWidth="1" min="2" max="2" width="18.14"/>
    <col customWidth="1" min="3" max="3" width="14.14"/>
    <col customWidth="1" min="4" max="4" width="8.71"/>
    <col customWidth="1" min="5" max="5" width="11.86"/>
    <col customWidth="1" min="6" max="7" width="8.71"/>
    <col customWidth="1" min="8" max="8" width="38.86"/>
    <col customWidth="1" min="9" max="9" width="8.71"/>
    <col customWidth="1" min="10" max="10" width="32.86"/>
    <col customWidth="1" min="11" max="12" width="15.86"/>
    <col customWidth="1" min="13" max="13" width="8.71"/>
    <col customWidth="1" min="14" max="14" width="8.86"/>
    <col customWidth="1" min="15" max="15" width="26.0"/>
  </cols>
  <sheetData>
    <row r="1" ht="14.25" customHeight="1">
      <c r="A1" s="174" t="s">
        <v>4760</v>
      </c>
      <c r="B1" s="174" t="s">
        <v>4761</v>
      </c>
      <c r="C1" s="174" t="s">
        <v>4762</v>
      </c>
      <c r="D1" s="174" t="s">
        <v>4763</v>
      </c>
      <c r="E1" s="174" t="s">
        <v>4764</v>
      </c>
      <c r="I1" s="175" t="s">
        <v>4760</v>
      </c>
      <c r="J1" s="175" t="s">
        <v>4761</v>
      </c>
      <c r="K1" s="175" t="s">
        <v>4762</v>
      </c>
      <c r="L1" s="175" t="s">
        <v>4765</v>
      </c>
      <c r="M1" s="175" t="s">
        <v>4763</v>
      </c>
      <c r="N1" s="174" t="s">
        <v>4764</v>
      </c>
      <c r="O1" s="174" t="s">
        <v>4766</v>
      </c>
    </row>
    <row r="2" ht="14.25" customHeight="1">
      <c r="A2" s="176" t="s">
        <v>4767</v>
      </c>
      <c r="B2" s="177" t="s">
        <v>4768</v>
      </c>
      <c r="C2" s="178" t="s">
        <v>4769</v>
      </c>
      <c r="D2" s="178" t="s">
        <v>4770</v>
      </c>
      <c r="E2" s="178" t="s">
        <v>4771</v>
      </c>
      <c r="F2" s="118" t="s">
        <v>4768</v>
      </c>
      <c r="H2" s="179" t="str">
        <f t="shared" ref="H2:H1898" si="1">I2&amp;J2&amp;K2&amp;L2&amp;M2&amp;N2</f>
        <v>No</v>
      </c>
      <c r="I2" s="178" t="s">
        <v>4772</v>
      </c>
      <c r="J2" s="180"/>
      <c r="K2" s="180"/>
      <c r="L2" s="180"/>
      <c r="M2" s="180"/>
      <c r="N2" s="180"/>
      <c r="O2" s="181" t="s">
        <v>4773</v>
      </c>
    </row>
    <row r="3" ht="14.25" customHeight="1">
      <c r="A3" s="178" t="s">
        <v>4772</v>
      </c>
      <c r="B3" s="176" t="s">
        <v>4774</v>
      </c>
      <c r="C3" s="178" t="s">
        <v>4775</v>
      </c>
      <c r="D3" s="178" t="s">
        <v>4776</v>
      </c>
      <c r="E3" s="178" t="s">
        <v>4777</v>
      </c>
      <c r="F3" s="118" t="s">
        <v>4774</v>
      </c>
      <c r="H3" s="179" t="str">
        <f t="shared" si="1"/>
        <v>SíAlcalina</v>
      </c>
      <c r="I3" s="182" t="s">
        <v>4767</v>
      </c>
      <c r="J3" s="182" t="s">
        <v>4778</v>
      </c>
      <c r="K3" s="183"/>
      <c r="L3" s="183"/>
      <c r="M3" s="184"/>
      <c r="N3" s="185"/>
      <c r="O3" s="181" t="s">
        <v>4773</v>
      </c>
    </row>
    <row r="4" ht="14.25" customHeight="1">
      <c r="A4" s="178" t="s">
        <v>2296</v>
      </c>
      <c r="B4" s="177" t="s">
        <v>4779</v>
      </c>
      <c r="C4" s="178" t="s">
        <v>4780</v>
      </c>
      <c r="D4" s="178" t="s">
        <v>4781</v>
      </c>
      <c r="E4" s="178"/>
      <c r="F4" s="118" t="s">
        <v>4779</v>
      </c>
      <c r="H4" s="179" t="str">
        <f t="shared" si="1"/>
        <v>SíNíquel_metal_hidruro</v>
      </c>
      <c r="I4" s="178" t="s">
        <v>4767</v>
      </c>
      <c r="J4" s="182" t="s">
        <v>4782</v>
      </c>
      <c r="K4" s="185"/>
      <c r="L4" s="185"/>
      <c r="M4" s="185"/>
      <c r="N4" s="185"/>
      <c r="O4" s="181" t="s">
        <v>4773</v>
      </c>
    </row>
    <row r="5" ht="14.25" customHeight="1">
      <c r="A5" s="178"/>
      <c r="B5" s="186" t="s">
        <v>4783</v>
      </c>
      <c r="C5" s="187"/>
      <c r="D5" s="178"/>
      <c r="E5" s="178"/>
      <c r="F5" s="118" t="s">
        <v>4783</v>
      </c>
      <c r="H5" s="179" t="str">
        <f t="shared" si="1"/>
        <v>SíNíquel_cadmio</v>
      </c>
      <c r="I5" s="178" t="s">
        <v>4767</v>
      </c>
      <c r="J5" s="182" t="s">
        <v>4784</v>
      </c>
      <c r="K5" s="185"/>
      <c r="L5" s="185"/>
      <c r="M5" s="185"/>
      <c r="N5" s="185"/>
      <c r="O5" s="181" t="s">
        <v>4773</v>
      </c>
    </row>
    <row r="6" ht="14.25" customHeight="1">
      <c r="A6" s="178"/>
      <c r="B6" s="176" t="s">
        <v>4785</v>
      </c>
      <c r="C6" s="178"/>
      <c r="D6" s="178"/>
      <c r="E6" s="178"/>
      <c r="F6" s="118" t="s">
        <v>4785</v>
      </c>
      <c r="H6" s="179" t="str">
        <f t="shared" si="1"/>
        <v>SíZinc_carbono</v>
      </c>
      <c r="I6" s="178" t="s">
        <v>4767</v>
      </c>
      <c r="J6" s="182" t="s">
        <v>4786</v>
      </c>
      <c r="K6" s="185"/>
      <c r="L6" s="185"/>
      <c r="M6" s="185"/>
      <c r="N6" s="185"/>
      <c r="O6" s="181" t="s">
        <v>4773</v>
      </c>
    </row>
    <row r="7" ht="14.25" customHeight="1">
      <c r="A7" s="178"/>
      <c r="B7" s="178" t="s">
        <v>4787</v>
      </c>
      <c r="C7" s="178"/>
      <c r="D7" s="178"/>
      <c r="E7" s="178"/>
      <c r="F7" s="118" t="s">
        <v>4787</v>
      </c>
      <c r="H7" s="179" t="str">
        <f t="shared" si="1"/>
        <v>SíZinc_aire</v>
      </c>
      <c r="I7" s="178" t="s">
        <v>4767</v>
      </c>
      <c r="J7" s="182" t="s">
        <v>4788</v>
      </c>
      <c r="K7" s="185"/>
      <c r="L7" s="185"/>
      <c r="M7" s="185"/>
      <c r="N7" s="185"/>
      <c r="O7" s="181" t="s">
        <v>4773</v>
      </c>
    </row>
    <row r="8" ht="14.25" customHeight="1">
      <c r="A8" s="178"/>
      <c r="B8" s="177" t="s">
        <v>4789</v>
      </c>
      <c r="C8" s="178"/>
      <c r="D8" s="178"/>
      <c r="E8" s="178"/>
      <c r="F8" s="118" t="s">
        <v>4789</v>
      </c>
      <c r="H8" s="179" t="str">
        <f t="shared" si="1"/>
        <v>SíÓxido_de_plata</v>
      </c>
      <c r="I8" s="178" t="s">
        <v>4767</v>
      </c>
      <c r="J8" s="182" t="s">
        <v>4790</v>
      </c>
      <c r="K8" s="185"/>
      <c r="L8" s="185"/>
      <c r="M8" s="185"/>
      <c r="N8" s="185"/>
      <c r="O8" s="181" t="s">
        <v>4773</v>
      </c>
    </row>
    <row r="9" ht="14.25" customHeight="1">
      <c r="A9" s="178"/>
      <c r="B9" s="176" t="s">
        <v>4791</v>
      </c>
      <c r="C9" s="178"/>
      <c r="D9" s="178"/>
      <c r="E9" s="178"/>
      <c r="F9" s="118" t="s">
        <v>4791</v>
      </c>
      <c r="H9" s="179" t="str">
        <f t="shared" si="1"/>
        <v>SíIon_litioEn el aparato</v>
      </c>
      <c r="I9" s="176" t="s">
        <v>4767</v>
      </c>
      <c r="J9" s="182" t="s">
        <v>4779</v>
      </c>
      <c r="K9" s="178" t="s">
        <v>4769</v>
      </c>
      <c r="L9" s="178"/>
      <c r="M9" s="188"/>
      <c r="N9" s="180"/>
      <c r="O9" s="189" t="s">
        <v>4792</v>
      </c>
    </row>
    <row r="10" ht="14.25" customHeight="1">
      <c r="A10" s="178"/>
      <c r="B10" s="186" t="s">
        <v>4793</v>
      </c>
      <c r="C10" s="178"/>
      <c r="D10" s="178"/>
      <c r="E10" s="178"/>
      <c r="F10" s="118" t="s">
        <v>4793</v>
      </c>
      <c r="H10" s="179" t="str">
        <f t="shared" si="1"/>
        <v>SíLitio_MetalEn el aparato</v>
      </c>
      <c r="I10" s="176" t="s">
        <v>4767</v>
      </c>
      <c r="J10" s="182" t="s">
        <v>4791</v>
      </c>
      <c r="K10" s="178" t="s">
        <v>4769</v>
      </c>
      <c r="L10" s="178"/>
      <c r="M10" s="185"/>
      <c r="N10" s="185"/>
      <c r="O10" s="181" t="s">
        <v>4773</v>
      </c>
    </row>
    <row r="11" ht="14.25" customHeight="1">
      <c r="A11" s="178"/>
      <c r="B11" s="178" t="s">
        <v>4794</v>
      </c>
      <c r="C11" s="178"/>
      <c r="D11" s="178"/>
      <c r="E11" s="178"/>
      <c r="F11" s="118" t="s">
        <v>4794</v>
      </c>
      <c r="H11" s="179" t="str">
        <f t="shared" si="1"/>
        <v>SíIon_litioCon el equipo</v>
      </c>
      <c r="I11" s="176" t="s">
        <v>4767</v>
      </c>
      <c r="J11" s="182" t="s">
        <v>4779</v>
      </c>
      <c r="K11" s="178" t="s">
        <v>4775</v>
      </c>
      <c r="L11" s="178"/>
      <c r="M11" s="188"/>
      <c r="N11" s="185"/>
      <c r="O11" s="189" t="s">
        <v>4792</v>
      </c>
    </row>
    <row r="12" ht="14.25" customHeight="1">
      <c r="A12" s="178"/>
      <c r="B12" s="177" t="s">
        <v>4778</v>
      </c>
      <c r="C12" s="178"/>
      <c r="D12" s="178"/>
      <c r="E12" s="178"/>
      <c r="F12" s="118" t="s">
        <v>4778</v>
      </c>
      <c r="H12" s="179" t="str">
        <f t="shared" si="1"/>
        <v>SíLitio_MetalCon el equipo</v>
      </c>
      <c r="I12" s="176" t="s">
        <v>4767</v>
      </c>
      <c r="J12" s="182" t="s">
        <v>4791</v>
      </c>
      <c r="K12" s="178" t="s">
        <v>4775</v>
      </c>
      <c r="L12" s="178"/>
      <c r="M12" s="185"/>
      <c r="N12" s="185"/>
      <c r="O12" s="181" t="s">
        <v>4773</v>
      </c>
    </row>
    <row r="13" ht="14.25" customHeight="1">
      <c r="A13" s="178"/>
      <c r="B13" s="190" t="s">
        <v>4795</v>
      </c>
      <c r="C13" s="178"/>
      <c r="D13" s="178"/>
      <c r="E13" s="178"/>
      <c r="F13" s="118" t="s">
        <v>4795</v>
      </c>
      <c r="H13" s="179" t="str">
        <f t="shared" si="1"/>
        <v>SíIon_litioIndependiente</v>
      </c>
      <c r="I13" s="178" t="s">
        <v>4767</v>
      </c>
      <c r="J13" s="182" t="s">
        <v>4779</v>
      </c>
      <c r="K13" s="178" t="s">
        <v>4780</v>
      </c>
      <c r="L13" s="178"/>
      <c r="M13" s="188"/>
      <c r="N13" s="185"/>
      <c r="O13" s="189" t="s">
        <v>4792</v>
      </c>
    </row>
    <row r="14" ht="14.25" customHeight="1">
      <c r="A14" s="178"/>
      <c r="B14" s="191" t="s">
        <v>4796</v>
      </c>
      <c r="C14" s="178"/>
      <c r="D14" s="178"/>
      <c r="E14" s="178"/>
      <c r="F14" s="118" t="s">
        <v>4796</v>
      </c>
      <c r="H14" s="179" t="str">
        <f t="shared" si="1"/>
        <v>SíLitio_MetalIndependiente</v>
      </c>
      <c r="I14" s="178" t="s">
        <v>4767</v>
      </c>
      <c r="J14" s="182" t="s">
        <v>4791</v>
      </c>
      <c r="K14" s="178" t="s">
        <v>4780</v>
      </c>
      <c r="L14" s="178"/>
      <c r="M14" s="185"/>
      <c r="N14" s="185"/>
      <c r="O14" s="181" t="s">
        <v>4773</v>
      </c>
    </row>
    <row r="15" ht="14.25" customHeight="1">
      <c r="A15" s="178"/>
      <c r="B15" s="191" t="s">
        <v>4797</v>
      </c>
      <c r="C15" s="178"/>
      <c r="D15" s="178"/>
      <c r="E15" s="178"/>
      <c r="F15" s="118" t="s">
        <v>4797</v>
      </c>
      <c r="H15" s="179" t="str">
        <f t="shared" si="1"/>
        <v>#REF!</v>
      </c>
      <c r="I15" s="178" t="s">
        <v>4767</v>
      </c>
      <c r="J15" s="182" t="s">
        <v>4779</v>
      </c>
      <c r="K15" s="178"/>
      <c r="L15" s="178"/>
      <c r="M15" s="178" t="str">
        <f>IF('Ficha de exención para baterías'!$P$13&gt;0,'Ficha de exención para baterías'!$P$13," ")</f>
        <v>#REF!</v>
      </c>
      <c r="N15" s="185"/>
      <c r="O15" s="189" t="s">
        <v>4792</v>
      </c>
    </row>
    <row r="16" ht="14.25" customHeight="1">
      <c r="A16" s="178"/>
      <c r="B16" s="191" t="s">
        <v>4798</v>
      </c>
      <c r="C16" s="178"/>
      <c r="D16" s="178"/>
      <c r="E16" s="178"/>
      <c r="F16" s="118" t="s">
        <v>4798</v>
      </c>
      <c r="H16" s="179" t="str">
        <f t="shared" si="1"/>
        <v>SíIon_litio</v>
      </c>
      <c r="I16" s="178" t="s">
        <v>4767</v>
      </c>
      <c r="J16" s="182" t="s">
        <v>4779</v>
      </c>
      <c r="K16" s="178"/>
      <c r="L16" s="178"/>
      <c r="M16" s="188"/>
      <c r="N16" s="185"/>
      <c r="O16" s="189" t="s">
        <v>4792</v>
      </c>
    </row>
    <row r="17" ht="14.25" customHeight="1">
      <c r="A17" s="190"/>
      <c r="B17" s="190" t="s">
        <v>4784</v>
      </c>
      <c r="C17" s="190"/>
      <c r="D17" s="190"/>
      <c r="E17" s="190"/>
      <c r="F17" s="118" t="s">
        <v>4784</v>
      </c>
      <c r="H17" s="179" t="str">
        <f t="shared" si="1"/>
        <v>SíLitio_Metal</v>
      </c>
      <c r="I17" s="178" t="s">
        <v>4767</v>
      </c>
      <c r="J17" s="182" t="s">
        <v>4791</v>
      </c>
      <c r="K17" s="178"/>
      <c r="L17" s="178"/>
      <c r="M17" s="185"/>
      <c r="N17" s="185"/>
      <c r="O17" s="189" t="s">
        <v>4792</v>
      </c>
    </row>
    <row r="18" ht="14.25" customHeight="1">
      <c r="A18" s="190"/>
      <c r="B18" s="190" t="s">
        <v>4782</v>
      </c>
      <c r="C18" s="190"/>
      <c r="D18" s="190"/>
      <c r="E18" s="190"/>
      <c r="F18" s="118" t="s">
        <v>4782</v>
      </c>
      <c r="H18" s="179" t="str">
        <f t="shared" si="1"/>
        <v>SíPlomo_ácidoEn el aparatoNo derramable</v>
      </c>
      <c r="I18" s="178" t="s">
        <v>4767</v>
      </c>
      <c r="J18" s="182" t="s">
        <v>4797</v>
      </c>
      <c r="K18" s="178" t="s">
        <v>4769</v>
      </c>
      <c r="L18" s="178"/>
      <c r="M18" s="185"/>
      <c r="N18" s="178" t="s">
        <v>4777</v>
      </c>
      <c r="O18" s="181" t="s">
        <v>4773</v>
      </c>
    </row>
    <row r="19" ht="14.25" customHeight="1">
      <c r="A19" s="190"/>
      <c r="B19" s="178" t="s">
        <v>4790</v>
      </c>
      <c r="C19" s="190"/>
      <c r="D19" s="190"/>
      <c r="E19" s="190"/>
      <c r="F19" s="118" t="s">
        <v>4790</v>
      </c>
      <c r="H19" s="179" t="str">
        <f t="shared" si="1"/>
        <v>SíPlomo_ácidoEn el aparatoDerramable</v>
      </c>
      <c r="I19" s="178" t="s">
        <v>4767</v>
      </c>
      <c r="J19" s="182" t="s">
        <v>4797</v>
      </c>
      <c r="K19" s="178" t="s">
        <v>4769</v>
      </c>
      <c r="L19" s="178"/>
      <c r="M19" s="185"/>
      <c r="N19" s="178" t="s">
        <v>4771</v>
      </c>
      <c r="O19" s="181" t="s">
        <v>4773</v>
      </c>
    </row>
    <row r="20" ht="14.25" customHeight="1">
      <c r="B20" s="178" t="s">
        <v>4799</v>
      </c>
      <c r="F20" s="118" t="s">
        <v>4799</v>
      </c>
      <c r="H20" s="179" t="str">
        <f t="shared" si="1"/>
        <v>SíPlomo_ácido</v>
      </c>
      <c r="I20" s="178" t="s">
        <v>4767</v>
      </c>
      <c r="J20" s="182" t="s">
        <v>4797</v>
      </c>
      <c r="K20" s="185"/>
      <c r="L20" s="185"/>
      <c r="M20" s="185"/>
      <c r="N20" s="188"/>
      <c r="O20" s="189" t="s">
        <v>4792</v>
      </c>
    </row>
    <row r="21" ht="14.25" customHeight="1">
      <c r="A21" s="190"/>
      <c r="B21" s="186" t="s">
        <v>4788</v>
      </c>
      <c r="C21" s="190"/>
      <c r="D21" s="190"/>
      <c r="E21" s="190"/>
      <c r="F21" s="118" t="s">
        <v>4788</v>
      </c>
      <c r="H21" s="179" t="str">
        <f t="shared" si="1"/>
        <v>SíPlomo_calcioEn el aparatoNo derramable</v>
      </c>
      <c r="I21" s="178" t="s">
        <v>4767</v>
      </c>
      <c r="J21" s="182" t="s">
        <v>4798</v>
      </c>
      <c r="K21" s="178" t="s">
        <v>4769</v>
      </c>
      <c r="L21" s="178"/>
      <c r="M21" s="185"/>
      <c r="N21" s="178" t="s">
        <v>4777</v>
      </c>
      <c r="O21" s="181" t="s">
        <v>4773</v>
      </c>
    </row>
    <row r="22" ht="14.25" customHeight="1">
      <c r="A22" s="190"/>
      <c r="B22" s="178" t="s">
        <v>4786</v>
      </c>
      <c r="C22" s="190"/>
      <c r="D22" s="190"/>
      <c r="E22" s="190"/>
      <c r="F22" s="118" t="s">
        <v>4786</v>
      </c>
      <c r="H22" s="179" t="str">
        <f t="shared" si="1"/>
        <v>SíPlomo_calcioEn el aparatoDerramable</v>
      </c>
      <c r="I22" s="178" t="s">
        <v>4767</v>
      </c>
      <c r="J22" s="182" t="s">
        <v>4798</v>
      </c>
      <c r="K22" s="178" t="s">
        <v>4769</v>
      </c>
      <c r="L22" s="178"/>
      <c r="M22" s="185"/>
      <c r="N22" s="178" t="s">
        <v>4771</v>
      </c>
      <c r="O22" s="181" t="s">
        <v>4773</v>
      </c>
    </row>
    <row r="23" ht="14.25" customHeight="1">
      <c r="H23" s="179" t="str">
        <f t="shared" si="1"/>
        <v>SíPlomo_calcio</v>
      </c>
      <c r="I23" s="178" t="s">
        <v>4767</v>
      </c>
      <c r="J23" s="182" t="s">
        <v>4798</v>
      </c>
      <c r="K23" s="185"/>
      <c r="L23" s="185"/>
      <c r="M23" s="185"/>
      <c r="N23" s="188"/>
      <c r="O23" s="189" t="s">
        <v>4792</v>
      </c>
    </row>
    <row r="24" ht="14.25" customHeight="1">
      <c r="H24" s="179" t="str">
        <f t="shared" si="1"/>
        <v>SíLitio_Metal</v>
      </c>
      <c r="I24" s="178" t="s">
        <v>4767</v>
      </c>
      <c r="J24" s="182" t="s">
        <v>4791</v>
      </c>
      <c r="K24" s="188"/>
      <c r="L24" s="188"/>
      <c r="M24" s="185"/>
      <c r="N24" s="185"/>
      <c r="O24" s="189" t="s">
        <v>4792</v>
      </c>
    </row>
    <row r="25" ht="14.25" customHeight="1">
      <c r="H25" s="179" t="str">
        <f t="shared" si="1"/>
        <v>SíPolímero_de_litioEn el aparato</v>
      </c>
      <c r="I25" s="176" t="s">
        <v>4767</v>
      </c>
      <c r="J25" s="182" t="s">
        <v>4787</v>
      </c>
      <c r="K25" s="178" t="s">
        <v>4769</v>
      </c>
      <c r="L25" s="178"/>
      <c r="M25" s="188"/>
      <c r="N25" s="185"/>
      <c r="O25" s="189" t="s">
        <v>4792</v>
      </c>
    </row>
    <row r="26" ht="14.25" customHeight="1">
      <c r="A26" s="118" t="s">
        <v>4800</v>
      </c>
      <c r="H26" s="179" t="str">
        <f t="shared" si="1"/>
        <v>SíPolímero_de_litioCon el equipo</v>
      </c>
      <c r="I26" s="176" t="s">
        <v>4767</v>
      </c>
      <c r="J26" s="182" t="s">
        <v>4787</v>
      </c>
      <c r="K26" s="178" t="s">
        <v>4775</v>
      </c>
      <c r="L26" s="178"/>
      <c r="M26" s="188"/>
      <c r="N26" s="185"/>
      <c r="O26" s="189" t="s">
        <v>4792</v>
      </c>
    </row>
    <row r="27" ht="14.25" customHeight="1">
      <c r="A27" s="118" t="s">
        <v>4801</v>
      </c>
      <c r="H27" s="179" t="str">
        <f t="shared" si="1"/>
        <v>SíPolímero_de_litioIndependiente</v>
      </c>
      <c r="I27" s="178" t="s">
        <v>4767</v>
      </c>
      <c r="J27" s="182" t="s">
        <v>4787</v>
      </c>
      <c r="K27" s="178" t="s">
        <v>4780</v>
      </c>
      <c r="L27" s="178"/>
      <c r="M27" s="188"/>
      <c r="N27" s="185"/>
      <c r="O27" s="189" t="s">
        <v>4792</v>
      </c>
    </row>
    <row r="28" ht="14.25" customHeight="1">
      <c r="A28" s="118" t="s">
        <v>4802</v>
      </c>
      <c r="H28" s="179" t="str">
        <f t="shared" si="1"/>
        <v>#REF!</v>
      </c>
      <c r="I28" s="178" t="s">
        <v>4767</v>
      </c>
      <c r="J28" s="182" t="s">
        <v>4787</v>
      </c>
      <c r="K28" s="178"/>
      <c r="L28" s="178"/>
      <c r="M28" s="178" t="str">
        <f>IF('Ficha de exención para baterías'!$P$13&gt;0,'Ficha de exención para baterías'!$P$13," ")</f>
        <v>#REF!</v>
      </c>
      <c r="N28" s="185"/>
      <c r="O28" s="189" t="s">
        <v>4792</v>
      </c>
    </row>
    <row r="29" ht="14.25" customHeight="1">
      <c r="A29" s="118" t="s">
        <v>4803</v>
      </c>
      <c r="H29" s="179" t="str">
        <f t="shared" si="1"/>
        <v>SíPolímero_de_litio</v>
      </c>
      <c r="I29" s="178" t="s">
        <v>4767</v>
      </c>
      <c r="J29" s="182" t="s">
        <v>4787</v>
      </c>
      <c r="K29" s="178"/>
      <c r="L29" s="178"/>
      <c r="M29" s="188"/>
      <c r="N29" s="185"/>
      <c r="O29" s="189" t="s">
        <v>4792</v>
      </c>
    </row>
    <row r="30" ht="14.25" customHeight="1">
      <c r="A30" s="118" t="s">
        <v>4804</v>
      </c>
      <c r="H30" s="179" t="str">
        <f t="shared" si="1"/>
        <v>SíZinc</v>
      </c>
      <c r="I30" s="178" t="s">
        <v>4767</v>
      </c>
      <c r="J30" s="182" t="s">
        <v>4799</v>
      </c>
      <c r="K30" s="185"/>
      <c r="L30" s="185"/>
      <c r="M30" s="185"/>
      <c r="N30" s="185"/>
      <c r="O30" s="181" t="s">
        <v>4773</v>
      </c>
    </row>
    <row r="31" ht="14.25" customHeight="1">
      <c r="A31" s="118" t="s">
        <v>4805</v>
      </c>
      <c r="H31" s="179" t="str">
        <f t="shared" si="1"/>
        <v>NoAlcalina</v>
      </c>
      <c r="I31" s="182" t="s">
        <v>4772</v>
      </c>
      <c r="J31" s="182" t="s">
        <v>4778</v>
      </c>
      <c r="K31" s="183"/>
      <c r="L31" s="183"/>
      <c r="M31" s="184"/>
      <c r="N31" s="185"/>
      <c r="O31" s="189" t="s">
        <v>4792</v>
      </c>
    </row>
    <row r="32" ht="14.25" customHeight="1">
      <c r="A32" s="118" t="s">
        <v>4806</v>
      </c>
      <c r="H32" s="179" t="str">
        <f t="shared" si="1"/>
        <v>NoNíquel_metal_hidruro</v>
      </c>
      <c r="I32" s="182" t="s">
        <v>4772</v>
      </c>
      <c r="J32" s="182" t="s">
        <v>4782</v>
      </c>
      <c r="K32" s="185"/>
      <c r="L32" s="185"/>
      <c r="M32" s="185"/>
      <c r="N32" s="185"/>
      <c r="O32" s="189" t="s">
        <v>4792</v>
      </c>
    </row>
    <row r="33" ht="14.25" customHeight="1">
      <c r="A33" s="118" t="s">
        <v>4807</v>
      </c>
      <c r="H33" s="179" t="str">
        <f t="shared" si="1"/>
        <v>NoNíquel_cadmio</v>
      </c>
      <c r="I33" s="182" t="s">
        <v>4772</v>
      </c>
      <c r="J33" s="182" t="s">
        <v>4784</v>
      </c>
      <c r="K33" s="185"/>
      <c r="L33" s="185"/>
      <c r="M33" s="185"/>
      <c r="N33" s="185"/>
      <c r="O33" s="189" t="s">
        <v>4792</v>
      </c>
    </row>
    <row r="34" ht="14.25" customHeight="1">
      <c r="H34" s="179" t="str">
        <f t="shared" si="1"/>
        <v>NoZinc_carbono</v>
      </c>
      <c r="I34" s="182" t="s">
        <v>4772</v>
      </c>
      <c r="J34" s="182" t="s">
        <v>4786</v>
      </c>
      <c r="K34" s="185"/>
      <c r="L34" s="185"/>
      <c r="M34" s="185"/>
      <c r="N34" s="185"/>
      <c r="O34" s="189" t="s">
        <v>4792</v>
      </c>
    </row>
    <row r="35" ht="14.25" customHeight="1">
      <c r="H35" s="179" t="str">
        <f t="shared" si="1"/>
        <v>NoZinc_aire</v>
      </c>
      <c r="I35" s="182" t="s">
        <v>4772</v>
      </c>
      <c r="J35" s="182" t="s">
        <v>4788</v>
      </c>
      <c r="K35" s="185"/>
      <c r="L35" s="185"/>
      <c r="M35" s="185"/>
      <c r="N35" s="185"/>
      <c r="O35" s="189" t="s">
        <v>4792</v>
      </c>
    </row>
    <row r="36" ht="14.25" customHeight="1">
      <c r="H36" s="179" t="str">
        <f t="shared" si="1"/>
        <v>NoÓxido_de_plata</v>
      </c>
      <c r="I36" s="182" t="s">
        <v>4772</v>
      </c>
      <c r="J36" s="182" t="s">
        <v>4790</v>
      </c>
      <c r="K36" s="185"/>
      <c r="L36" s="185"/>
      <c r="M36" s="185"/>
      <c r="N36" s="185"/>
      <c r="O36" s="189" t="s">
        <v>4792</v>
      </c>
    </row>
    <row r="37" ht="14.25" customHeight="1">
      <c r="H37" s="179" t="str">
        <f t="shared" si="1"/>
        <v>#REF!</v>
      </c>
      <c r="I37" s="182" t="s">
        <v>4772</v>
      </c>
      <c r="J37" s="182" t="s">
        <v>4779</v>
      </c>
      <c r="K37" s="178" t="s">
        <v>4769</v>
      </c>
      <c r="L37" s="178"/>
      <c r="M37" s="178" t="str">
        <f>IF('Ficha de exención para baterías'!$P$13&gt;0,'Ficha de exención para baterías'!$P$13," ")</f>
        <v>#REF!</v>
      </c>
      <c r="N37" s="185"/>
      <c r="O37" s="189" t="s">
        <v>4792</v>
      </c>
    </row>
    <row r="38" ht="14.25" customHeight="1">
      <c r="H38" s="179" t="str">
        <f t="shared" si="1"/>
        <v>NoIon_litioEn el aparato</v>
      </c>
      <c r="I38" s="182" t="s">
        <v>4772</v>
      </c>
      <c r="J38" s="182" t="s">
        <v>4779</v>
      </c>
      <c r="K38" s="178" t="s">
        <v>4769</v>
      </c>
      <c r="L38" s="178"/>
      <c r="M38" s="188"/>
      <c r="N38" s="185"/>
      <c r="O38" s="189" t="s">
        <v>4792</v>
      </c>
    </row>
    <row r="39" ht="14.25" customHeight="1">
      <c r="H39" s="179" t="str">
        <f t="shared" si="1"/>
        <v>NoLitio_MetalEn el aparato</v>
      </c>
      <c r="I39" s="182" t="s">
        <v>4772</v>
      </c>
      <c r="J39" s="182" t="s">
        <v>4791</v>
      </c>
      <c r="K39" s="178" t="s">
        <v>4769</v>
      </c>
      <c r="L39" s="178"/>
      <c r="M39" s="185"/>
      <c r="N39" s="185"/>
      <c r="O39" s="189" t="s">
        <v>4792</v>
      </c>
    </row>
    <row r="40" ht="14.25" customHeight="1">
      <c r="H40" s="179" t="str">
        <f t="shared" si="1"/>
        <v>NoIon_litioCon el equipo</v>
      </c>
      <c r="I40" s="182" t="s">
        <v>4772</v>
      </c>
      <c r="J40" s="182" t="s">
        <v>4779</v>
      </c>
      <c r="K40" s="178" t="s">
        <v>4775</v>
      </c>
      <c r="L40" s="178"/>
      <c r="M40" s="188"/>
      <c r="N40" s="185"/>
      <c r="O40" s="189" t="s">
        <v>4792</v>
      </c>
    </row>
    <row r="41" ht="14.25" customHeight="1">
      <c r="H41" s="179" t="str">
        <f t="shared" si="1"/>
        <v>NoLitio_MetalCon el equipo</v>
      </c>
      <c r="I41" s="182" t="s">
        <v>4772</v>
      </c>
      <c r="J41" s="182" t="s">
        <v>4791</v>
      </c>
      <c r="K41" s="178" t="s">
        <v>4775</v>
      </c>
      <c r="L41" s="178"/>
      <c r="M41" s="185"/>
      <c r="N41" s="185"/>
      <c r="O41" s="189" t="s">
        <v>4792</v>
      </c>
    </row>
    <row r="42" ht="14.25" customHeight="1">
      <c r="H42" s="179" t="str">
        <f t="shared" si="1"/>
        <v>#REF!</v>
      </c>
      <c r="I42" s="182" t="s">
        <v>4772</v>
      </c>
      <c r="J42" s="182" t="s">
        <v>4779</v>
      </c>
      <c r="K42" s="178" t="s">
        <v>4775</v>
      </c>
      <c r="L42" s="178"/>
      <c r="M42" s="178" t="str">
        <f t="shared" ref="M42:M43" si="2">IF('Ficha de exención para baterías'!$P$13&gt;0,'Ficha de exención para baterías'!$P$13," ")</f>
        <v>#REF!</v>
      </c>
      <c r="N42" s="185"/>
      <c r="O42" s="189" t="s">
        <v>4792</v>
      </c>
    </row>
    <row r="43" ht="14.25" customHeight="1">
      <c r="H43" s="179" t="str">
        <f t="shared" si="1"/>
        <v>#REF!</v>
      </c>
      <c r="I43" s="182" t="s">
        <v>4772</v>
      </c>
      <c r="J43" s="182" t="s">
        <v>4779</v>
      </c>
      <c r="K43" s="178" t="s">
        <v>4780</v>
      </c>
      <c r="L43" s="178"/>
      <c r="M43" s="178" t="str">
        <f t="shared" si="2"/>
        <v>#REF!</v>
      </c>
      <c r="N43" s="185"/>
      <c r="O43" s="189" t="s">
        <v>4792</v>
      </c>
    </row>
    <row r="44" ht="14.25" customHeight="1">
      <c r="H44" s="179" t="str">
        <f t="shared" si="1"/>
        <v>NoIon_litioIndependiente</v>
      </c>
      <c r="I44" s="182" t="s">
        <v>4772</v>
      </c>
      <c r="J44" s="182" t="s">
        <v>4779</v>
      </c>
      <c r="K44" s="178" t="s">
        <v>4780</v>
      </c>
      <c r="L44" s="178"/>
      <c r="M44" s="188"/>
      <c r="N44" s="185"/>
      <c r="O44" s="189" t="s">
        <v>4792</v>
      </c>
    </row>
    <row r="45" ht="14.25" customHeight="1">
      <c r="H45" s="179" t="str">
        <f t="shared" si="1"/>
        <v>NoLitio_MetalIndependiente</v>
      </c>
      <c r="I45" s="182" t="s">
        <v>4772</v>
      </c>
      <c r="J45" s="182" t="s">
        <v>4791</v>
      </c>
      <c r="K45" s="178" t="s">
        <v>4780</v>
      </c>
      <c r="L45" s="178"/>
      <c r="M45" s="185"/>
      <c r="N45" s="185"/>
      <c r="O45" s="189" t="s">
        <v>4792</v>
      </c>
    </row>
    <row r="46" ht="14.25" customHeight="1">
      <c r="H46" s="179" t="str">
        <f t="shared" si="1"/>
        <v>#REF!</v>
      </c>
      <c r="I46" s="182" t="s">
        <v>4772</v>
      </c>
      <c r="J46" s="182" t="s">
        <v>4779</v>
      </c>
      <c r="K46" s="178"/>
      <c r="L46" s="178"/>
      <c r="M46" s="178" t="str">
        <f>IF('Ficha de exención para baterías'!$P$13&gt;0,'Ficha de exención para baterías'!$P$13," ")</f>
        <v>#REF!</v>
      </c>
      <c r="N46" s="185"/>
      <c r="O46" s="189" t="s">
        <v>4792</v>
      </c>
    </row>
    <row r="47" ht="14.25" customHeight="1">
      <c r="H47" s="179" t="str">
        <f t="shared" si="1"/>
        <v>NoIon_litio</v>
      </c>
      <c r="I47" s="182" t="s">
        <v>4772</v>
      </c>
      <c r="J47" s="182" t="s">
        <v>4779</v>
      </c>
      <c r="K47" s="178"/>
      <c r="L47" s="178"/>
      <c r="M47" s="188"/>
      <c r="N47" s="185"/>
      <c r="O47" s="189" t="s">
        <v>4792</v>
      </c>
    </row>
    <row r="48" ht="14.25" customHeight="1">
      <c r="H48" s="179" t="str">
        <f t="shared" si="1"/>
        <v>NoLitio_Metal</v>
      </c>
      <c r="I48" s="182" t="s">
        <v>4772</v>
      </c>
      <c r="J48" s="182" t="s">
        <v>4791</v>
      </c>
      <c r="K48" s="178"/>
      <c r="L48" s="178"/>
      <c r="M48" s="185"/>
      <c r="N48" s="185"/>
      <c r="O48" s="189" t="s">
        <v>4792</v>
      </c>
    </row>
    <row r="49" ht="14.25" customHeight="1">
      <c r="H49" s="179" t="str">
        <f t="shared" si="1"/>
        <v>NoPlomo_ácidoNo derramable</v>
      </c>
      <c r="I49" s="182" t="s">
        <v>4772</v>
      </c>
      <c r="J49" s="182" t="s">
        <v>4797</v>
      </c>
      <c r="K49" s="185"/>
      <c r="L49" s="185"/>
      <c r="M49" s="185"/>
      <c r="N49" s="178" t="s">
        <v>4777</v>
      </c>
      <c r="O49" s="189" t="s">
        <v>4792</v>
      </c>
    </row>
    <row r="50" ht="14.25" customHeight="1">
      <c r="H50" s="179" t="str">
        <f t="shared" si="1"/>
        <v>NoPlomo_ácidoDerramable</v>
      </c>
      <c r="I50" s="182" t="s">
        <v>4772</v>
      </c>
      <c r="J50" s="182" t="s">
        <v>4797</v>
      </c>
      <c r="K50" s="185"/>
      <c r="L50" s="185"/>
      <c r="M50" s="185"/>
      <c r="N50" s="178" t="s">
        <v>4771</v>
      </c>
      <c r="O50" s="189" t="s">
        <v>4792</v>
      </c>
    </row>
    <row r="51" ht="14.25" customHeight="1">
      <c r="H51" s="179" t="str">
        <f t="shared" si="1"/>
        <v>NoPlomo_ácido</v>
      </c>
      <c r="I51" s="182" t="s">
        <v>4772</v>
      </c>
      <c r="J51" s="182" t="s">
        <v>4797</v>
      </c>
      <c r="K51" s="185"/>
      <c r="L51" s="185"/>
      <c r="M51" s="185"/>
      <c r="N51" s="188"/>
      <c r="O51" s="189" t="s">
        <v>4792</v>
      </c>
    </row>
    <row r="52" ht="14.25" customHeight="1">
      <c r="H52" s="179" t="str">
        <f t="shared" si="1"/>
        <v>NoPlomo_calcioNo derramable</v>
      </c>
      <c r="I52" s="182" t="s">
        <v>4772</v>
      </c>
      <c r="J52" s="182" t="s">
        <v>4798</v>
      </c>
      <c r="K52" s="185"/>
      <c r="L52" s="185"/>
      <c r="M52" s="185"/>
      <c r="N52" s="178" t="s">
        <v>4777</v>
      </c>
      <c r="O52" s="189" t="s">
        <v>4792</v>
      </c>
    </row>
    <row r="53" ht="14.25" customHeight="1">
      <c r="H53" s="179" t="str">
        <f t="shared" si="1"/>
        <v>NoPlomo_calcioDerramable</v>
      </c>
      <c r="I53" s="182" t="s">
        <v>4772</v>
      </c>
      <c r="J53" s="182" t="s">
        <v>4798</v>
      </c>
      <c r="K53" s="185"/>
      <c r="L53" s="185"/>
      <c r="M53" s="185"/>
      <c r="N53" s="178" t="s">
        <v>4771</v>
      </c>
      <c r="O53" s="189" t="s">
        <v>4792</v>
      </c>
    </row>
    <row r="54" ht="14.25" customHeight="1">
      <c r="H54" s="179" t="str">
        <f t="shared" si="1"/>
        <v>NoPlomo_calcio</v>
      </c>
      <c r="I54" s="182" t="s">
        <v>4772</v>
      </c>
      <c r="J54" s="182" t="s">
        <v>4798</v>
      </c>
      <c r="K54" s="185"/>
      <c r="L54" s="185"/>
      <c r="M54" s="185"/>
      <c r="N54" s="188"/>
      <c r="O54" s="189" t="s">
        <v>4792</v>
      </c>
    </row>
    <row r="55" ht="14.25" customHeight="1">
      <c r="H55" s="179" t="str">
        <f t="shared" si="1"/>
        <v>NoLitio_Metal</v>
      </c>
      <c r="I55" s="182" t="s">
        <v>4772</v>
      </c>
      <c r="J55" s="182" t="s">
        <v>4791</v>
      </c>
      <c r="K55" s="188"/>
      <c r="L55" s="188"/>
      <c r="M55" s="185"/>
      <c r="N55" s="185"/>
      <c r="O55" s="189" t="s">
        <v>4792</v>
      </c>
    </row>
    <row r="56" ht="14.25" customHeight="1">
      <c r="H56" s="179" t="str">
        <f t="shared" si="1"/>
        <v>#REF!</v>
      </c>
      <c r="I56" s="182" t="s">
        <v>4772</v>
      </c>
      <c r="J56" s="182" t="s">
        <v>4787</v>
      </c>
      <c r="K56" s="178" t="s">
        <v>4769</v>
      </c>
      <c r="L56" s="178"/>
      <c r="M56" s="178" t="str">
        <f>IF('Ficha de exención para baterías'!$P$13&gt;0,'Ficha de exención para baterías'!$P$13," ")</f>
        <v>#REF!</v>
      </c>
      <c r="N56" s="185"/>
      <c r="O56" s="189" t="s">
        <v>4792</v>
      </c>
    </row>
    <row r="57" ht="14.25" customHeight="1">
      <c r="H57" s="179" t="str">
        <f t="shared" si="1"/>
        <v>NoPolímero_de_litioEn el aparato</v>
      </c>
      <c r="I57" s="182" t="s">
        <v>4772</v>
      </c>
      <c r="J57" s="182" t="s">
        <v>4787</v>
      </c>
      <c r="K57" s="178" t="s">
        <v>4769</v>
      </c>
      <c r="L57" s="178"/>
      <c r="M57" s="188"/>
      <c r="N57" s="185"/>
      <c r="O57" s="189" t="s">
        <v>4792</v>
      </c>
    </row>
    <row r="58" ht="14.25" customHeight="1">
      <c r="H58" s="179" t="str">
        <f t="shared" si="1"/>
        <v>NoPolímero_de_litioCon el equipo</v>
      </c>
      <c r="I58" s="182" t="s">
        <v>4772</v>
      </c>
      <c r="J58" s="182" t="s">
        <v>4787</v>
      </c>
      <c r="K58" s="178" t="s">
        <v>4775</v>
      </c>
      <c r="L58" s="178"/>
      <c r="M58" s="188"/>
      <c r="N58" s="185"/>
      <c r="O58" s="189" t="s">
        <v>4792</v>
      </c>
    </row>
    <row r="59" ht="14.25" customHeight="1">
      <c r="H59" s="179" t="str">
        <f t="shared" si="1"/>
        <v>#REF!</v>
      </c>
      <c r="I59" s="182" t="s">
        <v>4772</v>
      </c>
      <c r="J59" s="182" t="s">
        <v>4787</v>
      </c>
      <c r="K59" s="178" t="s">
        <v>4775</v>
      </c>
      <c r="L59" s="178"/>
      <c r="M59" s="178" t="str">
        <f t="shared" ref="M59:M60" si="3">IF('Ficha de exención para baterías'!$P$13&gt;0,'Ficha de exención para baterías'!$P$13," ")</f>
        <v>#REF!</v>
      </c>
      <c r="N59" s="185"/>
      <c r="O59" s="189" t="s">
        <v>4792</v>
      </c>
    </row>
    <row r="60" ht="14.25" customHeight="1">
      <c r="H60" s="179" t="str">
        <f t="shared" si="1"/>
        <v>#REF!</v>
      </c>
      <c r="I60" s="182" t="s">
        <v>4772</v>
      </c>
      <c r="J60" s="182" t="s">
        <v>4787</v>
      </c>
      <c r="K60" s="178" t="s">
        <v>4780</v>
      </c>
      <c r="L60" s="178"/>
      <c r="M60" s="178" t="str">
        <f t="shared" si="3"/>
        <v>#REF!</v>
      </c>
      <c r="N60" s="185"/>
      <c r="O60" s="189" t="s">
        <v>4792</v>
      </c>
    </row>
    <row r="61" ht="14.25" customHeight="1">
      <c r="H61" s="179" t="str">
        <f t="shared" si="1"/>
        <v>NoPolímero_de_litioIndependiente</v>
      </c>
      <c r="I61" s="182" t="s">
        <v>4772</v>
      </c>
      <c r="J61" s="182" t="s">
        <v>4787</v>
      </c>
      <c r="K61" s="178" t="s">
        <v>4780</v>
      </c>
      <c r="L61" s="178"/>
      <c r="M61" s="188"/>
      <c r="N61" s="185"/>
      <c r="O61" s="189" t="s">
        <v>4792</v>
      </c>
    </row>
    <row r="62" ht="14.25" customHeight="1">
      <c r="H62" s="179" t="str">
        <f t="shared" si="1"/>
        <v>#REF!</v>
      </c>
      <c r="I62" s="182" t="s">
        <v>4772</v>
      </c>
      <c r="J62" s="182" t="s">
        <v>4787</v>
      </c>
      <c r="K62" s="178"/>
      <c r="L62" s="178"/>
      <c r="M62" s="178" t="str">
        <f>IF('Ficha de exención para baterías'!$P$13&gt;0,'Ficha de exención para baterías'!$P$13," ")</f>
        <v>#REF!</v>
      </c>
      <c r="N62" s="185"/>
      <c r="O62" s="189" t="s">
        <v>4792</v>
      </c>
    </row>
    <row r="63" ht="14.25" customHeight="1">
      <c r="H63" s="179" t="str">
        <f t="shared" si="1"/>
        <v>NoPolímero_de_litio</v>
      </c>
      <c r="I63" s="182" t="s">
        <v>4772</v>
      </c>
      <c r="J63" s="182" t="s">
        <v>4787</v>
      </c>
      <c r="K63" s="178"/>
      <c r="L63" s="178"/>
      <c r="M63" s="188"/>
      <c r="N63" s="185"/>
      <c r="O63" s="189" t="s">
        <v>4792</v>
      </c>
    </row>
    <row r="64" ht="14.25" customHeight="1">
      <c r="H64" s="179" t="str">
        <f t="shared" si="1"/>
        <v>NoZinc</v>
      </c>
      <c r="I64" s="182" t="s">
        <v>4772</v>
      </c>
      <c r="J64" s="182" t="s">
        <v>4799</v>
      </c>
      <c r="K64" s="185"/>
      <c r="L64" s="185"/>
      <c r="M64" s="185"/>
      <c r="N64" s="185"/>
      <c r="O64" s="189" t="s">
        <v>4792</v>
      </c>
    </row>
    <row r="65" ht="14.25" customHeight="1">
      <c r="H65" s="179" t="str">
        <f t="shared" si="1"/>
        <v>NoZinc_carbonoEn el aparato</v>
      </c>
      <c r="I65" s="182" t="s">
        <v>4772</v>
      </c>
      <c r="J65" s="182" t="s">
        <v>4786</v>
      </c>
      <c r="K65" s="178" t="s">
        <v>4769</v>
      </c>
      <c r="L65" s="178"/>
      <c r="M65" s="185"/>
      <c r="N65" s="185"/>
      <c r="O65" s="189" t="s">
        <v>4792</v>
      </c>
    </row>
    <row r="66" ht="14.25" customHeight="1">
      <c r="H66" s="179" t="str">
        <f t="shared" si="1"/>
        <v>NoZinc_carbonoCon el equipo</v>
      </c>
      <c r="I66" s="182" t="s">
        <v>4772</v>
      </c>
      <c r="J66" s="182" t="s">
        <v>4786</v>
      </c>
      <c r="K66" s="178" t="s">
        <v>4775</v>
      </c>
      <c r="L66" s="178"/>
      <c r="M66" s="185"/>
      <c r="N66" s="185"/>
      <c r="O66" s="189" t="s">
        <v>4792</v>
      </c>
    </row>
    <row r="67" ht="14.25" customHeight="1">
      <c r="H67" s="179" t="str">
        <f t="shared" si="1"/>
        <v>NoZinc_carbonoIndependiente</v>
      </c>
      <c r="I67" s="182" t="s">
        <v>4772</v>
      </c>
      <c r="J67" s="182" t="s">
        <v>4786</v>
      </c>
      <c r="K67" s="178" t="s">
        <v>4780</v>
      </c>
      <c r="L67" s="178"/>
      <c r="M67" s="185"/>
      <c r="N67" s="185"/>
      <c r="O67" s="189" t="s">
        <v>4792</v>
      </c>
    </row>
    <row r="68" ht="14.25" customHeight="1">
      <c r="H68" s="179" t="str">
        <f t="shared" si="1"/>
        <v>NoIndependiente</v>
      </c>
      <c r="I68" s="182" t="s">
        <v>4772</v>
      </c>
      <c r="J68" s="182"/>
      <c r="K68" s="178" t="s">
        <v>4780</v>
      </c>
      <c r="L68" s="178"/>
      <c r="M68" s="178"/>
      <c r="N68" s="178"/>
      <c r="O68" s="189" t="s">
        <v>4792</v>
      </c>
    </row>
    <row r="69" ht="14.25" customHeight="1">
      <c r="H69" s="179" t="str">
        <f t="shared" si="1"/>
        <v>NoEn el aparato</v>
      </c>
      <c r="I69" s="182" t="s">
        <v>4772</v>
      </c>
      <c r="J69" s="178"/>
      <c r="K69" s="178" t="s">
        <v>4769</v>
      </c>
      <c r="L69" s="178"/>
      <c r="M69" s="178"/>
      <c r="N69" s="178"/>
      <c r="O69" s="189" t="s">
        <v>4792</v>
      </c>
    </row>
    <row r="70" ht="14.25" customHeight="1">
      <c r="H70" s="179" t="str">
        <f t="shared" si="1"/>
        <v>NoCon el equipo</v>
      </c>
      <c r="I70" s="182" t="s">
        <v>4772</v>
      </c>
      <c r="J70" s="178"/>
      <c r="K70" s="178" t="s">
        <v>4775</v>
      </c>
      <c r="L70" s="178"/>
      <c r="M70" s="178"/>
      <c r="N70" s="178"/>
      <c r="O70" s="189" t="s">
        <v>4792</v>
      </c>
    </row>
    <row r="71" ht="14.25" customHeight="1">
      <c r="H71" s="179" t="str">
        <f t="shared" si="1"/>
        <v>NoDerramable</v>
      </c>
      <c r="I71" s="182" t="s">
        <v>4772</v>
      </c>
      <c r="J71" s="182"/>
      <c r="K71" s="178"/>
      <c r="L71" s="178"/>
      <c r="M71" s="178"/>
      <c r="N71" s="178" t="s">
        <v>4771</v>
      </c>
      <c r="O71" s="189" t="s">
        <v>4792</v>
      </c>
    </row>
    <row r="72" ht="14.25" customHeight="1">
      <c r="H72" s="179" t="str">
        <f t="shared" si="1"/>
        <v>NoNo derramable</v>
      </c>
      <c r="I72" s="182" t="s">
        <v>4772</v>
      </c>
      <c r="J72" s="178"/>
      <c r="K72" s="178"/>
      <c r="L72" s="178"/>
      <c r="M72" s="178"/>
      <c r="N72" s="178" t="s">
        <v>4777</v>
      </c>
      <c r="O72" s="189" t="s">
        <v>4792</v>
      </c>
    </row>
    <row r="73" ht="14.25" customHeight="1">
      <c r="H73" s="179" t="str">
        <f t="shared" si="1"/>
        <v>NoIndependienteDerramable</v>
      </c>
      <c r="I73" s="182" t="s">
        <v>4772</v>
      </c>
      <c r="J73" s="178"/>
      <c r="K73" s="178" t="s">
        <v>4780</v>
      </c>
      <c r="L73" s="178"/>
      <c r="M73" s="178"/>
      <c r="N73" s="178" t="s">
        <v>4771</v>
      </c>
      <c r="O73" s="189" t="s">
        <v>4792</v>
      </c>
    </row>
    <row r="74" ht="14.25" customHeight="1">
      <c r="H74" s="179" t="str">
        <f t="shared" si="1"/>
        <v>NoEn el aparatoDerramable</v>
      </c>
      <c r="I74" s="182" t="s">
        <v>4772</v>
      </c>
      <c r="J74" s="178"/>
      <c r="K74" s="178" t="s">
        <v>4769</v>
      </c>
      <c r="L74" s="178"/>
      <c r="M74" s="178"/>
      <c r="N74" s="178" t="s">
        <v>4771</v>
      </c>
      <c r="O74" s="189" t="s">
        <v>4792</v>
      </c>
    </row>
    <row r="75" ht="14.25" customHeight="1">
      <c r="H75" s="179" t="str">
        <f t="shared" si="1"/>
        <v>NoCon el equipoDerramable</v>
      </c>
      <c r="I75" s="182" t="s">
        <v>4772</v>
      </c>
      <c r="J75" s="178"/>
      <c r="K75" s="178" t="s">
        <v>4775</v>
      </c>
      <c r="L75" s="178"/>
      <c r="M75" s="178"/>
      <c r="N75" s="178" t="s">
        <v>4771</v>
      </c>
      <c r="O75" s="189" t="s">
        <v>4792</v>
      </c>
    </row>
    <row r="76" ht="14.25" customHeight="1">
      <c r="H76" s="179" t="str">
        <f t="shared" si="1"/>
        <v>NoIndependienteNo derramable</v>
      </c>
      <c r="I76" s="182" t="s">
        <v>4772</v>
      </c>
      <c r="J76" s="178"/>
      <c r="K76" s="178" t="s">
        <v>4780</v>
      </c>
      <c r="L76" s="178"/>
      <c r="M76" s="178"/>
      <c r="N76" s="178" t="s">
        <v>4777</v>
      </c>
      <c r="O76" s="189" t="s">
        <v>4792</v>
      </c>
    </row>
    <row r="77" ht="14.25" customHeight="1">
      <c r="H77" s="179" t="str">
        <f t="shared" si="1"/>
        <v>NoEn el aparatoNo derramable</v>
      </c>
      <c r="I77" s="182" t="s">
        <v>4772</v>
      </c>
      <c r="J77" s="178"/>
      <c r="K77" s="178" t="s">
        <v>4769</v>
      </c>
      <c r="L77" s="178"/>
      <c r="M77" s="178"/>
      <c r="N77" s="178" t="s">
        <v>4777</v>
      </c>
      <c r="O77" s="189" t="s">
        <v>4792</v>
      </c>
    </row>
    <row r="78" ht="14.25" customHeight="1">
      <c r="H78" s="179" t="str">
        <f t="shared" si="1"/>
        <v>NoCon el equipoNo derramable</v>
      </c>
      <c r="I78" s="182" t="s">
        <v>4772</v>
      </c>
      <c r="J78" s="178"/>
      <c r="K78" s="178" t="s">
        <v>4775</v>
      </c>
      <c r="L78" s="178"/>
      <c r="M78" s="178"/>
      <c r="N78" s="178" t="s">
        <v>4777</v>
      </c>
      <c r="O78" s="189" t="s">
        <v>4792</v>
      </c>
    </row>
    <row r="79" ht="14.25" customHeight="1">
      <c r="H79" s="179" t="str">
        <f t="shared" si="1"/>
        <v>SíZincEn el aparato</v>
      </c>
      <c r="I79" s="178" t="s">
        <v>4767</v>
      </c>
      <c r="J79" s="182" t="s">
        <v>4799</v>
      </c>
      <c r="K79" s="178" t="s">
        <v>4769</v>
      </c>
      <c r="L79" s="178"/>
      <c r="M79" s="178"/>
      <c r="N79" s="185"/>
      <c r="O79" s="181" t="s">
        <v>4773</v>
      </c>
    </row>
    <row r="80" ht="14.25" customHeight="1">
      <c r="H80" s="179" t="str">
        <f t="shared" si="1"/>
        <v>SíAlcalinaEn el aparato</v>
      </c>
      <c r="I80" s="178" t="s">
        <v>4767</v>
      </c>
      <c r="J80" s="182" t="s">
        <v>4778</v>
      </c>
      <c r="K80" s="178" t="s">
        <v>4769</v>
      </c>
      <c r="L80" s="178"/>
      <c r="M80" s="178"/>
      <c r="N80" s="185"/>
      <c r="O80" s="181" t="s">
        <v>4773</v>
      </c>
    </row>
    <row r="81" ht="14.25" customHeight="1">
      <c r="H81" s="179" t="str">
        <f t="shared" si="1"/>
        <v>SíNíquel_metal_hidruroEn el aparato</v>
      </c>
      <c r="I81" s="178" t="s">
        <v>4767</v>
      </c>
      <c r="J81" s="182" t="s">
        <v>4782</v>
      </c>
      <c r="K81" s="178" t="s">
        <v>4769</v>
      </c>
      <c r="L81" s="178"/>
      <c r="M81" s="178"/>
      <c r="N81" s="185"/>
      <c r="O81" s="181" t="s">
        <v>4773</v>
      </c>
    </row>
    <row r="82" ht="14.25" customHeight="1">
      <c r="H82" s="179" t="str">
        <f t="shared" si="1"/>
        <v>SíNíquel_cadmioEn el aparato</v>
      </c>
      <c r="I82" s="178" t="s">
        <v>4767</v>
      </c>
      <c r="J82" s="182" t="s">
        <v>4784</v>
      </c>
      <c r="K82" s="178" t="s">
        <v>4769</v>
      </c>
      <c r="L82" s="178"/>
      <c r="M82" s="178"/>
      <c r="N82" s="185"/>
      <c r="O82" s="181" t="s">
        <v>4773</v>
      </c>
    </row>
    <row r="83" ht="14.25" customHeight="1">
      <c r="H83" s="179" t="str">
        <f t="shared" si="1"/>
        <v>SíZinc_carbonoEn el aparato</v>
      </c>
      <c r="I83" s="178" t="s">
        <v>4767</v>
      </c>
      <c r="J83" s="182" t="s">
        <v>4786</v>
      </c>
      <c r="K83" s="178" t="s">
        <v>4769</v>
      </c>
      <c r="L83" s="178"/>
      <c r="M83" s="178"/>
      <c r="N83" s="185"/>
      <c r="O83" s="181" t="s">
        <v>4773</v>
      </c>
    </row>
    <row r="84" ht="14.25" customHeight="1">
      <c r="H84" s="179" t="str">
        <f t="shared" si="1"/>
        <v>SíZinc_aireEn el aparato</v>
      </c>
      <c r="I84" s="178" t="s">
        <v>4767</v>
      </c>
      <c r="J84" s="182" t="s">
        <v>4788</v>
      </c>
      <c r="K84" s="178" t="s">
        <v>4769</v>
      </c>
      <c r="L84" s="178"/>
      <c r="M84" s="178"/>
      <c r="N84" s="185"/>
      <c r="O84" s="181" t="s">
        <v>4773</v>
      </c>
    </row>
    <row r="85" ht="14.25" customHeight="1">
      <c r="H85" s="179" t="str">
        <f t="shared" si="1"/>
        <v>SíÓxido_de_plataEn el aparato</v>
      </c>
      <c r="I85" s="178" t="s">
        <v>4767</v>
      </c>
      <c r="J85" s="182" t="s">
        <v>4790</v>
      </c>
      <c r="K85" s="178" t="s">
        <v>4769</v>
      </c>
      <c r="L85" s="178"/>
      <c r="M85" s="178"/>
      <c r="N85" s="185"/>
      <c r="O85" s="181" t="s">
        <v>4773</v>
      </c>
    </row>
    <row r="86" ht="14.25" customHeight="1">
      <c r="H86" s="179" t="str">
        <f t="shared" si="1"/>
        <v>SíZincCon el equipo</v>
      </c>
      <c r="I86" s="178" t="s">
        <v>4767</v>
      </c>
      <c r="J86" s="182" t="s">
        <v>4799</v>
      </c>
      <c r="K86" s="178" t="s">
        <v>4775</v>
      </c>
      <c r="L86" s="178"/>
      <c r="M86" s="178"/>
      <c r="N86" s="185"/>
      <c r="O86" s="181" t="s">
        <v>4773</v>
      </c>
    </row>
    <row r="87" ht="14.25" customHeight="1">
      <c r="H87" s="179" t="str">
        <f t="shared" si="1"/>
        <v>SíAlcalinaCon el equipo</v>
      </c>
      <c r="I87" s="178" t="s">
        <v>4767</v>
      </c>
      <c r="J87" s="182" t="s">
        <v>4778</v>
      </c>
      <c r="K87" s="178" t="s">
        <v>4775</v>
      </c>
      <c r="L87" s="178"/>
      <c r="M87" s="178"/>
      <c r="N87" s="185"/>
      <c r="O87" s="181" t="s">
        <v>4773</v>
      </c>
    </row>
    <row r="88" ht="14.25" customHeight="1">
      <c r="H88" s="179" t="str">
        <f t="shared" si="1"/>
        <v>SíNíquel_metal_hidruroCon el equipo</v>
      </c>
      <c r="I88" s="178" t="s">
        <v>4767</v>
      </c>
      <c r="J88" s="182" t="s">
        <v>4782</v>
      </c>
      <c r="K88" s="178" t="s">
        <v>4775</v>
      </c>
      <c r="L88" s="178"/>
      <c r="M88" s="178"/>
      <c r="N88" s="185"/>
      <c r="O88" s="181" t="s">
        <v>4773</v>
      </c>
    </row>
    <row r="89" ht="14.25" customHeight="1">
      <c r="H89" s="179" t="str">
        <f t="shared" si="1"/>
        <v>SíNíquel_cadmioCon el equipo</v>
      </c>
      <c r="I89" s="178" t="s">
        <v>4767</v>
      </c>
      <c r="J89" s="182" t="s">
        <v>4784</v>
      </c>
      <c r="K89" s="178" t="s">
        <v>4775</v>
      </c>
      <c r="L89" s="178"/>
      <c r="M89" s="178"/>
      <c r="N89" s="185"/>
      <c r="O89" s="181" t="s">
        <v>4773</v>
      </c>
    </row>
    <row r="90" ht="14.25" customHeight="1">
      <c r="H90" s="179" t="str">
        <f t="shared" si="1"/>
        <v>SíZinc_carbonoCon el equipo</v>
      </c>
      <c r="I90" s="178" t="s">
        <v>4767</v>
      </c>
      <c r="J90" s="182" t="s">
        <v>4786</v>
      </c>
      <c r="K90" s="178" t="s">
        <v>4775</v>
      </c>
      <c r="L90" s="178"/>
      <c r="M90" s="178"/>
      <c r="N90" s="185"/>
      <c r="O90" s="181" t="s">
        <v>4773</v>
      </c>
    </row>
    <row r="91" ht="14.25" customHeight="1">
      <c r="H91" s="179" t="str">
        <f t="shared" si="1"/>
        <v>SíZinc_aireCon el equipo</v>
      </c>
      <c r="I91" s="178" t="s">
        <v>4767</v>
      </c>
      <c r="J91" s="182" t="s">
        <v>4788</v>
      </c>
      <c r="K91" s="178" t="s">
        <v>4775</v>
      </c>
      <c r="L91" s="178"/>
      <c r="M91" s="178"/>
      <c r="N91" s="185"/>
      <c r="O91" s="181" t="s">
        <v>4773</v>
      </c>
    </row>
    <row r="92" ht="14.25" customHeight="1">
      <c r="H92" s="179" t="str">
        <f t="shared" si="1"/>
        <v>SíÓxido_de_plataCon el equipo</v>
      </c>
      <c r="I92" s="178" t="s">
        <v>4767</v>
      </c>
      <c r="J92" s="182" t="s">
        <v>4790</v>
      </c>
      <c r="K92" s="178" t="s">
        <v>4775</v>
      </c>
      <c r="L92" s="178"/>
      <c r="M92" s="178"/>
      <c r="N92" s="185"/>
      <c r="O92" s="181" t="s">
        <v>4773</v>
      </c>
    </row>
    <row r="93" ht="14.25" customHeight="1">
      <c r="H93" s="179" t="str">
        <f t="shared" si="1"/>
        <v>SíZincIndependiente</v>
      </c>
      <c r="I93" s="178" t="s">
        <v>4767</v>
      </c>
      <c r="J93" s="182" t="s">
        <v>4799</v>
      </c>
      <c r="K93" s="178" t="s">
        <v>4780</v>
      </c>
      <c r="L93" s="178"/>
      <c r="M93" s="178"/>
      <c r="N93" s="185"/>
      <c r="O93" s="181" t="s">
        <v>4773</v>
      </c>
    </row>
    <row r="94" ht="14.25" customHeight="1">
      <c r="H94" s="179" t="str">
        <f t="shared" si="1"/>
        <v>SíAlcalinaIndependiente</v>
      </c>
      <c r="I94" s="178" t="s">
        <v>4767</v>
      </c>
      <c r="J94" s="182" t="s">
        <v>4778</v>
      </c>
      <c r="K94" s="178" t="s">
        <v>4780</v>
      </c>
      <c r="L94" s="178"/>
      <c r="M94" s="178"/>
      <c r="N94" s="185"/>
      <c r="O94" s="181" t="s">
        <v>4773</v>
      </c>
    </row>
    <row r="95" ht="14.25" customHeight="1">
      <c r="H95" s="179" t="str">
        <f t="shared" si="1"/>
        <v>SíNíquel_metal_hidruroIndependiente</v>
      </c>
      <c r="I95" s="178" t="s">
        <v>4767</v>
      </c>
      <c r="J95" s="182" t="s">
        <v>4782</v>
      </c>
      <c r="K95" s="178" t="s">
        <v>4780</v>
      </c>
      <c r="L95" s="178"/>
      <c r="M95" s="178"/>
      <c r="N95" s="185"/>
      <c r="O95" s="181" t="s">
        <v>4773</v>
      </c>
    </row>
    <row r="96" ht="14.25" customHeight="1">
      <c r="H96" s="179" t="str">
        <f t="shared" si="1"/>
        <v>SíNíquel_cadmioIndependiente</v>
      </c>
      <c r="I96" s="178" t="s">
        <v>4767</v>
      </c>
      <c r="J96" s="182" t="s">
        <v>4784</v>
      </c>
      <c r="K96" s="178" t="s">
        <v>4780</v>
      </c>
      <c r="L96" s="178"/>
      <c r="M96" s="178"/>
      <c r="N96" s="185"/>
      <c r="O96" s="181" t="s">
        <v>4773</v>
      </c>
    </row>
    <row r="97" ht="14.25" customHeight="1">
      <c r="H97" s="179" t="str">
        <f t="shared" si="1"/>
        <v>SíZinc_carbonoIndependiente</v>
      </c>
      <c r="I97" s="178" t="s">
        <v>4767</v>
      </c>
      <c r="J97" s="182" t="s">
        <v>4786</v>
      </c>
      <c r="K97" s="178" t="s">
        <v>4780</v>
      </c>
      <c r="L97" s="178"/>
      <c r="M97" s="178"/>
      <c r="N97" s="185"/>
      <c r="O97" s="181" t="s">
        <v>4773</v>
      </c>
    </row>
    <row r="98" ht="14.25" customHeight="1">
      <c r="H98" s="179" t="str">
        <f t="shared" si="1"/>
        <v>SíZinc_aireIndependiente</v>
      </c>
      <c r="I98" s="178" t="s">
        <v>4767</v>
      </c>
      <c r="J98" s="182" t="s">
        <v>4788</v>
      </c>
      <c r="K98" s="178" t="s">
        <v>4780</v>
      </c>
      <c r="L98" s="178"/>
      <c r="M98" s="178"/>
      <c r="N98" s="185"/>
      <c r="O98" s="181" t="s">
        <v>4773</v>
      </c>
    </row>
    <row r="99" ht="14.25" customHeight="1">
      <c r="H99" s="179" t="str">
        <f t="shared" si="1"/>
        <v>SíÓxido_de_plataIndependiente</v>
      </c>
      <c r="I99" s="178" t="s">
        <v>4767</v>
      </c>
      <c r="J99" s="182" t="s">
        <v>4790</v>
      </c>
      <c r="K99" s="178" t="s">
        <v>4780</v>
      </c>
      <c r="L99" s="178"/>
      <c r="M99" s="178"/>
      <c r="N99" s="185"/>
      <c r="O99" s="181" t="s">
        <v>4773</v>
      </c>
    </row>
    <row r="100" ht="14.25" customHeight="1">
      <c r="H100" s="179" t="str">
        <f t="shared" si="1"/>
        <v>Alcalina</v>
      </c>
      <c r="I100" s="178"/>
      <c r="J100" s="182" t="s">
        <v>4778</v>
      </c>
      <c r="K100" s="185"/>
      <c r="L100" s="185"/>
      <c r="M100" s="185"/>
      <c r="N100" s="185"/>
      <c r="O100" s="189" t="s">
        <v>4792</v>
      </c>
    </row>
    <row r="101" ht="14.25" customHeight="1">
      <c r="H101" s="179" t="str">
        <f t="shared" si="1"/>
        <v>Níquel_metal_hidruro</v>
      </c>
      <c r="I101" s="178"/>
      <c r="J101" s="182" t="s">
        <v>4782</v>
      </c>
      <c r="K101" s="185"/>
      <c r="L101" s="185"/>
      <c r="M101" s="185"/>
      <c r="N101" s="185"/>
      <c r="O101" s="189" t="s">
        <v>4792</v>
      </c>
    </row>
    <row r="102" ht="14.25" customHeight="1">
      <c r="H102" s="179" t="str">
        <f t="shared" si="1"/>
        <v>Níquel_cadmio</v>
      </c>
      <c r="I102" s="178"/>
      <c r="J102" s="182" t="s">
        <v>4784</v>
      </c>
      <c r="K102" s="185"/>
      <c r="L102" s="185"/>
      <c r="M102" s="185"/>
      <c r="N102" s="185"/>
      <c r="O102" s="189" t="s">
        <v>4792</v>
      </c>
    </row>
    <row r="103" ht="14.25" customHeight="1">
      <c r="H103" s="179" t="str">
        <f t="shared" si="1"/>
        <v>Zinc_carbono</v>
      </c>
      <c r="I103" s="178"/>
      <c r="J103" s="182" t="s">
        <v>4786</v>
      </c>
      <c r="K103" s="185"/>
      <c r="L103" s="185"/>
      <c r="M103" s="185"/>
      <c r="N103" s="185"/>
      <c r="O103" s="189" t="s">
        <v>4792</v>
      </c>
    </row>
    <row r="104" ht="14.25" customHeight="1">
      <c r="H104" s="179" t="str">
        <f t="shared" si="1"/>
        <v>Zinc_aire</v>
      </c>
      <c r="I104" s="178"/>
      <c r="J104" s="182" t="s">
        <v>4788</v>
      </c>
      <c r="K104" s="185"/>
      <c r="L104" s="185"/>
      <c r="M104" s="185"/>
      <c r="N104" s="185"/>
      <c r="O104" s="189" t="s">
        <v>4792</v>
      </c>
    </row>
    <row r="105" ht="14.25" customHeight="1">
      <c r="H105" s="179" t="str">
        <f t="shared" si="1"/>
        <v>Óxido_de_plata</v>
      </c>
      <c r="I105" s="178"/>
      <c r="J105" s="182" t="s">
        <v>4790</v>
      </c>
      <c r="K105" s="185"/>
      <c r="L105" s="185"/>
      <c r="M105" s="185"/>
      <c r="N105" s="185"/>
      <c r="O105" s="189" t="s">
        <v>4792</v>
      </c>
    </row>
    <row r="106" ht="14.25" customHeight="1">
      <c r="H106" s="179" t="str">
        <f t="shared" si="1"/>
        <v>Ion_litioEn el aparato</v>
      </c>
      <c r="I106" s="178"/>
      <c r="J106" s="182" t="s">
        <v>4779</v>
      </c>
      <c r="K106" s="178" t="s">
        <v>4769</v>
      </c>
      <c r="L106" s="178"/>
      <c r="M106" s="178"/>
      <c r="N106" s="185"/>
      <c r="O106" s="189" t="s">
        <v>4792</v>
      </c>
    </row>
    <row r="107" ht="14.25" customHeight="1">
      <c r="H107" s="179" t="str">
        <f t="shared" si="1"/>
        <v>Ion_litioCon el equipo</v>
      </c>
      <c r="I107" s="178"/>
      <c r="J107" s="182" t="s">
        <v>4779</v>
      </c>
      <c r="K107" s="178" t="s">
        <v>4775</v>
      </c>
      <c r="L107" s="178"/>
      <c r="M107" s="178"/>
      <c r="N107" s="185"/>
      <c r="O107" s="189" t="s">
        <v>4792</v>
      </c>
    </row>
    <row r="108" ht="14.25" customHeight="1">
      <c r="H108" s="179" t="str">
        <f t="shared" si="1"/>
        <v>Ion_litioIndependiente</v>
      </c>
      <c r="I108" s="178"/>
      <c r="J108" s="182" t="s">
        <v>4779</v>
      </c>
      <c r="K108" s="178" t="s">
        <v>4780</v>
      </c>
      <c r="L108" s="178"/>
      <c r="M108" s="178"/>
      <c r="N108" s="185"/>
      <c r="O108" s="189" t="s">
        <v>4792</v>
      </c>
    </row>
    <row r="109" ht="14.25" customHeight="1">
      <c r="H109" s="179" t="str">
        <f t="shared" si="1"/>
        <v>Polímero_de_litioEn el aparato</v>
      </c>
      <c r="I109" s="178"/>
      <c r="J109" s="182" t="s">
        <v>4787</v>
      </c>
      <c r="K109" s="178" t="s">
        <v>4769</v>
      </c>
      <c r="L109" s="178"/>
      <c r="M109" s="178"/>
      <c r="N109" s="185"/>
      <c r="O109" s="189" t="s">
        <v>4792</v>
      </c>
    </row>
    <row r="110" ht="14.25" customHeight="1">
      <c r="H110" s="179" t="str">
        <f t="shared" si="1"/>
        <v>Polímero_de_litioCon el equipo</v>
      </c>
      <c r="I110" s="178"/>
      <c r="J110" s="182" t="s">
        <v>4787</v>
      </c>
      <c r="K110" s="178" t="s">
        <v>4775</v>
      </c>
      <c r="L110" s="178"/>
      <c r="M110" s="178"/>
      <c r="N110" s="185"/>
      <c r="O110" s="189" t="s">
        <v>4792</v>
      </c>
    </row>
    <row r="111" ht="14.25" customHeight="1">
      <c r="H111" s="179" t="str">
        <f t="shared" si="1"/>
        <v>Polímero_de_litioIndependiente</v>
      </c>
      <c r="I111" s="178"/>
      <c r="J111" s="182" t="s">
        <v>4787</v>
      </c>
      <c r="K111" s="178" t="s">
        <v>4780</v>
      </c>
      <c r="L111" s="178"/>
      <c r="M111" s="178"/>
      <c r="N111" s="185"/>
      <c r="O111" s="189" t="s">
        <v>4792</v>
      </c>
    </row>
    <row r="112" ht="14.25" customHeight="1">
      <c r="H112" s="179" t="str">
        <f t="shared" si="1"/>
        <v>Zinc</v>
      </c>
      <c r="I112" s="178"/>
      <c r="J112" s="182" t="s">
        <v>4799</v>
      </c>
      <c r="K112" s="185"/>
      <c r="L112" s="185"/>
      <c r="M112" s="185"/>
      <c r="N112" s="185"/>
      <c r="O112" s="189" t="s">
        <v>4792</v>
      </c>
    </row>
    <row r="113" ht="14.25" customHeight="1">
      <c r="H113" s="179" t="str">
        <f t="shared" si="1"/>
        <v>Plomo_ácidoDerramable</v>
      </c>
      <c r="I113" s="178"/>
      <c r="J113" s="182" t="s">
        <v>4797</v>
      </c>
      <c r="K113" s="185"/>
      <c r="L113" s="185"/>
      <c r="M113" s="185"/>
      <c r="N113" s="178" t="s">
        <v>4771</v>
      </c>
      <c r="O113" s="189" t="s">
        <v>4792</v>
      </c>
    </row>
    <row r="114" ht="14.25" customHeight="1">
      <c r="H114" s="179" t="str">
        <f t="shared" si="1"/>
        <v>Plomo_ácidoNo derramable</v>
      </c>
      <c r="I114" s="178"/>
      <c r="J114" s="182" t="s">
        <v>4797</v>
      </c>
      <c r="K114" s="185"/>
      <c r="L114" s="185"/>
      <c r="M114" s="185"/>
      <c r="N114" s="178" t="s">
        <v>4777</v>
      </c>
      <c r="O114" s="189" t="s">
        <v>4792</v>
      </c>
    </row>
    <row r="115" ht="14.25" customHeight="1">
      <c r="H115" s="179" t="str">
        <f t="shared" si="1"/>
        <v>Plomo_calcioDerramable</v>
      </c>
      <c r="I115" s="178"/>
      <c r="J115" s="182" t="s">
        <v>4798</v>
      </c>
      <c r="K115" s="185"/>
      <c r="L115" s="185"/>
      <c r="M115" s="185"/>
      <c r="N115" s="178" t="s">
        <v>4771</v>
      </c>
      <c r="O115" s="189" t="s">
        <v>4792</v>
      </c>
    </row>
    <row r="116" ht="14.25" customHeight="1">
      <c r="H116" s="179" t="str">
        <f t="shared" si="1"/>
        <v>Plomo_calcioNo derramable</v>
      </c>
      <c r="I116" s="178"/>
      <c r="J116" s="182" t="s">
        <v>4798</v>
      </c>
      <c r="K116" s="185"/>
      <c r="L116" s="185"/>
      <c r="M116" s="185"/>
      <c r="N116" s="178" t="s">
        <v>4777</v>
      </c>
      <c r="O116" s="189" t="s">
        <v>4792</v>
      </c>
    </row>
    <row r="117" ht="14.25" customHeight="1">
      <c r="H117" s="179" t="str">
        <f t="shared" si="1"/>
        <v>SíPlomo_ácidoIndependienteNo derramable</v>
      </c>
      <c r="I117" s="178" t="s">
        <v>4767</v>
      </c>
      <c r="J117" s="182" t="s">
        <v>4797</v>
      </c>
      <c r="K117" s="178" t="s">
        <v>4780</v>
      </c>
      <c r="L117" s="178"/>
      <c r="M117" s="185"/>
      <c r="N117" s="178" t="s">
        <v>4777</v>
      </c>
      <c r="O117" s="181" t="s">
        <v>4773</v>
      </c>
    </row>
    <row r="118" ht="14.25" customHeight="1">
      <c r="H118" s="179" t="str">
        <f t="shared" si="1"/>
        <v>SíPlomo_ácidoIndependienteDerramable</v>
      </c>
      <c r="I118" s="178" t="s">
        <v>4767</v>
      </c>
      <c r="J118" s="182" t="s">
        <v>4797</v>
      </c>
      <c r="K118" s="178" t="s">
        <v>4780</v>
      </c>
      <c r="L118" s="178"/>
      <c r="M118" s="185"/>
      <c r="N118" s="178" t="s">
        <v>4771</v>
      </c>
      <c r="O118" s="181" t="s">
        <v>4773</v>
      </c>
    </row>
    <row r="119" ht="14.25" customHeight="1">
      <c r="H119" s="179" t="str">
        <f t="shared" si="1"/>
        <v>SíPlomo_calcioIndependienteNo derramable</v>
      </c>
      <c r="I119" s="178" t="s">
        <v>4767</v>
      </c>
      <c r="J119" s="182" t="s">
        <v>4798</v>
      </c>
      <c r="K119" s="178" t="s">
        <v>4780</v>
      </c>
      <c r="L119" s="178"/>
      <c r="M119" s="185"/>
      <c r="N119" s="178" t="s">
        <v>4777</v>
      </c>
      <c r="O119" s="181" t="s">
        <v>4773</v>
      </c>
    </row>
    <row r="120" ht="14.25" customHeight="1">
      <c r="H120" s="179" t="str">
        <f t="shared" si="1"/>
        <v>SíPlomo_calcioIndependienteDerramable</v>
      </c>
      <c r="I120" s="178" t="s">
        <v>4767</v>
      </c>
      <c r="J120" s="182" t="s">
        <v>4798</v>
      </c>
      <c r="K120" s="178" t="s">
        <v>4780</v>
      </c>
      <c r="L120" s="178"/>
      <c r="M120" s="185"/>
      <c r="N120" s="178" t="s">
        <v>4771</v>
      </c>
      <c r="O120" s="181" t="s">
        <v>4773</v>
      </c>
    </row>
    <row r="121" ht="14.25" customHeight="1">
      <c r="H121" s="179" t="str">
        <f t="shared" si="1"/>
        <v>SíPlomo_calcioCon el equipoNo derramable</v>
      </c>
      <c r="I121" s="178" t="s">
        <v>4767</v>
      </c>
      <c r="J121" s="182" t="s">
        <v>4798</v>
      </c>
      <c r="K121" s="178" t="s">
        <v>4775</v>
      </c>
      <c r="L121" s="178"/>
      <c r="M121" s="185"/>
      <c r="N121" s="178" t="s">
        <v>4777</v>
      </c>
      <c r="O121" s="181" t="s">
        <v>4773</v>
      </c>
    </row>
    <row r="122" ht="14.25" customHeight="1">
      <c r="H122" s="179" t="str">
        <f t="shared" si="1"/>
        <v>SíPlomo_calcioCon el equipoDerramable</v>
      </c>
      <c r="I122" s="178" t="s">
        <v>4767</v>
      </c>
      <c r="J122" s="182" t="s">
        <v>4798</v>
      </c>
      <c r="K122" s="178" t="s">
        <v>4775</v>
      </c>
      <c r="L122" s="178"/>
      <c r="M122" s="185"/>
      <c r="N122" s="178" t="s">
        <v>4771</v>
      </c>
      <c r="O122" s="181" t="s">
        <v>4773</v>
      </c>
    </row>
    <row r="123" ht="14.25" customHeight="1">
      <c r="H123" s="179" t="str">
        <f t="shared" si="1"/>
        <v>SíPlomo_ácidoCon el equipoNo derramable</v>
      </c>
      <c r="I123" s="178" t="s">
        <v>4767</v>
      </c>
      <c r="J123" s="182" t="s">
        <v>4797</v>
      </c>
      <c r="K123" s="178" t="s">
        <v>4775</v>
      </c>
      <c r="L123" s="178"/>
      <c r="M123" s="185"/>
      <c r="N123" s="178" t="s">
        <v>4777</v>
      </c>
      <c r="O123" s="181" t="s">
        <v>4773</v>
      </c>
    </row>
    <row r="124" ht="14.25" customHeight="1">
      <c r="H124" s="179" t="str">
        <f t="shared" si="1"/>
        <v>SíPlomo_ácidoCon el equipoDerramable</v>
      </c>
      <c r="I124" s="178" t="s">
        <v>4767</v>
      </c>
      <c r="J124" s="182" t="s">
        <v>4797</v>
      </c>
      <c r="K124" s="178" t="s">
        <v>4775</v>
      </c>
      <c r="L124" s="178"/>
      <c r="M124" s="185"/>
      <c r="N124" s="178" t="s">
        <v>4771</v>
      </c>
      <c r="O124" s="181" t="s">
        <v>4773</v>
      </c>
    </row>
    <row r="125" ht="14.25" customHeight="1">
      <c r="H125" s="179" t="str">
        <f t="shared" si="1"/>
        <v>SíÓxido_cobalto_LitioEn el aparato</v>
      </c>
      <c r="I125" s="176" t="s">
        <v>4767</v>
      </c>
      <c r="J125" s="182" t="s">
        <v>4774</v>
      </c>
      <c r="K125" s="178" t="s">
        <v>4769</v>
      </c>
      <c r="L125" s="178"/>
      <c r="M125" s="188"/>
      <c r="N125" s="180"/>
      <c r="O125" s="189" t="s">
        <v>4792</v>
      </c>
    </row>
    <row r="126" ht="14.25" customHeight="1">
      <c r="H126" s="179" t="str">
        <f t="shared" si="1"/>
        <v>SíÓxido_cobalto_LitioCon el equipo</v>
      </c>
      <c r="I126" s="176" t="s">
        <v>4767</v>
      </c>
      <c r="J126" s="182" t="s">
        <v>4774</v>
      </c>
      <c r="K126" s="178" t="s">
        <v>4775</v>
      </c>
      <c r="L126" s="178"/>
      <c r="M126" s="188"/>
      <c r="N126" s="185"/>
      <c r="O126" s="189" t="s">
        <v>4792</v>
      </c>
    </row>
    <row r="127" ht="14.25" customHeight="1">
      <c r="H127" s="179" t="str">
        <f t="shared" si="1"/>
        <v>SíÓxido_cobalto_LitioIndependiente</v>
      </c>
      <c r="I127" s="178" t="s">
        <v>4767</v>
      </c>
      <c r="J127" s="182" t="s">
        <v>4774</v>
      </c>
      <c r="K127" s="178" t="s">
        <v>4780</v>
      </c>
      <c r="L127" s="178"/>
      <c r="M127" s="188"/>
      <c r="N127" s="185"/>
      <c r="O127" s="189" t="s">
        <v>4792</v>
      </c>
    </row>
    <row r="128" ht="14.25" customHeight="1">
      <c r="H128" s="179" t="str">
        <f t="shared" si="1"/>
        <v>#REF!</v>
      </c>
      <c r="I128" s="178" t="s">
        <v>4767</v>
      </c>
      <c r="J128" s="182" t="s">
        <v>4774</v>
      </c>
      <c r="K128" s="178"/>
      <c r="L128" s="178"/>
      <c r="M128" s="178" t="str">
        <f>IF('Ficha de exención para baterías'!$P$13&gt;0,'Ficha de exención para baterías'!$P$13," ")</f>
        <v>#REF!</v>
      </c>
      <c r="N128" s="185"/>
      <c r="O128" s="189" t="s">
        <v>4792</v>
      </c>
    </row>
    <row r="129" ht="14.25" customHeight="1">
      <c r="H129" s="179" t="str">
        <f t="shared" si="1"/>
        <v>SíÓxido_cobalto_Litio</v>
      </c>
      <c r="I129" s="178" t="s">
        <v>4767</v>
      </c>
      <c r="J129" s="182" t="s">
        <v>4774</v>
      </c>
      <c r="K129" s="178"/>
      <c r="L129" s="178"/>
      <c r="M129" s="188"/>
      <c r="N129" s="185"/>
      <c r="O129" s="189" t="s">
        <v>4792</v>
      </c>
    </row>
    <row r="130" ht="14.25" customHeight="1">
      <c r="H130" s="179" t="str">
        <f t="shared" si="1"/>
        <v>#REF!</v>
      </c>
      <c r="I130" s="182" t="s">
        <v>4772</v>
      </c>
      <c r="J130" s="182" t="s">
        <v>4774</v>
      </c>
      <c r="K130" s="178" t="s">
        <v>4769</v>
      </c>
      <c r="L130" s="178"/>
      <c r="M130" s="178" t="str">
        <f>IF('Ficha de exención para baterías'!$P$13&gt;0,'Ficha de exención para baterías'!$P$13," ")</f>
        <v>#REF!</v>
      </c>
      <c r="N130" s="185"/>
      <c r="O130" s="189" t="s">
        <v>4792</v>
      </c>
    </row>
    <row r="131" ht="14.25" customHeight="1">
      <c r="H131" s="179" t="str">
        <f t="shared" si="1"/>
        <v>NoÓxido_cobalto_LitioEn el aparato</v>
      </c>
      <c r="I131" s="182" t="s">
        <v>4772</v>
      </c>
      <c r="J131" s="182" t="s">
        <v>4774</v>
      </c>
      <c r="K131" s="178" t="s">
        <v>4769</v>
      </c>
      <c r="L131" s="178"/>
      <c r="M131" s="188"/>
      <c r="N131" s="185"/>
      <c r="O131" s="189" t="s">
        <v>4792</v>
      </c>
    </row>
    <row r="132" ht="14.25" customHeight="1">
      <c r="H132" s="179" t="str">
        <f t="shared" si="1"/>
        <v>NoÓxido_cobalto_LitioCon el equipo</v>
      </c>
      <c r="I132" s="182" t="s">
        <v>4772</v>
      </c>
      <c r="J132" s="182" t="s">
        <v>4774</v>
      </c>
      <c r="K132" s="178" t="s">
        <v>4775</v>
      </c>
      <c r="L132" s="178"/>
      <c r="M132" s="188"/>
      <c r="N132" s="185"/>
      <c r="O132" s="189" t="s">
        <v>4792</v>
      </c>
    </row>
    <row r="133" ht="14.25" customHeight="1">
      <c r="H133" s="179" t="str">
        <f t="shared" si="1"/>
        <v>#REF!</v>
      </c>
      <c r="I133" s="182" t="s">
        <v>4772</v>
      </c>
      <c r="J133" s="182" t="s">
        <v>4774</v>
      </c>
      <c r="K133" s="178" t="s">
        <v>4775</v>
      </c>
      <c r="L133" s="178"/>
      <c r="M133" s="178" t="str">
        <f t="shared" ref="M133:M134" si="4">IF('Ficha de exención para baterías'!$P$13&gt;0,'Ficha de exención para baterías'!$P$13," ")</f>
        <v>#REF!</v>
      </c>
      <c r="N133" s="185"/>
      <c r="O133" s="189" t="s">
        <v>4792</v>
      </c>
    </row>
    <row r="134" ht="14.25" customHeight="1">
      <c r="H134" s="179" t="str">
        <f t="shared" si="1"/>
        <v>#REF!</v>
      </c>
      <c r="I134" s="182" t="s">
        <v>4772</v>
      </c>
      <c r="J134" s="182" t="s">
        <v>4774</v>
      </c>
      <c r="K134" s="178" t="s">
        <v>4780</v>
      </c>
      <c r="L134" s="178"/>
      <c r="M134" s="178" t="str">
        <f t="shared" si="4"/>
        <v>#REF!</v>
      </c>
      <c r="N134" s="185"/>
      <c r="O134" s="189" t="s">
        <v>4792</v>
      </c>
    </row>
    <row r="135" ht="14.25" customHeight="1">
      <c r="H135" s="179" t="str">
        <f t="shared" si="1"/>
        <v>NoÓxido_cobalto_LitioIndependiente</v>
      </c>
      <c r="I135" s="182" t="s">
        <v>4772</v>
      </c>
      <c r="J135" s="182" t="s">
        <v>4774</v>
      </c>
      <c r="K135" s="178" t="s">
        <v>4780</v>
      </c>
      <c r="L135" s="178"/>
      <c r="M135" s="188"/>
      <c r="N135" s="185"/>
      <c r="O135" s="189" t="s">
        <v>4792</v>
      </c>
    </row>
    <row r="136" ht="14.25" customHeight="1">
      <c r="H136" s="179" t="str">
        <f t="shared" si="1"/>
        <v>#REF!</v>
      </c>
      <c r="I136" s="182" t="s">
        <v>4772</v>
      </c>
      <c r="J136" s="182" t="s">
        <v>4774</v>
      </c>
      <c r="K136" s="178"/>
      <c r="L136" s="178"/>
      <c r="M136" s="178" t="str">
        <f>IF('Ficha de exención para baterías'!$P$13&gt;0,'Ficha de exención para baterías'!$P$13," ")</f>
        <v>#REF!</v>
      </c>
      <c r="N136" s="185"/>
      <c r="O136" s="189" t="s">
        <v>4792</v>
      </c>
    </row>
    <row r="137" ht="14.25" customHeight="1">
      <c r="H137" s="179" t="str">
        <f t="shared" si="1"/>
        <v>NoÓxido_cobalto_Litio</v>
      </c>
      <c r="I137" s="182" t="s">
        <v>4772</v>
      </c>
      <c r="J137" s="182" t="s">
        <v>4774</v>
      </c>
      <c r="K137" s="178"/>
      <c r="L137" s="178"/>
      <c r="M137" s="188"/>
      <c r="N137" s="185"/>
      <c r="O137" s="189" t="s">
        <v>4792</v>
      </c>
    </row>
    <row r="138" ht="14.25" customHeight="1">
      <c r="H138" s="179" t="str">
        <f t="shared" si="1"/>
        <v>Óxido_cobalto_LitioEn el aparato</v>
      </c>
      <c r="I138" s="178"/>
      <c r="J138" s="182" t="s">
        <v>4774</v>
      </c>
      <c r="K138" s="178" t="s">
        <v>4769</v>
      </c>
      <c r="L138" s="178"/>
      <c r="M138" s="178"/>
      <c r="N138" s="185"/>
      <c r="O138" s="189" t="s">
        <v>4792</v>
      </c>
    </row>
    <row r="139" ht="14.25" customHeight="1">
      <c r="H139" s="179" t="str">
        <f t="shared" si="1"/>
        <v>Óxido_cobalto_LitioCon el equipo</v>
      </c>
      <c r="I139" s="178"/>
      <c r="J139" s="182" t="s">
        <v>4774</v>
      </c>
      <c r="K139" s="178" t="s">
        <v>4775</v>
      </c>
      <c r="L139" s="178"/>
      <c r="M139" s="178"/>
      <c r="N139" s="185"/>
      <c r="O139" s="189" t="s">
        <v>4792</v>
      </c>
    </row>
    <row r="140" ht="14.25" customHeight="1">
      <c r="H140" s="179" t="str">
        <f t="shared" si="1"/>
        <v>Óxido_cobalto_LitioIndependiente</v>
      </c>
      <c r="I140" s="178"/>
      <c r="J140" s="182" t="s">
        <v>4774</v>
      </c>
      <c r="K140" s="178" t="s">
        <v>4780</v>
      </c>
      <c r="L140" s="178"/>
      <c r="M140" s="178"/>
      <c r="N140" s="185"/>
      <c r="O140" s="189" t="s">
        <v>4792</v>
      </c>
    </row>
    <row r="141" ht="14.25" customHeight="1">
      <c r="H141" s="179" t="str">
        <f t="shared" si="1"/>
        <v>SíÓxido_de_cobalto_de_manganeso_y_litioEn el aparato</v>
      </c>
      <c r="I141" s="176" t="s">
        <v>4767</v>
      </c>
      <c r="J141" s="182" t="s">
        <v>4785</v>
      </c>
      <c r="K141" s="178" t="s">
        <v>4769</v>
      </c>
      <c r="L141" s="178"/>
      <c r="M141" s="188"/>
      <c r="N141" s="180"/>
      <c r="O141" s="189" t="s">
        <v>4792</v>
      </c>
    </row>
    <row r="142" ht="14.25" customHeight="1">
      <c r="H142" s="179" t="str">
        <f t="shared" si="1"/>
        <v>SíÓxido_de_cobalto_de_manganeso_y_litioCon el equipo</v>
      </c>
      <c r="I142" s="176" t="s">
        <v>4767</v>
      </c>
      <c r="J142" s="182" t="s">
        <v>4785</v>
      </c>
      <c r="K142" s="178" t="s">
        <v>4775</v>
      </c>
      <c r="L142" s="178"/>
      <c r="M142" s="188"/>
      <c r="N142" s="185"/>
      <c r="O142" s="189" t="s">
        <v>4792</v>
      </c>
    </row>
    <row r="143" ht="14.25" customHeight="1">
      <c r="H143" s="179" t="str">
        <f t="shared" si="1"/>
        <v>SíÓxido_de_cobalto_de_manganeso_y_litioIndependiente</v>
      </c>
      <c r="I143" s="178" t="s">
        <v>4767</v>
      </c>
      <c r="J143" s="182" t="s">
        <v>4785</v>
      </c>
      <c r="K143" s="178" t="s">
        <v>4780</v>
      </c>
      <c r="L143" s="178"/>
      <c r="M143" s="188"/>
      <c r="N143" s="185"/>
      <c r="O143" s="189" t="s">
        <v>4792</v>
      </c>
    </row>
    <row r="144" ht="14.25" customHeight="1">
      <c r="H144" s="179" t="str">
        <f t="shared" si="1"/>
        <v>#REF!</v>
      </c>
      <c r="I144" s="178" t="s">
        <v>4767</v>
      </c>
      <c r="J144" s="182" t="s">
        <v>4785</v>
      </c>
      <c r="K144" s="178"/>
      <c r="L144" s="178"/>
      <c r="M144" s="178" t="str">
        <f>IF('Ficha de exención para baterías'!$P$13&gt;0,'Ficha de exención para baterías'!$P$13," ")</f>
        <v>#REF!</v>
      </c>
      <c r="N144" s="185"/>
      <c r="O144" s="189" t="s">
        <v>4792</v>
      </c>
    </row>
    <row r="145" ht="14.25" customHeight="1">
      <c r="H145" s="179" t="str">
        <f t="shared" si="1"/>
        <v>SíÓxido_de_cobalto_de_manganeso_y_litio</v>
      </c>
      <c r="I145" s="178" t="s">
        <v>4767</v>
      </c>
      <c r="J145" s="182" t="s">
        <v>4785</v>
      </c>
      <c r="K145" s="178"/>
      <c r="L145" s="178"/>
      <c r="M145" s="188"/>
      <c r="N145" s="185"/>
      <c r="O145" s="189" t="s">
        <v>4792</v>
      </c>
    </row>
    <row r="146" ht="14.25" customHeight="1">
      <c r="H146" s="179" t="str">
        <f t="shared" si="1"/>
        <v>#REF!</v>
      </c>
      <c r="I146" s="182" t="s">
        <v>4772</v>
      </c>
      <c r="J146" s="182" t="s">
        <v>4785</v>
      </c>
      <c r="K146" s="178" t="s">
        <v>4769</v>
      </c>
      <c r="L146" s="178"/>
      <c r="M146" s="178" t="str">
        <f>IF('Ficha de exención para baterías'!$P$13&gt;0,'Ficha de exención para baterías'!$P$13," ")</f>
        <v>#REF!</v>
      </c>
      <c r="N146" s="185"/>
      <c r="O146" s="189" t="s">
        <v>4792</v>
      </c>
    </row>
    <row r="147" ht="14.25" customHeight="1">
      <c r="H147" s="179" t="str">
        <f t="shared" si="1"/>
        <v>NoÓxido_de_cobalto_de_manganeso_y_litioEn el aparato</v>
      </c>
      <c r="I147" s="182" t="s">
        <v>4772</v>
      </c>
      <c r="J147" s="182" t="s">
        <v>4785</v>
      </c>
      <c r="K147" s="178" t="s">
        <v>4769</v>
      </c>
      <c r="L147" s="178"/>
      <c r="M147" s="188"/>
      <c r="N147" s="185"/>
      <c r="O147" s="189" t="s">
        <v>4792</v>
      </c>
    </row>
    <row r="148" ht="14.25" customHeight="1">
      <c r="H148" s="179" t="str">
        <f t="shared" si="1"/>
        <v>NoÓxido_de_cobalto_de_manganeso_y_litioCon el equipo</v>
      </c>
      <c r="I148" s="182" t="s">
        <v>4772</v>
      </c>
      <c r="J148" s="182" t="s">
        <v>4785</v>
      </c>
      <c r="K148" s="178" t="s">
        <v>4775</v>
      </c>
      <c r="L148" s="178"/>
      <c r="M148" s="188"/>
      <c r="N148" s="185"/>
      <c r="O148" s="189" t="s">
        <v>4792</v>
      </c>
    </row>
    <row r="149" ht="14.25" customHeight="1">
      <c r="H149" s="179" t="str">
        <f t="shared" si="1"/>
        <v>#REF!</v>
      </c>
      <c r="I149" s="182" t="s">
        <v>4772</v>
      </c>
      <c r="J149" s="182" t="s">
        <v>4785</v>
      </c>
      <c r="K149" s="178" t="s">
        <v>4775</v>
      </c>
      <c r="L149" s="178"/>
      <c r="M149" s="178" t="str">
        <f t="shared" ref="M149:M150" si="5">IF('Ficha de exención para baterías'!$P$13&gt;0,'Ficha de exención para baterías'!$P$13," ")</f>
        <v>#REF!</v>
      </c>
      <c r="N149" s="185"/>
      <c r="O149" s="189" t="s">
        <v>4792</v>
      </c>
    </row>
    <row r="150" ht="14.25" customHeight="1">
      <c r="H150" s="179" t="str">
        <f t="shared" si="1"/>
        <v>#REF!</v>
      </c>
      <c r="I150" s="182" t="s">
        <v>4772</v>
      </c>
      <c r="J150" s="182" t="s">
        <v>4785</v>
      </c>
      <c r="K150" s="178" t="s">
        <v>4780</v>
      </c>
      <c r="L150" s="178"/>
      <c r="M150" s="178" t="str">
        <f t="shared" si="5"/>
        <v>#REF!</v>
      </c>
      <c r="N150" s="185"/>
      <c r="O150" s="189" t="s">
        <v>4792</v>
      </c>
    </row>
    <row r="151" ht="14.25" customHeight="1">
      <c r="H151" s="179" t="str">
        <f t="shared" si="1"/>
        <v>NoÓxido_de_cobalto_de_manganeso_y_litioIndependiente</v>
      </c>
      <c r="I151" s="182" t="s">
        <v>4772</v>
      </c>
      <c r="J151" s="182" t="s">
        <v>4785</v>
      </c>
      <c r="K151" s="178" t="s">
        <v>4780</v>
      </c>
      <c r="L151" s="178"/>
      <c r="M151" s="188"/>
      <c r="N151" s="185"/>
      <c r="O151" s="189" t="s">
        <v>4792</v>
      </c>
    </row>
    <row r="152" ht="14.25" customHeight="1">
      <c r="H152" s="179" t="str">
        <f t="shared" si="1"/>
        <v>#REF!</v>
      </c>
      <c r="I152" s="182" t="s">
        <v>4772</v>
      </c>
      <c r="J152" s="182" t="s">
        <v>4785</v>
      </c>
      <c r="K152" s="178"/>
      <c r="L152" s="178"/>
      <c r="M152" s="178" t="str">
        <f>IF('Ficha de exención para baterías'!$P$13&gt;0,'Ficha de exención para baterías'!$P$13," ")</f>
        <v>#REF!</v>
      </c>
      <c r="N152" s="185"/>
      <c r="O152" s="189" t="s">
        <v>4792</v>
      </c>
    </row>
    <row r="153" ht="14.25" customHeight="1">
      <c r="H153" s="179" t="str">
        <f t="shared" si="1"/>
        <v>NoÓxido_de_cobalto_de_manganeso_y_litio</v>
      </c>
      <c r="I153" s="182" t="s">
        <v>4772</v>
      </c>
      <c r="J153" s="182" t="s">
        <v>4785</v>
      </c>
      <c r="K153" s="178"/>
      <c r="L153" s="178"/>
      <c r="M153" s="188"/>
      <c r="N153" s="185"/>
      <c r="O153" s="189" t="s">
        <v>4792</v>
      </c>
    </row>
    <row r="154" ht="14.25" customHeight="1">
      <c r="H154" s="179" t="str">
        <f t="shared" si="1"/>
        <v>Óxido_de_cobalto_de_manganeso_y_litioEn el aparato</v>
      </c>
      <c r="I154" s="178"/>
      <c r="J154" s="182" t="s">
        <v>4785</v>
      </c>
      <c r="K154" s="178" t="s">
        <v>4769</v>
      </c>
      <c r="L154" s="178"/>
      <c r="M154" s="178"/>
      <c r="N154" s="185"/>
      <c r="O154" s="189" t="s">
        <v>4792</v>
      </c>
    </row>
    <row r="155" ht="14.25" customHeight="1">
      <c r="H155" s="179" t="str">
        <f t="shared" si="1"/>
        <v>Óxido_de_cobalto_de_manganeso_y_litioCon el equipo</v>
      </c>
      <c r="I155" s="178"/>
      <c r="J155" s="182" t="s">
        <v>4785</v>
      </c>
      <c r="K155" s="178" t="s">
        <v>4775</v>
      </c>
      <c r="L155" s="178"/>
      <c r="M155" s="178"/>
      <c r="N155" s="185"/>
      <c r="O155" s="189" t="s">
        <v>4792</v>
      </c>
    </row>
    <row r="156" ht="14.25" customHeight="1">
      <c r="H156" s="179" t="str">
        <f t="shared" si="1"/>
        <v>Óxido_de_cobalto_de_manganeso_y_litioIndependiente</v>
      </c>
      <c r="I156" s="178"/>
      <c r="J156" s="182" t="s">
        <v>4785</v>
      </c>
      <c r="K156" s="178" t="s">
        <v>4780</v>
      </c>
      <c r="L156" s="178"/>
      <c r="M156" s="178"/>
      <c r="N156" s="185"/>
      <c r="O156" s="189" t="s">
        <v>4792</v>
      </c>
    </row>
    <row r="157" ht="14.25" customHeight="1">
      <c r="H157" s="179" t="str">
        <f t="shared" si="1"/>
        <v>SíLitio_ferrofosfatoEn el aparato</v>
      </c>
      <c r="I157" s="176" t="s">
        <v>4767</v>
      </c>
      <c r="J157" s="182" t="s">
        <v>4783</v>
      </c>
      <c r="K157" s="178" t="s">
        <v>4769</v>
      </c>
      <c r="L157" s="178"/>
      <c r="M157" s="188"/>
      <c r="N157" s="180"/>
      <c r="O157" s="189" t="s">
        <v>4792</v>
      </c>
    </row>
    <row r="158" ht="14.25" customHeight="1">
      <c r="H158" s="179" t="str">
        <f t="shared" si="1"/>
        <v>SíLitio_ferrofosfatoCon el equipo</v>
      </c>
      <c r="I158" s="176" t="s">
        <v>4767</v>
      </c>
      <c r="J158" s="182" t="s">
        <v>4783</v>
      </c>
      <c r="K158" s="178" t="s">
        <v>4775</v>
      </c>
      <c r="L158" s="178"/>
      <c r="M158" s="188"/>
      <c r="N158" s="185"/>
      <c r="O158" s="189" t="s">
        <v>4792</v>
      </c>
    </row>
    <row r="159" ht="14.25" customHeight="1">
      <c r="H159" s="179" t="str">
        <f t="shared" si="1"/>
        <v>SíLitio_ferrofosfatoIndependiente</v>
      </c>
      <c r="I159" s="178" t="s">
        <v>4767</v>
      </c>
      <c r="J159" s="182" t="s">
        <v>4783</v>
      </c>
      <c r="K159" s="178" t="s">
        <v>4780</v>
      </c>
      <c r="L159" s="178"/>
      <c r="M159" s="188"/>
      <c r="N159" s="185"/>
      <c r="O159" s="189" t="s">
        <v>4792</v>
      </c>
    </row>
    <row r="160" ht="14.25" customHeight="1">
      <c r="H160" s="179" t="str">
        <f t="shared" si="1"/>
        <v>#REF!</v>
      </c>
      <c r="I160" s="178" t="s">
        <v>4767</v>
      </c>
      <c r="J160" s="182" t="s">
        <v>4783</v>
      </c>
      <c r="K160" s="178"/>
      <c r="L160" s="178"/>
      <c r="M160" s="178" t="str">
        <f>IF('Ficha de exención para baterías'!$P$13&gt;0,'Ficha de exención para baterías'!$P$13," ")</f>
        <v>#REF!</v>
      </c>
      <c r="N160" s="185"/>
      <c r="O160" s="189" t="s">
        <v>4792</v>
      </c>
    </row>
    <row r="161" ht="14.25" customHeight="1">
      <c r="H161" s="179" t="str">
        <f t="shared" si="1"/>
        <v>SíLitio_ferrofosfato</v>
      </c>
      <c r="I161" s="178" t="s">
        <v>4767</v>
      </c>
      <c r="J161" s="182" t="s">
        <v>4783</v>
      </c>
      <c r="K161" s="178"/>
      <c r="L161" s="178"/>
      <c r="M161" s="188"/>
      <c r="N161" s="185"/>
      <c r="O161" s="189" t="s">
        <v>4792</v>
      </c>
    </row>
    <row r="162" ht="14.25" customHeight="1">
      <c r="H162" s="179" t="str">
        <f t="shared" si="1"/>
        <v>#REF!</v>
      </c>
      <c r="I162" s="182" t="s">
        <v>4772</v>
      </c>
      <c r="J162" s="182" t="s">
        <v>4783</v>
      </c>
      <c r="K162" s="178" t="s">
        <v>4769</v>
      </c>
      <c r="L162" s="178"/>
      <c r="M162" s="178" t="str">
        <f>IF('Ficha de exención para baterías'!$P$13&gt;0,'Ficha de exención para baterías'!$P$13," ")</f>
        <v>#REF!</v>
      </c>
      <c r="N162" s="185"/>
      <c r="O162" s="189" t="s">
        <v>4792</v>
      </c>
    </row>
    <row r="163" ht="14.25" customHeight="1">
      <c r="H163" s="179" t="str">
        <f t="shared" si="1"/>
        <v>NoLitio_ferrofosfatoEn el aparato</v>
      </c>
      <c r="I163" s="182" t="s">
        <v>4772</v>
      </c>
      <c r="J163" s="182" t="s">
        <v>4783</v>
      </c>
      <c r="K163" s="178" t="s">
        <v>4769</v>
      </c>
      <c r="L163" s="178"/>
      <c r="M163" s="188"/>
      <c r="N163" s="185"/>
      <c r="O163" s="189" t="s">
        <v>4792</v>
      </c>
    </row>
    <row r="164" ht="14.25" customHeight="1">
      <c r="H164" s="179" t="str">
        <f t="shared" si="1"/>
        <v>NoLitio_ferrofosfatoCon el equipo</v>
      </c>
      <c r="I164" s="182" t="s">
        <v>4772</v>
      </c>
      <c r="J164" s="182" t="s">
        <v>4783</v>
      </c>
      <c r="K164" s="178" t="s">
        <v>4775</v>
      </c>
      <c r="L164" s="178"/>
      <c r="M164" s="188"/>
      <c r="N164" s="185"/>
      <c r="O164" s="189" t="s">
        <v>4792</v>
      </c>
    </row>
    <row r="165" ht="14.25" customHeight="1">
      <c r="H165" s="179" t="str">
        <f t="shared" si="1"/>
        <v>#REF!</v>
      </c>
      <c r="I165" s="182" t="s">
        <v>4772</v>
      </c>
      <c r="J165" s="182" t="s">
        <v>4783</v>
      </c>
      <c r="K165" s="178" t="s">
        <v>4775</v>
      </c>
      <c r="L165" s="178"/>
      <c r="M165" s="178" t="str">
        <f t="shared" ref="M165:M166" si="6">IF('Ficha de exención para baterías'!$P$13&gt;0,'Ficha de exención para baterías'!$P$13," ")</f>
        <v>#REF!</v>
      </c>
      <c r="N165" s="185"/>
      <c r="O165" s="189" t="s">
        <v>4792</v>
      </c>
    </row>
    <row r="166" ht="14.25" customHeight="1">
      <c r="H166" s="179" t="str">
        <f t="shared" si="1"/>
        <v>#REF!</v>
      </c>
      <c r="I166" s="182" t="s">
        <v>4772</v>
      </c>
      <c r="J166" s="182" t="s">
        <v>4783</v>
      </c>
      <c r="K166" s="178" t="s">
        <v>4780</v>
      </c>
      <c r="L166" s="178"/>
      <c r="M166" s="178" t="str">
        <f t="shared" si="6"/>
        <v>#REF!</v>
      </c>
      <c r="N166" s="185"/>
      <c r="O166" s="189" t="s">
        <v>4792</v>
      </c>
    </row>
    <row r="167" ht="14.25" customHeight="1">
      <c r="H167" s="179" t="str">
        <f t="shared" si="1"/>
        <v>NoLitio_ferrofosfatoIndependiente</v>
      </c>
      <c r="I167" s="182" t="s">
        <v>4772</v>
      </c>
      <c r="J167" s="182" t="s">
        <v>4783</v>
      </c>
      <c r="K167" s="178" t="s">
        <v>4780</v>
      </c>
      <c r="L167" s="178"/>
      <c r="M167" s="188"/>
      <c r="N167" s="185"/>
      <c r="O167" s="189" t="s">
        <v>4792</v>
      </c>
    </row>
    <row r="168" ht="14.25" customHeight="1">
      <c r="H168" s="179" t="str">
        <f t="shared" si="1"/>
        <v>#REF!</v>
      </c>
      <c r="I168" s="182" t="s">
        <v>4772</v>
      </c>
      <c r="J168" s="182" t="s">
        <v>4783</v>
      </c>
      <c r="K168" s="178"/>
      <c r="L168" s="178"/>
      <c r="M168" s="178" t="str">
        <f>IF('Ficha de exención para baterías'!$P$13&gt;0,'Ficha de exención para baterías'!$P$13," ")</f>
        <v>#REF!</v>
      </c>
      <c r="N168" s="185"/>
      <c r="O168" s="189" t="s">
        <v>4792</v>
      </c>
    </row>
    <row r="169" ht="14.25" customHeight="1">
      <c r="H169" s="179" t="str">
        <f t="shared" si="1"/>
        <v>NoLitio_ferrofosfato</v>
      </c>
      <c r="I169" s="182" t="s">
        <v>4772</v>
      </c>
      <c r="J169" s="182" t="s">
        <v>4783</v>
      </c>
      <c r="K169" s="178"/>
      <c r="L169" s="178"/>
      <c r="M169" s="188"/>
      <c r="N169" s="185"/>
      <c r="O169" s="189" t="s">
        <v>4792</v>
      </c>
    </row>
    <row r="170" ht="14.25" customHeight="1">
      <c r="H170" s="179" t="str">
        <f t="shared" si="1"/>
        <v>Litio_ferrofosfatoEn el aparato</v>
      </c>
      <c r="I170" s="178"/>
      <c r="J170" s="182" t="s">
        <v>4783</v>
      </c>
      <c r="K170" s="178" t="s">
        <v>4769</v>
      </c>
      <c r="L170" s="178"/>
      <c r="M170" s="178"/>
      <c r="N170" s="185"/>
      <c r="O170" s="189" t="s">
        <v>4792</v>
      </c>
    </row>
    <row r="171" ht="14.25" customHeight="1">
      <c r="H171" s="179" t="str">
        <f t="shared" si="1"/>
        <v>Litio_ferrofosfatoCon el equipo</v>
      </c>
      <c r="I171" s="178"/>
      <c r="J171" s="182" t="s">
        <v>4783</v>
      </c>
      <c r="K171" s="178" t="s">
        <v>4775</v>
      </c>
      <c r="L171" s="178"/>
      <c r="M171" s="178"/>
      <c r="N171" s="185"/>
      <c r="O171" s="189" t="s">
        <v>4792</v>
      </c>
    </row>
    <row r="172" ht="14.25" customHeight="1">
      <c r="H172" s="179" t="str">
        <f t="shared" si="1"/>
        <v>Litio_ferrofosfatoIndependiente</v>
      </c>
      <c r="I172" s="178"/>
      <c r="J172" s="182" t="s">
        <v>4783</v>
      </c>
      <c r="K172" s="178" t="s">
        <v>4780</v>
      </c>
      <c r="L172" s="178"/>
      <c r="M172" s="178"/>
      <c r="N172" s="185"/>
      <c r="O172" s="189" t="s">
        <v>4792</v>
      </c>
    </row>
    <row r="173" ht="14.25" customHeight="1">
      <c r="H173" s="179" t="str">
        <f t="shared" si="1"/>
        <v>SíTitanato_de_litioEn el aparato</v>
      </c>
      <c r="I173" s="176" t="s">
        <v>4767</v>
      </c>
      <c r="J173" s="182" t="s">
        <v>4789</v>
      </c>
      <c r="K173" s="178" t="s">
        <v>4769</v>
      </c>
      <c r="L173" s="178"/>
      <c r="M173" s="188"/>
      <c r="N173" s="180"/>
      <c r="O173" s="189" t="s">
        <v>4792</v>
      </c>
    </row>
    <row r="174" ht="14.25" customHeight="1">
      <c r="H174" s="179" t="str">
        <f t="shared" si="1"/>
        <v>SíTitanato_de_litioCon el equipo</v>
      </c>
      <c r="I174" s="176" t="s">
        <v>4767</v>
      </c>
      <c r="J174" s="182" t="s">
        <v>4789</v>
      </c>
      <c r="K174" s="178" t="s">
        <v>4775</v>
      </c>
      <c r="L174" s="178"/>
      <c r="M174" s="188"/>
      <c r="N174" s="185"/>
      <c r="O174" s="189" t="s">
        <v>4792</v>
      </c>
    </row>
    <row r="175" ht="14.25" customHeight="1">
      <c r="H175" s="179" t="str">
        <f t="shared" si="1"/>
        <v>SíTitanato_de_litioIndependiente</v>
      </c>
      <c r="I175" s="178" t="s">
        <v>4767</v>
      </c>
      <c r="J175" s="182" t="s">
        <v>4789</v>
      </c>
      <c r="K175" s="178" t="s">
        <v>4780</v>
      </c>
      <c r="L175" s="178"/>
      <c r="M175" s="188"/>
      <c r="N175" s="185"/>
      <c r="O175" s="189" t="s">
        <v>4792</v>
      </c>
    </row>
    <row r="176" ht="14.25" customHeight="1">
      <c r="H176" s="179" t="str">
        <f t="shared" si="1"/>
        <v>#REF!</v>
      </c>
      <c r="I176" s="178" t="s">
        <v>4767</v>
      </c>
      <c r="J176" s="182" t="s">
        <v>4789</v>
      </c>
      <c r="K176" s="178"/>
      <c r="L176" s="178"/>
      <c r="M176" s="178" t="str">
        <f>IF('Ficha de exención para baterías'!$P$13&gt;0,'Ficha de exención para baterías'!$P$13," ")</f>
        <v>#REF!</v>
      </c>
      <c r="N176" s="185"/>
      <c r="O176" s="189" t="s">
        <v>4792</v>
      </c>
    </row>
    <row r="177" ht="14.25" customHeight="1">
      <c r="H177" s="179" t="str">
        <f t="shared" si="1"/>
        <v>SíTitanato_de_litio</v>
      </c>
      <c r="I177" s="178" t="s">
        <v>4767</v>
      </c>
      <c r="J177" s="182" t="s">
        <v>4789</v>
      </c>
      <c r="K177" s="178"/>
      <c r="L177" s="178"/>
      <c r="M177" s="188"/>
      <c r="N177" s="185"/>
      <c r="O177" s="189" t="s">
        <v>4792</v>
      </c>
    </row>
    <row r="178" ht="14.25" customHeight="1">
      <c r="H178" s="179" t="str">
        <f t="shared" si="1"/>
        <v>#REF!</v>
      </c>
      <c r="I178" s="182" t="s">
        <v>4772</v>
      </c>
      <c r="J178" s="182" t="s">
        <v>4789</v>
      </c>
      <c r="K178" s="178" t="s">
        <v>4769</v>
      </c>
      <c r="L178" s="178"/>
      <c r="M178" s="178" t="str">
        <f>IF('Ficha de exención para baterías'!$P$13&gt;0,'Ficha de exención para baterías'!$P$13," ")</f>
        <v>#REF!</v>
      </c>
      <c r="N178" s="185"/>
      <c r="O178" s="189" t="s">
        <v>4792</v>
      </c>
    </row>
    <row r="179" ht="14.25" customHeight="1">
      <c r="H179" s="179" t="str">
        <f t="shared" si="1"/>
        <v>NoTitanato_de_litioEn el aparato</v>
      </c>
      <c r="I179" s="182" t="s">
        <v>4772</v>
      </c>
      <c r="J179" s="182" t="s">
        <v>4789</v>
      </c>
      <c r="K179" s="178" t="s">
        <v>4769</v>
      </c>
      <c r="L179" s="178"/>
      <c r="M179" s="188"/>
      <c r="N179" s="185"/>
      <c r="O179" s="189" t="s">
        <v>4792</v>
      </c>
    </row>
    <row r="180" ht="14.25" customHeight="1">
      <c r="H180" s="179" t="str">
        <f t="shared" si="1"/>
        <v>NoTitanato_de_litioCon el equipo</v>
      </c>
      <c r="I180" s="182" t="s">
        <v>4772</v>
      </c>
      <c r="J180" s="182" t="s">
        <v>4789</v>
      </c>
      <c r="K180" s="178" t="s">
        <v>4775</v>
      </c>
      <c r="L180" s="178"/>
      <c r="M180" s="188"/>
      <c r="N180" s="185"/>
      <c r="O180" s="189" t="s">
        <v>4792</v>
      </c>
    </row>
    <row r="181" ht="14.25" customHeight="1">
      <c r="H181" s="179" t="str">
        <f t="shared" si="1"/>
        <v>#REF!</v>
      </c>
      <c r="I181" s="182" t="s">
        <v>4772</v>
      </c>
      <c r="J181" s="182" t="s">
        <v>4789</v>
      </c>
      <c r="K181" s="178" t="s">
        <v>4775</v>
      </c>
      <c r="L181" s="178"/>
      <c r="M181" s="178" t="str">
        <f t="shared" ref="M181:M182" si="7">IF('Ficha de exención para baterías'!$P$13&gt;0,'Ficha de exención para baterías'!$P$13," ")</f>
        <v>#REF!</v>
      </c>
      <c r="N181" s="185"/>
      <c r="O181" s="189" t="s">
        <v>4792</v>
      </c>
    </row>
    <row r="182" ht="14.25" customHeight="1">
      <c r="H182" s="179" t="str">
        <f t="shared" si="1"/>
        <v>#REF!</v>
      </c>
      <c r="I182" s="182" t="s">
        <v>4772</v>
      </c>
      <c r="J182" s="182" t="s">
        <v>4789</v>
      </c>
      <c r="K182" s="178" t="s">
        <v>4780</v>
      </c>
      <c r="L182" s="178"/>
      <c r="M182" s="178" t="str">
        <f t="shared" si="7"/>
        <v>#REF!</v>
      </c>
      <c r="N182" s="185"/>
      <c r="O182" s="189" t="s">
        <v>4792</v>
      </c>
    </row>
    <row r="183" ht="14.25" customHeight="1">
      <c r="H183" s="179" t="str">
        <f t="shared" si="1"/>
        <v>NoTitanato_de_litioIndependiente</v>
      </c>
      <c r="I183" s="182" t="s">
        <v>4772</v>
      </c>
      <c r="J183" s="182" t="s">
        <v>4789</v>
      </c>
      <c r="K183" s="178" t="s">
        <v>4780</v>
      </c>
      <c r="L183" s="178"/>
      <c r="M183" s="188"/>
      <c r="N183" s="185"/>
      <c r="O183" s="189" t="s">
        <v>4792</v>
      </c>
    </row>
    <row r="184" ht="14.25" customHeight="1">
      <c r="H184" s="179" t="str">
        <f t="shared" si="1"/>
        <v>#REF!</v>
      </c>
      <c r="I184" s="182" t="s">
        <v>4772</v>
      </c>
      <c r="J184" s="182" t="s">
        <v>4789</v>
      </c>
      <c r="K184" s="178"/>
      <c r="L184" s="178"/>
      <c r="M184" s="178" t="str">
        <f>IF('Ficha de exención para baterías'!$P$13&gt;0,'Ficha de exención para baterías'!$P$13," ")</f>
        <v>#REF!</v>
      </c>
      <c r="N184" s="185"/>
      <c r="O184" s="189" t="s">
        <v>4792</v>
      </c>
    </row>
    <row r="185" ht="14.25" customHeight="1">
      <c r="H185" s="179" t="str">
        <f t="shared" si="1"/>
        <v>NoTitanato_de_litio</v>
      </c>
      <c r="I185" s="182" t="s">
        <v>4772</v>
      </c>
      <c r="J185" s="182" t="s">
        <v>4789</v>
      </c>
      <c r="K185" s="178"/>
      <c r="L185" s="178"/>
      <c r="M185" s="188"/>
      <c r="N185" s="185"/>
      <c r="O185" s="189" t="s">
        <v>4792</v>
      </c>
    </row>
    <row r="186" ht="14.25" customHeight="1">
      <c r="H186" s="179" t="str">
        <f t="shared" si="1"/>
        <v>Titanato_de_litioEn el aparato</v>
      </c>
      <c r="I186" s="178"/>
      <c r="J186" s="182" t="s">
        <v>4789</v>
      </c>
      <c r="K186" s="178" t="s">
        <v>4769</v>
      </c>
      <c r="L186" s="178"/>
      <c r="M186" s="178"/>
      <c r="N186" s="185"/>
      <c r="O186" s="189" t="s">
        <v>4792</v>
      </c>
    </row>
    <row r="187" ht="14.25" customHeight="1">
      <c r="H187" s="179" t="str">
        <f t="shared" si="1"/>
        <v>Titanato_de_litioCon el equipo</v>
      </c>
      <c r="I187" s="178"/>
      <c r="J187" s="182" t="s">
        <v>4789</v>
      </c>
      <c r="K187" s="178" t="s">
        <v>4775</v>
      </c>
      <c r="L187" s="178"/>
      <c r="M187" s="178"/>
      <c r="N187" s="185"/>
      <c r="O187" s="189" t="s">
        <v>4792</v>
      </c>
    </row>
    <row r="188" ht="14.25" customHeight="1">
      <c r="H188" s="179" t="str">
        <f t="shared" si="1"/>
        <v>Titanato_de_litioIndependiente</v>
      </c>
      <c r="I188" s="178"/>
      <c r="J188" s="182" t="s">
        <v>4789</v>
      </c>
      <c r="K188" s="178" t="s">
        <v>4780</v>
      </c>
      <c r="L188" s="178"/>
      <c r="M188" s="178"/>
      <c r="N188" s="185"/>
      <c r="O188" s="189" t="s">
        <v>4792</v>
      </c>
    </row>
    <row r="189" ht="14.25" customHeight="1">
      <c r="H189" s="179" t="str">
        <f t="shared" si="1"/>
        <v>Sí_18650_En el aparato</v>
      </c>
      <c r="I189" s="176" t="s">
        <v>4767</v>
      </c>
      <c r="J189" s="178" t="s">
        <v>4768</v>
      </c>
      <c r="K189" s="178" t="s">
        <v>4769</v>
      </c>
      <c r="L189" s="178"/>
      <c r="M189" s="188"/>
      <c r="N189" s="180"/>
      <c r="O189" s="189" t="s">
        <v>4792</v>
      </c>
    </row>
    <row r="190" ht="14.25" customHeight="1">
      <c r="H190" s="179" t="str">
        <f t="shared" si="1"/>
        <v>Sí_18650_Con el equipo</v>
      </c>
      <c r="I190" s="176" t="s">
        <v>4767</v>
      </c>
      <c r="J190" s="178" t="s">
        <v>4768</v>
      </c>
      <c r="K190" s="178" t="s">
        <v>4775</v>
      </c>
      <c r="L190" s="178"/>
      <c r="M190" s="188"/>
      <c r="N190" s="185"/>
      <c r="O190" s="189" t="s">
        <v>4792</v>
      </c>
    </row>
    <row r="191" ht="14.25" customHeight="1">
      <c r="H191" s="179" t="str">
        <f t="shared" si="1"/>
        <v>Sí_18650_Independiente</v>
      </c>
      <c r="I191" s="178" t="s">
        <v>4767</v>
      </c>
      <c r="J191" s="178" t="s">
        <v>4768</v>
      </c>
      <c r="K191" s="178" t="s">
        <v>4780</v>
      </c>
      <c r="L191" s="178"/>
      <c r="M191" s="188"/>
      <c r="N191" s="185"/>
      <c r="O191" s="189" t="s">
        <v>4792</v>
      </c>
    </row>
    <row r="192" ht="14.25" customHeight="1">
      <c r="H192" s="179" t="str">
        <f t="shared" si="1"/>
        <v>#REF!</v>
      </c>
      <c r="I192" s="178" t="s">
        <v>4767</v>
      </c>
      <c r="J192" s="178" t="s">
        <v>4768</v>
      </c>
      <c r="K192" s="178"/>
      <c r="L192" s="178"/>
      <c r="M192" s="178" t="str">
        <f>IF('Ficha de exención para baterías'!$P$13&gt;0,'Ficha de exención para baterías'!$P$13," ")</f>
        <v>#REF!</v>
      </c>
      <c r="N192" s="185"/>
      <c r="O192" s="189" t="s">
        <v>4792</v>
      </c>
    </row>
    <row r="193" ht="14.25" customHeight="1">
      <c r="H193" s="179" t="str">
        <f t="shared" si="1"/>
        <v>Sí_18650_</v>
      </c>
      <c r="I193" s="178" t="s">
        <v>4767</v>
      </c>
      <c r="J193" s="178" t="s">
        <v>4768</v>
      </c>
      <c r="K193" s="178"/>
      <c r="L193" s="178"/>
      <c r="M193" s="188"/>
      <c r="N193" s="185"/>
      <c r="O193" s="189" t="s">
        <v>4792</v>
      </c>
    </row>
    <row r="194" ht="14.25" customHeight="1">
      <c r="H194" s="179" t="str">
        <f t="shared" si="1"/>
        <v>#REF!</v>
      </c>
      <c r="I194" s="182" t="s">
        <v>4772</v>
      </c>
      <c r="J194" s="178" t="s">
        <v>4768</v>
      </c>
      <c r="K194" s="178" t="s">
        <v>4769</v>
      </c>
      <c r="L194" s="178"/>
      <c r="M194" s="178" t="str">
        <f>IF('Ficha de exención para baterías'!$P$13&gt;0,'Ficha de exención para baterías'!$P$13," ")</f>
        <v>#REF!</v>
      </c>
      <c r="N194" s="185"/>
      <c r="O194" s="189" t="s">
        <v>4792</v>
      </c>
    </row>
    <row r="195" ht="14.25" customHeight="1">
      <c r="H195" s="179" t="str">
        <f t="shared" si="1"/>
        <v>No_18650_En el aparato</v>
      </c>
      <c r="I195" s="182" t="s">
        <v>4772</v>
      </c>
      <c r="J195" s="178" t="s">
        <v>4768</v>
      </c>
      <c r="K195" s="178" t="s">
        <v>4769</v>
      </c>
      <c r="L195" s="178"/>
      <c r="M195" s="188"/>
      <c r="N195" s="185"/>
      <c r="O195" s="189" t="s">
        <v>4792</v>
      </c>
    </row>
    <row r="196" ht="14.25" customHeight="1">
      <c r="H196" s="179" t="str">
        <f t="shared" si="1"/>
        <v>No_18650_Con el equipo</v>
      </c>
      <c r="I196" s="182" t="s">
        <v>4772</v>
      </c>
      <c r="J196" s="178" t="s">
        <v>4768</v>
      </c>
      <c r="K196" s="178" t="s">
        <v>4775</v>
      </c>
      <c r="L196" s="178"/>
      <c r="M196" s="188"/>
      <c r="N196" s="185"/>
      <c r="O196" s="189" t="s">
        <v>4792</v>
      </c>
    </row>
    <row r="197" ht="14.25" customHeight="1">
      <c r="H197" s="179" t="str">
        <f t="shared" si="1"/>
        <v>#REF!</v>
      </c>
      <c r="I197" s="182" t="s">
        <v>4772</v>
      </c>
      <c r="J197" s="178" t="s">
        <v>4768</v>
      </c>
      <c r="K197" s="178" t="s">
        <v>4775</v>
      </c>
      <c r="L197" s="178"/>
      <c r="M197" s="178" t="str">
        <f t="shared" ref="M197:M198" si="8">IF('Ficha de exención para baterías'!$P$13&gt;0,'Ficha de exención para baterías'!$P$13," ")</f>
        <v>#REF!</v>
      </c>
      <c r="N197" s="185"/>
      <c r="O197" s="189" t="s">
        <v>4792</v>
      </c>
    </row>
    <row r="198" ht="14.25" customHeight="1">
      <c r="H198" s="179" t="str">
        <f t="shared" si="1"/>
        <v>#REF!</v>
      </c>
      <c r="I198" s="182" t="s">
        <v>4772</v>
      </c>
      <c r="J198" s="178" t="s">
        <v>4768</v>
      </c>
      <c r="K198" s="178" t="s">
        <v>4780</v>
      </c>
      <c r="L198" s="178"/>
      <c r="M198" s="178" t="str">
        <f t="shared" si="8"/>
        <v>#REF!</v>
      </c>
      <c r="N198" s="185"/>
      <c r="O198" s="189" t="s">
        <v>4792</v>
      </c>
    </row>
    <row r="199" ht="14.25" customHeight="1">
      <c r="H199" s="179" t="str">
        <f t="shared" si="1"/>
        <v>No_18650_Independiente</v>
      </c>
      <c r="I199" s="182" t="s">
        <v>4772</v>
      </c>
      <c r="J199" s="178" t="s">
        <v>4768</v>
      </c>
      <c r="K199" s="178" t="s">
        <v>4780</v>
      </c>
      <c r="L199" s="178"/>
      <c r="M199" s="188"/>
      <c r="N199" s="185"/>
      <c r="O199" s="189" t="s">
        <v>4792</v>
      </c>
    </row>
    <row r="200" ht="14.25" customHeight="1">
      <c r="H200" s="179" t="str">
        <f t="shared" si="1"/>
        <v>#REF!</v>
      </c>
      <c r="I200" s="182" t="s">
        <v>4772</v>
      </c>
      <c r="J200" s="178" t="s">
        <v>4768</v>
      </c>
      <c r="K200" s="178"/>
      <c r="L200" s="178"/>
      <c r="M200" s="178" t="str">
        <f>IF('Ficha de exención para baterías'!$P$13&gt;0,'Ficha de exención para baterías'!$P$13," ")</f>
        <v>#REF!</v>
      </c>
      <c r="N200" s="185"/>
      <c r="O200" s="189" t="s">
        <v>4792</v>
      </c>
    </row>
    <row r="201" ht="14.25" customHeight="1">
      <c r="H201" s="179" t="str">
        <f t="shared" si="1"/>
        <v>No_18650_</v>
      </c>
      <c r="I201" s="182" t="s">
        <v>4772</v>
      </c>
      <c r="J201" s="178" t="s">
        <v>4768</v>
      </c>
      <c r="K201" s="178"/>
      <c r="L201" s="178"/>
      <c r="M201" s="188"/>
      <c r="N201" s="185"/>
      <c r="O201" s="189" t="s">
        <v>4792</v>
      </c>
    </row>
    <row r="202" ht="14.25" customHeight="1">
      <c r="H202" s="179" t="str">
        <f t="shared" si="1"/>
        <v>_18650_En el aparato</v>
      </c>
      <c r="I202" s="178"/>
      <c r="J202" s="178" t="s">
        <v>4768</v>
      </c>
      <c r="K202" s="178" t="s">
        <v>4769</v>
      </c>
      <c r="L202" s="178"/>
      <c r="M202" s="178"/>
      <c r="N202" s="185"/>
      <c r="O202" s="189" t="s">
        <v>4792</v>
      </c>
    </row>
    <row r="203" ht="14.25" customHeight="1">
      <c r="H203" s="179" t="str">
        <f t="shared" si="1"/>
        <v>_18650_Con el equipo</v>
      </c>
      <c r="I203" s="178"/>
      <c r="J203" s="178" t="s">
        <v>4768</v>
      </c>
      <c r="K203" s="178" t="s">
        <v>4775</v>
      </c>
      <c r="L203" s="178"/>
      <c r="M203" s="178"/>
      <c r="N203" s="185"/>
      <c r="O203" s="189" t="s">
        <v>4792</v>
      </c>
    </row>
    <row r="204" ht="14.25" customHeight="1">
      <c r="H204" s="179" t="str">
        <f t="shared" si="1"/>
        <v>_18650_Independiente</v>
      </c>
      <c r="I204" s="178"/>
      <c r="J204" s="178" t="s">
        <v>4768</v>
      </c>
      <c r="K204" s="178" t="s">
        <v>4780</v>
      </c>
      <c r="L204" s="178"/>
      <c r="M204" s="178"/>
      <c r="N204" s="185"/>
      <c r="O204" s="189" t="s">
        <v>4792</v>
      </c>
    </row>
    <row r="205" ht="14.25" customHeight="1">
      <c r="H205" s="179" t="str">
        <f t="shared" si="1"/>
        <v>Sí_CR2032_En el aparato</v>
      </c>
      <c r="I205" s="176" t="s">
        <v>4767</v>
      </c>
      <c r="J205" s="182" t="s">
        <v>4796</v>
      </c>
      <c r="K205" s="178" t="s">
        <v>4769</v>
      </c>
      <c r="L205" s="178"/>
      <c r="M205" s="185"/>
      <c r="N205" s="185"/>
      <c r="O205" s="181" t="s">
        <v>4773</v>
      </c>
    </row>
    <row r="206" ht="14.25" customHeight="1">
      <c r="H206" s="179" t="str">
        <f t="shared" si="1"/>
        <v>Sí_CR2032_Con el equipo</v>
      </c>
      <c r="I206" s="176" t="s">
        <v>4767</v>
      </c>
      <c r="J206" s="182" t="s">
        <v>4796</v>
      </c>
      <c r="K206" s="178" t="s">
        <v>4775</v>
      </c>
      <c r="L206" s="178"/>
      <c r="M206" s="185"/>
      <c r="N206" s="185"/>
      <c r="O206" s="181" t="s">
        <v>4773</v>
      </c>
    </row>
    <row r="207" ht="14.25" customHeight="1">
      <c r="H207" s="179" t="str">
        <f t="shared" si="1"/>
        <v>Sí_CR2032_Independiente</v>
      </c>
      <c r="I207" s="178" t="s">
        <v>4767</v>
      </c>
      <c r="J207" s="182" t="s">
        <v>4796</v>
      </c>
      <c r="K207" s="178" t="s">
        <v>4780</v>
      </c>
      <c r="L207" s="178"/>
      <c r="M207" s="185"/>
      <c r="N207" s="185"/>
      <c r="O207" s="181" t="s">
        <v>4773</v>
      </c>
    </row>
    <row r="208" ht="14.25" customHeight="1">
      <c r="H208" s="179" t="str">
        <f t="shared" si="1"/>
        <v>Sí_CR2032_</v>
      </c>
      <c r="I208" s="178" t="s">
        <v>4767</v>
      </c>
      <c r="J208" s="182" t="s">
        <v>4796</v>
      </c>
      <c r="K208" s="178"/>
      <c r="L208" s="178"/>
      <c r="M208" s="185"/>
      <c r="N208" s="185"/>
      <c r="O208" s="189" t="s">
        <v>4792</v>
      </c>
    </row>
    <row r="209" ht="14.25" customHeight="1">
      <c r="H209" s="179" t="str">
        <f t="shared" si="1"/>
        <v>Sí_CR2032_</v>
      </c>
      <c r="I209" s="178" t="s">
        <v>4767</v>
      </c>
      <c r="J209" s="182" t="s">
        <v>4796</v>
      </c>
      <c r="K209" s="188"/>
      <c r="L209" s="188"/>
      <c r="M209" s="185"/>
      <c r="N209" s="185"/>
      <c r="O209" s="189" t="s">
        <v>4792</v>
      </c>
    </row>
    <row r="210" ht="14.25" customHeight="1">
      <c r="H210" s="179" t="str">
        <f t="shared" si="1"/>
        <v>No_CR2032_En el aparato</v>
      </c>
      <c r="I210" s="182" t="s">
        <v>4772</v>
      </c>
      <c r="J210" s="182" t="s">
        <v>4796</v>
      </c>
      <c r="K210" s="178" t="s">
        <v>4769</v>
      </c>
      <c r="L210" s="178"/>
      <c r="M210" s="185"/>
      <c r="N210" s="185"/>
      <c r="O210" s="189" t="s">
        <v>4792</v>
      </c>
    </row>
    <row r="211" ht="14.25" customHeight="1">
      <c r="H211" s="179" t="str">
        <f t="shared" si="1"/>
        <v>No_CR2032_Con el equipo</v>
      </c>
      <c r="I211" s="182" t="s">
        <v>4772</v>
      </c>
      <c r="J211" s="182" t="s">
        <v>4796</v>
      </c>
      <c r="K211" s="178" t="s">
        <v>4775</v>
      </c>
      <c r="L211" s="178"/>
      <c r="M211" s="185"/>
      <c r="N211" s="185"/>
      <c r="O211" s="189" t="s">
        <v>4792</v>
      </c>
    </row>
    <row r="212" ht="14.25" customHeight="1">
      <c r="H212" s="179" t="str">
        <f t="shared" si="1"/>
        <v>No_CR2032_Independiente</v>
      </c>
      <c r="I212" s="182" t="s">
        <v>4772</v>
      </c>
      <c r="J212" s="182" t="s">
        <v>4796</v>
      </c>
      <c r="K212" s="178" t="s">
        <v>4780</v>
      </c>
      <c r="L212" s="178"/>
      <c r="M212" s="185"/>
      <c r="N212" s="185"/>
      <c r="O212" s="189" t="s">
        <v>4792</v>
      </c>
    </row>
    <row r="213" ht="14.25" customHeight="1">
      <c r="H213" s="179" t="str">
        <f t="shared" si="1"/>
        <v>No_CR2032_</v>
      </c>
      <c r="I213" s="182" t="s">
        <v>4772</v>
      </c>
      <c r="J213" s="182" t="s">
        <v>4796</v>
      </c>
      <c r="K213" s="178"/>
      <c r="L213" s="178"/>
      <c r="M213" s="185"/>
      <c r="N213" s="185"/>
      <c r="O213" s="189" t="s">
        <v>4792</v>
      </c>
    </row>
    <row r="214" ht="14.25" customHeight="1">
      <c r="H214" s="179" t="str">
        <f t="shared" si="1"/>
        <v>No_CR2032_</v>
      </c>
      <c r="I214" s="182" t="s">
        <v>4772</v>
      </c>
      <c r="J214" s="182" t="s">
        <v>4796</v>
      </c>
      <c r="K214" s="188"/>
      <c r="L214" s="188"/>
      <c r="M214" s="185"/>
      <c r="N214" s="185"/>
      <c r="O214" s="189" t="s">
        <v>4792</v>
      </c>
    </row>
    <row r="215" ht="14.25" customHeight="1">
      <c r="H215" s="179" t="str">
        <f t="shared" si="1"/>
        <v>SíLitio_Cloruro_de_TioniloEn el aparato</v>
      </c>
      <c r="I215" s="176" t="s">
        <v>4767</v>
      </c>
      <c r="J215" s="182" t="s">
        <v>4793</v>
      </c>
      <c r="K215" s="178" t="s">
        <v>4769</v>
      </c>
      <c r="L215" s="178"/>
      <c r="M215" s="185"/>
      <c r="N215" s="185"/>
      <c r="O215" s="181" t="s">
        <v>4773</v>
      </c>
    </row>
    <row r="216" ht="14.25" customHeight="1">
      <c r="H216" s="179" t="str">
        <f t="shared" si="1"/>
        <v>SíLitio_Cloruro_de_TioniloCon el equipo</v>
      </c>
      <c r="I216" s="176" t="s">
        <v>4767</v>
      </c>
      <c r="J216" s="182" t="s">
        <v>4793</v>
      </c>
      <c r="K216" s="178" t="s">
        <v>4775</v>
      </c>
      <c r="L216" s="178"/>
      <c r="M216" s="185"/>
      <c r="N216" s="185"/>
      <c r="O216" s="181" t="s">
        <v>4773</v>
      </c>
    </row>
    <row r="217" ht="14.25" customHeight="1">
      <c r="H217" s="179" t="str">
        <f t="shared" si="1"/>
        <v>SíLitio_Cloruro_de_TioniloIndependiente</v>
      </c>
      <c r="I217" s="178" t="s">
        <v>4767</v>
      </c>
      <c r="J217" s="182" t="s">
        <v>4793</v>
      </c>
      <c r="K217" s="178" t="s">
        <v>4780</v>
      </c>
      <c r="L217" s="178"/>
      <c r="M217" s="185"/>
      <c r="N217" s="185"/>
      <c r="O217" s="181" t="s">
        <v>4773</v>
      </c>
    </row>
    <row r="218" ht="14.25" customHeight="1">
      <c r="H218" s="179" t="str">
        <f t="shared" si="1"/>
        <v>SíLitio_Cloruro_de_Tionilo</v>
      </c>
      <c r="I218" s="178" t="s">
        <v>4767</v>
      </c>
      <c r="J218" s="182" t="s">
        <v>4793</v>
      </c>
      <c r="K218" s="178"/>
      <c r="L218" s="178"/>
      <c r="M218" s="185"/>
      <c r="N218" s="185"/>
      <c r="O218" s="189" t="s">
        <v>4792</v>
      </c>
    </row>
    <row r="219" ht="14.25" customHeight="1">
      <c r="H219" s="179" t="str">
        <f t="shared" si="1"/>
        <v>SíLitio_Cloruro_de_Tionilo</v>
      </c>
      <c r="I219" s="178" t="s">
        <v>4767</v>
      </c>
      <c r="J219" s="182" t="s">
        <v>4793</v>
      </c>
      <c r="K219" s="188"/>
      <c r="L219" s="188"/>
      <c r="M219" s="185"/>
      <c r="N219" s="185"/>
      <c r="O219" s="189" t="s">
        <v>4792</v>
      </c>
    </row>
    <row r="220" ht="14.25" customHeight="1">
      <c r="H220" s="179" t="str">
        <f t="shared" si="1"/>
        <v>NoLitio_Cloruro_de_TioniloEn el aparato</v>
      </c>
      <c r="I220" s="182" t="s">
        <v>4772</v>
      </c>
      <c r="J220" s="182" t="s">
        <v>4793</v>
      </c>
      <c r="K220" s="178" t="s">
        <v>4769</v>
      </c>
      <c r="L220" s="178"/>
      <c r="M220" s="185"/>
      <c r="N220" s="185"/>
      <c r="O220" s="189" t="s">
        <v>4792</v>
      </c>
    </row>
    <row r="221" ht="14.25" customHeight="1">
      <c r="H221" s="179" t="str">
        <f t="shared" si="1"/>
        <v>NoLitio_Cloruro_de_TioniloCon el equipo</v>
      </c>
      <c r="I221" s="182" t="s">
        <v>4772</v>
      </c>
      <c r="J221" s="182" t="s">
        <v>4793</v>
      </c>
      <c r="K221" s="178" t="s">
        <v>4775</v>
      </c>
      <c r="L221" s="178"/>
      <c r="M221" s="185"/>
      <c r="N221" s="185"/>
      <c r="O221" s="189" t="s">
        <v>4792</v>
      </c>
    </row>
    <row r="222" ht="14.25" customHeight="1">
      <c r="H222" s="179" t="str">
        <f t="shared" si="1"/>
        <v>NoLitio_Cloruro_de_TioniloIndependiente</v>
      </c>
      <c r="I222" s="182" t="s">
        <v>4772</v>
      </c>
      <c r="J222" s="182" t="s">
        <v>4793</v>
      </c>
      <c r="K222" s="178" t="s">
        <v>4780</v>
      </c>
      <c r="L222" s="178"/>
      <c r="M222" s="185"/>
      <c r="N222" s="185"/>
      <c r="O222" s="189" t="s">
        <v>4792</v>
      </c>
    </row>
    <row r="223" ht="14.25" customHeight="1">
      <c r="H223" s="179" t="str">
        <f t="shared" si="1"/>
        <v>NoLitio_Cloruro_de_Tionilo</v>
      </c>
      <c r="I223" s="182" t="s">
        <v>4772</v>
      </c>
      <c r="J223" s="182" t="s">
        <v>4793</v>
      </c>
      <c r="K223" s="178"/>
      <c r="L223" s="178"/>
      <c r="M223" s="185"/>
      <c r="N223" s="185"/>
      <c r="O223" s="189" t="s">
        <v>4792</v>
      </c>
    </row>
    <row r="224" ht="14.25" customHeight="1">
      <c r="H224" s="179" t="str">
        <f t="shared" si="1"/>
        <v>NoLitio_Cloruro_de_Tionilo</v>
      </c>
      <c r="I224" s="182" t="s">
        <v>4772</v>
      </c>
      <c r="J224" s="182" t="s">
        <v>4793</v>
      </c>
      <c r="K224" s="188"/>
      <c r="L224" s="188"/>
      <c r="M224" s="185"/>
      <c r="N224" s="185"/>
      <c r="O224" s="189" t="s">
        <v>4792</v>
      </c>
    </row>
    <row r="225" ht="14.25" customHeight="1">
      <c r="H225" s="179" t="str">
        <f t="shared" si="1"/>
        <v>SíZinc_aire</v>
      </c>
      <c r="I225" s="182" t="s">
        <v>4767</v>
      </c>
      <c r="J225" s="182" t="s">
        <v>4788</v>
      </c>
      <c r="K225" s="183"/>
      <c r="L225" s="183"/>
      <c r="M225" s="184"/>
      <c r="N225" s="185"/>
      <c r="O225" s="181" t="s">
        <v>4773</v>
      </c>
    </row>
    <row r="226" ht="14.25" customHeight="1">
      <c r="H226" s="179" t="str">
        <f t="shared" si="1"/>
        <v>SíZinc_aireEn el aparato</v>
      </c>
      <c r="I226" s="178" t="s">
        <v>4767</v>
      </c>
      <c r="J226" s="182" t="s">
        <v>4788</v>
      </c>
      <c r="K226" s="178" t="s">
        <v>4769</v>
      </c>
      <c r="L226" s="178"/>
      <c r="M226" s="178"/>
      <c r="N226" s="185"/>
      <c r="O226" s="181" t="s">
        <v>4773</v>
      </c>
    </row>
    <row r="227" ht="14.25" customHeight="1">
      <c r="H227" s="179" t="str">
        <f t="shared" si="1"/>
        <v>SíZinc_aireCon el equipo</v>
      </c>
      <c r="I227" s="178" t="s">
        <v>4767</v>
      </c>
      <c r="J227" s="182" t="s">
        <v>4788</v>
      </c>
      <c r="K227" s="178" t="s">
        <v>4775</v>
      </c>
      <c r="L227" s="178"/>
      <c r="M227" s="178"/>
      <c r="N227" s="185"/>
      <c r="O227" s="181" t="s">
        <v>4773</v>
      </c>
    </row>
    <row r="228" ht="14.25" customHeight="1">
      <c r="H228" s="179" t="str">
        <f t="shared" si="1"/>
        <v>SíZinc_aireIndependiente</v>
      </c>
      <c r="I228" s="178" t="s">
        <v>4767</v>
      </c>
      <c r="J228" s="182" t="s">
        <v>4788</v>
      </c>
      <c r="K228" s="178" t="s">
        <v>4780</v>
      </c>
      <c r="L228" s="178"/>
      <c r="M228" s="178"/>
      <c r="N228" s="185"/>
      <c r="O228" s="181" t="s">
        <v>4773</v>
      </c>
    </row>
    <row r="229" ht="14.25" customHeight="1">
      <c r="H229" s="179" t="str">
        <f t="shared" si="1"/>
        <v>Zinc_aire</v>
      </c>
      <c r="I229" s="178"/>
      <c r="J229" s="182" t="s">
        <v>4788</v>
      </c>
      <c r="K229" s="185"/>
      <c r="L229" s="185"/>
      <c r="M229" s="185"/>
      <c r="N229" s="185"/>
      <c r="O229" s="189" t="s">
        <v>4792</v>
      </c>
    </row>
    <row r="230" ht="14.25" customHeight="1">
      <c r="H230" s="179" t="str">
        <f t="shared" si="1"/>
        <v>SíCarbono_zinc</v>
      </c>
      <c r="I230" s="182" t="s">
        <v>4767</v>
      </c>
      <c r="J230" s="182" t="s">
        <v>4795</v>
      </c>
      <c r="K230" s="183"/>
      <c r="L230" s="183"/>
      <c r="M230" s="184"/>
      <c r="N230" s="185"/>
      <c r="O230" s="181" t="s">
        <v>4773</v>
      </c>
    </row>
    <row r="231" ht="14.25" customHeight="1">
      <c r="H231" s="179" t="str">
        <f t="shared" si="1"/>
        <v>SíCarbono_zincEn el aparato</v>
      </c>
      <c r="I231" s="178" t="s">
        <v>4767</v>
      </c>
      <c r="J231" s="182" t="s">
        <v>4795</v>
      </c>
      <c r="K231" s="178" t="s">
        <v>4769</v>
      </c>
      <c r="L231" s="178"/>
      <c r="M231" s="178"/>
      <c r="N231" s="185"/>
      <c r="O231" s="181" t="s">
        <v>4773</v>
      </c>
    </row>
    <row r="232" ht="14.25" customHeight="1">
      <c r="H232" s="179" t="str">
        <f t="shared" si="1"/>
        <v>SíCarbono_zincCon el equipo</v>
      </c>
      <c r="I232" s="178" t="s">
        <v>4767</v>
      </c>
      <c r="J232" s="182" t="s">
        <v>4795</v>
      </c>
      <c r="K232" s="178" t="s">
        <v>4775</v>
      </c>
      <c r="L232" s="178"/>
      <c r="M232" s="178"/>
      <c r="N232" s="185"/>
      <c r="O232" s="181" t="s">
        <v>4773</v>
      </c>
    </row>
    <row r="233" ht="14.25" customHeight="1">
      <c r="H233" s="179" t="str">
        <f t="shared" si="1"/>
        <v>SíCarbono_zincIndependiente</v>
      </c>
      <c r="I233" s="178" t="s">
        <v>4767</v>
      </c>
      <c r="J233" s="182" t="s">
        <v>4795</v>
      </c>
      <c r="K233" s="178" t="s">
        <v>4780</v>
      </c>
      <c r="L233" s="178"/>
      <c r="M233" s="178"/>
      <c r="N233" s="185"/>
      <c r="O233" s="181" t="s">
        <v>4773</v>
      </c>
    </row>
    <row r="234" ht="14.25" customHeight="1">
      <c r="H234" s="179" t="str">
        <f t="shared" si="1"/>
        <v>Carbono_zinc</v>
      </c>
      <c r="I234" s="178"/>
      <c r="J234" s="182" t="s">
        <v>4795</v>
      </c>
      <c r="K234" s="185"/>
      <c r="L234" s="185"/>
      <c r="M234" s="185"/>
      <c r="N234" s="185"/>
      <c r="O234" s="189" t="s">
        <v>4792</v>
      </c>
    </row>
    <row r="235" ht="14.25" customHeight="1">
      <c r="H235" s="179" t="str">
        <f t="shared" si="1"/>
        <v>Sí_LR44_</v>
      </c>
      <c r="I235" s="182" t="s">
        <v>4767</v>
      </c>
      <c r="J235" s="182" t="s">
        <v>4794</v>
      </c>
      <c r="K235" s="183"/>
      <c r="L235" s="183"/>
      <c r="M235" s="184"/>
      <c r="N235" s="185"/>
      <c r="O235" s="181" t="s">
        <v>4773</v>
      </c>
    </row>
    <row r="236" ht="14.25" customHeight="1">
      <c r="H236" s="179" t="str">
        <f t="shared" si="1"/>
        <v>Sí_LR44_En el aparato</v>
      </c>
      <c r="I236" s="178" t="s">
        <v>4767</v>
      </c>
      <c r="J236" s="182" t="s">
        <v>4794</v>
      </c>
      <c r="K236" s="178" t="s">
        <v>4769</v>
      </c>
      <c r="L236" s="178"/>
      <c r="M236" s="178"/>
      <c r="N236" s="185"/>
      <c r="O236" s="181" t="s">
        <v>4773</v>
      </c>
    </row>
    <row r="237" ht="14.25" customHeight="1">
      <c r="H237" s="179" t="str">
        <f t="shared" si="1"/>
        <v>Sí_LR44_Con el equipo</v>
      </c>
      <c r="I237" s="178" t="s">
        <v>4767</v>
      </c>
      <c r="J237" s="182" t="s">
        <v>4794</v>
      </c>
      <c r="K237" s="178" t="s">
        <v>4775</v>
      </c>
      <c r="L237" s="178"/>
      <c r="M237" s="178"/>
      <c r="N237" s="185"/>
      <c r="O237" s="181" t="s">
        <v>4773</v>
      </c>
    </row>
    <row r="238" ht="14.25" customHeight="1">
      <c r="H238" s="179" t="str">
        <f t="shared" si="1"/>
        <v>Sí_LR44_Independiente</v>
      </c>
      <c r="I238" s="178" t="s">
        <v>4767</v>
      </c>
      <c r="J238" s="182" t="s">
        <v>4794</v>
      </c>
      <c r="K238" s="178" t="s">
        <v>4780</v>
      </c>
      <c r="L238" s="178"/>
      <c r="M238" s="178"/>
      <c r="N238" s="185"/>
      <c r="O238" s="181" t="s">
        <v>4773</v>
      </c>
    </row>
    <row r="239" ht="14.25" customHeight="1">
      <c r="H239" s="179" t="str">
        <f t="shared" si="1"/>
        <v>_LR44_</v>
      </c>
      <c r="I239" s="178"/>
      <c r="J239" s="182" t="s">
        <v>4794</v>
      </c>
      <c r="K239" s="185"/>
      <c r="L239" s="185"/>
      <c r="M239" s="185"/>
      <c r="N239" s="185"/>
      <c r="O239" s="189" t="s">
        <v>4792</v>
      </c>
    </row>
    <row r="240" ht="14.25" customHeight="1">
      <c r="H240" s="179" t="str">
        <f t="shared" si="1"/>
        <v>#REF!</v>
      </c>
      <c r="I240" s="178" t="s">
        <v>4767</v>
      </c>
      <c r="J240" s="182" t="s">
        <v>4779</v>
      </c>
      <c r="K240" s="178" t="s">
        <v>4769</v>
      </c>
      <c r="L240" s="178" t="s">
        <v>4808</v>
      </c>
      <c r="M240" s="178" t="str">
        <f t="shared" ref="M240:M260" si="9">IF('Ficha de exención para baterías'!$P$14&gt;0,'Ficha de exención para baterías'!$P$14," ")</f>
        <v>#REF!</v>
      </c>
      <c r="N240" s="185"/>
      <c r="O240" s="181" t="s">
        <v>4773</v>
      </c>
    </row>
    <row r="241" ht="14.25" customHeight="1">
      <c r="H241" s="179" t="str">
        <f t="shared" si="1"/>
        <v>#REF!</v>
      </c>
      <c r="I241" s="178" t="s">
        <v>4767</v>
      </c>
      <c r="J241" s="182" t="s">
        <v>4779</v>
      </c>
      <c r="K241" s="178" t="s">
        <v>4775</v>
      </c>
      <c r="L241" s="178" t="s">
        <v>4808</v>
      </c>
      <c r="M241" s="178" t="str">
        <f t="shared" si="9"/>
        <v>#REF!</v>
      </c>
      <c r="N241" s="185"/>
      <c r="O241" s="181" t="s">
        <v>4773</v>
      </c>
    </row>
    <row r="242" ht="14.25" customHeight="1">
      <c r="H242" s="179" t="str">
        <f t="shared" si="1"/>
        <v>#REF!</v>
      </c>
      <c r="I242" s="178" t="s">
        <v>4767</v>
      </c>
      <c r="J242" s="182" t="s">
        <v>4779</v>
      </c>
      <c r="K242" s="178" t="s">
        <v>4780</v>
      </c>
      <c r="L242" s="178" t="s">
        <v>4808</v>
      </c>
      <c r="M242" s="178" t="str">
        <f t="shared" si="9"/>
        <v>#REF!</v>
      </c>
      <c r="N242" s="185"/>
      <c r="O242" s="181" t="s">
        <v>4773</v>
      </c>
    </row>
    <row r="243" ht="14.25" customHeight="1">
      <c r="H243" s="179" t="str">
        <f t="shared" si="1"/>
        <v>#REF!</v>
      </c>
      <c r="I243" s="178" t="s">
        <v>4767</v>
      </c>
      <c r="J243" s="182" t="s">
        <v>4787</v>
      </c>
      <c r="K243" s="178" t="s">
        <v>4769</v>
      </c>
      <c r="L243" s="178" t="s">
        <v>4808</v>
      </c>
      <c r="M243" s="178" t="str">
        <f t="shared" si="9"/>
        <v>#REF!</v>
      </c>
      <c r="N243" s="185"/>
      <c r="O243" s="181" t="s">
        <v>4773</v>
      </c>
    </row>
    <row r="244" ht="14.25" customHeight="1">
      <c r="H244" s="179" t="str">
        <f t="shared" si="1"/>
        <v>#REF!</v>
      </c>
      <c r="I244" s="178" t="s">
        <v>4767</v>
      </c>
      <c r="J244" s="182" t="s">
        <v>4787</v>
      </c>
      <c r="K244" s="178" t="s">
        <v>4775</v>
      </c>
      <c r="L244" s="178" t="s">
        <v>4808</v>
      </c>
      <c r="M244" s="178" t="str">
        <f t="shared" si="9"/>
        <v>#REF!</v>
      </c>
      <c r="N244" s="185"/>
      <c r="O244" s="181" t="s">
        <v>4773</v>
      </c>
    </row>
    <row r="245" ht="14.25" customHeight="1">
      <c r="H245" s="179" t="str">
        <f t="shared" si="1"/>
        <v>#REF!</v>
      </c>
      <c r="I245" s="178" t="s">
        <v>4767</v>
      </c>
      <c r="J245" s="182" t="s">
        <v>4787</v>
      </c>
      <c r="K245" s="178" t="s">
        <v>4780</v>
      </c>
      <c r="L245" s="178" t="s">
        <v>4808</v>
      </c>
      <c r="M245" s="178" t="str">
        <f t="shared" si="9"/>
        <v>#REF!</v>
      </c>
      <c r="N245" s="185"/>
      <c r="O245" s="181" t="s">
        <v>4773</v>
      </c>
    </row>
    <row r="246" ht="14.25" customHeight="1">
      <c r="H246" s="179" t="str">
        <f t="shared" si="1"/>
        <v>#REF!</v>
      </c>
      <c r="I246" s="178" t="s">
        <v>4767</v>
      </c>
      <c r="J246" s="182" t="s">
        <v>4774</v>
      </c>
      <c r="K246" s="178" t="s">
        <v>4769</v>
      </c>
      <c r="L246" s="178" t="s">
        <v>4808</v>
      </c>
      <c r="M246" s="178" t="str">
        <f t="shared" si="9"/>
        <v>#REF!</v>
      </c>
      <c r="N246" s="185"/>
      <c r="O246" s="181" t="s">
        <v>4773</v>
      </c>
    </row>
    <row r="247" ht="14.25" customHeight="1">
      <c r="H247" s="179" t="str">
        <f t="shared" si="1"/>
        <v>#REF!</v>
      </c>
      <c r="I247" s="178" t="s">
        <v>4767</v>
      </c>
      <c r="J247" s="182" t="s">
        <v>4774</v>
      </c>
      <c r="K247" s="178" t="s">
        <v>4775</v>
      </c>
      <c r="L247" s="178" t="s">
        <v>4808</v>
      </c>
      <c r="M247" s="178" t="str">
        <f t="shared" si="9"/>
        <v>#REF!</v>
      </c>
      <c r="N247" s="185"/>
      <c r="O247" s="181" t="s">
        <v>4773</v>
      </c>
    </row>
    <row r="248" ht="14.25" customHeight="1">
      <c r="H248" s="179" t="str">
        <f t="shared" si="1"/>
        <v>#REF!</v>
      </c>
      <c r="I248" s="178" t="s">
        <v>4767</v>
      </c>
      <c r="J248" s="182" t="s">
        <v>4774</v>
      </c>
      <c r="K248" s="178" t="s">
        <v>4780</v>
      </c>
      <c r="L248" s="178" t="s">
        <v>4808</v>
      </c>
      <c r="M248" s="178" t="str">
        <f t="shared" si="9"/>
        <v>#REF!</v>
      </c>
      <c r="N248" s="185"/>
      <c r="O248" s="181" t="s">
        <v>4773</v>
      </c>
    </row>
    <row r="249" ht="14.25" customHeight="1">
      <c r="H249" s="179" t="str">
        <f t="shared" si="1"/>
        <v>#REF!</v>
      </c>
      <c r="I249" s="178" t="s">
        <v>4767</v>
      </c>
      <c r="J249" s="182" t="s">
        <v>4785</v>
      </c>
      <c r="K249" s="178" t="s">
        <v>4769</v>
      </c>
      <c r="L249" s="178" t="s">
        <v>4808</v>
      </c>
      <c r="M249" s="178" t="str">
        <f t="shared" si="9"/>
        <v>#REF!</v>
      </c>
      <c r="N249" s="185"/>
      <c r="O249" s="181" t="s">
        <v>4773</v>
      </c>
    </row>
    <row r="250" ht="14.25" customHeight="1">
      <c r="H250" s="179" t="str">
        <f t="shared" si="1"/>
        <v>#REF!</v>
      </c>
      <c r="I250" s="178" t="s">
        <v>4767</v>
      </c>
      <c r="J250" s="182" t="s">
        <v>4785</v>
      </c>
      <c r="K250" s="178" t="s">
        <v>4775</v>
      </c>
      <c r="L250" s="178" t="s">
        <v>4808</v>
      </c>
      <c r="M250" s="178" t="str">
        <f t="shared" si="9"/>
        <v>#REF!</v>
      </c>
      <c r="N250" s="185"/>
      <c r="O250" s="181" t="s">
        <v>4773</v>
      </c>
    </row>
    <row r="251" ht="14.25" customHeight="1">
      <c r="H251" s="179" t="str">
        <f t="shared" si="1"/>
        <v>#REF!</v>
      </c>
      <c r="I251" s="178" t="s">
        <v>4767</v>
      </c>
      <c r="J251" s="182" t="s">
        <v>4785</v>
      </c>
      <c r="K251" s="178" t="s">
        <v>4780</v>
      </c>
      <c r="L251" s="178" t="s">
        <v>4808</v>
      </c>
      <c r="M251" s="178" t="str">
        <f t="shared" si="9"/>
        <v>#REF!</v>
      </c>
      <c r="N251" s="185"/>
      <c r="O251" s="181" t="s">
        <v>4773</v>
      </c>
    </row>
    <row r="252" ht="14.25" customHeight="1">
      <c r="H252" s="179" t="str">
        <f t="shared" si="1"/>
        <v>#REF!</v>
      </c>
      <c r="I252" s="178" t="s">
        <v>4767</v>
      </c>
      <c r="J252" s="182" t="s">
        <v>4783</v>
      </c>
      <c r="K252" s="178" t="s">
        <v>4769</v>
      </c>
      <c r="L252" s="178" t="s">
        <v>4808</v>
      </c>
      <c r="M252" s="178" t="str">
        <f t="shared" si="9"/>
        <v>#REF!</v>
      </c>
      <c r="N252" s="185"/>
      <c r="O252" s="181" t="s">
        <v>4773</v>
      </c>
    </row>
    <row r="253" ht="14.25" customHeight="1">
      <c r="H253" s="179" t="str">
        <f t="shared" si="1"/>
        <v>#REF!</v>
      </c>
      <c r="I253" s="178" t="s">
        <v>4767</v>
      </c>
      <c r="J253" s="182" t="s">
        <v>4783</v>
      </c>
      <c r="K253" s="178" t="s">
        <v>4775</v>
      </c>
      <c r="L253" s="178" t="s">
        <v>4808</v>
      </c>
      <c r="M253" s="178" t="str">
        <f t="shared" si="9"/>
        <v>#REF!</v>
      </c>
      <c r="N253" s="185"/>
      <c r="O253" s="181" t="s">
        <v>4773</v>
      </c>
    </row>
    <row r="254" ht="14.25" customHeight="1">
      <c r="H254" s="179" t="str">
        <f t="shared" si="1"/>
        <v>#REF!</v>
      </c>
      <c r="I254" s="178" t="s">
        <v>4767</v>
      </c>
      <c r="J254" s="182" t="s">
        <v>4783</v>
      </c>
      <c r="K254" s="178" t="s">
        <v>4780</v>
      </c>
      <c r="L254" s="178" t="s">
        <v>4808</v>
      </c>
      <c r="M254" s="178" t="str">
        <f t="shared" si="9"/>
        <v>#REF!</v>
      </c>
      <c r="N254" s="185"/>
      <c r="O254" s="181" t="s">
        <v>4773</v>
      </c>
    </row>
    <row r="255" ht="14.25" customHeight="1">
      <c r="H255" s="179" t="str">
        <f t="shared" si="1"/>
        <v>#REF!</v>
      </c>
      <c r="I255" s="178" t="s">
        <v>4767</v>
      </c>
      <c r="J255" s="182" t="s">
        <v>4789</v>
      </c>
      <c r="K255" s="178" t="s">
        <v>4769</v>
      </c>
      <c r="L255" s="178" t="s">
        <v>4808</v>
      </c>
      <c r="M255" s="178" t="str">
        <f t="shared" si="9"/>
        <v>#REF!</v>
      </c>
      <c r="N255" s="185"/>
      <c r="O255" s="181" t="s">
        <v>4773</v>
      </c>
    </row>
    <row r="256" ht="14.25" customHeight="1">
      <c r="H256" s="179" t="str">
        <f t="shared" si="1"/>
        <v>#REF!</v>
      </c>
      <c r="I256" s="178" t="s">
        <v>4767</v>
      </c>
      <c r="J256" s="182" t="s">
        <v>4789</v>
      </c>
      <c r="K256" s="178" t="s">
        <v>4775</v>
      </c>
      <c r="L256" s="178" t="s">
        <v>4808</v>
      </c>
      <c r="M256" s="178" t="str">
        <f t="shared" si="9"/>
        <v>#REF!</v>
      </c>
      <c r="N256" s="185"/>
      <c r="O256" s="181" t="s">
        <v>4773</v>
      </c>
    </row>
    <row r="257" ht="14.25" customHeight="1">
      <c r="H257" s="179" t="str">
        <f t="shared" si="1"/>
        <v>#REF!</v>
      </c>
      <c r="I257" s="178" t="s">
        <v>4767</v>
      </c>
      <c r="J257" s="182" t="s">
        <v>4789</v>
      </c>
      <c r="K257" s="178" t="s">
        <v>4780</v>
      </c>
      <c r="L257" s="178" t="s">
        <v>4808</v>
      </c>
      <c r="M257" s="178" t="str">
        <f t="shared" si="9"/>
        <v>#REF!</v>
      </c>
      <c r="N257" s="185"/>
      <c r="O257" s="181" t="s">
        <v>4773</v>
      </c>
    </row>
    <row r="258" ht="14.25" customHeight="1">
      <c r="H258" s="179" t="str">
        <f t="shared" si="1"/>
        <v>#REF!</v>
      </c>
      <c r="I258" s="178" t="s">
        <v>4767</v>
      </c>
      <c r="J258" s="178" t="s">
        <v>4768</v>
      </c>
      <c r="K258" s="178" t="s">
        <v>4769</v>
      </c>
      <c r="L258" s="178" t="s">
        <v>4808</v>
      </c>
      <c r="M258" s="178" t="str">
        <f t="shared" si="9"/>
        <v>#REF!</v>
      </c>
      <c r="N258" s="185"/>
      <c r="O258" s="181" t="s">
        <v>4773</v>
      </c>
    </row>
    <row r="259" ht="14.25" customHeight="1">
      <c r="H259" s="179" t="str">
        <f t="shared" si="1"/>
        <v>#REF!</v>
      </c>
      <c r="I259" s="178" t="s">
        <v>4767</v>
      </c>
      <c r="J259" s="178" t="s">
        <v>4768</v>
      </c>
      <c r="K259" s="178" t="s">
        <v>4775</v>
      </c>
      <c r="L259" s="178" t="s">
        <v>4808</v>
      </c>
      <c r="M259" s="178" t="str">
        <f t="shared" si="9"/>
        <v>#REF!</v>
      </c>
      <c r="N259" s="185"/>
      <c r="O259" s="181" t="s">
        <v>4773</v>
      </c>
    </row>
    <row r="260" ht="14.25" customHeight="1">
      <c r="H260" s="179" t="str">
        <f t="shared" si="1"/>
        <v>#REF!</v>
      </c>
      <c r="I260" s="178" t="s">
        <v>4767</v>
      </c>
      <c r="J260" s="178" t="s">
        <v>4768</v>
      </c>
      <c r="K260" s="178" t="s">
        <v>4780</v>
      </c>
      <c r="L260" s="178" t="s">
        <v>4808</v>
      </c>
      <c r="M260" s="178" t="str">
        <f t="shared" si="9"/>
        <v>#REF!</v>
      </c>
      <c r="N260" s="185"/>
      <c r="O260" s="181" t="s">
        <v>4773</v>
      </c>
    </row>
    <row r="261" ht="14.25" customHeight="1">
      <c r="H261" s="179" t="str">
        <f t="shared" si="1"/>
        <v>#REF!</v>
      </c>
      <c r="I261" s="178" t="s">
        <v>4767</v>
      </c>
      <c r="J261" s="182" t="s">
        <v>4779</v>
      </c>
      <c r="K261" s="178" t="s">
        <v>4769</v>
      </c>
      <c r="L261" s="178" t="s">
        <v>4808</v>
      </c>
      <c r="M261" s="178" t="str">
        <f t="shared" ref="M261:M281" si="10">IF('Ficha de exención para baterías'!$P$15&gt;0,'Ficha de exención para baterías'!$P$15," ")</f>
        <v>#REF!</v>
      </c>
      <c r="N261" s="185"/>
      <c r="O261" s="181" t="s">
        <v>4773</v>
      </c>
    </row>
    <row r="262" ht="14.25" customHeight="1">
      <c r="H262" s="179" t="str">
        <f t="shared" si="1"/>
        <v>#REF!</v>
      </c>
      <c r="I262" s="178" t="s">
        <v>4767</v>
      </c>
      <c r="J262" s="182" t="s">
        <v>4779</v>
      </c>
      <c r="K262" s="178" t="s">
        <v>4775</v>
      </c>
      <c r="L262" s="178" t="s">
        <v>4808</v>
      </c>
      <c r="M262" s="178" t="str">
        <f t="shared" si="10"/>
        <v>#REF!</v>
      </c>
      <c r="N262" s="185"/>
      <c r="O262" s="181" t="s">
        <v>4773</v>
      </c>
    </row>
    <row r="263" ht="14.25" customHeight="1">
      <c r="H263" s="179" t="str">
        <f t="shared" si="1"/>
        <v>#REF!</v>
      </c>
      <c r="I263" s="178" t="s">
        <v>4767</v>
      </c>
      <c r="J263" s="182" t="s">
        <v>4779</v>
      </c>
      <c r="K263" s="178" t="s">
        <v>4780</v>
      </c>
      <c r="L263" s="178" t="s">
        <v>4808</v>
      </c>
      <c r="M263" s="178" t="str">
        <f t="shared" si="10"/>
        <v>#REF!</v>
      </c>
      <c r="N263" s="185"/>
      <c r="O263" s="181" t="s">
        <v>4773</v>
      </c>
    </row>
    <row r="264" ht="14.25" customHeight="1">
      <c r="H264" s="179" t="str">
        <f t="shared" si="1"/>
        <v>#REF!</v>
      </c>
      <c r="I264" s="178" t="s">
        <v>4767</v>
      </c>
      <c r="J264" s="182" t="s">
        <v>4787</v>
      </c>
      <c r="K264" s="178" t="s">
        <v>4769</v>
      </c>
      <c r="L264" s="178" t="s">
        <v>4808</v>
      </c>
      <c r="M264" s="178" t="str">
        <f t="shared" si="10"/>
        <v>#REF!</v>
      </c>
      <c r="N264" s="185"/>
      <c r="O264" s="181" t="s">
        <v>4773</v>
      </c>
    </row>
    <row r="265" ht="14.25" customHeight="1">
      <c r="H265" s="179" t="str">
        <f t="shared" si="1"/>
        <v>#REF!</v>
      </c>
      <c r="I265" s="178" t="s">
        <v>4767</v>
      </c>
      <c r="J265" s="182" t="s">
        <v>4787</v>
      </c>
      <c r="K265" s="178" t="s">
        <v>4775</v>
      </c>
      <c r="L265" s="178" t="s">
        <v>4808</v>
      </c>
      <c r="M265" s="178" t="str">
        <f t="shared" si="10"/>
        <v>#REF!</v>
      </c>
      <c r="N265" s="185"/>
      <c r="O265" s="181" t="s">
        <v>4773</v>
      </c>
    </row>
    <row r="266" ht="14.25" customHeight="1">
      <c r="H266" s="179" t="str">
        <f t="shared" si="1"/>
        <v>#REF!</v>
      </c>
      <c r="I266" s="178" t="s">
        <v>4767</v>
      </c>
      <c r="J266" s="182" t="s">
        <v>4787</v>
      </c>
      <c r="K266" s="178" t="s">
        <v>4780</v>
      </c>
      <c r="L266" s="178" t="s">
        <v>4808</v>
      </c>
      <c r="M266" s="178" t="str">
        <f t="shared" si="10"/>
        <v>#REF!</v>
      </c>
      <c r="N266" s="185"/>
      <c r="O266" s="181" t="s">
        <v>4773</v>
      </c>
    </row>
    <row r="267" ht="14.25" customHeight="1">
      <c r="H267" s="179" t="str">
        <f t="shared" si="1"/>
        <v>#REF!</v>
      </c>
      <c r="I267" s="178" t="s">
        <v>4767</v>
      </c>
      <c r="J267" s="182" t="s">
        <v>4774</v>
      </c>
      <c r="K267" s="178" t="s">
        <v>4769</v>
      </c>
      <c r="L267" s="178" t="s">
        <v>4808</v>
      </c>
      <c r="M267" s="178" t="str">
        <f t="shared" si="10"/>
        <v>#REF!</v>
      </c>
      <c r="N267" s="185"/>
      <c r="O267" s="181" t="s">
        <v>4773</v>
      </c>
    </row>
    <row r="268" ht="14.25" customHeight="1">
      <c r="H268" s="179" t="str">
        <f t="shared" si="1"/>
        <v>#REF!</v>
      </c>
      <c r="I268" s="178" t="s">
        <v>4767</v>
      </c>
      <c r="J268" s="182" t="s">
        <v>4774</v>
      </c>
      <c r="K268" s="178" t="s">
        <v>4775</v>
      </c>
      <c r="L268" s="178" t="s">
        <v>4808</v>
      </c>
      <c r="M268" s="178" t="str">
        <f t="shared" si="10"/>
        <v>#REF!</v>
      </c>
      <c r="N268" s="185"/>
      <c r="O268" s="181" t="s">
        <v>4773</v>
      </c>
    </row>
    <row r="269" ht="14.25" customHeight="1">
      <c r="H269" s="179" t="str">
        <f t="shared" si="1"/>
        <v>#REF!</v>
      </c>
      <c r="I269" s="178" t="s">
        <v>4767</v>
      </c>
      <c r="J269" s="182" t="s">
        <v>4774</v>
      </c>
      <c r="K269" s="178" t="s">
        <v>4780</v>
      </c>
      <c r="L269" s="178" t="s">
        <v>4808</v>
      </c>
      <c r="M269" s="178" t="str">
        <f t="shared" si="10"/>
        <v>#REF!</v>
      </c>
      <c r="N269" s="185"/>
      <c r="O269" s="181" t="s">
        <v>4773</v>
      </c>
    </row>
    <row r="270" ht="14.25" customHeight="1">
      <c r="H270" s="179" t="str">
        <f t="shared" si="1"/>
        <v>#REF!</v>
      </c>
      <c r="I270" s="178" t="s">
        <v>4767</v>
      </c>
      <c r="J270" s="182" t="s">
        <v>4785</v>
      </c>
      <c r="K270" s="178" t="s">
        <v>4769</v>
      </c>
      <c r="L270" s="178" t="s">
        <v>4808</v>
      </c>
      <c r="M270" s="178" t="str">
        <f t="shared" si="10"/>
        <v>#REF!</v>
      </c>
      <c r="N270" s="185"/>
      <c r="O270" s="181" t="s">
        <v>4773</v>
      </c>
    </row>
    <row r="271" ht="14.25" customHeight="1">
      <c r="H271" s="179" t="str">
        <f t="shared" si="1"/>
        <v>#REF!</v>
      </c>
      <c r="I271" s="178" t="s">
        <v>4767</v>
      </c>
      <c r="J271" s="182" t="s">
        <v>4785</v>
      </c>
      <c r="K271" s="178" t="s">
        <v>4775</v>
      </c>
      <c r="L271" s="178" t="s">
        <v>4808</v>
      </c>
      <c r="M271" s="178" t="str">
        <f t="shared" si="10"/>
        <v>#REF!</v>
      </c>
      <c r="N271" s="185"/>
      <c r="O271" s="181" t="s">
        <v>4773</v>
      </c>
    </row>
    <row r="272" ht="14.25" customHeight="1">
      <c r="H272" s="179" t="str">
        <f t="shared" si="1"/>
        <v>#REF!</v>
      </c>
      <c r="I272" s="178" t="s">
        <v>4767</v>
      </c>
      <c r="J272" s="182" t="s">
        <v>4785</v>
      </c>
      <c r="K272" s="178" t="s">
        <v>4780</v>
      </c>
      <c r="L272" s="178" t="s">
        <v>4808</v>
      </c>
      <c r="M272" s="178" t="str">
        <f t="shared" si="10"/>
        <v>#REF!</v>
      </c>
      <c r="N272" s="185"/>
      <c r="O272" s="181" t="s">
        <v>4773</v>
      </c>
    </row>
    <row r="273" ht="14.25" customHeight="1">
      <c r="H273" s="179" t="str">
        <f t="shared" si="1"/>
        <v>#REF!</v>
      </c>
      <c r="I273" s="178" t="s">
        <v>4767</v>
      </c>
      <c r="J273" s="182" t="s">
        <v>4783</v>
      </c>
      <c r="K273" s="178" t="s">
        <v>4769</v>
      </c>
      <c r="L273" s="178" t="s">
        <v>4808</v>
      </c>
      <c r="M273" s="178" t="str">
        <f t="shared" si="10"/>
        <v>#REF!</v>
      </c>
      <c r="N273" s="185"/>
      <c r="O273" s="181" t="s">
        <v>4773</v>
      </c>
    </row>
    <row r="274" ht="14.25" customHeight="1">
      <c r="H274" s="179" t="str">
        <f t="shared" si="1"/>
        <v>#REF!</v>
      </c>
      <c r="I274" s="178" t="s">
        <v>4767</v>
      </c>
      <c r="J274" s="182" t="s">
        <v>4783</v>
      </c>
      <c r="K274" s="178" t="s">
        <v>4775</v>
      </c>
      <c r="L274" s="178" t="s">
        <v>4808</v>
      </c>
      <c r="M274" s="178" t="str">
        <f t="shared" si="10"/>
        <v>#REF!</v>
      </c>
      <c r="N274" s="185"/>
      <c r="O274" s="181" t="s">
        <v>4773</v>
      </c>
    </row>
    <row r="275" ht="14.25" customHeight="1">
      <c r="H275" s="179" t="str">
        <f t="shared" si="1"/>
        <v>#REF!</v>
      </c>
      <c r="I275" s="178" t="s">
        <v>4767</v>
      </c>
      <c r="J275" s="182" t="s">
        <v>4783</v>
      </c>
      <c r="K275" s="178" t="s">
        <v>4780</v>
      </c>
      <c r="L275" s="178" t="s">
        <v>4808</v>
      </c>
      <c r="M275" s="178" t="str">
        <f t="shared" si="10"/>
        <v>#REF!</v>
      </c>
      <c r="N275" s="185"/>
      <c r="O275" s="181" t="s">
        <v>4773</v>
      </c>
    </row>
    <row r="276" ht="14.25" customHeight="1">
      <c r="H276" s="179" t="str">
        <f t="shared" si="1"/>
        <v>#REF!</v>
      </c>
      <c r="I276" s="178" t="s">
        <v>4767</v>
      </c>
      <c r="J276" s="182" t="s">
        <v>4789</v>
      </c>
      <c r="K276" s="178" t="s">
        <v>4769</v>
      </c>
      <c r="L276" s="178" t="s">
        <v>4808</v>
      </c>
      <c r="M276" s="178" t="str">
        <f t="shared" si="10"/>
        <v>#REF!</v>
      </c>
      <c r="N276" s="185"/>
      <c r="O276" s="181" t="s">
        <v>4773</v>
      </c>
    </row>
    <row r="277" ht="14.25" customHeight="1">
      <c r="H277" s="179" t="str">
        <f t="shared" si="1"/>
        <v>#REF!</v>
      </c>
      <c r="I277" s="178" t="s">
        <v>4767</v>
      </c>
      <c r="J277" s="182" t="s">
        <v>4789</v>
      </c>
      <c r="K277" s="178" t="s">
        <v>4775</v>
      </c>
      <c r="L277" s="178" t="s">
        <v>4808</v>
      </c>
      <c r="M277" s="178" t="str">
        <f t="shared" si="10"/>
        <v>#REF!</v>
      </c>
      <c r="N277" s="185"/>
      <c r="O277" s="181" t="s">
        <v>4773</v>
      </c>
    </row>
    <row r="278" ht="14.25" customHeight="1">
      <c r="H278" s="179" t="str">
        <f t="shared" si="1"/>
        <v>#REF!</v>
      </c>
      <c r="I278" s="178" t="s">
        <v>4767</v>
      </c>
      <c r="J278" s="182" t="s">
        <v>4789</v>
      </c>
      <c r="K278" s="178" t="s">
        <v>4780</v>
      </c>
      <c r="L278" s="178" t="s">
        <v>4808</v>
      </c>
      <c r="M278" s="178" t="str">
        <f t="shared" si="10"/>
        <v>#REF!</v>
      </c>
      <c r="N278" s="185"/>
      <c r="O278" s="181" t="s">
        <v>4773</v>
      </c>
    </row>
    <row r="279" ht="14.25" customHeight="1">
      <c r="H279" s="179" t="str">
        <f t="shared" si="1"/>
        <v>#REF!</v>
      </c>
      <c r="I279" s="178" t="s">
        <v>4767</v>
      </c>
      <c r="J279" s="178" t="s">
        <v>4768</v>
      </c>
      <c r="K279" s="178" t="s">
        <v>4769</v>
      </c>
      <c r="L279" s="178" t="s">
        <v>4808</v>
      </c>
      <c r="M279" s="178" t="str">
        <f t="shared" si="10"/>
        <v>#REF!</v>
      </c>
      <c r="N279" s="185"/>
      <c r="O279" s="181" t="s">
        <v>4773</v>
      </c>
    </row>
    <row r="280" ht="14.25" customHeight="1">
      <c r="H280" s="179" t="str">
        <f t="shared" si="1"/>
        <v>#REF!</v>
      </c>
      <c r="I280" s="178" t="s">
        <v>4767</v>
      </c>
      <c r="J280" s="178" t="s">
        <v>4768</v>
      </c>
      <c r="K280" s="178" t="s">
        <v>4775</v>
      </c>
      <c r="L280" s="178" t="s">
        <v>4808</v>
      </c>
      <c r="M280" s="178" t="str">
        <f t="shared" si="10"/>
        <v>#REF!</v>
      </c>
      <c r="N280" s="185"/>
      <c r="O280" s="181" t="s">
        <v>4773</v>
      </c>
    </row>
    <row r="281" ht="14.25" customHeight="1">
      <c r="H281" s="179" t="str">
        <f t="shared" si="1"/>
        <v>#REF!</v>
      </c>
      <c r="I281" s="178" t="s">
        <v>4767</v>
      </c>
      <c r="J281" s="178" t="s">
        <v>4768</v>
      </c>
      <c r="K281" s="178" t="s">
        <v>4780</v>
      </c>
      <c r="L281" s="178" t="s">
        <v>4808</v>
      </c>
      <c r="M281" s="178" t="str">
        <f t="shared" si="10"/>
        <v>#REF!</v>
      </c>
      <c r="N281" s="185"/>
      <c r="O281" s="181" t="s">
        <v>4773</v>
      </c>
    </row>
    <row r="282" ht="14.25" customHeight="1">
      <c r="H282" s="179" t="str">
        <f t="shared" si="1"/>
        <v>#REF!</v>
      </c>
      <c r="I282" s="178" t="s">
        <v>4767</v>
      </c>
      <c r="J282" s="182" t="s">
        <v>4779</v>
      </c>
      <c r="K282" s="178" t="s">
        <v>4769</v>
      </c>
      <c r="L282" s="178" t="s">
        <v>4808</v>
      </c>
      <c r="M282" s="178" t="str">
        <f t="shared" ref="M282:M302" si="11">IF('Ficha de exención para baterías'!$P$16&gt;0,'Ficha de exención para baterías'!$P$16," ")</f>
        <v>#REF!</v>
      </c>
      <c r="N282" s="185"/>
      <c r="O282" s="181" t="s">
        <v>4773</v>
      </c>
    </row>
    <row r="283" ht="14.25" customHeight="1">
      <c r="H283" s="179" t="str">
        <f t="shared" si="1"/>
        <v>#REF!</v>
      </c>
      <c r="I283" s="178" t="s">
        <v>4767</v>
      </c>
      <c r="J283" s="182" t="s">
        <v>4779</v>
      </c>
      <c r="K283" s="178" t="s">
        <v>4775</v>
      </c>
      <c r="L283" s="178" t="s">
        <v>4808</v>
      </c>
      <c r="M283" s="178" t="str">
        <f t="shared" si="11"/>
        <v>#REF!</v>
      </c>
      <c r="N283" s="185"/>
      <c r="O283" s="181" t="s">
        <v>4773</v>
      </c>
    </row>
    <row r="284" ht="14.25" customHeight="1">
      <c r="H284" s="179" t="str">
        <f t="shared" si="1"/>
        <v>#REF!</v>
      </c>
      <c r="I284" s="178" t="s">
        <v>4767</v>
      </c>
      <c r="J284" s="182" t="s">
        <v>4779</v>
      </c>
      <c r="K284" s="178" t="s">
        <v>4780</v>
      </c>
      <c r="L284" s="178" t="s">
        <v>4808</v>
      </c>
      <c r="M284" s="178" t="str">
        <f t="shared" si="11"/>
        <v>#REF!</v>
      </c>
      <c r="N284" s="185"/>
      <c r="O284" s="181" t="s">
        <v>4773</v>
      </c>
    </row>
    <row r="285" ht="14.25" customHeight="1">
      <c r="H285" s="179" t="str">
        <f t="shared" si="1"/>
        <v>#REF!</v>
      </c>
      <c r="I285" s="178" t="s">
        <v>4767</v>
      </c>
      <c r="J285" s="182" t="s">
        <v>4787</v>
      </c>
      <c r="K285" s="178" t="s">
        <v>4769</v>
      </c>
      <c r="L285" s="178" t="s">
        <v>4808</v>
      </c>
      <c r="M285" s="178" t="str">
        <f t="shared" si="11"/>
        <v>#REF!</v>
      </c>
      <c r="N285" s="185"/>
      <c r="O285" s="181" t="s">
        <v>4773</v>
      </c>
    </row>
    <row r="286" ht="14.25" customHeight="1">
      <c r="H286" s="179" t="str">
        <f t="shared" si="1"/>
        <v>#REF!</v>
      </c>
      <c r="I286" s="178" t="s">
        <v>4767</v>
      </c>
      <c r="J286" s="182" t="s">
        <v>4787</v>
      </c>
      <c r="K286" s="178" t="s">
        <v>4775</v>
      </c>
      <c r="L286" s="178" t="s">
        <v>4808</v>
      </c>
      <c r="M286" s="178" t="str">
        <f t="shared" si="11"/>
        <v>#REF!</v>
      </c>
      <c r="N286" s="185"/>
      <c r="O286" s="181" t="s">
        <v>4773</v>
      </c>
    </row>
    <row r="287" ht="14.25" customHeight="1">
      <c r="H287" s="179" t="str">
        <f t="shared" si="1"/>
        <v>#REF!</v>
      </c>
      <c r="I287" s="178" t="s">
        <v>4767</v>
      </c>
      <c r="J287" s="182" t="s">
        <v>4787</v>
      </c>
      <c r="K287" s="178" t="s">
        <v>4780</v>
      </c>
      <c r="L287" s="178" t="s">
        <v>4808</v>
      </c>
      <c r="M287" s="178" t="str">
        <f t="shared" si="11"/>
        <v>#REF!</v>
      </c>
      <c r="N287" s="185"/>
      <c r="O287" s="181" t="s">
        <v>4773</v>
      </c>
    </row>
    <row r="288" ht="14.25" customHeight="1">
      <c r="H288" s="179" t="str">
        <f t="shared" si="1"/>
        <v>#REF!</v>
      </c>
      <c r="I288" s="178" t="s">
        <v>4767</v>
      </c>
      <c r="J288" s="182" t="s">
        <v>4774</v>
      </c>
      <c r="K288" s="178" t="s">
        <v>4769</v>
      </c>
      <c r="L288" s="178" t="s">
        <v>4808</v>
      </c>
      <c r="M288" s="178" t="str">
        <f t="shared" si="11"/>
        <v>#REF!</v>
      </c>
      <c r="N288" s="185"/>
      <c r="O288" s="181" t="s">
        <v>4773</v>
      </c>
    </row>
    <row r="289" ht="14.25" customHeight="1">
      <c r="H289" s="179" t="str">
        <f t="shared" si="1"/>
        <v>#REF!</v>
      </c>
      <c r="I289" s="178" t="s">
        <v>4767</v>
      </c>
      <c r="J289" s="182" t="s">
        <v>4774</v>
      </c>
      <c r="K289" s="178" t="s">
        <v>4775</v>
      </c>
      <c r="L289" s="178" t="s">
        <v>4808</v>
      </c>
      <c r="M289" s="178" t="str">
        <f t="shared" si="11"/>
        <v>#REF!</v>
      </c>
      <c r="N289" s="185"/>
      <c r="O289" s="181" t="s">
        <v>4773</v>
      </c>
    </row>
    <row r="290" ht="14.25" customHeight="1">
      <c r="H290" s="179" t="str">
        <f t="shared" si="1"/>
        <v>#REF!</v>
      </c>
      <c r="I290" s="178" t="s">
        <v>4767</v>
      </c>
      <c r="J290" s="182" t="s">
        <v>4774</v>
      </c>
      <c r="K290" s="178" t="s">
        <v>4780</v>
      </c>
      <c r="L290" s="178" t="s">
        <v>4808</v>
      </c>
      <c r="M290" s="178" t="str">
        <f t="shared" si="11"/>
        <v>#REF!</v>
      </c>
      <c r="N290" s="185"/>
      <c r="O290" s="181" t="s">
        <v>4773</v>
      </c>
    </row>
    <row r="291" ht="14.25" customHeight="1">
      <c r="H291" s="179" t="str">
        <f t="shared" si="1"/>
        <v>#REF!</v>
      </c>
      <c r="I291" s="178" t="s">
        <v>4767</v>
      </c>
      <c r="J291" s="182" t="s">
        <v>4785</v>
      </c>
      <c r="K291" s="178" t="s">
        <v>4769</v>
      </c>
      <c r="L291" s="178" t="s">
        <v>4808</v>
      </c>
      <c r="M291" s="178" t="str">
        <f t="shared" si="11"/>
        <v>#REF!</v>
      </c>
      <c r="N291" s="185"/>
      <c r="O291" s="181" t="s">
        <v>4773</v>
      </c>
    </row>
    <row r="292" ht="14.25" customHeight="1">
      <c r="H292" s="179" t="str">
        <f t="shared" si="1"/>
        <v>#REF!</v>
      </c>
      <c r="I292" s="178" t="s">
        <v>4767</v>
      </c>
      <c r="J292" s="182" t="s">
        <v>4785</v>
      </c>
      <c r="K292" s="178" t="s">
        <v>4775</v>
      </c>
      <c r="L292" s="178" t="s">
        <v>4808</v>
      </c>
      <c r="M292" s="178" t="str">
        <f t="shared" si="11"/>
        <v>#REF!</v>
      </c>
      <c r="N292" s="185"/>
      <c r="O292" s="181" t="s">
        <v>4773</v>
      </c>
    </row>
    <row r="293" ht="14.25" customHeight="1">
      <c r="H293" s="179" t="str">
        <f t="shared" si="1"/>
        <v>#REF!</v>
      </c>
      <c r="I293" s="178" t="s">
        <v>4767</v>
      </c>
      <c r="J293" s="182" t="s">
        <v>4785</v>
      </c>
      <c r="K293" s="178" t="s">
        <v>4780</v>
      </c>
      <c r="L293" s="178" t="s">
        <v>4808</v>
      </c>
      <c r="M293" s="178" t="str">
        <f t="shared" si="11"/>
        <v>#REF!</v>
      </c>
      <c r="N293" s="185"/>
      <c r="O293" s="181" t="s">
        <v>4773</v>
      </c>
    </row>
    <row r="294" ht="14.25" customHeight="1">
      <c r="H294" s="179" t="str">
        <f t="shared" si="1"/>
        <v>#REF!</v>
      </c>
      <c r="I294" s="178" t="s">
        <v>4767</v>
      </c>
      <c r="J294" s="182" t="s">
        <v>4783</v>
      </c>
      <c r="K294" s="178" t="s">
        <v>4769</v>
      </c>
      <c r="L294" s="178" t="s">
        <v>4808</v>
      </c>
      <c r="M294" s="178" t="str">
        <f t="shared" si="11"/>
        <v>#REF!</v>
      </c>
      <c r="N294" s="185"/>
      <c r="O294" s="181" t="s">
        <v>4773</v>
      </c>
    </row>
    <row r="295" ht="14.25" customHeight="1">
      <c r="H295" s="179" t="str">
        <f t="shared" si="1"/>
        <v>#REF!</v>
      </c>
      <c r="I295" s="178" t="s">
        <v>4767</v>
      </c>
      <c r="J295" s="182" t="s">
        <v>4783</v>
      </c>
      <c r="K295" s="178" t="s">
        <v>4775</v>
      </c>
      <c r="L295" s="178" t="s">
        <v>4808</v>
      </c>
      <c r="M295" s="178" t="str">
        <f t="shared" si="11"/>
        <v>#REF!</v>
      </c>
      <c r="N295" s="185"/>
      <c r="O295" s="181" t="s">
        <v>4773</v>
      </c>
    </row>
    <row r="296" ht="14.25" customHeight="1">
      <c r="H296" s="179" t="str">
        <f t="shared" si="1"/>
        <v>#REF!</v>
      </c>
      <c r="I296" s="178" t="s">
        <v>4767</v>
      </c>
      <c r="J296" s="182" t="s">
        <v>4783</v>
      </c>
      <c r="K296" s="178" t="s">
        <v>4780</v>
      </c>
      <c r="L296" s="178" t="s">
        <v>4808</v>
      </c>
      <c r="M296" s="178" t="str">
        <f t="shared" si="11"/>
        <v>#REF!</v>
      </c>
      <c r="N296" s="185"/>
      <c r="O296" s="181" t="s">
        <v>4773</v>
      </c>
    </row>
    <row r="297" ht="14.25" customHeight="1">
      <c r="H297" s="179" t="str">
        <f t="shared" si="1"/>
        <v>#REF!</v>
      </c>
      <c r="I297" s="178" t="s">
        <v>4767</v>
      </c>
      <c r="J297" s="182" t="s">
        <v>4789</v>
      </c>
      <c r="K297" s="178" t="s">
        <v>4769</v>
      </c>
      <c r="L297" s="178" t="s">
        <v>4808</v>
      </c>
      <c r="M297" s="178" t="str">
        <f t="shared" si="11"/>
        <v>#REF!</v>
      </c>
      <c r="N297" s="185"/>
      <c r="O297" s="181" t="s">
        <v>4773</v>
      </c>
    </row>
    <row r="298" ht="14.25" customHeight="1">
      <c r="H298" s="179" t="str">
        <f t="shared" si="1"/>
        <v>#REF!</v>
      </c>
      <c r="I298" s="178" t="s">
        <v>4767</v>
      </c>
      <c r="J298" s="182" t="s">
        <v>4789</v>
      </c>
      <c r="K298" s="178" t="s">
        <v>4775</v>
      </c>
      <c r="L298" s="178" t="s">
        <v>4808</v>
      </c>
      <c r="M298" s="178" t="str">
        <f t="shared" si="11"/>
        <v>#REF!</v>
      </c>
      <c r="N298" s="185"/>
      <c r="O298" s="181" t="s">
        <v>4773</v>
      </c>
    </row>
    <row r="299" ht="14.25" customHeight="1">
      <c r="H299" s="179" t="str">
        <f t="shared" si="1"/>
        <v>#REF!</v>
      </c>
      <c r="I299" s="178" t="s">
        <v>4767</v>
      </c>
      <c r="J299" s="182" t="s">
        <v>4789</v>
      </c>
      <c r="K299" s="178" t="s">
        <v>4780</v>
      </c>
      <c r="L299" s="178" t="s">
        <v>4808</v>
      </c>
      <c r="M299" s="178" t="str">
        <f t="shared" si="11"/>
        <v>#REF!</v>
      </c>
      <c r="N299" s="185"/>
      <c r="O299" s="181" t="s">
        <v>4773</v>
      </c>
    </row>
    <row r="300" ht="14.25" customHeight="1">
      <c r="H300" s="179" t="str">
        <f t="shared" si="1"/>
        <v>#REF!</v>
      </c>
      <c r="I300" s="178" t="s">
        <v>4767</v>
      </c>
      <c r="J300" s="178" t="s">
        <v>4768</v>
      </c>
      <c r="K300" s="178" t="s">
        <v>4769</v>
      </c>
      <c r="L300" s="178" t="s">
        <v>4808</v>
      </c>
      <c r="M300" s="178" t="str">
        <f t="shared" si="11"/>
        <v>#REF!</v>
      </c>
      <c r="N300" s="185"/>
      <c r="O300" s="181" t="s">
        <v>4773</v>
      </c>
    </row>
    <row r="301" ht="14.25" customHeight="1">
      <c r="H301" s="179" t="str">
        <f t="shared" si="1"/>
        <v>#REF!</v>
      </c>
      <c r="I301" s="178" t="s">
        <v>4767</v>
      </c>
      <c r="J301" s="178" t="s">
        <v>4768</v>
      </c>
      <c r="K301" s="178" t="s">
        <v>4775</v>
      </c>
      <c r="L301" s="178" t="s">
        <v>4808</v>
      </c>
      <c r="M301" s="178" t="str">
        <f t="shared" si="11"/>
        <v>#REF!</v>
      </c>
      <c r="N301" s="185"/>
      <c r="O301" s="181" t="s">
        <v>4773</v>
      </c>
    </row>
    <row r="302" ht="14.25" customHeight="1">
      <c r="H302" s="179" t="str">
        <f t="shared" si="1"/>
        <v>#REF!</v>
      </c>
      <c r="I302" s="178" t="s">
        <v>4767</v>
      </c>
      <c r="J302" s="178" t="s">
        <v>4768</v>
      </c>
      <c r="K302" s="178" t="s">
        <v>4780</v>
      </c>
      <c r="L302" s="178" t="s">
        <v>4808</v>
      </c>
      <c r="M302" s="178" t="str">
        <f t="shared" si="11"/>
        <v>#REF!</v>
      </c>
      <c r="N302" s="185"/>
      <c r="O302" s="181" t="s">
        <v>4773</v>
      </c>
    </row>
    <row r="303" ht="14.25" customHeight="1">
      <c r="H303" s="179" t="str">
        <f t="shared" si="1"/>
        <v>#REF!</v>
      </c>
      <c r="I303" s="178" t="s">
        <v>4767</v>
      </c>
      <c r="J303" s="182" t="s">
        <v>4779</v>
      </c>
      <c r="K303" s="178" t="s">
        <v>4769</v>
      </c>
      <c r="L303" s="178" t="s">
        <v>4808</v>
      </c>
      <c r="M303" s="178" t="str">
        <f t="shared" ref="M303:M323" si="12">IF('Ficha de exención para baterías'!$P$17&gt;0,'Ficha de exención para baterías'!$P$17," ")</f>
        <v>#REF!</v>
      </c>
      <c r="N303" s="185"/>
      <c r="O303" s="181" t="s">
        <v>4773</v>
      </c>
    </row>
    <row r="304" ht="14.25" customHeight="1">
      <c r="H304" s="179" t="str">
        <f t="shared" si="1"/>
        <v>#REF!</v>
      </c>
      <c r="I304" s="178" t="s">
        <v>4767</v>
      </c>
      <c r="J304" s="182" t="s">
        <v>4779</v>
      </c>
      <c r="K304" s="178" t="s">
        <v>4775</v>
      </c>
      <c r="L304" s="178" t="s">
        <v>4808</v>
      </c>
      <c r="M304" s="178" t="str">
        <f t="shared" si="12"/>
        <v>#REF!</v>
      </c>
      <c r="N304" s="185"/>
      <c r="O304" s="181" t="s">
        <v>4773</v>
      </c>
    </row>
    <row r="305" ht="14.25" customHeight="1">
      <c r="H305" s="179" t="str">
        <f t="shared" si="1"/>
        <v>#REF!</v>
      </c>
      <c r="I305" s="178" t="s">
        <v>4767</v>
      </c>
      <c r="J305" s="182" t="s">
        <v>4779</v>
      </c>
      <c r="K305" s="178" t="s">
        <v>4780</v>
      </c>
      <c r="L305" s="178" t="s">
        <v>4808</v>
      </c>
      <c r="M305" s="178" t="str">
        <f t="shared" si="12"/>
        <v>#REF!</v>
      </c>
      <c r="N305" s="185"/>
      <c r="O305" s="181" t="s">
        <v>4773</v>
      </c>
    </row>
    <row r="306" ht="14.25" customHeight="1">
      <c r="H306" s="179" t="str">
        <f t="shared" si="1"/>
        <v>#REF!</v>
      </c>
      <c r="I306" s="178" t="s">
        <v>4767</v>
      </c>
      <c r="J306" s="182" t="s">
        <v>4787</v>
      </c>
      <c r="K306" s="178" t="s">
        <v>4769</v>
      </c>
      <c r="L306" s="178" t="s">
        <v>4808</v>
      </c>
      <c r="M306" s="178" t="str">
        <f t="shared" si="12"/>
        <v>#REF!</v>
      </c>
      <c r="N306" s="185"/>
      <c r="O306" s="181" t="s">
        <v>4773</v>
      </c>
    </row>
    <row r="307" ht="14.25" customHeight="1">
      <c r="H307" s="179" t="str">
        <f t="shared" si="1"/>
        <v>#REF!</v>
      </c>
      <c r="I307" s="178" t="s">
        <v>4767</v>
      </c>
      <c r="J307" s="182" t="s">
        <v>4787</v>
      </c>
      <c r="K307" s="178" t="s">
        <v>4775</v>
      </c>
      <c r="L307" s="178" t="s">
        <v>4808</v>
      </c>
      <c r="M307" s="178" t="str">
        <f t="shared" si="12"/>
        <v>#REF!</v>
      </c>
      <c r="N307" s="185"/>
      <c r="O307" s="181" t="s">
        <v>4773</v>
      </c>
    </row>
    <row r="308" ht="14.25" customHeight="1">
      <c r="H308" s="179" t="str">
        <f t="shared" si="1"/>
        <v>#REF!</v>
      </c>
      <c r="I308" s="178" t="s">
        <v>4767</v>
      </c>
      <c r="J308" s="182" t="s">
        <v>4787</v>
      </c>
      <c r="K308" s="178" t="s">
        <v>4780</v>
      </c>
      <c r="L308" s="178" t="s">
        <v>4808</v>
      </c>
      <c r="M308" s="178" t="str">
        <f t="shared" si="12"/>
        <v>#REF!</v>
      </c>
      <c r="N308" s="185"/>
      <c r="O308" s="181" t="s">
        <v>4773</v>
      </c>
    </row>
    <row r="309" ht="14.25" customHeight="1">
      <c r="H309" s="179" t="str">
        <f t="shared" si="1"/>
        <v>#REF!</v>
      </c>
      <c r="I309" s="178" t="s">
        <v>4767</v>
      </c>
      <c r="J309" s="182" t="s">
        <v>4774</v>
      </c>
      <c r="K309" s="178" t="s">
        <v>4769</v>
      </c>
      <c r="L309" s="178" t="s">
        <v>4808</v>
      </c>
      <c r="M309" s="178" t="str">
        <f t="shared" si="12"/>
        <v>#REF!</v>
      </c>
      <c r="N309" s="185"/>
      <c r="O309" s="181" t="s">
        <v>4773</v>
      </c>
    </row>
    <row r="310" ht="14.25" customHeight="1">
      <c r="H310" s="179" t="str">
        <f t="shared" si="1"/>
        <v>#REF!</v>
      </c>
      <c r="I310" s="178" t="s">
        <v>4767</v>
      </c>
      <c r="J310" s="182" t="s">
        <v>4774</v>
      </c>
      <c r="K310" s="178" t="s">
        <v>4775</v>
      </c>
      <c r="L310" s="178" t="s">
        <v>4808</v>
      </c>
      <c r="M310" s="178" t="str">
        <f t="shared" si="12"/>
        <v>#REF!</v>
      </c>
      <c r="N310" s="185"/>
      <c r="O310" s="181" t="s">
        <v>4773</v>
      </c>
    </row>
    <row r="311" ht="14.25" customHeight="1">
      <c r="H311" s="179" t="str">
        <f t="shared" si="1"/>
        <v>#REF!</v>
      </c>
      <c r="I311" s="178" t="s">
        <v>4767</v>
      </c>
      <c r="J311" s="182" t="s">
        <v>4774</v>
      </c>
      <c r="K311" s="178" t="s">
        <v>4780</v>
      </c>
      <c r="L311" s="178" t="s">
        <v>4808</v>
      </c>
      <c r="M311" s="178" t="str">
        <f t="shared" si="12"/>
        <v>#REF!</v>
      </c>
      <c r="N311" s="185"/>
      <c r="O311" s="181" t="s">
        <v>4773</v>
      </c>
    </row>
    <row r="312" ht="14.25" customHeight="1">
      <c r="H312" s="179" t="str">
        <f t="shared" si="1"/>
        <v>#REF!</v>
      </c>
      <c r="I312" s="178" t="s">
        <v>4767</v>
      </c>
      <c r="J312" s="182" t="s">
        <v>4785</v>
      </c>
      <c r="K312" s="178" t="s">
        <v>4769</v>
      </c>
      <c r="L312" s="178" t="s">
        <v>4808</v>
      </c>
      <c r="M312" s="178" t="str">
        <f t="shared" si="12"/>
        <v>#REF!</v>
      </c>
      <c r="N312" s="185"/>
      <c r="O312" s="181" t="s">
        <v>4773</v>
      </c>
    </row>
    <row r="313" ht="14.25" customHeight="1">
      <c r="H313" s="179" t="str">
        <f t="shared" si="1"/>
        <v>#REF!</v>
      </c>
      <c r="I313" s="178" t="s">
        <v>4767</v>
      </c>
      <c r="J313" s="182" t="s">
        <v>4785</v>
      </c>
      <c r="K313" s="178" t="s">
        <v>4775</v>
      </c>
      <c r="L313" s="178" t="s">
        <v>4808</v>
      </c>
      <c r="M313" s="178" t="str">
        <f t="shared" si="12"/>
        <v>#REF!</v>
      </c>
      <c r="N313" s="185"/>
      <c r="O313" s="181" t="s">
        <v>4773</v>
      </c>
    </row>
    <row r="314" ht="14.25" customHeight="1">
      <c r="H314" s="179" t="str">
        <f t="shared" si="1"/>
        <v>#REF!</v>
      </c>
      <c r="I314" s="178" t="s">
        <v>4767</v>
      </c>
      <c r="J314" s="182" t="s">
        <v>4785</v>
      </c>
      <c r="K314" s="178" t="s">
        <v>4780</v>
      </c>
      <c r="L314" s="178" t="s">
        <v>4808</v>
      </c>
      <c r="M314" s="178" t="str">
        <f t="shared" si="12"/>
        <v>#REF!</v>
      </c>
      <c r="N314" s="185"/>
      <c r="O314" s="181" t="s">
        <v>4773</v>
      </c>
    </row>
    <row r="315" ht="14.25" customHeight="1">
      <c r="H315" s="179" t="str">
        <f t="shared" si="1"/>
        <v>#REF!</v>
      </c>
      <c r="I315" s="178" t="s">
        <v>4767</v>
      </c>
      <c r="J315" s="182" t="s">
        <v>4783</v>
      </c>
      <c r="K315" s="178" t="s">
        <v>4769</v>
      </c>
      <c r="L315" s="178" t="s">
        <v>4808</v>
      </c>
      <c r="M315" s="178" t="str">
        <f t="shared" si="12"/>
        <v>#REF!</v>
      </c>
      <c r="N315" s="185"/>
      <c r="O315" s="181" t="s">
        <v>4773</v>
      </c>
    </row>
    <row r="316" ht="14.25" customHeight="1">
      <c r="H316" s="179" t="str">
        <f t="shared" si="1"/>
        <v>#REF!</v>
      </c>
      <c r="I316" s="178" t="s">
        <v>4767</v>
      </c>
      <c r="J316" s="182" t="s">
        <v>4783</v>
      </c>
      <c r="K316" s="178" t="s">
        <v>4775</v>
      </c>
      <c r="L316" s="178" t="s">
        <v>4808</v>
      </c>
      <c r="M316" s="178" t="str">
        <f t="shared" si="12"/>
        <v>#REF!</v>
      </c>
      <c r="N316" s="185"/>
      <c r="O316" s="181" t="s">
        <v>4773</v>
      </c>
    </row>
    <row r="317" ht="14.25" customHeight="1">
      <c r="H317" s="179" t="str">
        <f t="shared" si="1"/>
        <v>#REF!</v>
      </c>
      <c r="I317" s="178" t="s">
        <v>4767</v>
      </c>
      <c r="J317" s="182" t="s">
        <v>4783</v>
      </c>
      <c r="K317" s="178" t="s">
        <v>4780</v>
      </c>
      <c r="L317" s="178" t="s">
        <v>4808</v>
      </c>
      <c r="M317" s="178" t="str">
        <f t="shared" si="12"/>
        <v>#REF!</v>
      </c>
      <c r="N317" s="185"/>
      <c r="O317" s="181" t="s">
        <v>4773</v>
      </c>
    </row>
    <row r="318" ht="14.25" customHeight="1">
      <c r="H318" s="179" t="str">
        <f t="shared" si="1"/>
        <v>#REF!</v>
      </c>
      <c r="I318" s="178" t="s">
        <v>4767</v>
      </c>
      <c r="J318" s="182" t="s">
        <v>4789</v>
      </c>
      <c r="K318" s="178" t="s">
        <v>4769</v>
      </c>
      <c r="L318" s="178" t="s">
        <v>4808</v>
      </c>
      <c r="M318" s="178" t="str">
        <f t="shared" si="12"/>
        <v>#REF!</v>
      </c>
      <c r="N318" s="185"/>
      <c r="O318" s="181" t="s">
        <v>4773</v>
      </c>
    </row>
    <row r="319" ht="14.25" customHeight="1">
      <c r="H319" s="179" t="str">
        <f t="shared" si="1"/>
        <v>#REF!</v>
      </c>
      <c r="I319" s="178" t="s">
        <v>4767</v>
      </c>
      <c r="J319" s="182" t="s">
        <v>4789</v>
      </c>
      <c r="K319" s="178" t="s">
        <v>4775</v>
      </c>
      <c r="L319" s="178" t="s">
        <v>4808</v>
      </c>
      <c r="M319" s="178" t="str">
        <f t="shared" si="12"/>
        <v>#REF!</v>
      </c>
      <c r="N319" s="185"/>
      <c r="O319" s="181" t="s">
        <v>4773</v>
      </c>
    </row>
    <row r="320" ht="14.25" customHeight="1">
      <c r="H320" s="179" t="str">
        <f t="shared" si="1"/>
        <v>#REF!</v>
      </c>
      <c r="I320" s="178" t="s">
        <v>4767</v>
      </c>
      <c r="J320" s="182" t="s">
        <v>4789</v>
      </c>
      <c r="K320" s="178" t="s">
        <v>4780</v>
      </c>
      <c r="L320" s="178" t="s">
        <v>4808</v>
      </c>
      <c r="M320" s="178" t="str">
        <f t="shared" si="12"/>
        <v>#REF!</v>
      </c>
      <c r="N320" s="185"/>
      <c r="O320" s="181" t="s">
        <v>4773</v>
      </c>
    </row>
    <row r="321" ht="14.25" customHeight="1">
      <c r="H321" s="179" t="str">
        <f t="shared" si="1"/>
        <v>#REF!</v>
      </c>
      <c r="I321" s="178" t="s">
        <v>4767</v>
      </c>
      <c r="J321" s="178" t="s">
        <v>4768</v>
      </c>
      <c r="K321" s="178" t="s">
        <v>4769</v>
      </c>
      <c r="L321" s="178" t="s">
        <v>4808</v>
      </c>
      <c r="M321" s="178" t="str">
        <f t="shared" si="12"/>
        <v>#REF!</v>
      </c>
      <c r="N321" s="185"/>
      <c r="O321" s="181" t="s">
        <v>4773</v>
      </c>
    </row>
    <row r="322" ht="14.25" customHeight="1">
      <c r="H322" s="179" t="str">
        <f t="shared" si="1"/>
        <v>#REF!</v>
      </c>
      <c r="I322" s="178" t="s">
        <v>4767</v>
      </c>
      <c r="J322" s="178" t="s">
        <v>4768</v>
      </c>
      <c r="K322" s="178" t="s">
        <v>4775</v>
      </c>
      <c r="L322" s="178" t="s">
        <v>4808</v>
      </c>
      <c r="M322" s="178" t="str">
        <f t="shared" si="12"/>
        <v>#REF!</v>
      </c>
      <c r="N322" s="185"/>
      <c r="O322" s="181" t="s">
        <v>4773</v>
      </c>
    </row>
    <row r="323" ht="14.25" customHeight="1">
      <c r="H323" s="179" t="str">
        <f t="shared" si="1"/>
        <v>#REF!</v>
      </c>
      <c r="I323" s="178" t="s">
        <v>4767</v>
      </c>
      <c r="J323" s="178" t="s">
        <v>4768</v>
      </c>
      <c r="K323" s="178" t="s">
        <v>4780</v>
      </c>
      <c r="L323" s="178" t="s">
        <v>4808</v>
      </c>
      <c r="M323" s="178" t="str">
        <f t="shared" si="12"/>
        <v>#REF!</v>
      </c>
      <c r="N323" s="185"/>
      <c r="O323" s="181" t="s">
        <v>4773</v>
      </c>
    </row>
    <row r="324" ht="14.25" customHeight="1">
      <c r="H324" s="179" t="str">
        <f t="shared" si="1"/>
        <v>#REF!</v>
      </c>
      <c r="I324" s="178" t="s">
        <v>4767</v>
      </c>
      <c r="J324" s="182" t="s">
        <v>4779</v>
      </c>
      <c r="K324" s="178" t="s">
        <v>4769</v>
      </c>
      <c r="L324" s="178" t="s">
        <v>4808</v>
      </c>
      <c r="M324" s="178" t="str">
        <f t="shared" ref="M324:M344" si="13">IF('Ficha de exención para baterías'!$P$18&gt;0,'Ficha de exención para baterías'!$P$18," ")</f>
        <v>#REF!</v>
      </c>
      <c r="N324" s="185"/>
      <c r="O324" s="181" t="s">
        <v>4773</v>
      </c>
    </row>
    <row r="325" ht="14.25" customHeight="1">
      <c r="H325" s="179" t="str">
        <f t="shared" si="1"/>
        <v>#REF!</v>
      </c>
      <c r="I325" s="178" t="s">
        <v>4767</v>
      </c>
      <c r="J325" s="182" t="s">
        <v>4779</v>
      </c>
      <c r="K325" s="178" t="s">
        <v>4775</v>
      </c>
      <c r="L325" s="178" t="s">
        <v>4808</v>
      </c>
      <c r="M325" s="178" t="str">
        <f t="shared" si="13"/>
        <v>#REF!</v>
      </c>
      <c r="N325" s="185"/>
      <c r="O325" s="181" t="s">
        <v>4773</v>
      </c>
    </row>
    <row r="326" ht="14.25" customHeight="1">
      <c r="H326" s="179" t="str">
        <f t="shared" si="1"/>
        <v>#REF!</v>
      </c>
      <c r="I326" s="178" t="s">
        <v>4767</v>
      </c>
      <c r="J326" s="182" t="s">
        <v>4779</v>
      </c>
      <c r="K326" s="178" t="s">
        <v>4780</v>
      </c>
      <c r="L326" s="178" t="s">
        <v>4808</v>
      </c>
      <c r="M326" s="178" t="str">
        <f t="shared" si="13"/>
        <v>#REF!</v>
      </c>
      <c r="N326" s="185"/>
      <c r="O326" s="181" t="s">
        <v>4773</v>
      </c>
    </row>
    <row r="327" ht="14.25" customHeight="1">
      <c r="H327" s="179" t="str">
        <f t="shared" si="1"/>
        <v>#REF!</v>
      </c>
      <c r="I327" s="178" t="s">
        <v>4767</v>
      </c>
      <c r="J327" s="182" t="s">
        <v>4787</v>
      </c>
      <c r="K327" s="178" t="s">
        <v>4769</v>
      </c>
      <c r="L327" s="178" t="s">
        <v>4808</v>
      </c>
      <c r="M327" s="178" t="str">
        <f t="shared" si="13"/>
        <v>#REF!</v>
      </c>
      <c r="N327" s="185"/>
      <c r="O327" s="181" t="s">
        <v>4773</v>
      </c>
    </row>
    <row r="328" ht="14.25" customHeight="1">
      <c r="H328" s="179" t="str">
        <f t="shared" si="1"/>
        <v>#REF!</v>
      </c>
      <c r="I328" s="178" t="s">
        <v>4767</v>
      </c>
      <c r="J328" s="182" t="s">
        <v>4787</v>
      </c>
      <c r="K328" s="178" t="s">
        <v>4775</v>
      </c>
      <c r="L328" s="178" t="s">
        <v>4808</v>
      </c>
      <c r="M328" s="178" t="str">
        <f t="shared" si="13"/>
        <v>#REF!</v>
      </c>
      <c r="N328" s="185"/>
      <c r="O328" s="181" t="s">
        <v>4773</v>
      </c>
    </row>
    <row r="329" ht="14.25" customHeight="1">
      <c r="H329" s="179" t="str">
        <f t="shared" si="1"/>
        <v>#REF!</v>
      </c>
      <c r="I329" s="178" t="s">
        <v>4767</v>
      </c>
      <c r="J329" s="182" t="s">
        <v>4787</v>
      </c>
      <c r="K329" s="178" t="s">
        <v>4780</v>
      </c>
      <c r="L329" s="178" t="s">
        <v>4808</v>
      </c>
      <c r="M329" s="178" t="str">
        <f t="shared" si="13"/>
        <v>#REF!</v>
      </c>
      <c r="N329" s="185"/>
      <c r="O329" s="181" t="s">
        <v>4773</v>
      </c>
    </row>
    <row r="330" ht="14.25" customHeight="1">
      <c r="H330" s="179" t="str">
        <f t="shared" si="1"/>
        <v>#REF!</v>
      </c>
      <c r="I330" s="178" t="s">
        <v>4767</v>
      </c>
      <c r="J330" s="182" t="s">
        <v>4774</v>
      </c>
      <c r="K330" s="178" t="s">
        <v>4769</v>
      </c>
      <c r="L330" s="178" t="s">
        <v>4808</v>
      </c>
      <c r="M330" s="178" t="str">
        <f t="shared" si="13"/>
        <v>#REF!</v>
      </c>
      <c r="N330" s="185"/>
      <c r="O330" s="181" t="s">
        <v>4773</v>
      </c>
    </row>
    <row r="331" ht="14.25" customHeight="1">
      <c r="H331" s="179" t="str">
        <f t="shared" si="1"/>
        <v>#REF!</v>
      </c>
      <c r="I331" s="178" t="s">
        <v>4767</v>
      </c>
      <c r="J331" s="182" t="s">
        <v>4774</v>
      </c>
      <c r="K331" s="178" t="s">
        <v>4775</v>
      </c>
      <c r="L331" s="178" t="s">
        <v>4808</v>
      </c>
      <c r="M331" s="178" t="str">
        <f t="shared" si="13"/>
        <v>#REF!</v>
      </c>
      <c r="N331" s="185"/>
      <c r="O331" s="181" t="s">
        <v>4773</v>
      </c>
    </row>
    <row r="332" ht="14.25" customHeight="1">
      <c r="H332" s="179" t="str">
        <f t="shared" si="1"/>
        <v>#REF!</v>
      </c>
      <c r="I332" s="178" t="s">
        <v>4767</v>
      </c>
      <c r="J332" s="182" t="s">
        <v>4774</v>
      </c>
      <c r="K332" s="178" t="s">
        <v>4780</v>
      </c>
      <c r="L332" s="178" t="s">
        <v>4808</v>
      </c>
      <c r="M332" s="178" t="str">
        <f t="shared" si="13"/>
        <v>#REF!</v>
      </c>
      <c r="N332" s="185"/>
      <c r="O332" s="181" t="s">
        <v>4773</v>
      </c>
    </row>
    <row r="333" ht="14.25" customHeight="1">
      <c r="H333" s="179" t="str">
        <f t="shared" si="1"/>
        <v>#REF!</v>
      </c>
      <c r="I333" s="178" t="s">
        <v>4767</v>
      </c>
      <c r="J333" s="182" t="s">
        <v>4785</v>
      </c>
      <c r="K333" s="178" t="s">
        <v>4769</v>
      </c>
      <c r="L333" s="178" t="s">
        <v>4808</v>
      </c>
      <c r="M333" s="178" t="str">
        <f t="shared" si="13"/>
        <v>#REF!</v>
      </c>
      <c r="N333" s="185"/>
      <c r="O333" s="181" t="s">
        <v>4773</v>
      </c>
    </row>
    <row r="334" ht="14.25" customHeight="1">
      <c r="H334" s="179" t="str">
        <f t="shared" si="1"/>
        <v>#REF!</v>
      </c>
      <c r="I334" s="178" t="s">
        <v>4767</v>
      </c>
      <c r="J334" s="182" t="s">
        <v>4785</v>
      </c>
      <c r="K334" s="178" t="s">
        <v>4775</v>
      </c>
      <c r="L334" s="178" t="s">
        <v>4808</v>
      </c>
      <c r="M334" s="178" t="str">
        <f t="shared" si="13"/>
        <v>#REF!</v>
      </c>
      <c r="N334" s="185"/>
      <c r="O334" s="181" t="s">
        <v>4773</v>
      </c>
    </row>
    <row r="335" ht="14.25" customHeight="1">
      <c r="H335" s="179" t="str">
        <f t="shared" si="1"/>
        <v>#REF!</v>
      </c>
      <c r="I335" s="178" t="s">
        <v>4767</v>
      </c>
      <c r="J335" s="182" t="s">
        <v>4785</v>
      </c>
      <c r="K335" s="178" t="s">
        <v>4780</v>
      </c>
      <c r="L335" s="178" t="s">
        <v>4808</v>
      </c>
      <c r="M335" s="178" t="str">
        <f t="shared" si="13"/>
        <v>#REF!</v>
      </c>
      <c r="N335" s="185"/>
      <c r="O335" s="181" t="s">
        <v>4773</v>
      </c>
    </row>
    <row r="336" ht="14.25" customHeight="1">
      <c r="H336" s="179" t="str">
        <f t="shared" si="1"/>
        <v>#REF!</v>
      </c>
      <c r="I336" s="178" t="s">
        <v>4767</v>
      </c>
      <c r="J336" s="182" t="s">
        <v>4783</v>
      </c>
      <c r="K336" s="178" t="s">
        <v>4769</v>
      </c>
      <c r="L336" s="178" t="s">
        <v>4808</v>
      </c>
      <c r="M336" s="178" t="str">
        <f t="shared" si="13"/>
        <v>#REF!</v>
      </c>
      <c r="N336" s="185"/>
      <c r="O336" s="181" t="s">
        <v>4773</v>
      </c>
    </row>
    <row r="337" ht="14.25" customHeight="1">
      <c r="H337" s="179" t="str">
        <f t="shared" si="1"/>
        <v>#REF!</v>
      </c>
      <c r="I337" s="178" t="s">
        <v>4767</v>
      </c>
      <c r="J337" s="182" t="s">
        <v>4783</v>
      </c>
      <c r="K337" s="178" t="s">
        <v>4775</v>
      </c>
      <c r="L337" s="178" t="s">
        <v>4808</v>
      </c>
      <c r="M337" s="178" t="str">
        <f t="shared" si="13"/>
        <v>#REF!</v>
      </c>
      <c r="N337" s="185"/>
      <c r="O337" s="181" t="s">
        <v>4773</v>
      </c>
    </row>
    <row r="338" ht="14.25" customHeight="1">
      <c r="H338" s="179" t="str">
        <f t="shared" si="1"/>
        <v>#REF!</v>
      </c>
      <c r="I338" s="178" t="s">
        <v>4767</v>
      </c>
      <c r="J338" s="182" t="s">
        <v>4783</v>
      </c>
      <c r="K338" s="178" t="s">
        <v>4780</v>
      </c>
      <c r="L338" s="178" t="s">
        <v>4808</v>
      </c>
      <c r="M338" s="178" t="str">
        <f t="shared" si="13"/>
        <v>#REF!</v>
      </c>
      <c r="N338" s="185"/>
      <c r="O338" s="181" t="s">
        <v>4773</v>
      </c>
    </row>
    <row r="339" ht="14.25" customHeight="1">
      <c r="H339" s="179" t="str">
        <f t="shared" si="1"/>
        <v>#REF!</v>
      </c>
      <c r="I339" s="178" t="s">
        <v>4767</v>
      </c>
      <c r="J339" s="182" t="s">
        <v>4789</v>
      </c>
      <c r="K339" s="178" t="s">
        <v>4769</v>
      </c>
      <c r="L339" s="178" t="s">
        <v>4808</v>
      </c>
      <c r="M339" s="178" t="str">
        <f t="shared" si="13"/>
        <v>#REF!</v>
      </c>
      <c r="N339" s="185"/>
      <c r="O339" s="181" t="s">
        <v>4773</v>
      </c>
    </row>
    <row r="340" ht="14.25" customHeight="1">
      <c r="H340" s="179" t="str">
        <f t="shared" si="1"/>
        <v>#REF!</v>
      </c>
      <c r="I340" s="178" t="s">
        <v>4767</v>
      </c>
      <c r="J340" s="182" t="s">
        <v>4789</v>
      </c>
      <c r="K340" s="178" t="s">
        <v>4775</v>
      </c>
      <c r="L340" s="178" t="s">
        <v>4808</v>
      </c>
      <c r="M340" s="178" t="str">
        <f t="shared" si="13"/>
        <v>#REF!</v>
      </c>
      <c r="N340" s="185"/>
      <c r="O340" s="181" t="s">
        <v>4773</v>
      </c>
    </row>
    <row r="341" ht="14.25" customHeight="1">
      <c r="H341" s="179" t="str">
        <f t="shared" si="1"/>
        <v>#REF!</v>
      </c>
      <c r="I341" s="178" t="s">
        <v>4767</v>
      </c>
      <c r="J341" s="182" t="s">
        <v>4789</v>
      </c>
      <c r="K341" s="178" t="s">
        <v>4780</v>
      </c>
      <c r="L341" s="178" t="s">
        <v>4808</v>
      </c>
      <c r="M341" s="178" t="str">
        <f t="shared" si="13"/>
        <v>#REF!</v>
      </c>
      <c r="N341" s="185"/>
      <c r="O341" s="181" t="s">
        <v>4773</v>
      </c>
    </row>
    <row r="342" ht="14.25" customHeight="1">
      <c r="H342" s="179" t="str">
        <f t="shared" si="1"/>
        <v>#REF!</v>
      </c>
      <c r="I342" s="178" t="s">
        <v>4767</v>
      </c>
      <c r="J342" s="178" t="s">
        <v>4768</v>
      </c>
      <c r="K342" s="178" t="s">
        <v>4769</v>
      </c>
      <c r="L342" s="178" t="s">
        <v>4808</v>
      </c>
      <c r="M342" s="178" t="str">
        <f t="shared" si="13"/>
        <v>#REF!</v>
      </c>
      <c r="N342" s="185"/>
      <c r="O342" s="181" t="s">
        <v>4773</v>
      </c>
    </row>
    <row r="343" ht="14.25" customHeight="1">
      <c r="H343" s="179" t="str">
        <f t="shared" si="1"/>
        <v>#REF!</v>
      </c>
      <c r="I343" s="178" t="s">
        <v>4767</v>
      </c>
      <c r="J343" s="178" t="s">
        <v>4768</v>
      </c>
      <c r="K343" s="178" t="s">
        <v>4775</v>
      </c>
      <c r="L343" s="178" t="s">
        <v>4808</v>
      </c>
      <c r="M343" s="178" t="str">
        <f t="shared" si="13"/>
        <v>#REF!</v>
      </c>
      <c r="N343" s="185"/>
      <c r="O343" s="181" t="s">
        <v>4773</v>
      </c>
    </row>
    <row r="344" ht="14.25" customHeight="1">
      <c r="H344" s="179" t="str">
        <f t="shared" si="1"/>
        <v>#REF!</v>
      </c>
      <c r="I344" s="178" t="s">
        <v>4767</v>
      </c>
      <c r="J344" s="178" t="s">
        <v>4768</v>
      </c>
      <c r="K344" s="178" t="s">
        <v>4780</v>
      </c>
      <c r="L344" s="178" t="s">
        <v>4808</v>
      </c>
      <c r="M344" s="178" t="str">
        <f t="shared" si="13"/>
        <v>#REF!</v>
      </c>
      <c r="N344" s="185"/>
      <c r="O344" s="181" t="s">
        <v>4773</v>
      </c>
    </row>
    <row r="345" ht="14.25" customHeight="1">
      <c r="H345" s="179" t="str">
        <f t="shared" si="1"/>
        <v>#REF!</v>
      </c>
      <c r="I345" s="178" t="s">
        <v>4767</v>
      </c>
      <c r="J345" s="182" t="s">
        <v>4779</v>
      </c>
      <c r="K345" s="178" t="s">
        <v>4769</v>
      </c>
      <c r="L345" s="178" t="s">
        <v>4808</v>
      </c>
      <c r="M345" s="178" t="str">
        <f t="shared" ref="M345:M365" si="14">IF('Ficha de exención para baterías'!$P$19&gt;0,'Ficha de exención para baterías'!$P$19," ")</f>
        <v>#REF!</v>
      </c>
      <c r="N345" s="185"/>
      <c r="O345" s="181" t="s">
        <v>4773</v>
      </c>
    </row>
    <row r="346" ht="14.25" customHeight="1">
      <c r="H346" s="179" t="str">
        <f t="shared" si="1"/>
        <v>#REF!</v>
      </c>
      <c r="I346" s="178" t="s">
        <v>4767</v>
      </c>
      <c r="J346" s="182" t="s">
        <v>4779</v>
      </c>
      <c r="K346" s="178" t="s">
        <v>4775</v>
      </c>
      <c r="L346" s="178" t="s">
        <v>4808</v>
      </c>
      <c r="M346" s="178" t="str">
        <f t="shared" si="14"/>
        <v>#REF!</v>
      </c>
      <c r="N346" s="185"/>
      <c r="O346" s="181" t="s">
        <v>4773</v>
      </c>
    </row>
    <row r="347" ht="14.25" customHeight="1">
      <c r="H347" s="179" t="str">
        <f t="shared" si="1"/>
        <v>#REF!</v>
      </c>
      <c r="I347" s="178" t="s">
        <v>4767</v>
      </c>
      <c r="J347" s="182" t="s">
        <v>4779</v>
      </c>
      <c r="K347" s="178" t="s">
        <v>4780</v>
      </c>
      <c r="L347" s="178" t="s">
        <v>4808</v>
      </c>
      <c r="M347" s="178" t="str">
        <f t="shared" si="14"/>
        <v>#REF!</v>
      </c>
      <c r="N347" s="185"/>
      <c r="O347" s="181" t="s">
        <v>4773</v>
      </c>
    </row>
    <row r="348" ht="14.25" customHeight="1">
      <c r="H348" s="179" t="str">
        <f t="shared" si="1"/>
        <v>#REF!</v>
      </c>
      <c r="I348" s="178" t="s">
        <v>4767</v>
      </c>
      <c r="J348" s="182" t="s">
        <v>4787</v>
      </c>
      <c r="K348" s="178" t="s">
        <v>4769</v>
      </c>
      <c r="L348" s="178" t="s">
        <v>4808</v>
      </c>
      <c r="M348" s="178" t="str">
        <f t="shared" si="14"/>
        <v>#REF!</v>
      </c>
      <c r="N348" s="185"/>
      <c r="O348" s="181" t="s">
        <v>4773</v>
      </c>
    </row>
    <row r="349" ht="14.25" customHeight="1">
      <c r="H349" s="179" t="str">
        <f t="shared" si="1"/>
        <v>#REF!</v>
      </c>
      <c r="I349" s="178" t="s">
        <v>4767</v>
      </c>
      <c r="J349" s="182" t="s">
        <v>4787</v>
      </c>
      <c r="K349" s="178" t="s">
        <v>4775</v>
      </c>
      <c r="L349" s="178" t="s">
        <v>4808</v>
      </c>
      <c r="M349" s="178" t="str">
        <f t="shared" si="14"/>
        <v>#REF!</v>
      </c>
      <c r="N349" s="185"/>
      <c r="O349" s="181" t="s">
        <v>4773</v>
      </c>
    </row>
    <row r="350" ht="14.25" customHeight="1">
      <c r="H350" s="179" t="str">
        <f t="shared" si="1"/>
        <v>#REF!</v>
      </c>
      <c r="I350" s="178" t="s">
        <v>4767</v>
      </c>
      <c r="J350" s="182" t="s">
        <v>4787</v>
      </c>
      <c r="K350" s="178" t="s">
        <v>4780</v>
      </c>
      <c r="L350" s="178" t="s">
        <v>4808</v>
      </c>
      <c r="M350" s="178" t="str">
        <f t="shared" si="14"/>
        <v>#REF!</v>
      </c>
      <c r="N350" s="185"/>
      <c r="O350" s="181" t="s">
        <v>4773</v>
      </c>
    </row>
    <row r="351" ht="14.25" customHeight="1">
      <c r="H351" s="179" t="str">
        <f t="shared" si="1"/>
        <v>#REF!</v>
      </c>
      <c r="I351" s="178" t="s">
        <v>4767</v>
      </c>
      <c r="J351" s="182" t="s">
        <v>4774</v>
      </c>
      <c r="K351" s="178" t="s">
        <v>4769</v>
      </c>
      <c r="L351" s="178" t="s">
        <v>4808</v>
      </c>
      <c r="M351" s="178" t="str">
        <f t="shared" si="14"/>
        <v>#REF!</v>
      </c>
      <c r="N351" s="185"/>
      <c r="O351" s="181" t="s">
        <v>4773</v>
      </c>
    </row>
    <row r="352" ht="14.25" customHeight="1">
      <c r="H352" s="179" t="str">
        <f t="shared" si="1"/>
        <v>#REF!</v>
      </c>
      <c r="I352" s="178" t="s">
        <v>4767</v>
      </c>
      <c r="J352" s="182" t="s">
        <v>4774</v>
      </c>
      <c r="K352" s="178" t="s">
        <v>4775</v>
      </c>
      <c r="L352" s="178" t="s">
        <v>4808</v>
      </c>
      <c r="M352" s="178" t="str">
        <f t="shared" si="14"/>
        <v>#REF!</v>
      </c>
      <c r="N352" s="185"/>
      <c r="O352" s="181" t="s">
        <v>4773</v>
      </c>
    </row>
    <row r="353" ht="14.25" customHeight="1">
      <c r="H353" s="179" t="str">
        <f t="shared" si="1"/>
        <v>#REF!</v>
      </c>
      <c r="I353" s="178" t="s">
        <v>4767</v>
      </c>
      <c r="J353" s="182" t="s">
        <v>4774</v>
      </c>
      <c r="K353" s="178" t="s">
        <v>4780</v>
      </c>
      <c r="L353" s="178" t="s">
        <v>4808</v>
      </c>
      <c r="M353" s="178" t="str">
        <f t="shared" si="14"/>
        <v>#REF!</v>
      </c>
      <c r="N353" s="185"/>
      <c r="O353" s="181" t="s">
        <v>4773</v>
      </c>
    </row>
    <row r="354" ht="14.25" customHeight="1">
      <c r="H354" s="179" t="str">
        <f t="shared" si="1"/>
        <v>#REF!</v>
      </c>
      <c r="I354" s="178" t="s">
        <v>4767</v>
      </c>
      <c r="J354" s="182" t="s">
        <v>4785</v>
      </c>
      <c r="K354" s="178" t="s">
        <v>4769</v>
      </c>
      <c r="L354" s="178" t="s">
        <v>4808</v>
      </c>
      <c r="M354" s="178" t="str">
        <f t="shared" si="14"/>
        <v>#REF!</v>
      </c>
      <c r="N354" s="185"/>
      <c r="O354" s="181" t="s">
        <v>4773</v>
      </c>
    </row>
    <row r="355" ht="14.25" customHeight="1">
      <c r="H355" s="179" t="str">
        <f t="shared" si="1"/>
        <v>#REF!</v>
      </c>
      <c r="I355" s="178" t="s">
        <v>4767</v>
      </c>
      <c r="J355" s="182" t="s">
        <v>4785</v>
      </c>
      <c r="K355" s="178" t="s">
        <v>4775</v>
      </c>
      <c r="L355" s="178" t="s">
        <v>4808</v>
      </c>
      <c r="M355" s="178" t="str">
        <f t="shared" si="14"/>
        <v>#REF!</v>
      </c>
      <c r="N355" s="185"/>
      <c r="O355" s="181" t="s">
        <v>4773</v>
      </c>
    </row>
    <row r="356" ht="14.25" customHeight="1">
      <c r="H356" s="179" t="str">
        <f t="shared" si="1"/>
        <v>#REF!</v>
      </c>
      <c r="I356" s="178" t="s">
        <v>4767</v>
      </c>
      <c r="J356" s="182" t="s">
        <v>4785</v>
      </c>
      <c r="K356" s="178" t="s">
        <v>4780</v>
      </c>
      <c r="L356" s="178" t="s">
        <v>4808</v>
      </c>
      <c r="M356" s="178" t="str">
        <f t="shared" si="14"/>
        <v>#REF!</v>
      </c>
      <c r="N356" s="185"/>
      <c r="O356" s="181" t="s">
        <v>4773</v>
      </c>
    </row>
    <row r="357" ht="14.25" customHeight="1">
      <c r="H357" s="179" t="str">
        <f t="shared" si="1"/>
        <v>#REF!</v>
      </c>
      <c r="I357" s="178" t="s">
        <v>4767</v>
      </c>
      <c r="J357" s="182" t="s">
        <v>4783</v>
      </c>
      <c r="K357" s="178" t="s">
        <v>4769</v>
      </c>
      <c r="L357" s="178" t="s">
        <v>4808</v>
      </c>
      <c r="M357" s="178" t="str">
        <f t="shared" si="14"/>
        <v>#REF!</v>
      </c>
      <c r="N357" s="185"/>
      <c r="O357" s="181" t="s">
        <v>4773</v>
      </c>
    </row>
    <row r="358" ht="14.25" customHeight="1">
      <c r="H358" s="179" t="str">
        <f t="shared" si="1"/>
        <v>#REF!</v>
      </c>
      <c r="I358" s="178" t="s">
        <v>4767</v>
      </c>
      <c r="J358" s="182" t="s">
        <v>4783</v>
      </c>
      <c r="K358" s="178" t="s">
        <v>4775</v>
      </c>
      <c r="L358" s="178" t="s">
        <v>4808</v>
      </c>
      <c r="M358" s="178" t="str">
        <f t="shared" si="14"/>
        <v>#REF!</v>
      </c>
      <c r="N358" s="185"/>
      <c r="O358" s="181" t="s">
        <v>4773</v>
      </c>
    </row>
    <row r="359" ht="14.25" customHeight="1">
      <c r="H359" s="179" t="str">
        <f t="shared" si="1"/>
        <v>#REF!</v>
      </c>
      <c r="I359" s="178" t="s">
        <v>4767</v>
      </c>
      <c r="J359" s="182" t="s">
        <v>4783</v>
      </c>
      <c r="K359" s="178" t="s">
        <v>4780</v>
      </c>
      <c r="L359" s="178" t="s">
        <v>4808</v>
      </c>
      <c r="M359" s="178" t="str">
        <f t="shared" si="14"/>
        <v>#REF!</v>
      </c>
      <c r="N359" s="185"/>
      <c r="O359" s="181" t="s">
        <v>4773</v>
      </c>
    </row>
    <row r="360" ht="14.25" customHeight="1">
      <c r="H360" s="179" t="str">
        <f t="shared" si="1"/>
        <v>#REF!</v>
      </c>
      <c r="I360" s="178" t="s">
        <v>4767</v>
      </c>
      <c r="J360" s="182" t="s">
        <v>4789</v>
      </c>
      <c r="K360" s="178" t="s">
        <v>4769</v>
      </c>
      <c r="L360" s="178" t="s">
        <v>4808</v>
      </c>
      <c r="M360" s="178" t="str">
        <f t="shared" si="14"/>
        <v>#REF!</v>
      </c>
      <c r="N360" s="185"/>
      <c r="O360" s="181" t="s">
        <v>4773</v>
      </c>
    </row>
    <row r="361" ht="14.25" customHeight="1">
      <c r="H361" s="179" t="str">
        <f t="shared" si="1"/>
        <v>#REF!</v>
      </c>
      <c r="I361" s="178" t="s">
        <v>4767</v>
      </c>
      <c r="J361" s="182" t="s">
        <v>4789</v>
      </c>
      <c r="K361" s="178" t="s">
        <v>4775</v>
      </c>
      <c r="L361" s="178" t="s">
        <v>4808</v>
      </c>
      <c r="M361" s="178" t="str">
        <f t="shared" si="14"/>
        <v>#REF!</v>
      </c>
      <c r="N361" s="185"/>
      <c r="O361" s="181" t="s">
        <v>4773</v>
      </c>
    </row>
    <row r="362" ht="14.25" customHeight="1">
      <c r="H362" s="179" t="str">
        <f t="shared" si="1"/>
        <v>#REF!</v>
      </c>
      <c r="I362" s="178" t="s">
        <v>4767</v>
      </c>
      <c r="J362" s="182" t="s">
        <v>4789</v>
      </c>
      <c r="K362" s="178" t="s">
        <v>4780</v>
      </c>
      <c r="L362" s="178" t="s">
        <v>4808</v>
      </c>
      <c r="M362" s="178" t="str">
        <f t="shared" si="14"/>
        <v>#REF!</v>
      </c>
      <c r="N362" s="185"/>
      <c r="O362" s="181" t="s">
        <v>4773</v>
      </c>
    </row>
    <row r="363" ht="14.25" customHeight="1">
      <c r="H363" s="179" t="str">
        <f t="shared" si="1"/>
        <v>#REF!</v>
      </c>
      <c r="I363" s="178" t="s">
        <v>4767</v>
      </c>
      <c r="J363" s="178" t="s">
        <v>4768</v>
      </c>
      <c r="K363" s="178" t="s">
        <v>4769</v>
      </c>
      <c r="L363" s="178" t="s">
        <v>4808</v>
      </c>
      <c r="M363" s="178" t="str">
        <f t="shared" si="14"/>
        <v>#REF!</v>
      </c>
      <c r="N363" s="185"/>
      <c r="O363" s="181" t="s">
        <v>4773</v>
      </c>
    </row>
    <row r="364" ht="14.25" customHeight="1">
      <c r="H364" s="179" t="str">
        <f t="shared" si="1"/>
        <v>#REF!</v>
      </c>
      <c r="I364" s="178" t="s">
        <v>4767</v>
      </c>
      <c r="J364" s="178" t="s">
        <v>4768</v>
      </c>
      <c r="K364" s="178" t="s">
        <v>4775</v>
      </c>
      <c r="L364" s="178" t="s">
        <v>4808</v>
      </c>
      <c r="M364" s="178" t="str">
        <f t="shared" si="14"/>
        <v>#REF!</v>
      </c>
      <c r="N364" s="185"/>
      <c r="O364" s="181" t="s">
        <v>4773</v>
      </c>
    </row>
    <row r="365" ht="14.25" customHeight="1">
      <c r="H365" s="179" t="str">
        <f t="shared" si="1"/>
        <v>#REF!</v>
      </c>
      <c r="I365" s="178" t="s">
        <v>4767</v>
      </c>
      <c r="J365" s="178" t="s">
        <v>4768</v>
      </c>
      <c r="K365" s="178" t="s">
        <v>4780</v>
      </c>
      <c r="L365" s="178" t="s">
        <v>4808</v>
      </c>
      <c r="M365" s="178" t="str">
        <f t="shared" si="14"/>
        <v>#REF!</v>
      </c>
      <c r="N365" s="185"/>
      <c r="O365" s="181" t="s">
        <v>4773</v>
      </c>
    </row>
    <row r="366" ht="14.25" customHeight="1">
      <c r="H366" s="179" t="str">
        <f t="shared" si="1"/>
        <v>#REF!</v>
      </c>
      <c r="I366" s="178" t="s">
        <v>4767</v>
      </c>
      <c r="J366" s="182" t="s">
        <v>4779</v>
      </c>
      <c r="K366" s="178" t="s">
        <v>4769</v>
      </c>
      <c r="L366" s="178" t="s">
        <v>4808</v>
      </c>
      <c r="M366" s="178" t="str">
        <f t="shared" ref="M366:M386" si="15">IF('Ficha de exención para baterías'!$P$20&gt;0,'Ficha de exención para baterías'!$P$20," ")</f>
        <v>#REF!</v>
      </c>
      <c r="N366" s="185"/>
      <c r="O366" s="181" t="s">
        <v>4773</v>
      </c>
    </row>
    <row r="367" ht="14.25" customHeight="1">
      <c r="H367" s="179" t="str">
        <f t="shared" si="1"/>
        <v>#REF!</v>
      </c>
      <c r="I367" s="178" t="s">
        <v>4767</v>
      </c>
      <c r="J367" s="182" t="s">
        <v>4779</v>
      </c>
      <c r="K367" s="178" t="s">
        <v>4775</v>
      </c>
      <c r="L367" s="178" t="s">
        <v>4808</v>
      </c>
      <c r="M367" s="178" t="str">
        <f t="shared" si="15"/>
        <v>#REF!</v>
      </c>
      <c r="N367" s="185"/>
      <c r="O367" s="181" t="s">
        <v>4773</v>
      </c>
    </row>
    <row r="368" ht="14.25" customHeight="1">
      <c r="H368" s="179" t="str">
        <f t="shared" si="1"/>
        <v>#REF!</v>
      </c>
      <c r="I368" s="178" t="s">
        <v>4767</v>
      </c>
      <c r="J368" s="182" t="s">
        <v>4779</v>
      </c>
      <c r="K368" s="178" t="s">
        <v>4780</v>
      </c>
      <c r="L368" s="178" t="s">
        <v>4808</v>
      </c>
      <c r="M368" s="178" t="str">
        <f t="shared" si="15"/>
        <v>#REF!</v>
      </c>
      <c r="N368" s="185"/>
      <c r="O368" s="181" t="s">
        <v>4773</v>
      </c>
    </row>
    <row r="369" ht="14.25" customHeight="1">
      <c r="H369" s="179" t="str">
        <f t="shared" si="1"/>
        <v>#REF!</v>
      </c>
      <c r="I369" s="178" t="s">
        <v>4767</v>
      </c>
      <c r="J369" s="182" t="s">
        <v>4787</v>
      </c>
      <c r="K369" s="178" t="s">
        <v>4769</v>
      </c>
      <c r="L369" s="178" t="s">
        <v>4808</v>
      </c>
      <c r="M369" s="178" t="str">
        <f t="shared" si="15"/>
        <v>#REF!</v>
      </c>
      <c r="N369" s="185"/>
      <c r="O369" s="181" t="s">
        <v>4773</v>
      </c>
    </row>
    <row r="370" ht="14.25" customHeight="1">
      <c r="H370" s="179" t="str">
        <f t="shared" si="1"/>
        <v>#REF!</v>
      </c>
      <c r="I370" s="178" t="s">
        <v>4767</v>
      </c>
      <c r="J370" s="182" t="s">
        <v>4787</v>
      </c>
      <c r="K370" s="178" t="s">
        <v>4775</v>
      </c>
      <c r="L370" s="178" t="s">
        <v>4808</v>
      </c>
      <c r="M370" s="178" t="str">
        <f t="shared" si="15"/>
        <v>#REF!</v>
      </c>
      <c r="N370" s="185"/>
      <c r="O370" s="181" t="s">
        <v>4773</v>
      </c>
    </row>
    <row r="371" ht="14.25" customHeight="1">
      <c r="H371" s="179" t="str">
        <f t="shared" si="1"/>
        <v>#REF!</v>
      </c>
      <c r="I371" s="178" t="s">
        <v>4767</v>
      </c>
      <c r="J371" s="182" t="s">
        <v>4787</v>
      </c>
      <c r="K371" s="178" t="s">
        <v>4780</v>
      </c>
      <c r="L371" s="178" t="s">
        <v>4808</v>
      </c>
      <c r="M371" s="178" t="str">
        <f t="shared" si="15"/>
        <v>#REF!</v>
      </c>
      <c r="N371" s="185"/>
      <c r="O371" s="181" t="s">
        <v>4773</v>
      </c>
    </row>
    <row r="372" ht="14.25" customHeight="1">
      <c r="H372" s="179" t="str">
        <f t="shared" si="1"/>
        <v>#REF!</v>
      </c>
      <c r="I372" s="178" t="s">
        <v>4767</v>
      </c>
      <c r="J372" s="182" t="s">
        <v>4774</v>
      </c>
      <c r="K372" s="178" t="s">
        <v>4769</v>
      </c>
      <c r="L372" s="178" t="s">
        <v>4808</v>
      </c>
      <c r="M372" s="178" t="str">
        <f t="shared" si="15"/>
        <v>#REF!</v>
      </c>
      <c r="N372" s="185"/>
      <c r="O372" s="181" t="s">
        <v>4773</v>
      </c>
    </row>
    <row r="373" ht="14.25" customHeight="1">
      <c r="H373" s="179" t="str">
        <f t="shared" si="1"/>
        <v>#REF!</v>
      </c>
      <c r="I373" s="178" t="s">
        <v>4767</v>
      </c>
      <c r="J373" s="182" t="s">
        <v>4774</v>
      </c>
      <c r="K373" s="178" t="s">
        <v>4775</v>
      </c>
      <c r="L373" s="178" t="s">
        <v>4808</v>
      </c>
      <c r="M373" s="178" t="str">
        <f t="shared" si="15"/>
        <v>#REF!</v>
      </c>
      <c r="N373" s="185"/>
      <c r="O373" s="181" t="s">
        <v>4773</v>
      </c>
    </row>
    <row r="374" ht="14.25" customHeight="1">
      <c r="H374" s="179" t="str">
        <f t="shared" si="1"/>
        <v>#REF!</v>
      </c>
      <c r="I374" s="178" t="s">
        <v>4767</v>
      </c>
      <c r="J374" s="182" t="s">
        <v>4774</v>
      </c>
      <c r="K374" s="178" t="s">
        <v>4780</v>
      </c>
      <c r="L374" s="178" t="s">
        <v>4808</v>
      </c>
      <c r="M374" s="178" t="str">
        <f t="shared" si="15"/>
        <v>#REF!</v>
      </c>
      <c r="N374" s="185"/>
      <c r="O374" s="181" t="s">
        <v>4773</v>
      </c>
    </row>
    <row r="375" ht="14.25" customHeight="1">
      <c r="H375" s="179" t="str">
        <f t="shared" si="1"/>
        <v>#REF!</v>
      </c>
      <c r="I375" s="178" t="s">
        <v>4767</v>
      </c>
      <c r="J375" s="182" t="s">
        <v>4785</v>
      </c>
      <c r="K375" s="178" t="s">
        <v>4769</v>
      </c>
      <c r="L375" s="178" t="s">
        <v>4808</v>
      </c>
      <c r="M375" s="178" t="str">
        <f t="shared" si="15"/>
        <v>#REF!</v>
      </c>
      <c r="N375" s="185"/>
      <c r="O375" s="181" t="s">
        <v>4773</v>
      </c>
    </row>
    <row r="376" ht="14.25" customHeight="1">
      <c r="H376" s="179" t="str">
        <f t="shared" si="1"/>
        <v>#REF!</v>
      </c>
      <c r="I376" s="178" t="s">
        <v>4767</v>
      </c>
      <c r="J376" s="182" t="s">
        <v>4785</v>
      </c>
      <c r="K376" s="178" t="s">
        <v>4775</v>
      </c>
      <c r="L376" s="178" t="s">
        <v>4808</v>
      </c>
      <c r="M376" s="178" t="str">
        <f t="shared" si="15"/>
        <v>#REF!</v>
      </c>
      <c r="N376" s="185"/>
      <c r="O376" s="181" t="s">
        <v>4773</v>
      </c>
    </row>
    <row r="377" ht="14.25" customHeight="1">
      <c r="H377" s="179" t="str">
        <f t="shared" si="1"/>
        <v>#REF!</v>
      </c>
      <c r="I377" s="178" t="s">
        <v>4767</v>
      </c>
      <c r="J377" s="182" t="s">
        <v>4785</v>
      </c>
      <c r="K377" s="178" t="s">
        <v>4780</v>
      </c>
      <c r="L377" s="178" t="s">
        <v>4808</v>
      </c>
      <c r="M377" s="178" t="str">
        <f t="shared" si="15"/>
        <v>#REF!</v>
      </c>
      <c r="N377" s="185"/>
      <c r="O377" s="181" t="s">
        <v>4773</v>
      </c>
    </row>
    <row r="378" ht="14.25" customHeight="1">
      <c r="H378" s="179" t="str">
        <f t="shared" si="1"/>
        <v>#REF!</v>
      </c>
      <c r="I378" s="178" t="s">
        <v>4767</v>
      </c>
      <c r="J378" s="182" t="s">
        <v>4783</v>
      </c>
      <c r="K378" s="178" t="s">
        <v>4769</v>
      </c>
      <c r="L378" s="178" t="s">
        <v>4808</v>
      </c>
      <c r="M378" s="178" t="str">
        <f t="shared" si="15"/>
        <v>#REF!</v>
      </c>
      <c r="N378" s="185"/>
      <c r="O378" s="181" t="s">
        <v>4773</v>
      </c>
    </row>
    <row r="379" ht="14.25" customHeight="1">
      <c r="H379" s="179" t="str">
        <f t="shared" si="1"/>
        <v>#REF!</v>
      </c>
      <c r="I379" s="178" t="s">
        <v>4767</v>
      </c>
      <c r="J379" s="182" t="s">
        <v>4783</v>
      </c>
      <c r="K379" s="178" t="s">
        <v>4775</v>
      </c>
      <c r="L379" s="178" t="s">
        <v>4808</v>
      </c>
      <c r="M379" s="178" t="str">
        <f t="shared" si="15"/>
        <v>#REF!</v>
      </c>
      <c r="N379" s="185"/>
      <c r="O379" s="181" t="s">
        <v>4773</v>
      </c>
    </row>
    <row r="380" ht="14.25" customHeight="1">
      <c r="H380" s="179" t="str">
        <f t="shared" si="1"/>
        <v>#REF!</v>
      </c>
      <c r="I380" s="178" t="s">
        <v>4767</v>
      </c>
      <c r="J380" s="182" t="s">
        <v>4783</v>
      </c>
      <c r="K380" s="178" t="s">
        <v>4780</v>
      </c>
      <c r="L380" s="178" t="s">
        <v>4808</v>
      </c>
      <c r="M380" s="178" t="str">
        <f t="shared" si="15"/>
        <v>#REF!</v>
      </c>
      <c r="N380" s="185"/>
      <c r="O380" s="181" t="s">
        <v>4773</v>
      </c>
    </row>
    <row r="381" ht="14.25" customHeight="1">
      <c r="H381" s="179" t="str">
        <f t="shared" si="1"/>
        <v>#REF!</v>
      </c>
      <c r="I381" s="178" t="s">
        <v>4767</v>
      </c>
      <c r="J381" s="182" t="s">
        <v>4789</v>
      </c>
      <c r="K381" s="178" t="s">
        <v>4769</v>
      </c>
      <c r="L381" s="178" t="s">
        <v>4808</v>
      </c>
      <c r="M381" s="178" t="str">
        <f t="shared" si="15"/>
        <v>#REF!</v>
      </c>
      <c r="N381" s="185"/>
      <c r="O381" s="181" t="s">
        <v>4773</v>
      </c>
    </row>
    <row r="382" ht="14.25" customHeight="1">
      <c r="H382" s="179" t="str">
        <f t="shared" si="1"/>
        <v>#REF!</v>
      </c>
      <c r="I382" s="178" t="s">
        <v>4767</v>
      </c>
      <c r="J382" s="182" t="s">
        <v>4789</v>
      </c>
      <c r="K382" s="178" t="s">
        <v>4775</v>
      </c>
      <c r="L382" s="178" t="s">
        <v>4808</v>
      </c>
      <c r="M382" s="178" t="str">
        <f t="shared" si="15"/>
        <v>#REF!</v>
      </c>
      <c r="N382" s="185"/>
      <c r="O382" s="181" t="s">
        <v>4773</v>
      </c>
    </row>
    <row r="383" ht="14.25" customHeight="1">
      <c r="H383" s="179" t="str">
        <f t="shared" si="1"/>
        <v>#REF!</v>
      </c>
      <c r="I383" s="178" t="s">
        <v>4767</v>
      </c>
      <c r="J383" s="182" t="s">
        <v>4789</v>
      </c>
      <c r="K383" s="178" t="s">
        <v>4780</v>
      </c>
      <c r="L383" s="178" t="s">
        <v>4808</v>
      </c>
      <c r="M383" s="178" t="str">
        <f t="shared" si="15"/>
        <v>#REF!</v>
      </c>
      <c r="N383" s="185"/>
      <c r="O383" s="181" t="s">
        <v>4773</v>
      </c>
    </row>
    <row r="384" ht="14.25" customHeight="1">
      <c r="H384" s="179" t="str">
        <f t="shared" si="1"/>
        <v>#REF!</v>
      </c>
      <c r="I384" s="178" t="s">
        <v>4767</v>
      </c>
      <c r="J384" s="178" t="s">
        <v>4768</v>
      </c>
      <c r="K384" s="178" t="s">
        <v>4769</v>
      </c>
      <c r="L384" s="178" t="s">
        <v>4808</v>
      </c>
      <c r="M384" s="178" t="str">
        <f t="shared" si="15"/>
        <v>#REF!</v>
      </c>
      <c r="N384" s="185"/>
      <c r="O384" s="181" t="s">
        <v>4773</v>
      </c>
    </row>
    <row r="385" ht="14.25" customHeight="1">
      <c r="H385" s="179" t="str">
        <f t="shared" si="1"/>
        <v>#REF!</v>
      </c>
      <c r="I385" s="178" t="s">
        <v>4767</v>
      </c>
      <c r="J385" s="178" t="s">
        <v>4768</v>
      </c>
      <c r="K385" s="178" t="s">
        <v>4775</v>
      </c>
      <c r="L385" s="178" t="s">
        <v>4808</v>
      </c>
      <c r="M385" s="178" t="str">
        <f t="shared" si="15"/>
        <v>#REF!</v>
      </c>
      <c r="N385" s="185"/>
      <c r="O385" s="181" t="s">
        <v>4773</v>
      </c>
    </row>
    <row r="386" ht="14.25" customHeight="1">
      <c r="H386" s="179" t="str">
        <f t="shared" si="1"/>
        <v>#REF!</v>
      </c>
      <c r="I386" s="178" t="s">
        <v>4767</v>
      </c>
      <c r="J386" s="178" t="s">
        <v>4768</v>
      </c>
      <c r="K386" s="178" t="s">
        <v>4780</v>
      </c>
      <c r="L386" s="178" t="s">
        <v>4808</v>
      </c>
      <c r="M386" s="178" t="str">
        <f t="shared" si="15"/>
        <v>#REF!</v>
      </c>
      <c r="N386" s="185"/>
      <c r="O386" s="181" t="s">
        <v>4773</v>
      </c>
    </row>
    <row r="387" ht="14.25" customHeight="1">
      <c r="H387" s="179" t="str">
        <f t="shared" si="1"/>
        <v>#REF!</v>
      </c>
      <c r="I387" s="178" t="s">
        <v>4767</v>
      </c>
      <c r="J387" s="182" t="s">
        <v>4779</v>
      </c>
      <c r="K387" s="178" t="s">
        <v>4769</v>
      </c>
      <c r="L387" s="178" t="s">
        <v>4808</v>
      </c>
      <c r="M387" s="178" t="str">
        <f t="shared" ref="M387:M407" si="16">IF('Ficha de exención para baterías'!$P$21&gt;0,'Ficha de exención para baterías'!$P$21," ")</f>
        <v>#REF!</v>
      </c>
      <c r="N387" s="185"/>
      <c r="O387" s="181" t="s">
        <v>4773</v>
      </c>
    </row>
    <row r="388" ht="14.25" customHeight="1">
      <c r="H388" s="179" t="str">
        <f t="shared" si="1"/>
        <v>#REF!</v>
      </c>
      <c r="I388" s="178" t="s">
        <v>4767</v>
      </c>
      <c r="J388" s="182" t="s">
        <v>4779</v>
      </c>
      <c r="K388" s="178" t="s">
        <v>4775</v>
      </c>
      <c r="L388" s="178" t="s">
        <v>4808</v>
      </c>
      <c r="M388" s="178" t="str">
        <f t="shared" si="16"/>
        <v>#REF!</v>
      </c>
      <c r="N388" s="185"/>
      <c r="O388" s="181" t="s">
        <v>4773</v>
      </c>
    </row>
    <row r="389" ht="14.25" customHeight="1">
      <c r="H389" s="179" t="str">
        <f t="shared" si="1"/>
        <v>#REF!</v>
      </c>
      <c r="I389" s="178" t="s">
        <v>4767</v>
      </c>
      <c r="J389" s="182" t="s">
        <v>4779</v>
      </c>
      <c r="K389" s="178" t="s">
        <v>4780</v>
      </c>
      <c r="L389" s="178" t="s">
        <v>4808</v>
      </c>
      <c r="M389" s="178" t="str">
        <f t="shared" si="16"/>
        <v>#REF!</v>
      </c>
      <c r="N389" s="185"/>
      <c r="O389" s="181" t="s">
        <v>4773</v>
      </c>
    </row>
    <row r="390" ht="14.25" customHeight="1">
      <c r="H390" s="179" t="str">
        <f t="shared" si="1"/>
        <v>#REF!</v>
      </c>
      <c r="I390" s="178" t="s">
        <v>4767</v>
      </c>
      <c r="J390" s="182" t="s">
        <v>4787</v>
      </c>
      <c r="K390" s="178" t="s">
        <v>4769</v>
      </c>
      <c r="L390" s="178" t="s">
        <v>4808</v>
      </c>
      <c r="M390" s="178" t="str">
        <f t="shared" si="16"/>
        <v>#REF!</v>
      </c>
      <c r="N390" s="185"/>
      <c r="O390" s="181" t="s">
        <v>4773</v>
      </c>
    </row>
    <row r="391" ht="14.25" customHeight="1">
      <c r="H391" s="179" t="str">
        <f t="shared" si="1"/>
        <v>#REF!</v>
      </c>
      <c r="I391" s="178" t="s">
        <v>4767</v>
      </c>
      <c r="J391" s="182" t="s">
        <v>4787</v>
      </c>
      <c r="K391" s="178" t="s">
        <v>4775</v>
      </c>
      <c r="L391" s="178" t="s">
        <v>4808</v>
      </c>
      <c r="M391" s="178" t="str">
        <f t="shared" si="16"/>
        <v>#REF!</v>
      </c>
      <c r="N391" s="185"/>
      <c r="O391" s="181" t="s">
        <v>4773</v>
      </c>
    </row>
    <row r="392" ht="14.25" customHeight="1">
      <c r="H392" s="179" t="str">
        <f t="shared" si="1"/>
        <v>#REF!</v>
      </c>
      <c r="I392" s="178" t="s">
        <v>4767</v>
      </c>
      <c r="J392" s="182" t="s">
        <v>4787</v>
      </c>
      <c r="K392" s="178" t="s">
        <v>4780</v>
      </c>
      <c r="L392" s="178" t="s">
        <v>4808</v>
      </c>
      <c r="M392" s="178" t="str">
        <f t="shared" si="16"/>
        <v>#REF!</v>
      </c>
      <c r="N392" s="185"/>
      <c r="O392" s="181" t="s">
        <v>4773</v>
      </c>
    </row>
    <row r="393" ht="14.25" customHeight="1">
      <c r="H393" s="179" t="str">
        <f t="shared" si="1"/>
        <v>#REF!</v>
      </c>
      <c r="I393" s="178" t="s">
        <v>4767</v>
      </c>
      <c r="J393" s="182" t="s">
        <v>4774</v>
      </c>
      <c r="K393" s="178" t="s">
        <v>4769</v>
      </c>
      <c r="L393" s="178" t="s">
        <v>4808</v>
      </c>
      <c r="M393" s="178" t="str">
        <f t="shared" si="16"/>
        <v>#REF!</v>
      </c>
      <c r="N393" s="185"/>
      <c r="O393" s="181" t="s">
        <v>4773</v>
      </c>
    </row>
    <row r="394" ht="14.25" customHeight="1">
      <c r="H394" s="179" t="str">
        <f t="shared" si="1"/>
        <v>#REF!</v>
      </c>
      <c r="I394" s="178" t="s">
        <v>4767</v>
      </c>
      <c r="J394" s="182" t="s">
        <v>4774</v>
      </c>
      <c r="K394" s="178" t="s">
        <v>4775</v>
      </c>
      <c r="L394" s="178" t="s">
        <v>4808</v>
      </c>
      <c r="M394" s="178" t="str">
        <f t="shared" si="16"/>
        <v>#REF!</v>
      </c>
      <c r="N394" s="185"/>
      <c r="O394" s="181" t="s">
        <v>4773</v>
      </c>
    </row>
    <row r="395" ht="14.25" customHeight="1">
      <c r="H395" s="179" t="str">
        <f t="shared" si="1"/>
        <v>#REF!</v>
      </c>
      <c r="I395" s="178" t="s">
        <v>4767</v>
      </c>
      <c r="J395" s="182" t="s">
        <v>4774</v>
      </c>
      <c r="K395" s="178" t="s">
        <v>4780</v>
      </c>
      <c r="L395" s="178" t="s">
        <v>4808</v>
      </c>
      <c r="M395" s="178" t="str">
        <f t="shared" si="16"/>
        <v>#REF!</v>
      </c>
      <c r="N395" s="185"/>
      <c r="O395" s="181" t="s">
        <v>4773</v>
      </c>
    </row>
    <row r="396" ht="14.25" customHeight="1">
      <c r="H396" s="179" t="str">
        <f t="shared" si="1"/>
        <v>#REF!</v>
      </c>
      <c r="I396" s="178" t="s">
        <v>4767</v>
      </c>
      <c r="J396" s="182" t="s">
        <v>4785</v>
      </c>
      <c r="K396" s="178" t="s">
        <v>4769</v>
      </c>
      <c r="L396" s="178" t="s">
        <v>4808</v>
      </c>
      <c r="M396" s="178" t="str">
        <f t="shared" si="16"/>
        <v>#REF!</v>
      </c>
      <c r="N396" s="185"/>
      <c r="O396" s="181" t="s">
        <v>4773</v>
      </c>
    </row>
    <row r="397" ht="14.25" customHeight="1">
      <c r="H397" s="179" t="str">
        <f t="shared" si="1"/>
        <v>#REF!</v>
      </c>
      <c r="I397" s="178" t="s">
        <v>4767</v>
      </c>
      <c r="J397" s="182" t="s">
        <v>4785</v>
      </c>
      <c r="K397" s="178" t="s">
        <v>4775</v>
      </c>
      <c r="L397" s="178" t="s">
        <v>4808</v>
      </c>
      <c r="M397" s="178" t="str">
        <f t="shared" si="16"/>
        <v>#REF!</v>
      </c>
      <c r="N397" s="185"/>
      <c r="O397" s="181" t="s">
        <v>4773</v>
      </c>
    </row>
    <row r="398" ht="14.25" customHeight="1">
      <c r="H398" s="179" t="str">
        <f t="shared" si="1"/>
        <v>#REF!</v>
      </c>
      <c r="I398" s="178" t="s">
        <v>4767</v>
      </c>
      <c r="J398" s="182" t="s">
        <v>4785</v>
      </c>
      <c r="K398" s="178" t="s">
        <v>4780</v>
      </c>
      <c r="L398" s="178" t="s">
        <v>4808</v>
      </c>
      <c r="M398" s="178" t="str">
        <f t="shared" si="16"/>
        <v>#REF!</v>
      </c>
      <c r="N398" s="185"/>
      <c r="O398" s="181" t="s">
        <v>4773</v>
      </c>
    </row>
    <row r="399" ht="14.25" customHeight="1">
      <c r="H399" s="179" t="str">
        <f t="shared" si="1"/>
        <v>#REF!</v>
      </c>
      <c r="I399" s="178" t="s">
        <v>4767</v>
      </c>
      <c r="J399" s="182" t="s">
        <v>4783</v>
      </c>
      <c r="K399" s="178" t="s">
        <v>4769</v>
      </c>
      <c r="L399" s="178" t="s">
        <v>4808</v>
      </c>
      <c r="M399" s="178" t="str">
        <f t="shared" si="16"/>
        <v>#REF!</v>
      </c>
      <c r="N399" s="185"/>
      <c r="O399" s="181" t="s">
        <v>4773</v>
      </c>
    </row>
    <row r="400" ht="14.25" customHeight="1">
      <c r="H400" s="179" t="str">
        <f t="shared" si="1"/>
        <v>#REF!</v>
      </c>
      <c r="I400" s="178" t="s">
        <v>4767</v>
      </c>
      <c r="J400" s="182" t="s">
        <v>4783</v>
      </c>
      <c r="K400" s="178" t="s">
        <v>4775</v>
      </c>
      <c r="L400" s="178" t="s">
        <v>4808</v>
      </c>
      <c r="M400" s="178" t="str">
        <f t="shared" si="16"/>
        <v>#REF!</v>
      </c>
      <c r="N400" s="185"/>
      <c r="O400" s="181" t="s">
        <v>4773</v>
      </c>
    </row>
    <row r="401" ht="14.25" customHeight="1">
      <c r="H401" s="179" t="str">
        <f t="shared" si="1"/>
        <v>#REF!</v>
      </c>
      <c r="I401" s="178" t="s">
        <v>4767</v>
      </c>
      <c r="J401" s="182" t="s">
        <v>4783</v>
      </c>
      <c r="K401" s="178" t="s">
        <v>4780</v>
      </c>
      <c r="L401" s="178" t="s">
        <v>4808</v>
      </c>
      <c r="M401" s="178" t="str">
        <f t="shared" si="16"/>
        <v>#REF!</v>
      </c>
      <c r="N401" s="185"/>
      <c r="O401" s="181" t="s">
        <v>4773</v>
      </c>
    </row>
    <row r="402" ht="14.25" customHeight="1">
      <c r="H402" s="179" t="str">
        <f t="shared" si="1"/>
        <v>#REF!</v>
      </c>
      <c r="I402" s="178" t="s">
        <v>4767</v>
      </c>
      <c r="J402" s="182" t="s">
        <v>4789</v>
      </c>
      <c r="K402" s="178" t="s">
        <v>4769</v>
      </c>
      <c r="L402" s="178" t="s">
        <v>4808</v>
      </c>
      <c r="M402" s="178" t="str">
        <f t="shared" si="16"/>
        <v>#REF!</v>
      </c>
      <c r="N402" s="185"/>
      <c r="O402" s="181" t="s">
        <v>4773</v>
      </c>
    </row>
    <row r="403" ht="14.25" customHeight="1">
      <c r="H403" s="179" t="str">
        <f t="shared" si="1"/>
        <v>#REF!</v>
      </c>
      <c r="I403" s="178" t="s">
        <v>4767</v>
      </c>
      <c r="J403" s="182" t="s">
        <v>4789</v>
      </c>
      <c r="K403" s="178" t="s">
        <v>4775</v>
      </c>
      <c r="L403" s="178" t="s">
        <v>4808</v>
      </c>
      <c r="M403" s="178" t="str">
        <f t="shared" si="16"/>
        <v>#REF!</v>
      </c>
      <c r="N403" s="185"/>
      <c r="O403" s="181" t="s">
        <v>4773</v>
      </c>
    </row>
    <row r="404" ht="14.25" customHeight="1">
      <c r="H404" s="179" t="str">
        <f t="shared" si="1"/>
        <v>#REF!</v>
      </c>
      <c r="I404" s="178" t="s">
        <v>4767</v>
      </c>
      <c r="J404" s="182" t="s">
        <v>4789</v>
      </c>
      <c r="K404" s="178" t="s">
        <v>4780</v>
      </c>
      <c r="L404" s="178" t="s">
        <v>4808</v>
      </c>
      <c r="M404" s="178" t="str">
        <f t="shared" si="16"/>
        <v>#REF!</v>
      </c>
      <c r="N404" s="185"/>
      <c r="O404" s="181" t="s">
        <v>4773</v>
      </c>
    </row>
    <row r="405" ht="14.25" customHeight="1">
      <c r="H405" s="179" t="str">
        <f t="shared" si="1"/>
        <v>#REF!</v>
      </c>
      <c r="I405" s="178" t="s">
        <v>4767</v>
      </c>
      <c r="J405" s="178" t="s">
        <v>4768</v>
      </c>
      <c r="K405" s="178" t="s">
        <v>4769</v>
      </c>
      <c r="L405" s="178" t="s">
        <v>4808</v>
      </c>
      <c r="M405" s="178" t="str">
        <f t="shared" si="16"/>
        <v>#REF!</v>
      </c>
      <c r="N405" s="185"/>
      <c r="O405" s="181" t="s">
        <v>4773</v>
      </c>
    </row>
    <row r="406" ht="14.25" customHeight="1">
      <c r="H406" s="179" t="str">
        <f t="shared" si="1"/>
        <v>#REF!</v>
      </c>
      <c r="I406" s="178" t="s">
        <v>4767</v>
      </c>
      <c r="J406" s="178" t="s">
        <v>4768</v>
      </c>
      <c r="K406" s="178" t="s">
        <v>4775</v>
      </c>
      <c r="L406" s="178" t="s">
        <v>4808</v>
      </c>
      <c r="M406" s="178" t="str">
        <f t="shared" si="16"/>
        <v>#REF!</v>
      </c>
      <c r="N406" s="185"/>
      <c r="O406" s="181" t="s">
        <v>4773</v>
      </c>
    </row>
    <row r="407" ht="14.25" customHeight="1">
      <c r="H407" s="179" t="str">
        <f t="shared" si="1"/>
        <v>#REF!</v>
      </c>
      <c r="I407" s="178" t="s">
        <v>4767</v>
      </c>
      <c r="J407" s="178" t="s">
        <v>4768</v>
      </c>
      <c r="K407" s="178" t="s">
        <v>4780</v>
      </c>
      <c r="L407" s="178" t="s">
        <v>4808</v>
      </c>
      <c r="M407" s="178" t="str">
        <f t="shared" si="16"/>
        <v>#REF!</v>
      </c>
      <c r="N407" s="185"/>
      <c r="O407" s="181" t="s">
        <v>4773</v>
      </c>
    </row>
    <row r="408" ht="14.25" customHeight="1">
      <c r="H408" s="179" t="str">
        <f t="shared" si="1"/>
        <v>#REF!</v>
      </c>
      <c r="I408" s="178" t="s">
        <v>4767</v>
      </c>
      <c r="J408" s="182" t="s">
        <v>4779</v>
      </c>
      <c r="K408" s="178" t="s">
        <v>4769</v>
      </c>
      <c r="L408" s="178" t="s">
        <v>4808</v>
      </c>
      <c r="M408" s="178" t="str">
        <f t="shared" ref="M408:M428" si="17">IF('Ficha de exención para baterías'!$P$22&gt;0,'Ficha de exención para baterías'!$P$22," ")</f>
        <v>#REF!</v>
      </c>
      <c r="N408" s="185"/>
      <c r="O408" s="181" t="s">
        <v>4773</v>
      </c>
    </row>
    <row r="409" ht="14.25" customHeight="1">
      <c r="H409" s="179" t="str">
        <f t="shared" si="1"/>
        <v>#REF!</v>
      </c>
      <c r="I409" s="178" t="s">
        <v>4767</v>
      </c>
      <c r="J409" s="182" t="s">
        <v>4779</v>
      </c>
      <c r="K409" s="178" t="s">
        <v>4775</v>
      </c>
      <c r="L409" s="178" t="s">
        <v>4808</v>
      </c>
      <c r="M409" s="178" t="str">
        <f t="shared" si="17"/>
        <v>#REF!</v>
      </c>
      <c r="N409" s="185"/>
      <c r="O409" s="181" t="s">
        <v>4773</v>
      </c>
    </row>
    <row r="410" ht="14.25" customHeight="1">
      <c r="H410" s="179" t="str">
        <f t="shared" si="1"/>
        <v>#REF!</v>
      </c>
      <c r="I410" s="178" t="s">
        <v>4767</v>
      </c>
      <c r="J410" s="182" t="s">
        <v>4779</v>
      </c>
      <c r="K410" s="178" t="s">
        <v>4780</v>
      </c>
      <c r="L410" s="178" t="s">
        <v>4808</v>
      </c>
      <c r="M410" s="178" t="str">
        <f t="shared" si="17"/>
        <v>#REF!</v>
      </c>
      <c r="N410" s="185"/>
      <c r="O410" s="181" t="s">
        <v>4773</v>
      </c>
    </row>
    <row r="411" ht="14.25" customHeight="1">
      <c r="H411" s="179" t="str">
        <f t="shared" si="1"/>
        <v>#REF!</v>
      </c>
      <c r="I411" s="178" t="s">
        <v>4767</v>
      </c>
      <c r="J411" s="182" t="s">
        <v>4787</v>
      </c>
      <c r="K411" s="178" t="s">
        <v>4769</v>
      </c>
      <c r="L411" s="178" t="s">
        <v>4808</v>
      </c>
      <c r="M411" s="178" t="str">
        <f t="shared" si="17"/>
        <v>#REF!</v>
      </c>
      <c r="N411" s="185"/>
      <c r="O411" s="181" t="s">
        <v>4773</v>
      </c>
    </row>
    <row r="412" ht="14.25" customHeight="1">
      <c r="H412" s="179" t="str">
        <f t="shared" si="1"/>
        <v>#REF!</v>
      </c>
      <c r="I412" s="178" t="s">
        <v>4767</v>
      </c>
      <c r="J412" s="182" t="s">
        <v>4787</v>
      </c>
      <c r="K412" s="178" t="s">
        <v>4775</v>
      </c>
      <c r="L412" s="178" t="s">
        <v>4808</v>
      </c>
      <c r="M412" s="178" t="str">
        <f t="shared" si="17"/>
        <v>#REF!</v>
      </c>
      <c r="N412" s="185"/>
      <c r="O412" s="181" t="s">
        <v>4773</v>
      </c>
    </row>
    <row r="413" ht="14.25" customHeight="1">
      <c r="H413" s="179" t="str">
        <f t="shared" si="1"/>
        <v>#REF!</v>
      </c>
      <c r="I413" s="178" t="s">
        <v>4767</v>
      </c>
      <c r="J413" s="182" t="s">
        <v>4787</v>
      </c>
      <c r="K413" s="178" t="s">
        <v>4780</v>
      </c>
      <c r="L413" s="178" t="s">
        <v>4808</v>
      </c>
      <c r="M413" s="178" t="str">
        <f t="shared" si="17"/>
        <v>#REF!</v>
      </c>
      <c r="N413" s="185"/>
      <c r="O413" s="181" t="s">
        <v>4773</v>
      </c>
    </row>
    <row r="414" ht="14.25" customHeight="1">
      <c r="H414" s="179" t="str">
        <f t="shared" si="1"/>
        <v>#REF!</v>
      </c>
      <c r="I414" s="178" t="s">
        <v>4767</v>
      </c>
      <c r="J414" s="182" t="s">
        <v>4774</v>
      </c>
      <c r="K414" s="178" t="s">
        <v>4769</v>
      </c>
      <c r="L414" s="178" t="s">
        <v>4808</v>
      </c>
      <c r="M414" s="178" t="str">
        <f t="shared" si="17"/>
        <v>#REF!</v>
      </c>
      <c r="N414" s="185"/>
      <c r="O414" s="181" t="s">
        <v>4773</v>
      </c>
    </row>
    <row r="415" ht="14.25" customHeight="1">
      <c r="H415" s="179" t="str">
        <f t="shared" si="1"/>
        <v>#REF!</v>
      </c>
      <c r="I415" s="178" t="s">
        <v>4767</v>
      </c>
      <c r="J415" s="182" t="s">
        <v>4774</v>
      </c>
      <c r="K415" s="178" t="s">
        <v>4775</v>
      </c>
      <c r="L415" s="178" t="s">
        <v>4808</v>
      </c>
      <c r="M415" s="178" t="str">
        <f t="shared" si="17"/>
        <v>#REF!</v>
      </c>
      <c r="N415" s="185"/>
      <c r="O415" s="181" t="s">
        <v>4773</v>
      </c>
    </row>
    <row r="416" ht="14.25" customHeight="1">
      <c r="H416" s="179" t="str">
        <f t="shared" si="1"/>
        <v>#REF!</v>
      </c>
      <c r="I416" s="178" t="s">
        <v>4767</v>
      </c>
      <c r="J416" s="182" t="s">
        <v>4774</v>
      </c>
      <c r="K416" s="178" t="s">
        <v>4780</v>
      </c>
      <c r="L416" s="178" t="s">
        <v>4808</v>
      </c>
      <c r="M416" s="178" t="str">
        <f t="shared" si="17"/>
        <v>#REF!</v>
      </c>
      <c r="N416" s="185"/>
      <c r="O416" s="181" t="s">
        <v>4773</v>
      </c>
    </row>
    <row r="417" ht="14.25" customHeight="1">
      <c r="H417" s="179" t="str">
        <f t="shared" si="1"/>
        <v>#REF!</v>
      </c>
      <c r="I417" s="178" t="s">
        <v>4767</v>
      </c>
      <c r="J417" s="182" t="s">
        <v>4785</v>
      </c>
      <c r="K417" s="178" t="s">
        <v>4769</v>
      </c>
      <c r="L417" s="178" t="s">
        <v>4808</v>
      </c>
      <c r="M417" s="178" t="str">
        <f t="shared" si="17"/>
        <v>#REF!</v>
      </c>
      <c r="N417" s="185"/>
      <c r="O417" s="181" t="s">
        <v>4773</v>
      </c>
    </row>
    <row r="418" ht="14.25" customHeight="1">
      <c r="H418" s="179" t="str">
        <f t="shared" si="1"/>
        <v>#REF!</v>
      </c>
      <c r="I418" s="178" t="s">
        <v>4767</v>
      </c>
      <c r="J418" s="182" t="s">
        <v>4785</v>
      </c>
      <c r="K418" s="178" t="s">
        <v>4775</v>
      </c>
      <c r="L418" s="178" t="s">
        <v>4808</v>
      </c>
      <c r="M418" s="178" t="str">
        <f t="shared" si="17"/>
        <v>#REF!</v>
      </c>
      <c r="N418" s="185"/>
      <c r="O418" s="181" t="s">
        <v>4773</v>
      </c>
    </row>
    <row r="419" ht="14.25" customHeight="1">
      <c r="H419" s="179" t="str">
        <f t="shared" si="1"/>
        <v>#REF!</v>
      </c>
      <c r="I419" s="178" t="s">
        <v>4767</v>
      </c>
      <c r="J419" s="182" t="s">
        <v>4785</v>
      </c>
      <c r="K419" s="178" t="s">
        <v>4780</v>
      </c>
      <c r="L419" s="178" t="s">
        <v>4808</v>
      </c>
      <c r="M419" s="178" t="str">
        <f t="shared" si="17"/>
        <v>#REF!</v>
      </c>
      <c r="N419" s="185"/>
      <c r="O419" s="181" t="s">
        <v>4773</v>
      </c>
    </row>
    <row r="420" ht="14.25" customHeight="1">
      <c r="H420" s="179" t="str">
        <f t="shared" si="1"/>
        <v>#REF!</v>
      </c>
      <c r="I420" s="178" t="s">
        <v>4767</v>
      </c>
      <c r="J420" s="182" t="s">
        <v>4783</v>
      </c>
      <c r="K420" s="178" t="s">
        <v>4769</v>
      </c>
      <c r="L420" s="178" t="s">
        <v>4808</v>
      </c>
      <c r="M420" s="178" t="str">
        <f t="shared" si="17"/>
        <v>#REF!</v>
      </c>
      <c r="N420" s="185"/>
      <c r="O420" s="181" t="s">
        <v>4773</v>
      </c>
    </row>
    <row r="421" ht="14.25" customHeight="1">
      <c r="H421" s="179" t="str">
        <f t="shared" si="1"/>
        <v>#REF!</v>
      </c>
      <c r="I421" s="178" t="s">
        <v>4767</v>
      </c>
      <c r="J421" s="182" t="s">
        <v>4783</v>
      </c>
      <c r="K421" s="178" t="s">
        <v>4775</v>
      </c>
      <c r="L421" s="178" t="s">
        <v>4808</v>
      </c>
      <c r="M421" s="178" t="str">
        <f t="shared" si="17"/>
        <v>#REF!</v>
      </c>
      <c r="N421" s="185"/>
      <c r="O421" s="181" t="s">
        <v>4773</v>
      </c>
    </row>
    <row r="422" ht="14.25" customHeight="1">
      <c r="H422" s="179" t="str">
        <f t="shared" si="1"/>
        <v>#REF!</v>
      </c>
      <c r="I422" s="178" t="s">
        <v>4767</v>
      </c>
      <c r="J422" s="182" t="s">
        <v>4783</v>
      </c>
      <c r="K422" s="178" t="s">
        <v>4780</v>
      </c>
      <c r="L422" s="178" t="s">
        <v>4808</v>
      </c>
      <c r="M422" s="178" t="str">
        <f t="shared" si="17"/>
        <v>#REF!</v>
      </c>
      <c r="N422" s="185"/>
      <c r="O422" s="181" t="s">
        <v>4773</v>
      </c>
    </row>
    <row r="423" ht="14.25" customHeight="1">
      <c r="H423" s="179" t="str">
        <f t="shared" si="1"/>
        <v>#REF!</v>
      </c>
      <c r="I423" s="178" t="s">
        <v>4767</v>
      </c>
      <c r="J423" s="182" t="s">
        <v>4789</v>
      </c>
      <c r="K423" s="178" t="s">
        <v>4769</v>
      </c>
      <c r="L423" s="178" t="s">
        <v>4808</v>
      </c>
      <c r="M423" s="178" t="str">
        <f t="shared" si="17"/>
        <v>#REF!</v>
      </c>
      <c r="N423" s="185"/>
      <c r="O423" s="181" t="s">
        <v>4773</v>
      </c>
    </row>
    <row r="424" ht="14.25" customHeight="1">
      <c r="H424" s="179" t="str">
        <f t="shared" si="1"/>
        <v>#REF!</v>
      </c>
      <c r="I424" s="178" t="s">
        <v>4767</v>
      </c>
      <c r="J424" s="182" t="s">
        <v>4789</v>
      </c>
      <c r="K424" s="178" t="s">
        <v>4775</v>
      </c>
      <c r="L424" s="178" t="s">
        <v>4808</v>
      </c>
      <c r="M424" s="178" t="str">
        <f t="shared" si="17"/>
        <v>#REF!</v>
      </c>
      <c r="N424" s="185"/>
      <c r="O424" s="181" t="s">
        <v>4773</v>
      </c>
    </row>
    <row r="425" ht="14.25" customHeight="1">
      <c r="H425" s="179" t="str">
        <f t="shared" si="1"/>
        <v>#REF!</v>
      </c>
      <c r="I425" s="178" t="s">
        <v>4767</v>
      </c>
      <c r="J425" s="182" t="s">
        <v>4789</v>
      </c>
      <c r="K425" s="178" t="s">
        <v>4780</v>
      </c>
      <c r="L425" s="178" t="s">
        <v>4808</v>
      </c>
      <c r="M425" s="178" t="str">
        <f t="shared" si="17"/>
        <v>#REF!</v>
      </c>
      <c r="N425" s="185"/>
      <c r="O425" s="181" t="s">
        <v>4773</v>
      </c>
    </row>
    <row r="426" ht="14.25" customHeight="1">
      <c r="H426" s="179" t="str">
        <f t="shared" si="1"/>
        <v>#REF!</v>
      </c>
      <c r="I426" s="178" t="s">
        <v>4767</v>
      </c>
      <c r="J426" s="178" t="s">
        <v>4768</v>
      </c>
      <c r="K426" s="178" t="s">
        <v>4769</v>
      </c>
      <c r="L426" s="178" t="s">
        <v>4808</v>
      </c>
      <c r="M426" s="178" t="str">
        <f t="shared" si="17"/>
        <v>#REF!</v>
      </c>
      <c r="N426" s="185"/>
      <c r="O426" s="181" t="s">
        <v>4773</v>
      </c>
    </row>
    <row r="427" ht="14.25" customHeight="1">
      <c r="H427" s="179" t="str">
        <f t="shared" si="1"/>
        <v>#REF!</v>
      </c>
      <c r="I427" s="178" t="s">
        <v>4767</v>
      </c>
      <c r="J427" s="178" t="s">
        <v>4768</v>
      </c>
      <c r="K427" s="178" t="s">
        <v>4775</v>
      </c>
      <c r="L427" s="178" t="s">
        <v>4808</v>
      </c>
      <c r="M427" s="178" t="str">
        <f t="shared" si="17"/>
        <v>#REF!</v>
      </c>
      <c r="N427" s="185"/>
      <c r="O427" s="181" t="s">
        <v>4773</v>
      </c>
    </row>
    <row r="428" ht="14.25" customHeight="1">
      <c r="H428" s="179" t="str">
        <f t="shared" si="1"/>
        <v>#REF!</v>
      </c>
      <c r="I428" s="178" t="s">
        <v>4767</v>
      </c>
      <c r="J428" s="178" t="s">
        <v>4768</v>
      </c>
      <c r="K428" s="178" t="s">
        <v>4780</v>
      </c>
      <c r="L428" s="178" t="s">
        <v>4808</v>
      </c>
      <c r="M428" s="178" t="str">
        <f t="shared" si="17"/>
        <v>#REF!</v>
      </c>
      <c r="N428" s="185"/>
      <c r="O428" s="181" t="s">
        <v>4773</v>
      </c>
    </row>
    <row r="429" ht="14.25" customHeight="1">
      <c r="H429" s="179" t="str">
        <f t="shared" si="1"/>
        <v>#REF!</v>
      </c>
      <c r="I429" s="178" t="s">
        <v>4767</v>
      </c>
      <c r="J429" s="182" t="s">
        <v>4779</v>
      </c>
      <c r="K429" s="178" t="s">
        <v>4769</v>
      </c>
      <c r="L429" s="178" t="s">
        <v>4808</v>
      </c>
      <c r="M429" s="178" t="str">
        <f t="shared" ref="M429:M449" si="18">IF('Ficha de exención para baterías'!$P$23&gt;0,'Ficha de exención para baterías'!$P$23," ")</f>
        <v>#REF!</v>
      </c>
      <c r="N429" s="185"/>
      <c r="O429" s="181" t="s">
        <v>4773</v>
      </c>
    </row>
    <row r="430" ht="14.25" customHeight="1">
      <c r="H430" s="179" t="str">
        <f t="shared" si="1"/>
        <v>#REF!</v>
      </c>
      <c r="I430" s="178" t="s">
        <v>4767</v>
      </c>
      <c r="J430" s="182" t="s">
        <v>4779</v>
      </c>
      <c r="K430" s="178" t="s">
        <v>4775</v>
      </c>
      <c r="L430" s="178" t="s">
        <v>4808</v>
      </c>
      <c r="M430" s="178" t="str">
        <f t="shared" si="18"/>
        <v>#REF!</v>
      </c>
      <c r="N430" s="185"/>
      <c r="O430" s="181" t="s">
        <v>4773</v>
      </c>
    </row>
    <row r="431" ht="14.25" customHeight="1">
      <c r="H431" s="179" t="str">
        <f t="shared" si="1"/>
        <v>#REF!</v>
      </c>
      <c r="I431" s="178" t="s">
        <v>4767</v>
      </c>
      <c r="J431" s="182" t="s">
        <v>4779</v>
      </c>
      <c r="K431" s="178" t="s">
        <v>4780</v>
      </c>
      <c r="L431" s="178" t="s">
        <v>4808</v>
      </c>
      <c r="M431" s="178" t="str">
        <f t="shared" si="18"/>
        <v>#REF!</v>
      </c>
      <c r="N431" s="185"/>
      <c r="O431" s="181" t="s">
        <v>4773</v>
      </c>
    </row>
    <row r="432" ht="14.25" customHeight="1">
      <c r="H432" s="179" t="str">
        <f t="shared" si="1"/>
        <v>#REF!</v>
      </c>
      <c r="I432" s="178" t="s">
        <v>4767</v>
      </c>
      <c r="J432" s="182" t="s">
        <v>4787</v>
      </c>
      <c r="K432" s="178" t="s">
        <v>4769</v>
      </c>
      <c r="L432" s="178" t="s">
        <v>4808</v>
      </c>
      <c r="M432" s="178" t="str">
        <f t="shared" si="18"/>
        <v>#REF!</v>
      </c>
      <c r="N432" s="185"/>
      <c r="O432" s="181" t="s">
        <v>4773</v>
      </c>
    </row>
    <row r="433" ht="14.25" customHeight="1">
      <c r="H433" s="179" t="str">
        <f t="shared" si="1"/>
        <v>#REF!</v>
      </c>
      <c r="I433" s="178" t="s">
        <v>4767</v>
      </c>
      <c r="J433" s="182" t="s">
        <v>4787</v>
      </c>
      <c r="K433" s="178" t="s">
        <v>4775</v>
      </c>
      <c r="L433" s="178" t="s">
        <v>4808</v>
      </c>
      <c r="M433" s="178" t="str">
        <f t="shared" si="18"/>
        <v>#REF!</v>
      </c>
      <c r="N433" s="185"/>
      <c r="O433" s="181" t="s">
        <v>4773</v>
      </c>
    </row>
    <row r="434" ht="14.25" customHeight="1">
      <c r="H434" s="179" t="str">
        <f t="shared" si="1"/>
        <v>#REF!</v>
      </c>
      <c r="I434" s="178" t="s">
        <v>4767</v>
      </c>
      <c r="J434" s="182" t="s">
        <v>4787</v>
      </c>
      <c r="K434" s="178" t="s">
        <v>4780</v>
      </c>
      <c r="L434" s="178" t="s">
        <v>4808</v>
      </c>
      <c r="M434" s="178" t="str">
        <f t="shared" si="18"/>
        <v>#REF!</v>
      </c>
      <c r="N434" s="185"/>
      <c r="O434" s="181" t="s">
        <v>4773</v>
      </c>
    </row>
    <row r="435" ht="14.25" customHeight="1">
      <c r="H435" s="179" t="str">
        <f t="shared" si="1"/>
        <v>#REF!</v>
      </c>
      <c r="I435" s="178" t="s">
        <v>4767</v>
      </c>
      <c r="J435" s="182" t="s">
        <v>4774</v>
      </c>
      <c r="K435" s="178" t="s">
        <v>4769</v>
      </c>
      <c r="L435" s="178" t="s">
        <v>4808</v>
      </c>
      <c r="M435" s="178" t="str">
        <f t="shared" si="18"/>
        <v>#REF!</v>
      </c>
      <c r="N435" s="185"/>
      <c r="O435" s="181" t="s">
        <v>4773</v>
      </c>
    </row>
    <row r="436" ht="14.25" customHeight="1">
      <c r="H436" s="179" t="str">
        <f t="shared" si="1"/>
        <v>#REF!</v>
      </c>
      <c r="I436" s="178" t="s">
        <v>4767</v>
      </c>
      <c r="J436" s="182" t="s">
        <v>4774</v>
      </c>
      <c r="K436" s="178" t="s">
        <v>4775</v>
      </c>
      <c r="L436" s="178" t="s">
        <v>4808</v>
      </c>
      <c r="M436" s="178" t="str">
        <f t="shared" si="18"/>
        <v>#REF!</v>
      </c>
      <c r="N436" s="185"/>
      <c r="O436" s="181" t="s">
        <v>4773</v>
      </c>
    </row>
    <row r="437" ht="14.25" customHeight="1">
      <c r="H437" s="179" t="str">
        <f t="shared" si="1"/>
        <v>#REF!</v>
      </c>
      <c r="I437" s="178" t="s">
        <v>4767</v>
      </c>
      <c r="J437" s="182" t="s">
        <v>4774</v>
      </c>
      <c r="K437" s="178" t="s">
        <v>4780</v>
      </c>
      <c r="L437" s="178" t="s">
        <v>4808</v>
      </c>
      <c r="M437" s="178" t="str">
        <f t="shared" si="18"/>
        <v>#REF!</v>
      </c>
      <c r="N437" s="185"/>
      <c r="O437" s="181" t="s">
        <v>4773</v>
      </c>
    </row>
    <row r="438" ht="14.25" customHeight="1">
      <c r="H438" s="179" t="str">
        <f t="shared" si="1"/>
        <v>#REF!</v>
      </c>
      <c r="I438" s="178" t="s">
        <v>4767</v>
      </c>
      <c r="J438" s="182" t="s">
        <v>4785</v>
      </c>
      <c r="K438" s="178" t="s">
        <v>4769</v>
      </c>
      <c r="L438" s="178" t="s">
        <v>4808</v>
      </c>
      <c r="M438" s="178" t="str">
        <f t="shared" si="18"/>
        <v>#REF!</v>
      </c>
      <c r="N438" s="185"/>
      <c r="O438" s="181" t="s">
        <v>4773</v>
      </c>
    </row>
    <row r="439" ht="14.25" customHeight="1">
      <c r="H439" s="179" t="str">
        <f t="shared" si="1"/>
        <v>#REF!</v>
      </c>
      <c r="I439" s="178" t="s">
        <v>4767</v>
      </c>
      <c r="J439" s="182" t="s">
        <v>4785</v>
      </c>
      <c r="K439" s="178" t="s">
        <v>4775</v>
      </c>
      <c r="L439" s="178" t="s">
        <v>4808</v>
      </c>
      <c r="M439" s="178" t="str">
        <f t="shared" si="18"/>
        <v>#REF!</v>
      </c>
      <c r="N439" s="185"/>
      <c r="O439" s="181" t="s">
        <v>4773</v>
      </c>
    </row>
    <row r="440" ht="14.25" customHeight="1">
      <c r="H440" s="179" t="str">
        <f t="shared" si="1"/>
        <v>#REF!</v>
      </c>
      <c r="I440" s="178" t="s">
        <v>4767</v>
      </c>
      <c r="J440" s="182" t="s">
        <v>4785</v>
      </c>
      <c r="K440" s="178" t="s">
        <v>4780</v>
      </c>
      <c r="L440" s="178" t="s">
        <v>4808</v>
      </c>
      <c r="M440" s="178" t="str">
        <f t="shared" si="18"/>
        <v>#REF!</v>
      </c>
      <c r="N440" s="185"/>
      <c r="O440" s="181" t="s">
        <v>4773</v>
      </c>
    </row>
    <row r="441" ht="14.25" customHeight="1">
      <c r="H441" s="179" t="str">
        <f t="shared" si="1"/>
        <v>#REF!</v>
      </c>
      <c r="I441" s="178" t="s">
        <v>4767</v>
      </c>
      <c r="J441" s="182" t="s">
        <v>4783</v>
      </c>
      <c r="K441" s="178" t="s">
        <v>4769</v>
      </c>
      <c r="L441" s="178" t="s">
        <v>4808</v>
      </c>
      <c r="M441" s="178" t="str">
        <f t="shared" si="18"/>
        <v>#REF!</v>
      </c>
      <c r="N441" s="185"/>
      <c r="O441" s="181" t="s">
        <v>4773</v>
      </c>
    </row>
    <row r="442" ht="14.25" customHeight="1">
      <c r="H442" s="179" t="str">
        <f t="shared" si="1"/>
        <v>#REF!</v>
      </c>
      <c r="I442" s="178" t="s">
        <v>4767</v>
      </c>
      <c r="J442" s="182" t="s">
        <v>4783</v>
      </c>
      <c r="K442" s="178" t="s">
        <v>4775</v>
      </c>
      <c r="L442" s="178" t="s">
        <v>4808</v>
      </c>
      <c r="M442" s="178" t="str">
        <f t="shared" si="18"/>
        <v>#REF!</v>
      </c>
      <c r="N442" s="185"/>
      <c r="O442" s="181" t="s">
        <v>4773</v>
      </c>
    </row>
    <row r="443" ht="14.25" customHeight="1">
      <c r="H443" s="179" t="str">
        <f t="shared" si="1"/>
        <v>#REF!</v>
      </c>
      <c r="I443" s="178" t="s">
        <v>4767</v>
      </c>
      <c r="J443" s="182" t="s">
        <v>4783</v>
      </c>
      <c r="K443" s="178" t="s">
        <v>4780</v>
      </c>
      <c r="L443" s="178" t="s">
        <v>4808</v>
      </c>
      <c r="M443" s="178" t="str">
        <f t="shared" si="18"/>
        <v>#REF!</v>
      </c>
      <c r="N443" s="185"/>
      <c r="O443" s="181" t="s">
        <v>4773</v>
      </c>
    </row>
    <row r="444" ht="14.25" customHeight="1">
      <c r="H444" s="179" t="str">
        <f t="shared" si="1"/>
        <v>#REF!</v>
      </c>
      <c r="I444" s="178" t="s">
        <v>4767</v>
      </c>
      <c r="J444" s="182" t="s">
        <v>4789</v>
      </c>
      <c r="K444" s="178" t="s">
        <v>4769</v>
      </c>
      <c r="L444" s="178" t="s">
        <v>4808</v>
      </c>
      <c r="M444" s="178" t="str">
        <f t="shared" si="18"/>
        <v>#REF!</v>
      </c>
      <c r="N444" s="185"/>
      <c r="O444" s="181" t="s">
        <v>4773</v>
      </c>
    </row>
    <row r="445" ht="14.25" customHeight="1">
      <c r="H445" s="179" t="str">
        <f t="shared" si="1"/>
        <v>#REF!</v>
      </c>
      <c r="I445" s="178" t="s">
        <v>4767</v>
      </c>
      <c r="J445" s="182" t="s">
        <v>4789</v>
      </c>
      <c r="K445" s="178" t="s">
        <v>4775</v>
      </c>
      <c r="L445" s="178" t="s">
        <v>4808</v>
      </c>
      <c r="M445" s="178" t="str">
        <f t="shared" si="18"/>
        <v>#REF!</v>
      </c>
      <c r="N445" s="185"/>
      <c r="O445" s="181" t="s">
        <v>4773</v>
      </c>
    </row>
    <row r="446" ht="14.25" customHeight="1">
      <c r="H446" s="179" t="str">
        <f t="shared" si="1"/>
        <v>#REF!</v>
      </c>
      <c r="I446" s="178" t="s">
        <v>4767</v>
      </c>
      <c r="J446" s="182" t="s">
        <v>4789</v>
      </c>
      <c r="K446" s="178" t="s">
        <v>4780</v>
      </c>
      <c r="L446" s="178" t="s">
        <v>4808</v>
      </c>
      <c r="M446" s="178" t="str">
        <f t="shared" si="18"/>
        <v>#REF!</v>
      </c>
      <c r="N446" s="185"/>
      <c r="O446" s="181" t="s">
        <v>4773</v>
      </c>
    </row>
    <row r="447" ht="14.25" customHeight="1">
      <c r="H447" s="179" t="str">
        <f t="shared" si="1"/>
        <v>#REF!</v>
      </c>
      <c r="I447" s="178" t="s">
        <v>4767</v>
      </c>
      <c r="J447" s="178" t="s">
        <v>4768</v>
      </c>
      <c r="K447" s="178" t="s">
        <v>4769</v>
      </c>
      <c r="L447" s="178" t="s">
        <v>4808</v>
      </c>
      <c r="M447" s="178" t="str">
        <f t="shared" si="18"/>
        <v>#REF!</v>
      </c>
      <c r="N447" s="185"/>
      <c r="O447" s="181" t="s">
        <v>4773</v>
      </c>
    </row>
    <row r="448" ht="14.25" customHeight="1">
      <c r="H448" s="179" t="str">
        <f t="shared" si="1"/>
        <v>#REF!</v>
      </c>
      <c r="I448" s="178" t="s">
        <v>4767</v>
      </c>
      <c r="J448" s="178" t="s">
        <v>4768</v>
      </c>
      <c r="K448" s="178" t="s">
        <v>4775</v>
      </c>
      <c r="L448" s="178" t="s">
        <v>4808</v>
      </c>
      <c r="M448" s="178" t="str">
        <f t="shared" si="18"/>
        <v>#REF!</v>
      </c>
      <c r="N448" s="185"/>
      <c r="O448" s="181" t="s">
        <v>4773</v>
      </c>
    </row>
    <row r="449" ht="14.25" customHeight="1">
      <c r="H449" s="179" t="str">
        <f t="shared" si="1"/>
        <v>#REF!</v>
      </c>
      <c r="I449" s="178" t="s">
        <v>4767</v>
      </c>
      <c r="J449" s="178" t="s">
        <v>4768</v>
      </c>
      <c r="K449" s="178" t="s">
        <v>4780</v>
      </c>
      <c r="L449" s="178" t="s">
        <v>4808</v>
      </c>
      <c r="M449" s="178" t="str">
        <f t="shared" si="18"/>
        <v>#REF!</v>
      </c>
      <c r="N449" s="185"/>
      <c r="O449" s="181" t="s">
        <v>4773</v>
      </c>
    </row>
    <row r="450" ht="14.25" customHeight="1">
      <c r="H450" s="179" t="str">
        <f t="shared" si="1"/>
        <v>#REF!</v>
      </c>
      <c r="I450" s="178" t="s">
        <v>4767</v>
      </c>
      <c r="J450" s="182" t="s">
        <v>4779</v>
      </c>
      <c r="K450" s="178" t="s">
        <v>4769</v>
      </c>
      <c r="L450" s="178" t="s">
        <v>4808</v>
      </c>
      <c r="M450" s="178" t="str">
        <f t="shared" ref="M450:M470" si="19">IF('Ficha de exención para baterías'!$P$24&gt;0,'Ficha de exención para baterías'!$P$24," ")</f>
        <v>#REF!</v>
      </c>
      <c r="N450" s="185"/>
      <c r="O450" s="181" t="s">
        <v>4773</v>
      </c>
    </row>
    <row r="451" ht="14.25" customHeight="1">
      <c r="H451" s="179" t="str">
        <f t="shared" si="1"/>
        <v>#REF!</v>
      </c>
      <c r="I451" s="178" t="s">
        <v>4767</v>
      </c>
      <c r="J451" s="182" t="s">
        <v>4779</v>
      </c>
      <c r="K451" s="178" t="s">
        <v>4775</v>
      </c>
      <c r="L451" s="178" t="s">
        <v>4808</v>
      </c>
      <c r="M451" s="178" t="str">
        <f t="shared" si="19"/>
        <v>#REF!</v>
      </c>
      <c r="N451" s="185"/>
      <c r="O451" s="181" t="s">
        <v>4773</v>
      </c>
    </row>
    <row r="452" ht="14.25" customHeight="1">
      <c r="H452" s="179" t="str">
        <f t="shared" si="1"/>
        <v>#REF!</v>
      </c>
      <c r="I452" s="178" t="s">
        <v>4767</v>
      </c>
      <c r="J452" s="182" t="s">
        <v>4779</v>
      </c>
      <c r="K452" s="178" t="s">
        <v>4780</v>
      </c>
      <c r="L452" s="178" t="s">
        <v>4808</v>
      </c>
      <c r="M452" s="178" t="str">
        <f t="shared" si="19"/>
        <v>#REF!</v>
      </c>
      <c r="N452" s="185"/>
      <c r="O452" s="181" t="s">
        <v>4773</v>
      </c>
    </row>
    <row r="453" ht="14.25" customHeight="1">
      <c r="H453" s="179" t="str">
        <f t="shared" si="1"/>
        <v>#REF!</v>
      </c>
      <c r="I453" s="178" t="s">
        <v>4767</v>
      </c>
      <c r="J453" s="182" t="s">
        <v>4787</v>
      </c>
      <c r="K453" s="178" t="s">
        <v>4769</v>
      </c>
      <c r="L453" s="178" t="s">
        <v>4808</v>
      </c>
      <c r="M453" s="178" t="str">
        <f t="shared" si="19"/>
        <v>#REF!</v>
      </c>
      <c r="N453" s="185"/>
      <c r="O453" s="181" t="s">
        <v>4773</v>
      </c>
    </row>
    <row r="454" ht="14.25" customHeight="1">
      <c r="H454" s="179" t="str">
        <f t="shared" si="1"/>
        <v>#REF!</v>
      </c>
      <c r="I454" s="178" t="s">
        <v>4767</v>
      </c>
      <c r="J454" s="182" t="s">
        <v>4787</v>
      </c>
      <c r="K454" s="178" t="s">
        <v>4775</v>
      </c>
      <c r="L454" s="178" t="s">
        <v>4808</v>
      </c>
      <c r="M454" s="178" t="str">
        <f t="shared" si="19"/>
        <v>#REF!</v>
      </c>
      <c r="N454" s="185"/>
      <c r="O454" s="181" t="s">
        <v>4773</v>
      </c>
    </row>
    <row r="455" ht="14.25" customHeight="1">
      <c r="H455" s="179" t="str">
        <f t="shared" si="1"/>
        <v>#REF!</v>
      </c>
      <c r="I455" s="178" t="s">
        <v>4767</v>
      </c>
      <c r="J455" s="182" t="s">
        <v>4787</v>
      </c>
      <c r="K455" s="178" t="s">
        <v>4780</v>
      </c>
      <c r="L455" s="178" t="s">
        <v>4808</v>
      </c>
      <c r="M455" s="178" t="str">
        <f t="shared" si="19"/>
        <v>#REF!</v>
      </c>
      <c r="N455" s="185"/>
      <c r="O455" s="181" t="s">
        <v>4773</v>
      </c>
    </row>
    <row r="456" ht="14.25" customHeight="1">
      <c r="H456" s="179" t="str">
        <f t="shared" si="1"/>
        <v>#REF!</v>
      </c>
      <c r="I456" s="178" t="s">
        <v>4767</v>
      </c>
      <c r="J456" s="182" t="s">
        <v>4774</v>
      </c>
      <c r="K456" s="178" t="s">
        <v>4769</v>
      </c>
      <c r="L456" s="178" t="s">
        <v>4808</v>
      </c>
      <c r="M456" s="178" t="str">
        <f t="shared" si="19"/>
        <v>#REF!</v>
      </c>
      <c r="N456" s="185"/>
      <c r="O456" s="181" t="s">
        <v>4773</v>
      </c>
    </row>
    <row r="457" ht="14.25" customHeight="1">
      <c r="H457" s="179" t="str">
        <f t="shared" si="1"/>
        <v>#REF!</v>
      </c>
      <c r="I457" s="178" t="s">
        <v>4767</v>
      </c>
      <c r="J457" s="182" t="s">
        <v>4774</v>
      </c>
      <c r="K457" s="178" t="s">
        <v>4775</v>
      </c>
      <c r="L457" s="178" t="s">
        <v>4808</v>
      </c>
      <c r="M457" s="178" t="str">
        <f t="shared" si="19"/>
        <v>#REF!</v>
      </c>
      <c r="N457" s="185"/>
      <c r="O457" s="181" t="s">
        <v>4773</v>
      </c>
    </row>
    <row r="458" ht="14.25" customHeight="1">
      <c r="H458" s="179" t="str">
        <f t="shared" si="1"/>
        <v>#REF!</v>
      </c>
      <c r="I458" s="178" t="s">
        <v>4767</v>
      </c>
      <c r="J458" s="182" t="s">
        <v>4774</v>
      </c>
      <c r="K458" s="178" t="s">
        <v>4780</v>
      </c>
      <c r="L458" s="178" t="s">
        <v>4808</v>
      </c>
      <c r="M458" s="178" t="str">
        <f t="shared" si="19"/>
        <v>#REF!</v>
      </c>
      <c r="N458" s="185"/>
      <c r="O458" s="181" t="s">
        <v>4773</v>
      </c>
    </row>
    <row r="459" ht="14.25" customHeight="1">
      <c r="H459" s="179" t="str">
        <f t="shared" si="1"/>
        <v>#REF!</v>
      </c>
      <c r="I459" s="178" t="s">
        <v>4767</v>
      </c>
      <c r="J459" s="182" t="s">
        <v>4785</v>
      </c>
      <c r="K459" s="178" t="s">
        <v>4769</v>
      </c>
      <c r="L459" s="178" t="s">
        <v>4808</v>
      </c>
      <c r="M459" s="178" t="str">
        <f t="shared" si="19"/>
        <v>#REF!</v>
      </c>
      <c r="N459" s="185"/>
      <c r="O459" s="181" t="s">
        <v>4773</v>
      </c>
    </row>
    <row r="460" ht="14.25" customHeight="1">
      <c r="H460" s="179" t="str">
        <f t="shared" si="1"/>
        <v>#REF!</v>
      </c>
      <c r="I460" s="178" t="s">
        <v>4767</v>
      </c>
      <c r="J460" s="182" t="s">
        <v>4785</v>
      </c>
      <c r="K460" s="178" t="s">
        <v>4775</v>
      </c>
      <c r="L460" s="178" t="s">
        <v>4808</v>
      </c>
      <c r="M460" s="178" t="str">
        <f t="shared" si="19"/>
        <v>#REF!</v>
      </c>
      <c r="N460" s="185"/>
      <c r="O460" s="181" t="s">
        <v>4773</v>
      </c>
    </row>
    <row r="461" ht="14.25" customHeight="1">
      <c r="H461" s="179" t="str">
        <f t="shared" si="1"/>
        <v>#REF!</v>
      </c>
      <c r="I461" s="178" t="s">
        <v>4767</v>
      </c>
      <c r="J461" s="182" t="s">
        <v>4785</v>
      </c>
      <c r="K461" s="178" t="s">
        <v>4780</v>
      </c>
      <c r="L461" s="178" t="s">
        <v>4808</v>
      </c>
      <c r="M461" s="178" t="str">
        <f t="shared" si="19"/>
        <v>#REF!</v>
      </c>
      <c r="N461" s="185"/>
      <c r="O461" s="181" t="s">
        <v>4773</v>
      </c>
    </row>
    <row r="462" ht="14.25" customHeight="1">
      <c r="H462" s="179" t="str">
        <f t="shared" si="1"/>
        <v>#REF!</v>
      </c>
      <c r="I462" s="178" t="s">
        <v>4767</v>
      </c>
      <c r="J462" s="182" t="s">
        <v>4783</v>
      </c>
      <c r="K462" s="178" t="s">
        <v>4769</v>
      </c>
      <c r="L462" s="178" t="s">
        <v>4808</v>
      </c>
      <c r="M462" s="178" t="str">
        <f t="shared" si="19"/>
        <v>#REF!</v>
      </c>
      <c r="N462" s="185"/>
      <c r="O462" s="181" t="s">
        <v>4773</v>
      </c>
    </row>
    <row r="463" ht="14.25" customHeight="1">
      <c r="H463" s="179" t="str">
        <f t="shared" si="1"/>
        <v>#REF!</v>
      </c>
      <c r="I463" s="178" t="s">
        <v>4767</v>
      </c>
      <c r="J463" s="182" t="s">
        <v>4783</v>
      </c>
      <c r="K463" s="178" t="s">
        <v>4775</v>
      </c>
      <c r="L463" s="178" t="s">
        <v>4808</v>
      </c>
      <c r="M463" s="178" t="str">
        <f t="shared" si="19"/>
        <v>#REF!</v>
      </c>
      <c r="N463" s="185"/>
      <c r="O463" s="181" t="s">
        <v>4773</v>
      </c>
    </row>
    <row r="464" ht="14.25" customHeight="1">
      <c r="H464" s="179" t="str">
        <f t="shared" si="1"/>
        <v>#REF!</v>
      </c>
      <c r="I464" s="178" t="s">
        <v>4767</v>
      </c>
      <c r="J464" s="182" t="s">
        <v>4783</v>
      </c>
      <c r="K464" s="178" t="s">
        <v>4780</v>
      </c>
      <c r="L464" s="178" t="s">
        <v>4808</v>
      </c>
      <c r="M464" s="178" t="str">
        <f t="shared" si="19"/>
        <v>#REF!</v>
      </c>
      <c r="N464" s="185"/>
      <c r="O464" s="181" t="s">
        <v>4773</v>
      </c>
    </row>
    <row r="465" ht="14.25" customHeight="1">
      <c r="H465" s="179" t="str">
        <f t="shared" si="1"/>
        <v>#REF!</v>
      </c>
      <c r="I465" s="178" t="s">
        <v>4767</v>
      </c>
      <c r="J465" s="182" t="s">
        <v>4789</v>
      </c>
      <c r="K465" s="178" t="s">
        <v>4769</v>
      </c>
      <c r="L465" s="178" t="s">
        <v>4808</v>
      </c>
      <c r="M465" s="178" t="str">
        <f t="shared" si="19"/>
        <v>#REF!</v>
      </c>
      <c r="N465" s="185"/>
      <c r="O465" s="181" t="s">
        <v>4773</v>
      </c>
    </row>
    <row r="466" ht="14.25" customHeight="1">
      <c r="H466" s="179" t="str">
        <f t="shared" si="1"/>
        <v>#REF!</v>
      </c>
      <c r="I466" s="178" t="s">
        <v>4767</v>
      </c>
      <c r="J466" s="182" t="s">
        <v>4789</v>
      </c>
      <c r="K466" s="178" t="s">
        <v>4775</v>
      </c>
      <c r="L466" s="178" t="s">
        <v>4808</v>
      </c>
      <c r="M466" s="178" t="str">
        <f t="shared" si="19"/>
        <v>#REF!</v>
      </c>
      <c r="N466" s="185"/>
      <c r="O466" s="181" t="s">
        <v>4773</v>
      </c>
    </row>
    <row r="467" ht="14.25" customHeight="1">
      <c r="H467" s="179" t="str">
        <f t="shared" si="1"/>
        <v>#REF!</v>
      </c>
      <c r="I467" s="178" t="s">
        <v>4767</v>
      </c>
      <c r="J467" s="182" t="s">
        <v>4789</v>
      </c>
      <c r="K467" s="178" t="s">
        <v>4780</v>
      </c>
      <c r="L467" s="178" t="s">
        <v>4808</v>
      </c>
      <c r="M467" s="178" t="str">
        <f t="shared" si="19"/>
        <v>#REF!</v>
      </c>
      <c r="N467" s="185"/>
      <c r="O467" s="181" t="s">
        <v>4773</v>
      </c>
    </row>
    <row r="468" ht="14.25" customHeight="1">
      <c r="H468" s="179" t="str">
        <f t="shared" si="1"/>
        <v>#REF!</v>
      </c>
      <c r="I468" s="178" t="s">
        <v>4767</v>
      </c>
      <c r="J468" s="178" t="s">
        <v>4768</v>
      </c>
      <c r="K468" s="178" t="s">
        <v>4769</v>
      </c>
      <c r="L468" s="178" t="s">
        <v>4808</v>
      </c>
      <c r="M468" s="178" t="str">
        <f t="shared" si="19"/>
        <v>#REF!</v>
      </c>
      <c r="N468" s="185"/>
      <c r="O468" s="181" t="s">
        <v>4773</v>
      </c>
    </row>
    <row r="469" ht="14.25" customHeight="1">
      <c r="H469" s="179" t="str">
        <f t="shared" si="1"/>
        <v>#REF!</v>
      </c>
      <c r="I469" s="178" t="s">
        <v>4767</v>
      </c>
      <c r="J469" s="178" t="s">
        <v>4768</v>
      </c>
      <c r="K469" s="178" t="s">
        <v>4775</v>
      </c>
      <c r="L469" s="178" t="s">
        <v>4808</v>
      </c>
      <c r="M469" s="178" t="str">
        <f t="shared" si="19"/>
        <v>#REF!</v>
      </c>
      <c r="N469" s="185"/>
      <c r="O469" s="181" t="s">
        <v>4773</v>
      </c>
    </row>
    <row r="470" ht="14.25" customHeight="1">
      <c r="H470" s="179" t="str">
        <f t="shared" si="1"/>
        <v>#REF!</v>
      </c>
      <c r="I470" s="178" t="s">
        <v>4767</v>
      </c>
      <c r="J470" s="178" t="s">
        <v>4768</v>
      </c>
      <c r="K470" s="178" t="s">
        <v>4780</v>
      </c>
      <c r="L470" s="178" t="s">
        <v>4808</v>
      </c>
      <c r="M470" s="178" t="str">
        <f t="shared" si="19"/>
        <v>#REF!</v>
      </c>
      <c r="N470" s="185"/>
      <c r="O470" s="181" t="s">
        <v>4773</v>
      </c>
    </row>
    <row r="471" ht="14.25" customHeight="1">
      <c r="H471" s="179" t="str">
        <f t="shared" si="1"/>
        <v>#REF!</v>
      </c>
      <c r="I471" s="178" t="s">
        <v>4767</v>
      </c>
      <c r="J471" s="182" t="s">
        <v>4779</v>
      </c>
      <c r="K471" s="178" t="s">
        <v>4769</v>
      </c>
      <c r="L471" s="178" t="s">
        <v>4808</v>
      </c>
      <c r="M471" s="178" t="str">
        <f t="shared" ref="M471:M491" si="20">IF('Ficha de exención para baterías'!$P$25&gt;0,'Ficha de exención para baterías'!$P$25," ")</f>
        <v>#REF!</v>
      </c>
      <c r="N471" s="185"/>
      <c r="O471" s="181" t="s">
        <v>4773</v>
      </c>
    </row>
    <row r="472" ht="14.25" customHeight="1">
      <c r="H472" s="179" t="str">
        <f t="shared" si="1"/>
        <v>#REF!</v>
      </c>
      <c r="I472" s="178" t="s">
        <v>4767</v>
      </c>
      <c r="J472" s="182" t="s">
        <v>4779</v>
      </c>
      <c r="K472" s="178" t="s">
        <v>4775</v>
      </c>
      <c r="L472" s="178" t="s">
        <v>4808</v>
      </c>
      <c r="M472" s="178" t="str">
        <f t="shared" si="20"/>
        <v>#REF!</v>
      </c>
      <c r="N472" s="185"/>
      <c r="O472" s="181" t="s">
        <v>4773</v>
      </c>
    </row>
    <row r="473" ht="14.25" customHeight="1">
      <c r="H473" s="179" t="str">
        <f t="shared" si="1"/>
        <v>#REF!</v>
      </c>
      <c r="I473" s="178" t="s">
        <v>4767</v>
      </c>
      <c r="J473" s="182" t="s">
        <v>4779</v>
      </c>
      <c r="K473" s="178" t="s">
        <v>4780</v>
      </c>
      <c r="L473" s="178" t="s">
        <v>4808</v>
      </c>
      <c r="M473" s="178" t="str">
        <f t="shared" si="20"/>
        <v>#REF!</v>
      </c>
      <c r="N473" s="185"/>
      <c r="O473" s="181" t="s">
        <v>4773</v>
      </c>
    </row>
    <row r="474" ht="14.25" customHeight="1">
      <c r="H474" s="179" t="str">
        <f t="shared" si="1"/>
        <v>#REF!</v>
      </c>
      <c r="I474" s="178" t="s">
        <v>4767</v>
      </c>
      <c r="J474" s="182" t="s">
        <v>4787</v>
      </c>
      <c r="K474" s="178" t="s">
        <v>4769</v>
      </c>
      <c r="L474" s="178" t="s">
        <v>4808</v>
      </c>
      <c r="M474" s="178" t="str">
        <f t="shared" si="20"/>
        <v>#REF!</v>
      </c>
      <c r="N474" s="185"/>
      <c r="O474" s="181" t="s">
        <v>4773</v>
      </c>
    </row>
    <row r="475" ht="14.25" customHeight="1">
      <c r="H475" s="179" t="str">
        <f t="shared" si="1"/>
        <v>#REF!</v>
      </c>
      <c r="I475" s="178" t="s">
        <v>4767</v>
      </c>
      <c r="J475" s="182" t="s">
        <v>4787</v>
      </c>
      <c r="K475" s="178" t="s">
        <v>4775</v>
      </c>
      <c r="L475" s="178" t="s">
        <v>4808</v>
      </c>
      <c r="M475" s="178" t="str">
        <f t="shared" si="20"/>
        <v>#REF!</v>
      </c>
      <c r="N475" s="185"/>
      <c r="O475" s="181" t="s">
        <v>4773</v>
      </c>
    </row>
    <row r="476" ht="14.25" customHeight="1">
      <c r="H476" s="179" t="str">
        <f t="shared" si="1"/>
        <v>#REF!</v>
      </c>
      <c r="I476" s="178" t="s">
        <v>4767</v>
      </c>
      <c r="J476" s="182" t="s">
        <v>4787</v>
      </c>
      <c r="K476" s="178" t="s">
        <v>4780</v>
      </c>
      <c r="L476" s="178" t="s">
        <v>4808</v>
      </c>
      <c r="M476" s="178" t="str">
        <f t="shared" si="20"/>
        <v>#REF!</v>
      </c>
      <c r="N476" s="185"/>
      <c r="O476" s="181" t="s">
        <v>4773</v>
      </c>
    </row>
    <row r="477" ht="14.25" customHeight="1">
      <c r="H477" s="179" t="str">
        <f t="shared" si="1"/>
        <v>#REF!</v>
      </c>
      <c r="I477" s="178" t="s">
        <v>4767</v>
      </c>
      <c r="J477" s="182" t="s">
        <v>4774</v>
      </c>
      <c r="K477" s="178" t="s">
        <v>4769</v>
      </c>
      <c r="L477" s="178" t="s">
        <v>4808</v>
      </c>
      <c r="M477" s="178" t="str">
        <f t="shared" si="20"/>
        <v>#REF!</v>
      </c>
      <c r="N477" s="185"/>
      <c r="O477" s="181" t="s">
        <v>4773</v>
      </c>
    </row>
    <row r="478" ht="14.25" customHeight="1">
      <c r="H478" s="179" t="str">
        <f t="shared" si="1"/>
        <v>#REF!</v>
      </c>
      <c r="I478" s="178" t="s">
        <v>4767</v>
      </c>
      <c r="J478" s="182" t="s">
        <v>4774</v>
      </c>
      <c r="K478" s="178" t="s">
        <v>4775</v>
      </c>
      <c r="L478" s="178" t="s">
        <v>4808</v>
      </c>
      <c r="M478" s="178" t="str">
        <f t="shared" si="20"/>
        <v>#REF!</v>
      </c>
      <c r="N478" s="185"/>
      <c r="O478" s="181" t="s">
        <v>4773</v>
      </c>
    </row>
    <row r="479" ht="14.25" customHeight="1">
      <c r="H479" s="179" t="str">
        <f t="shared" si="1"/>
        <v>#REF!</v>
      </c>
      <c r="I479" s="178" t="s">
        <v>4767</v>
      </c>
      <c r="J479" s="182" t="s">
        <v>4774</v>
      </c>
      <c r="K479" s="178" t="s">
        <v>4780</v>
      </c>
      <c r="L479" s="178" t="s">
        <v>4808</v>
      </c>
      <c r="M479" s="178" t="str">
        <f t="shared" si="20"/>
        <v>#REF!</v>
      </c>
      <c r="N479" s="185"/>
      <c r="O479" s="181" t="s">
        <v>4773</v>
      </c>
    </row>
    <row r="480" ht="14.25" customHeight="1">
      <c r="H480" s="179" t="str">
        <f t="shared" si="1"/>
        <v>#REF!</v>
      </c>
      <c r="I480" s="178" t="s">
        <v>4767</v>
      </c>
      <c r="J480" s="182" t="s">
        <v>4785</v>
      </c>
      <c r="K480" s="178" t="s">
        <v>4769</v>
      </c>
      <c r="L480" s="178" t="s">
        <v>4808</v>
      </c>
      <c r="M480" s="178" t="str">
        <f t="shared" si="20"/>
        <v>#REF!</v>
      </c>
      <c r="N480" s="185"/>
      <c r="O480" s="181" t="s">
        <v>4773</v>
      </c>
    </row>
    <row r="481" ht="14.25" customHeight="1">
      <c r="H481" s="179" t="str">
        <f t="shared" si="1"/>
        <v>#REF!</v>
      </c>
      <c r="I481" s="178" t="s">
        <v>4767</v>
      </c>
      <c r="J481" s="182" t="s">
        <v>4785</v>
      </c>
      <c r="K481" s="178" t="s">
        <v>4775</v>
      </c>
      <c r="L481" s="178" t="s">
        <v>4808</v>
      </c>
      <c r="M481" s="178" t="str">
        <f t="shared" si="20"/>
        <v>#REF!</v>
      </c>
      <c r="N481" s="185"/>
      <c r="O481" s="181" t="s">
        <v>4773</v>
      </c>
    </row>
    <row r="482" ht="14.25" customHeight="1">
      <c r="H482" s="179" t="str">
        <f t="shared" si="1"/>
        <v>#REF!</v>
      </c>
      <c r="I482" s="178" t="s">
        <v>4767</v>
      </c>
      <c r="J482" s="182" t="s">
        <v>4785</v>
      </c>
      <c r="K482" s="178" t="s">
        <v>4780</v>
      </c>
      <c r="L482" s="178" t="s">
        <v>4808</v>
      </c>
      <c r="M482" s="178" t="str">
        <f t="shared" si="20"/>
        <v>#REF!</v>
      </c>
      <c r="N482" s="185"/>
      <c r="O482" s="181" t="s">
        <v>4773</v>
      </c>
    </row>
    <row r="483" ht="14.25" customHeight="1">
      <c r="H483" s="179" t="str">
        <f t="shared" si="1"/>
        <v>#REF!</v>
      </c>
      <c r="I483" s="178" t="s">
        <v>4767</v>
      </c>
      <c r="J483" s="182" t="s">
        <v>4783</v>
      </c>
      <c r="K483" s="178" t="s">
        <v>4769</v>
      </c>
      <c r="L483" s="178" t="s">
        <v>4808</v>
      </c>
      <c r="M483" s="178" t="str">
        <f t="shared" si="20"/>
        <v>#REF!</v>
      </c>
      <c r="N483" s="185"/>
      <c r="O483" s="181" t="s">
        <v>4773</v>
      </c>
    </row>
    <row r="484" ht="14.25" customHeight="1">
      <c r="H484" s="179" t="str">
        <f t="shared" si="1"/>
        <v>#REF!</v>
      </c>
      <c r="I484" s="178" t="s">
        <v>4767</v>
      </c>
      <c r="J484" s="182" t="s">
        <v>4783</v>
      </c>
      <c r="K484" s="178" t="s">
        <v>4775</v>
      </c>
      <c r="L484" s="178" t="s">
        <v>4808</v>
      </c>
      <c r="M484" s="178" t="str">
        <f t="shared" si="20"/>
        <v>#REF!</v>
      </c>
      <c r="N484" s="185"/>
      <c r="O484" s="181" t="s">
        <v>4773</v>
      </c>
    </row>
    <row r="485" ht="14.25" customHeight="1">
      <c r="H485" s="179" t="str">
        <f t="shared" si="1"/>
        <v>#REF!</v>
      </c>
      <c r="I485" s="178" t="s">
        <v>4767</v>
      </c>
      <c r="J485" s="182" t="s">
        <v>4783</v>
      </c>
      <c r="K485" s="178" t="s">
        <v>4780</v>
      </c>
      <c r="L485" s="178" t="s">
        <v>4808</v>
      </c>
      <c r="M485" s="178" t="str">
        <f t="shared" si="20"/>
        <v>#REF!</v>
      </c>
      <c r="N485" s="185"/>
      <c r="O485" s="181" t="s">
        <v>4773</v>
      </c>
    </row>
    <row r="486" ht="14.25" customHeight="1">
      <c r="H486" s="179" t="str">
        <f t="shared" si="1"/>
        <v>#REF!</v>
      </c>
      <c r="I486" s="178" t="s">
        <v>4767</v>
      </c>
      <c r="J486" s="182" t="s">
        <v>4789</v>
      </c>
      <c r="K486" s="178" t="s">
        <v>4769</v>
      </c>
      <c r="L486" s="178" t="s">
        <v>4808</v>
      </c>
      <c r="M486" s="178" t="str">
        <f t="shared" si="20"/>
        <v>#REF!</v>
      </c>
      <c r="N486" s="185"/>
      <c r="O486" s="181" t="s">
        <v>4773</v>
      </c>
    </row>
    <row r="487" ht="14.25" customHeight="1">
      <c r="H487" s="179" t="str">
        <f t="shared" si="1"/>
        <v>#REF!</v>
      </c>
      <c r="I487" s="178" t="s">
        <v>4767</v>
      </c>
      <c r="J487" s="182" t="s">
        <v>4789</v>
      </c>
      <c r="K487" s="178" t="s">
        <v>4775</v>
      </c>
      <c r="L487" s="178" t="s">
        <v>4808</v>
      </c>
      <c r="M487" s="178" t="str">
        <f t="shared" si="20"/>
        <v>#REF!</v>
      </c>
      <c r="N487" s="185"/>
      <c r="O487" s="181" t="s">
        <v>4773</v>
      </c>
    </row>
    <row r="488" ht="14.25" customHeight="1">
      <c r="H488" s="179" t="str">
        <f t="shared" si="1"/>
        <v>#REF!</v>
      </c>
      <c r="I488" s="178" t="s">
        <v>4767</v>
      </c>
      <c r="J488" s="182" t="s">
        <v>4789</v>
      </c>
      <c r="K488" s="178" t="s">
        <v>4780</v>
      </c>
      <c r="L488" s="178" t="s">
        <v>4808</v>
      </c>
      <c r="M488" s="178" t="str">
        <f t="shared" si="20"/>
        <v>#REF!</v>
      </c>
      <c r="N488" s="185"/>
      <c r="O488" s="181" t="s">
        <v>4773</v>
      </c>
    </row>
    <row r="489" ht="14.25" customHeight="1">
      <c r="H489" s="179" t="str">
        <f t="shared" si="1"/>
        <v>#REF!</v>
      </c>
      <c r="I489" s="178" t="s">
        <v>4767</v>
      </c>
      <c r="J489" s="178" t="s">
        <v>4768</v>
      </c>
      <c r="K489" s="178" t="s">
        <v>4769</v>
      </c>
      <c r="L489" s="178" t="s">
        <v>4808</v>
      </c>
      <c r="M489" s="178" t="str">
        <f t="shared" si="20"/>
        <v>#REF!</v>
      </c>
      <c r="N489" s="185"/>
      <c r="O489" s="181" t="s">
        <v>4773</v>
      </c>
    </row>
    <row r="490" ht="14.25" customHeight="1">
      <c r="H490" s="179" t="str">
        <f t="shared" si="1"/>
        <v>#REF!</v>
      </c>
      <c r="I490" s="178" t="s">
        <v>4767</v>
      </c>
      <c r="J490" s="178" t="s">
        <v>4768</v>
      </c>
      <c r="K490" s="178" t="s">
        <v>4775</v>
      </c>
      <c r="L490" s="178" t="s">
        <v>4808</v>
      </c>
      <c r="M490" s="178" t="str">
        <f t="shared" si="20"/>
        <v>#REF!</v>
      </c>
      <c r="N490" s="185"/>
      <c r="O490" s="181" t="s">
        <v>4773</v>
      </c>
    </row>
    <row r="491" ht="14.25" customHeight="1">
      <c r="H491" s="179" t="str">
        <f t="shared" si="1"/>
        <v>#REF!</v>
      </c>
      <c r="I491" s="178" t="s">
        <v>4767</v>
      </c>
      <c r="J491" s="178" t="s">
        <v>4768</v>
      </c>
      <c r="K491" s="178" t="s">
        <v>4780</v>
      </c>
      <c r="L491" s="178" t="s">
        <v>4808</v>
      </c>
      <c r="M491" s="178" t="str">
        <f t="shared" si="20"/>
        <v>#REF!</v>
      </c>
      <c r="N491" s="185"/>
      <c r="O491" s="181" t="s">
        <v>4773</v>
      </c>
    </row>
    <row r="492" ht="14.25" customHeight="1">
      <c r="H492" s="179" t="str">
        <f t="shared" si="1"/>
        <v>#REF!</v>
      </c>
      <c r="I492" s="178" t="s">
        <v>4767</v>
      </c>
      <c r="J492" s="182" t="s">
        <v>4779</v>
      </c>
      <c r="K492" s="178" t="s">
        <v>4769</v>
      </c>
      <c r="L492" s="178" t="s">
        <v>4808</v>
      </c>
      <c r="M492" s="178" t="str">
        <f t="shared" ref="M492:M512" si="21">IF('Ficha de exención para baterías'!$P$26&gt;0,'Ficha de exención para baterías'!$P$26," ")</f>
        <v>#REF!</v>
      </c>
      <c r="N492" s="185"/>
      <c r="O492" s="181" t="s">
        <v>4773</v>
      </c>
    </row>
    <row r="493" ht="14.25" customHeight="1">
      <c r="H493" s="179" t="str">
        <f t="shared" si="1"/>
        <v>#REF!</v>
      </c>
      <c r="I493" s="178" t="s">
        <v>4767</v>
      </c>
      <c r="J493" s="182" t="s">
        <v>4779</v>
      </c>
      <c r="K493" s="178" t="s">
        <v>4775</v>
      </c>
      <c r="L493" s="178" t="s">
        <v>4808</v>
      </c>
      <c r="M493" s="178" t="str">
        <f t="shared" si="21"/>
        <v>#REF!</v>
      </c>
      <c r="N493" s="185"/>
      <c r="O493" s="181" t="s">
        <v>4773</v>
      </c>
    </row>
    <row r="494" ht="14.25" customHeight="1">
      <c r="H494" s="179" t="str">
        <f t="shared" si="1"/>
        <v>#REF!</v>
      </c>
      <c r="I494" s="178" t="s">
        <v>4767</v>
      </c>
      <c r="J494" s="182" t="s">
        <v>4779</v>
      </c>
      <c r="K494" s="178" t="s">
        <v>4780</v>
      </c>
      <c r="L494" s="178" t="s">
        <v>4808</v>
      </c>
      <c r="M494" s="178" t="str">
        <f t="shared" si="21"/>
        <v>#REF!</v>
      </c>
      <c r="N494" s="185"/>
      <c r="O494" s="181" t="s">
        <v>4773</v>
      </c>
    </row>
    <row r="495" ht="14.25" customHeight="1">
      <c r="H495" s="179" t="str">
        <f t="shared" si="1"/>
        <v>#REF!</v>
      </c>
      <c r="I495" s="178" t="s">
        <v>4767</v>
      </c>
      <c r="J495" s="182" t="s">
        <v>4787</v>
      </c>
      <c r="K495" s="178" t="s">
        <v>4769</v>
      </c>
      <c r="L495" s="178" t="s">
        <v>4808</v>
      </c>
      <c r="M495" s="178" t="str">
        <f t="shared" si="21"/>
        <v>#REF!</v>
      </c>
      <c r="N495" s="185"/>
      <c r="O495" s="181" t="s">
        <v>4773</v>
      </c>
    </row>
    <row r="496" ht="14.25" customHeight="1">
      <c r="H496" s="179" t="str">
        <f t="shared" si="1"/>
        <v>#REF!</v>
      </c>
      <c r="I496" s="178" t="s">
        <v>4767</v>
      </c>
      <c r="J496" s="182" t="s">
        <v>4787</v>
      </c>
      <c r="K496" s="178" t="s">
        <v>4775</v>
      </c>
      <c r="L496" s="178" t="s">
        <v>4808</v>
      </c>
      <c r="M496" s="178" t="str">
        <f t="shared" si="21"/>
        <v>#REF!</v>
      </c>
      <c r="N496" s="185"/>
      <c r="O496" s="181" t="s">
        <v>4773</v>
      </c>
    </row>
    <row r="497" ht="14.25" customHeight="1">
      <c r="H497" s="179" t="str">
        <f t="shared" si="1"/>
        <v>#REF!</v>
      </c>
      <c r="I497" s="178" t="s">
        <v>4767</v>
      </c>
      <c r="J497" s="182" t="s">
        <v>4787</v>
      </c>
      <c r="K497" s="178" t="s">
        <v>4780</v>
      </c>
      <c r="L497" s="178" t="s">
        <v>4808</v>
      </c>
      <c r="M497" s="178" t="str">
        <f t="shared" si="21"/>
        <v>#REF!</v>
      </c>
      <c r="N497" s="185"/>
      <c r="O497" s="181" t="s">
        <v>4773</v>
      </c>
    </row>
    <row r="498" ht="14.25" customHeight="1">
      <c r="H498" s="179" t="str">
        <f t="shared" si="1"/>
        <v>#REF!</v>
      </c>
      <c r="I498" s="178" t="s">
        <v>4767</v>
      </c>
      <c r="J498" s="182" t="s">
        <v>4774</v>
      </c>
      <c r="K498" s="178" t="s">
        <v>4769</v>
      </c>
      <c r="L498" s="178" t="s">
        <v>4808</v>
      </c>
      <c r="M498" s="178" t="str">
        <f t="shared" si="21"/>
        <v>#REF!</v>
      </c>
      <c r="N498" s="185"/>
      <c r="O498" s="181" t="s">
        <v>4773</v>
      </c>
    </row>
    <row r="499" ht="14.25" customHeight="1">
      <c r="H499" s="179" t="str">
        <f t="shared" si="1"/>
        <v>#REF!</v>
      </c>
      <c r="I499" s="178" t="s">
        <v>4767</v>
      </c>
      <c r="J499" s="182" t="s">
        <v>4774</v>
      </c>
      <c r="K499" s="178" t="s">
        <v>4775</v>
      </c>
      <c r="L499" s="178" t="s">
        <v>4808</v>
      </c>
      <c r="M499" s="178" t="str">
        <f t="shared" si="21"/>
        <v>#REF!</v>
      </c>
      <c r="N499" s="185"/>
      <c r="O499" s="181" t="s">
        <v>4773</v>
      </c>
    </row>
    <row r="500" ht="14.25" customHeight="1">
      <c r="H500" s="179" t="str">
        <f t="shared" si="1"/>
        <v>#REF!</v>
      </c>
      <c r="I500" s="178" t="s">
        <v>4767</v>
      </c>
      <c r="J500" s="182" t="s">
        <v>4774</v>
      </c>
      <c r="K500" s="178" t="s">
        <v>4780</v>
      </c>
      <c r="L500" s="178" t="s">
        <v>4808</v>
      </c>
      <c r="M500" s="178" t="str">
        <f t="shared" si="21"/>
        <v>#REF!</v>
      </c>
      <c r="N500" s="185"/>
      <c r="O500" s="181" t="s">
        <v>4773</v>
      </c>
    </row>
    <row r="501" ht="14.25" customHeight="1">
      <c r="H501" s="179" t="str">
        <f t="shared" si="1"/>
        <v>#REF!</v>
      </c>
      <c r="I501" s="178" t="s">
        <v>4767</v>
      </c>
      <c r="J501" s="182" t="s">
        <v>4785</v>
      </c>
      <c r="K501" s="178" t="s">
        <v>4769</v>
      </c>
      <c r="L501" s="178" t="s">
        <v>4808</v>
      </c>
      <c r="M501" s="178" t="str">
        <f t="shared" si="21"/>
        <v>#REF!</v>
      </c>
      <c r="N501" s="185"/>
      <c r="O501" s="181" t="s">
        <v>4773</v>
      </c>
    </row>
    <row r="502" ht="14.25" customHeight="1">
      <c r="H502" s="179" t="str">
        <f t="shared" si="1"/>
        <v>#REF!</v>
      </c>
      <c r="I502" s="178" t="s">
        <v>4767</v>
      </c>
      <c r="J502" s="182" t="s">
        <v>4785</v>
      </c>
      <c r="K502" s="178" t="s">
        <v>4775</v>
      </c>
      <c r="L502" s="178" t="s">
        <v>4808</v>
      </c>
      <c r="M502" s="178" t="str">
        <f t="shared" si="21"/>
        <v>#REF!</v>
      </c>
      <c r="N502" s="185"/>
      <c r="O502" s="181" t="s">
        <v>4773</v>
      </c>
    </row>
    <row r="503" ht="14.25" customHeight="1">
      <c r="H503" s="179" t="str">
        <f t="shared" si="1"/>
        <v>#REF!</v>
      </c>
      <c r="I503" s="178" t="s">
        <v>4767</v>
      </c>
      <c r="J503" s="182" t="s">
        <v>4785</v>
      </c>
      <c r="K503" s="178" t="s">
        <v>4780</v>
      </c>
      <c r="L503" s="178" t="s">
        <v>4808</v>
      </c>
      <c r="M503" s="178" t="str">
        <f t="shared" si="21"/>
        <v>#REF!</v>
      </c>
      <c r="N503" s="185"/>
      <c r="O503" s="181" t="s">
        <v>4773</v>
      </c>
    </row>
    <row r="504" ht="14.25" customHeight="1">
      <c r="H504" s="179" t="str">
        <f t="shared" si="1"/>
        <v>#REF!</v>
      </c>
      <c r="I504" s="178" t="s">
        <v>4767</v>
      </c>
      <c r="J504" s="182" t="s">
        <v>4783</v>
      </c>
      <c r="K504" s="178" t="s">
        <v>4769</v>
      </c>
      <c r="L504" s="178" t="s">
        <v>4808</v>
      </c>
      <c r="M504" s="178" t="str">
        <f t="shared" si="21"/>
        <v>#REF!</v>
      </c>
      <c r="N504" s="185"/>
      <c r="O504" s="181" t="s">
        <v>4773</v>
      </c>
    </row>
    <row r="505" ht="14.25" customHeight="1">
      <c r="H505" s="179" t="str">
        <f t="shared" si="1"/>
        <v>#REF!</v>
      </c>
      <c r="I505" s="178" t="s">
        <v>4767</v>
      </c>
      <c r="J505" s="182" t="s">
        <v>4783</v>
      </c>
      <c r="K505" s="178" t="s">
        <v>4775</v>
      </c>
      <c r="L505" s="178" t="s">
        <v>4808</v>
      </c>
      <c r="M505" s="178" t="str">
        <f t="shared" si="21"/>
        <v>#REF!</v>
      </c>
      <c r="N505" s="185"/>
      <c r="O505" s="181" t="s">
        <v>4773</v>
      </c>
    </row>
    <row r="506" ht="14.25" customHeight="1">
      <c r="H506" s="179" t="str">
        <f t="shared" si="1"/>
        <v>#REF!</v>
      </c>
      <c r="I506" s="178" t="s">
        <v>4767</v>
      </c>
      <c r="J506" s="182" t="s">
        <v>4783</v>
      </c>
      <c r="K506" s="178" t="s">
        <v>4780</v>
      </c>
      <c r="L506" s="178" t="s">
        <v>4808</v>
      </c>
      <c r="M506" s="178" t="str">
        <f t="shared" si="21"/>
        <v>#REF!</v>
      </c>
      <c r="N506" s="185"/>
      <c r="O506" s="181" t="s">
        <v>4773</v>
      </c>
    </row>
    <row r="507" ht="14.25" customHeight="1">
      <c r="H507" s="179" t="str">
        <f t="shared" si="1"/>
        <v>#REF!</v>
      </c>
      <c r="I507" s="178" t="s">
        <v>4767</v>
      </c>
      <c r="J507" s="182" t="s">
        <v>4789</v>
      </c>
      <c r="K507" s="178" t="s">
        <v>4769</v>
      </c>
      <c r="L507" s="178" t="s">
        <v>4808</v>
      </c>
      <c r="M507" s="178" t="str">
        <f t="shared" si="21"/>
        <v>#REF!</v>
      </c>
      <c r="N507" s="185"/>
      <c r="O507" s="181" t="s">
        <v>4773</v>
      </c>
    </row>
    <row r="508" ht="14.25" customHeight="1">
      <c r="H508" s="179" t="str">
        <f t="shared" si="1"/>
        <v>#REF!</v>
      </c>
      <c r="I508" s="178" t="s">
        <v>4767</v>
      </c>
      <c r="J508" s="182" t="s">
        <v>4789</v>
      </c>
      <c r="K508" s="178" t="s">
        <v>4775</v>
      </c>
      <c r="L508" s="178" t="s">
        <v>4808</v>
      </c>
      <c r="M508" s="178" t="str">
        <f t="shared" si="21"/>
        <v>#REF!</v>
      </c>
      <c r="N508" s="185"/>
      <c r="O508" s="181" t="s">
        <v>4773</v>
      </c>
    </row>
    <row r="509" ht="14.25" customHeight="1">
      <c r="H509" s="179" t="str">
        <f t="shared" si="1"/>
        <v>#REF!</v>
      </c>
      <c r="I509" s="178" t="s">
        <v>4767</v>
      </c>
      <c r="J509" s="182" t="s">
        <v>4789</v>
      </c>
      <c r="K509" s="178" t="s">
        <v>4780</v>
      </c>
      <c r="L509" s="178" t="s">
        <v>4808</v>
      </c>
      <c r="M509" s="178" t="str">
        <f t="shared" si="21"/>
        <v>#REF!</v>
      </c>
      <c r="N509" s="185"/>
      <c r="O509" s="181" t="s">
        <v>4773</v>
      </c>
    </row>
    <row r="510" ht="14.25" customHeight="1">
      <c r="H510" s="179" t="str">
        <f t="shared" si="1"/>
        <v>#REF!</v>
      </c>
      <c r="I510" s="178" t="s">
        <v>4767</v>
      </c>
      <c r="J510" s="178" t="s">
        <v>4768</v>
      </c>
      <c r="K510" s="178" t="s">
        <v>4769</v>
      </c>
      <c r="L510" s="178" t="s">
        <v>4808</v>
      </c>
      <c r="M510" s="178" t="str">
        <f t="shared" si="21"/>
        <v>#REF!</v>
      </c>
      <c r="N510" s="185"/>
      <c r="O510" s="181" t="s">
        <v>4773</v>
      </c>
    </row>
    <row r="511" ht="14.25" customHeight="1">
      <c r="H511" s="179" t="str">
        <f t="shared" si="1"/>
        <v>#REF!</v>
      </c>
      <c r="I511" s="178" t="s">
        <v>4767</v>
      </c>
      <c r="J511" s="178" t="s">
        <v>4768</v>
      </c>
      <c r="K511" s="178" t="s">
        <v>4775</v>
      </c>
      <c r="L511" s="178" t="s">
        <v>4808</v>
      </c>
      <c r="M511" s="178" t="str">
        <f t="shared" si="21"/>
        <v>#REF!</v>
      </c>
      <c r="N511" s="185"/>
      <c r="O511" s="181" t="s">
        <v>4773</v>
      </c>
    </row>
    <row r="512" ht="14.25" customHeight="1">
      <c r="H512" s="179" t="str">
        <f t="shared" si="1"/>
        <v>#REF!</v>
      </c>
      <c r="I512" s="178" t="s">
        <v>4767</v>
      </c>
      <c r="J512" s="178" t="s">
        <v>4768</v>
      </c>
      <c r="K512" s="178" t="s">
        <v>4780</v>
      </c>
      <c r="L512" s="178" t="s">
        <v>4808</v>
      </c>
      <c r="M512" s="178" t="str">
        <f t="shared" si="21"/>
        <v>#REF!</v>
      </c>
      <c r="N512" s="185"/>
      <c r="O512" s="181" t="s">
        <v>4773</v>
      </c>
    </row>
    <row r="513" ht="14.25" customHeight="1">
      <c r="H513" s="179" t="str">
        <f t="shared" si="1"/>
        <v>#REF!</v>
      </c>
      <c r="I513" s="178" t="s">
        <v>4767</v>
      </c>
      <c r="J513" s="182" t="s">
        <v>4779</v>
      </c>
      <c r="K513" s="178" t="s">
        <v>4769</v>
      </c>
      <c r="L513" s="178" t="s">
        <v>4808</v>
      </c>
      <c r="M513" s="178" t="str">
        <f t="shared" ref="M513:M533" si="22">IF('Ficha de exención para baterías'!$P$27&gt;0,'Ficha de exención para baterías'!$P$27," ")</f>
        <v>#REF!</v>
      </c>
      <c r="N513" s="185"/>
      <c r="O513" s="181" t="s">
        <v>4773</v>
      </c>
    </row>
    <row r="514" ht="14.25" customHeight="1">
      <c r="H514" s="179" t="str">
        <f t="shared" si="1"/>
        <v>#REF!</v>
      </c>
      <c r="I514" s="178" t="s">
        <v>4767</v>
      </c>
      <c r="J514" s="182" t="s">
        <v>4779</v>
      </c>
      <c r="K514" s="178" t="s">
        <v>4775</v>
      </c>
      <c r="L514" s="178" t="s">
        <v>4808</v>
      </c>
      <c r="M514" s="178" t="str">
        <f t="shared" si="22"/>
        <v>#REF!</v>
      </c>
      <c r="N514" s="185"/>
      <c r="O514" s="181" t="s">
        <v>4773</v>
      </c>
    </row>
    <row r="515" ht="14.25" customHeight="1">
      <c r="H515" s="179" t="str">
        <f t="shared" si="1"/>
        <v>#REF!</v>
      </c>
      <c r="I515" s="178" t="s">
        <v>4767</v>
      </c>
      <c r="J515" s="182" t="s">
        <v>4779</v>
      </c>
      <c r="K515" s="178" t="s">
        <v>4780</v>
      </c>
      <c r="L515" s="178" t="s">
        <v>4808</v>
      </c>
      <c r="M515" s="178" t="str">
        <f t="shared" si="22"/>
        <v>#REF!</v>
      </c>
      <c r="N515" s="185"/>
      <c r="O515" s="181" t="s">
        <v>4773</v>
      </c>
    </row>
    <row r="516" ht="14.25" customHeight="1">
      <c r="H516" s="179" t="str">
        <f t="shared" si="1"/>
        <v>#REF!</v>
      </c>
      <c r="I516" s="178" t="s">
        <v>4767</v>
      </c>
      <c r="J516" s="182" t="s">
        <v>4787</v>
      </c>
      <c r="K516" s="178" t="s">
        <v>4769</v>
      </c>
      <c r="L516" s="178" t="s">
        <v>4808</v>
      </c>
      <c r="M516" s="178" t="str">
        <f t="shared" si="22"/>
        <v>#REF!</v>
      </c>
      <c r="N516" s="185"/>
      <c r="O516" s="181" t="s">
        <v>4773</v>
      </c>
    </row>
    <row r="517" ht="14.25" customHeight="1">
      <c r="H517" s="179" t="str">
        <f t="shared" si="1"/>
        <v>#REF!</v>
      </c>
      <c r="I517" s="178" t="s">
        <v>4767</v>
      </c>
      <c r="J517" s="182" t="s">
        <v>4787</v>
      </c>
      <c r="K517" s="178" t="s">
        <v>4775</v>
      </c>
      <c r="L517" s="178" t="s">
        <v>4808</v>
      </c>
      <c r="M517" s="178" t="str">
        <f t="shared" si="22"/>
        <v>#REF!</v>
      </c>
      <c r="N517" s="185"/>
      <c r="O517" s="181" t="s">
        <v>4773</v>
      </c>
    </row>
    <row r="518" ht="14.25" customHeight="1">
      <c r="H518" s="179" t="str">
        <f t="shared" si="1"/>
        <v>#REF!</v>
      </c>
      <c r="I518" s="178" t="s">
        <v>4767</v>
      </c>
      <c r="J518" s="182" t="s">
        <v>4787</v>
      </c>
      <c r="K518" s="178" t="s">
        <v>4780</v>
      </c>
      <c r="L518" s="178" t="s">
        <v>4808</v>
      </c>
      <c r="M518" s="178" t="str">
        <f t="shared" si="22"/>
        <v>#REF!</v>
      </c>
      <c r="N518" s="185"/>
      <c r="O518" s="181" t="s">
        <v>4773</v>
      </c>
    </row>
    <row r="519" ht="14.25" customHeight="1">
      <c r="H519" s="179" t="str">
        <f t="shared" si="1"/>
        <v>#REF!</v>
      </c>
      <c r="I519" s="178" t="s">
        <v>4767</v>
      </c>
      <c r="J519" s="182" t="s">
        <v>4774</v>
      </c>
      <c r="K519" s="178" t="s">
        <v>4769</v>
      </c>
      <c r="L519" s="178" t="s">
        <v>4808</v>
      </c>
      <c r="M519" s="178" t="str">
        <f t="shared" si="22"/>
        <v>#REF!</v>
      </c>
      <c r="N519" s="185"/>
      <c r="O519" s="181" t="s">
        <v>4773</v>
      </c>
    </row>
    <row r="520" ht="14.25" customHeight="1">
      <c r="H520" s="179" t="str">
        <f t="shared" si="1"/>
        <v>#REF!</v>
      </c>
      <c r="I520" s="178" t="s">
        <v>4767</v>
      </c>
      <c r="J520" s="182" t="s">
        <v>4774</v>
      </c>
      <c r="K520" s="178" t="s">
        <v>4775</v>
      </c>
      <c r="L520" s="178" t="s">
        <v>4808</v>
      </c>
      <c r="M520" s="178" t="str">
        <f t="shared" si="22"/>
        <v>#REF!</v>
      </c>
      <c r="N520" s="185"/>
      <c r="O520" s="181" t="s">
        <v>4773</v>
      </c>
    </row>
    <row r="521" ht="14.25" customHeight="1">
      <c r="H521" s="179" t="str">
        <f t="shared" si="1"/>
        <v>#REF!</v>
      </c>
      <c r="I521" s="178" t="s">
        <v>4767</v>
      </c>
      <c r="J521" s="182" t="s">
        <v>4774</v>
      </c>
      <c r="K521" s="178" t="s">
        <v>4780</v>
      </c>
      <c r="L521" s="178" t="s">
        <v>4808</v>
      </c>
      <c r="M521" s="178" t="str">
        <f t="shared" si="22"/>
        <v>#REF!</v>
      </c>
      <c r="N521" s="185"/>
      <c r="O521" s="181" t="s">
        <v>4773</v>
      </c>
    </row>
    <row r="522" ht="14.25" customHeight="1">
      <c r="H522" s="179" t="str">
        <f t="shared" si="1"/>
        <v>#REF!</v>
      </c>
      <c r="I522" s="178" t="s">
        <v>4767</v>
      </c>
      <c r="J522" s="182" t="s">
        <v>4785</v>
      </c>
      <c r="K522" s="178" t="s">
        <v>4769</v>
      </c>
      <c r="L522" s="178" t="s">
        <v>4808</v>
      </c>
      <c r="M522" s="178" t="str">
        <f t="shared" si="22"/>
        <v>#REF!</v>
      </c>
      <c r="N522" s="185"/>
      <c r="O522" s="181" t="s">
        <v>4773</v>
      </c>
    </row>
    <row r="523" ht="14.25" customHeight="1">
      <c r="H523" s="179" t="str">
        <f t="shared" si="1"/>
        <v>#REF!</v>
      </c>
      <c r="I523" s="178" t="s">
        <v>4767</v>
      </c>
      <c r="J523" s="182" t="s">
        <v>4785</v>
      </c>
      <c r="K523" s="178" t="s">
        <v>4775</v>
      </c>
      <c r="L523" s="178" t="s">
        <v>4808</v>
      </c>
      <c r="M523" s="178" t="str">
        <f t="shared" si="22"/>
        <v>#REF!</v>
      </c>
      <c r="N523" s="185"/>
      <c r="O523" s="181" t="s">
        <v>4773</v>
      </c>
    </row>
    <row r="524" ht="14.25" customHeight="1">
      <c r="H524" s="179" t="str">
        <f t="shared" si="1"/>
        <v>#REF!</v>
      </c>
      <c r="I524" s="178" t="s">
        <v>4767</v>
      </c>
      <c r="J524" s="182" t="s">
        <v>4785</v>
      </c>
      <c r="K524" s="178" t="s">
        <v>4780</v>
      </c>
      <c r="L524" s="178" t="s">
        <v>4808</v>
      </c>
      <c r="M524" s="178" t="str">
        <f t="shared" si="22"/>
        <v>#REF!</v>
      </c>
      <c r="N524" s="185"/>
      <c r="O524" s="181" t="s">
        <v>4773</v>
      </c>
    </row>
    <row r="525" ht="14.25" customHeight="1">
      <c r="H525" s="179" t="str">
        <f t="shared" si="1"/>
        <v>#REF!</v>
      </c>
      <c r="I525" s="178" t="s">
        <v>4767</v>
      </c>
      <c r="J525" s="182" t="s">
        <v>4783</v>
      </c>
      <c r="K525" s="178" t="s">
        <v>4769</v>
      </c>
      <c r="L525" s="178" t="s">
        <v>4808</v>
      </c>
      <c r="M525" s="178" t="str">
        <f t="shared" si="22"/>
        <v>#REF!</v>
      </c>
      <c r="N525" s="185"/>
      <c r="O525" s="181" t="s">
        <v>4773</v>
      </c>
    </row>
    <row r="526" ht="14.25" customHeight="1">
      <c r="H526" s="179" t="str">
        <f t="shared" si="1"/>
        <v>#REF!</v>
      </c>
      <c r="I526" s="178" t="s">
        <v>4767</v>
      </c>
      <c r="J526" s="182" t="s">
        <v>4783</v>
      </c>
      <c r="K526" s="178" t="s">
        <v>4775</v>
      </c>
      <c r="L526" s="178" t="s">
        <v>4808</v>
      </c>
      <c r="M526" s="178" t="str">
        <f t="shared" si="22"/>
        <v>#REF!</v>
      </c>
      <c r="N526" s="185"/>
      <c r="O526" s="181" t="s">
        <v>4773</v>
      </c>
    </row>
    <row r="527" ht="14.25" customHeight="1">
      <c r="H527" s="179" t="str">
        <f t="shared" si="1"/>
        <v>#REF!</v>
      </c>
      <c r="I527" s="178" t="s">
        <v>4767</v>
      </c>
      <c r="J527" s="182" t="s">
        <v>4783</v>
      </c>
      <c r="K527" s="178" t="s">
        <v>4780</v>
      </c>
      <c r="L527" s="178" t="s">
        <v>4808</v>
      </c>
      <c r="M527" s="178" t="str">
        <f t="shared" si="22"/>
        <v>#REF!</v>
      </c>
      <c r="N527" s="185"/>
      <c r="O527" s="181" t="s">
        <v>4773</v>
      </c>
    </row>
    <row r="528" ht="14.25" customHeight="1">
      <c r="H528" s="179" t="str">
        <f t="shared" si="1"/>
        <v>#REF!</v>
      </c>
      <c r="I528" s="178" t="s">
        <v>4767</v>
      </c>
      <c r="J528" s="182" t="s">
        <v>4789</v>
      </c>
      <c r="K528" s="178" t="s">
        <v>4769</v>
      </c>
      <c r="L528" s="178" t="s">
        <v>4808</v>
      </c>
      <c r="M528" s="178" t="str">
        <f t="shared" si="22"/>
        <v>#REF!</v>
      </c>
      <c r="N528" s="185"/>
      <c r="O528" s="181" t="s">
        <v>4773</v>
      </c>
    </row>
    <row r="529" ht="14.25" customHeight="1">
      <c r="H529" s="179" t="str">
        <f t="shared" si="1"/>
        <v>#REF!</v>
      </c>
      <c r="I529" s="178" t="s">
        <v>4767</v>
      </c>
      <c r="J529" s="182" t="s">
        <v>4789</v>
      </c>
      <c r="K529" s="178" t="s">
        <v>4775</v>
      </c>
      <c r="L529" s="178" t="s">
        <v>4808</v>
      </c>
      <c r="M529" s="178" t="str">
        <f t="shared" si="22"/>
        <v>#REF!</v>
      </c>
      <c r="N529" s="185"/>
      <c r="O529" s="181" t="s">
        <v>4773</v>
      </c>
    </row>
    <row r="530" ht="14.25" customHeight="1">
      <c r="H530" s="179" t="str">
        <f t="shared" si="1"/>
        <v>#REF!</v>
      </c>
      <c r="I530" s="178" t="s">
        <v>4767</v>
      </c>
      <c r="J530" s="182" t="s">
        <v>4789</v>
      </c>
      <c r="K530" s="178" t="s">
        <v>4780</v>
      </c>
      <c r="L530" s="178" t="s">
        <v>4808</v>
      </c>
      <c r="M530" s="178" t="str">
        <f t="shared" si="22"/>
        <v>#REF!</v>
      </c>
      <c r="N530" s="185"/>
      <c r="O530" s="181" t="s">
        <v>4773</v>
      </c>
    </row>
    <row r="531" ht="14.25" customHeight="1">
      <c r="H531" s="179" t="str">
        <f t="shared" si="1"/>
        <v>#REF!</v>
      </c>
      <c r="I531" s="178" t="s">
        <v>4767</v>
      </c>
      <c r="J531" s="178" t="s">
        <v>4768</v>
      </c>
      <c r="K531" s="178" t="s">
        <v>4769</v>
      </c>
      <c r="L531" s="178" t="s">
        <v>4808</v>
      </c>
      <c r="M531" s="178" t="str">
        <f t="shared" si="22"/>
        <v>#REF!</v>
      </c>
      <c r="N531" s="185"/>
      <c r="O531" s="181" t="s">
        <v>4773</v>
      </c>
    </row>
    <row r="532" ht="14.25" customHeight="1">
      <c r="H532" s="179" t="str">
        <f t="shared" si="1"/>
        <v>#REF!</v>
      </c>
      <c r="I532" s="178" t="s">
        <v>4767</v>
      </c>
      <c r="J532" s="178" t="s">
        <v>4768</v>
      </c>
      <c r="K532" s="178" t="s">
        <v>4775</v>
      </c>
      <c r="L532" s="178" t="s">
        <v>4808</v>
      </c>
      <c r="M532" s="178" t="str">
        <f t="shared" si="22"/>
        <v>#REF!</v>
      </c>
      <c r="N532" s="185"/>
      <c r="O532" s="181" t="s">
        <v>4773</v>
      </c>
    </row>
    <row r="533" ht="14.25" customHeight="1">
      <c r="H533" s="179" t="str">
        <f t="shared" si="1"/>
        <v>#REF!</v>
      </c>
      <c r="I533" s="178" t="s">
        <v>4767</v>
      </c>
      <c r="J533" s="178" t="s">
        <v>4768</v>
      </c>
      <c r="K533" s="178" t="s">
        <v>4780</v>
      </c>
      <c r="L533" s="178" t="s">
        <v>4808</v>
      </c>
      <c r="M533" s="178" t="str">
        <f t="shared" si="22"/>
        <v>#REF!</v>
      </c>
      <c r="N533" s="185"/>
      <c r="O533" s="181" t="s">
        <v>4773</v>
      </c>
    </row>
    <row r="534" ht="14.25" customHeight="1">
      <c r="H534" s="179" t="str">
        <f t="shared" si="1"/>
        <v>#REF!</v>
      </c>
      <c r="I534" s="178" t="s">
        <v>4767</v>
      </c>
      <c r="J534" s="182" t="s">
        <v>4779</v>
      </c>
      <c r="K534" s="178" t="s">
        <v>4769</v>
      </c>
      <c r="L534" s="178" t="s">
        <v>4808</v>
      </c>
      <c r="M534" s="178" t="str">
        <f t="shared" ref="M534:M554" si="23">IF('Ficha de exención para baterías'!$P$28&gt;0,'Ficha de exención para baterías'!$P$28," ")</f>
        <v>#REF!</v>
      </c>
      <c r="N534" s="185"/>
      <c r="O534" s="181" t="s">
        <v>4773</v>
      </c>
    </row>
    <row r="535" ht="14.25" customHeight="1">
      <c r="H535" s="179" t="str">
        <f t="shared" si="1"/>
        <v>#REF!</v>
      </c>
      <c r="I535" s="178" t="s">
        <v>4767</v>
      </c>
      <c r="J535" s="182" t="s">
        <v>4779</v>
      </c>
      <c r="K535" s="178" t="s">
        <v>4775</v>
      </c>
      <c r="L535" s="178" t="s">
        <v>4808</v>
      </c>
      <c r="M535" s="178" t="str">
        <f t="shared" si="23"/>
        <v>#REF!</v>
      </c>
      <c r="N535" s="185"/>
      <c r="O535" s="181" t="s">
        <v>4773</v>
      </c>
    </row>
    <row r="536" ht="14.25" customHeight="1">
      <c r="H536" s="179" t="str">
        <f t="shared" si="1"/>
        <v>#REF!</v>
      </c>
      <c r="I536" s="178" t="s">
        <v>4767</v>
      </c>
      <c r="J536" s="182" t="s">
        <v>4779</v>
      </c>
      <c r="K536" s="178" t="s">
        <v>4780</v>
      </c>
      <c r="L536" s="178" t="s">
        <v>4808</v>
      </c>
      <c r="M536" s="178" t="str">
        <f t="shared" si="23"/>
        <v>#REF!</v>
      </c>
      <c r="N536" s="185"/>
      <c r="O536" s="181" t="s">
        <v>4773</v>
      </c>
    </row>
    <row r="537" ht="14.25" customHeight="1">
      <c r="H537" s="179" t="str">
        <f t="shared" si="1"/>
        <v>#REF!</v>
      </c>
      <c r="I537" s="178" t="s">
        <v>4767</v>
      </c>
      <c r="J537" s="182" t="s">
        <v>4787</v>
      </c>
      <c r="K537" s="178" t="s">
        <v>4769</v>
      </c>
      <c r="L537" s="178" t="s">
        <v>4808</v>
      </c>
      <c r="M537" s="178" t="str">
        <f t="shared" si="23"/>
        <v>#REF!</v>
      </c>
      <c r="N537" s="185"/>
      <c r="O537" s="181" t="s">
        <v>4773</v>
      </c>
    </row>
    <row r="538" ht="14.25" customHeight="1">
      <c r="H538" s="179" t="str">
        <f t="shared" si="1"/>
        <v>#REF!</v>
      </c>
      <c r="I538" s="178" t="s">
        <v>4767</v>
      </c>
      <c r="J538" s="182" t="s">
        <v>4787</v>
      </c>
      <c r="K538" s="178" t="s">
        <v>4775</v>
      </c>
      <c r="L538" s="178" t="s">
        <v>4808</v>
      </c>
      <c r="M538" s="178" t="str">
        <f t="shared" si="23"/>
        <v>#REF!</v>
      </c>
      <c r="N538" s="185"/>
      <c r="O538" s="181" t="s">
        <v>4773</v>
      </c>
    </row>
    <row r="539" ht="14.25" customHeight="1">
      <c r="H539" s="179" t="str">
        <f t="shared" si="1"/>
        <v>#REF!</v>
      </c>
      <c r="I539" s="178" t="s">
        <v>4767</v>
      </c>
      <c r="J539" s="182" t="s">
        <v>4787</v>
      </c>
      <c r="K539" s="178" t="s">
        <v>4780</v>
      </c>
      <c r="L539" s="178" t="s">
        <v>4808</v>
      </c>
      <c r="M539" s="178" t="str">
        <f t="shared" si="23"/>
        <v>#REF!</v>
      </c>
      <c r="N539" s="185"/>
      <c r="O539" s="181" t="s">
        <v>4773</v>
      </c>
    </row>
    <row r="540" ht="14.25" customHeight="1">
      <c r="H540" s="179" t="str">
        <f t="shared" si="1"/>
        <v>#REF!</v>
      </c>
      <c r="I540" s="178" t="s">
        <v>4767</v>
      </c>
      <c r="J540" s="182" t="s">
        <v>4774</v>
      </c>
      <c r="K540" s="178" t="s">
        <v>4769</v>
      </c>
      <c r="L540" s="178" t="s">
        <v>4808</v>
      </c>
      <c r="M540" s="178" t="str">
        <f t="shared" si="23"/>
        <v>#REF!</v>
      </c>
      <c r="N540" s="185"/>
      <c r="O540" s="181" t="s">
        <v>4773</v>
      </c>
    </row>
    <row r="541" ht="14.25" customHeight="1">
      <c r="H541" s="179" t="str">
        <f t="shared" si="1"/>
        <v>#REF!</v>
      </c>
      <c r="I541" s="178" t="s">
        <v>4767</v>
      </c>
      <c r="J541" s="182" t="s">
        <v>4774</v>
      </c>
      <c r="K541" s="178" t="s">
        <v>4775</v>
      </c>
      <c r="L541" s="178" t="s">
        <v>4808</v>
      </c>
      <c r="M541" s="178" t="str">
        <f t="shared" si="23"/>
        <v>#REF!</v>
      </c>
      <c r="N541" s="185"/>
      <c r="O541" s="181" t="s">
        <v>4773</v>
      </c>
    </row>
    <row r="542" ht="14.25" customHeight="1">
      <c r="H542" s="179" t="str">
        <f t="shared" si="1"/>
        <v>#REF!</v>
      </c>
      <c r="I542" s="178" t="s">
        <v>4767</v>
      </c>
      <c r="J542" s="182" t="s">
        <v>4774</v>
      </c>
      <c r="K542" s="178" t="s">
        <v>4780</v>
      </c>
      <c r="L542" s="178" t="s">
        <v>4808</v>
      </c>
      <c r="M542" s="178" t="str">
        <f t="shared" si="23"/>
        <v>#REF!</v>
      </c>
      <c r="N542" s="185"/>
      <c r="O542" s="181" t="s">
        <v>4773</v>
      </c>
    </row>
    <row r="543" ht="14.25" customHeight="1">
      <c r="H543" s="179" t="str">
        <f t="shared" si="1"/>
        <v>#REF!</v>
      </c>
      <c r="I543" s="178" t="s">
        <v>4767</v>
      </c>
      <c r="J543" s="182" t="s">
        <v>4785</v>
      </c>
      <c r="K543" s="178" t="s">
        <v>4769</v>
      </c>
      <c r="L543" s="178" t="s">
        <v>4808</v>
      </c>
      <c r="M543" s="178" t="str">
        <f t="shared" si="23"/>
        <v>#REF!</v>
      </c>
      <c r="N543" s="185"/>
      <c r="O543" s="181" t="s">
        <v>4773</v>
      </c>
    </row>
    <row r="544" ht="14.25" customHeight="1">
      <c r="H544" s="179" t="str">
        <f t="shared" si="1"/>
        <v>#REF!</v>
      </c>
      <c r="I544" s="178" t="s">
        <v>4767</v>
      </c>
      <c r="J544" s="182" t="s">
        <v>4785</v>
      </c>
      <c r="K544" s="178" t="s">
        <v>4775</v>
      </c>
      <c r="L544" s="178" t="s">
        <v>4808</v>
      </c>
      <c r="M544" s="178" t="str">
        <f t="shared" si="23"/>
        <v>#REF!</v>
      </c>
      <c r="N544" s="185"/>
      <c r="O544" s="181" t="s">
        <v>4773</v>
      </c>
    </row>
    <row r="545" ht="14.25" customHeight="1">
      <c r="H545" s="179" t="str">
        <f t="shared" si="1"/>
        <v>#REF!</v>
      </c>
      <c r="I545" s="178" t="s">
        <v>4767</v>
      </c>
      <c r="J545" s="182" t="s">
        <v>4785</v>
      </c>
      <c r="K545" s="178" t="s">
        <v>4780</v>
      </c>
      <c r="L545" s="178" t="s">
        <v>4808</v>
      </c>
      <c r="M545" s="178" t="str">
        <f t="shared" si="23"/>
        <v>#REF!</v>
      </c>
      <c r="N545" s="185"/>
      <c r="O545" s="181" t="s">
        <v>4773</v>
      </c>
    </row>
    <row r="546" ht="14.25" customHeight="1">
      <c r="H546" s="179" t="str">
        <f t="shared" si="1"/>
        <v>#REF!</v>
      </c>
      <c r="I546" s="178" t="s">
        <v>4767</v>
      </c>
      <c r="J546" s="182" t="s">
        <v>4783</v>
      </c>
      <c r="K546" s="178" t="s">
        <v>4769</v>
      </c>
      <c r="L546" s="178" t="s">
        <v>4808</v>
      </c>
      <c r="M546" s="178" t="str">
        <f t="shared" si="23"/>
        <v>#REF!</v>
      </c>
      <c r="N546" s="185"/>
      <c r="O546" s="181" t="s">
        <v>4773</v>
      </c>
    </row>
    <row r="547" ht="14.25" customHeight="1">
      <c r="H547" s="179" t="str">
        <f t="shared" si="1"/>
        <v>#REF!</v>
      </c>
      <c r="I547" s="178" t="s">
        <v>4767</v>
      </c>
      <c r="J547" s="182" t="s">
        <v>4783</v>
      </c>
      <c r="K547" s="178" t="s">
        <v>4775</v>
      </c>
      <c r="L547" s="178" t="s">
        <v>4808</v>
      </c>
      <c r="M547" s="178" t="str">
        <f t="shared" si="23"/>
        <v>#REF!</v>
      </c>
      <c r="N547" s="185"/>
      <c r="O547" s="181" t="s">
        <v>4773</v>
      </c>
    </row>
    <row r="548" ht="14.25" customHeight="1">
      <c r="H548" s="179" t="str">
        <f t="shared" si="1"/>
        <v>#REF!</v>
      </c>
      <c r="I548" s="178" t="s">
        <v>4767</v>
      </c>
      <c r="J548" s="182" t="s">
        <v>4783</v>
      </c>
      <c r="K548" s="178" t="s">
        <v>4780</v>
      </c>
      <c r="L548" s="178" t="s">
        <v>4808</v>
      </c>
      <c r="M548" s="178" t="str">
        <f t="shared" si="23"/>
        <v>#REF!</v>
      </c>
      <c r="N548" s="185"/>
      <c r="O548" s="181" t="s">
        <v>4773</v>
      </c>
    </row>
    <row r="549" ht="14.25" customHeight="1">
      <c r="H549" s="179" t="str">
        <f t="shared" si="1"/>
        <v>#REF!</v>
      </c>
      <c r="I549" s="178" t="s">
        <v>4767</v>
      </c>
      <c r="J549" s="182" t="s">
        <v>4789</v>
      </c>
      <c r="K549" s="178" t="s">
        <v>4769</v>
      </c>
      <c r="L549" s="178" t="s">
        <v>4808</v>
      </c>
      <c r="M549" s="178" t="str">
        <f t="shared" si="23"/>
        <v>#REF!</v>
      </c>
      <c r="N549" s="185"/>
      <c r="O549" s="181" t="s">
        <v>4773</v>
      </c>
    </row>
    <row r="550" ht="14.25" customHeight="1">
      <c r="H550" s="179" t="str">
        <f t="shared" si="1"/>
        <v>#REF!</v>
      </c>
      <c r="I550" s="178" t="s">
        <v>4767</v>
      </c>
      <c r="J550" s="182" t="s">
        <v>4789</v>
      </c>
      <c r="K550" s="178" t="s">
        <v>4775</v>
      </c>
      <c r="L550" s="178" t="s">
        <v>4808</v>
      </c>
      <c r="M550" s="178" t="str">
        <f t="shared" si="23"/>
        <v>#REF!</v>
      </c>
      <c r="N550" s="185"/>
      <c r="O550" s="181" t="s">
        <v>4773</v>
      </c>
    </row>
    <row r="551" ht="14.25" customHeight="1">
      <c r="H551" s="179" t="str">
        <f t="shared" si="1"/>
        <v>#REF!</v>
      </c>
      <c r="I551" s="178" t="s">
        <v>4767</v>
      </c>
      <c r="J551" s="182" t="s">
        <v>4789</v>
      </c>
      <c r="K551" s="178" t="s">
        <v>4780</v>
      </c>
      <c r="L551" s="178" t="s">
        <v>4808</v>
      </c>
      <c r="M551" s="178" t="str">
        <f t="shared" si="23"/>
        <v>#REF!</v>
      </c>
      <c r="N551" s="185"/>
      <c r="O551" s="181" t="s">
        <v>4773</v>
      </c>
    </row>
    <row r="552" ht="14.25" customHeight="1">
      <c r="H552" s="179" t="str">
        <f t="shared" si="1"/>
        <v>#REF!</v>
      </c>
      <c r="I552" s="178" t="s">
        <v>4767</v>
      </c>
      <c r="J552" s="178" t="s">
        <v>4768</v>
      </c>
      <c r="K552" s="178" t="s">
        <v>4769</v>
      </c>
      <c r="L552" s="178" t="s">
        <v>4808</v>
      </c>
      <c r="M552" s="178" t="str">
        <f t="shared" si="23"/>
        <v>#REF!</v>
      </c>
      <c r="N552" s="185"/>
      <c r="O552" s="181" t="s">
        <v>4773</v>
      </c>
    </row>
    <row r="553" ht="14.25" customHeight="1">
      <c r="H553" s="179" t="str">
        <f t="shared" si="1"/>
        <v>#REF!</v>
      </c>
      <c r="I553" s="178" t="s">
        <v>4767</v>
      </c>
      <c r="J553" s="178" t="s">
        <v>4768</v>
      </c>
      <c r="K553" s="178" t="s">
        <v>4775</v>
      </c>
      <c r="L553" s="178" t="s">
        <v>4808</v>
      </c>
      <c r="M553" s="178" t="str">
        <f t="shared" si="23"/>
        <v>#REF!</v>
      </c>
      <c r="N553" s="185"/>
      <c r="O553" s="181" t="s">
        <v>4773</v>
      </c>
    </row>
    <row r="554" ht="14.25" customHeight="1">
      <c r="H554" s="179" t="str">
        <f t="shared" si="1"/>
        <v>#REF!</v>
      </c>
      <c r="I554" s="178" t="s">
        <v>4767</v>
      </c>
      <c r="J554" s="178" t="s">
        <v>4768</v>
      </c>
      <c r="K554" s="178" t="s">
        <v>4780</v>
      </c>
      <c r="L554" s="178" t="s">
        <v>4808</v>
      </c>
      <c r="M554" s="178" t="str">
        <f t="shared" si="23"/>
        <v>#REF!</v>
      </c>
      <c r="N554" s="185"/>
      <c r="O554" s="181" t="s">
        <v>4773</v>
      </c>
    </row>
    <row r="555" ht="14.25" customHeight="1">
      <c r="H555" s="179" t="str">
        <f t="shared" si="1"/>
        <v>#REF!</v>
      </c>
      <c r="I555" s="178" t="s">
        <v>4767</v>
      </c>
      <c r="J555" s="182" t="s">
        <v>4779</v>
      </c>
      <c r="K555" s="178" t="s">
        <v>4769</v>
      </c>
      <c r="L555" s="178" t="s">
        <v>4808</v>
      </c>
      <c r="M555" s="178" t="str">
        <f t="shared" ref="M555:M575" si="24">IF('Ficha de exención para baterías'!$P$29&gt;0,'Ficha de exención para baterías'!$P$29," ")</f>
        <v>#REF!</v>
      </c>
      <c r="N555" s="185"/>
      <c r="O555" s="181" t="s">
        <v>4773</v>
      </c>
    </row>
    <row r="556" ht="14.25" customHeight="1">
      <c r="H556" s="179" t="str">
        <f t="shared" si="1"/>
        <v>#REF!</v>
      </c>
      <c r="I556" s="178" t="s">
        <v>4767</v>
      </c>
      <c r="J556" s="182" t="s">
        <v>4779</v>
      </c>
      <c r="K556" s="178" t="s">
        <v>4775</v>
      </c>
      <c r="L556" s="178" t="s">
        <v>4808</v>
      </c>
      <c r="M556" s="178" t="str">
        <f t="shared" si="24"/>
        <v>#REF!</v>
      </c>
      <c r="N556" s="185"/>
      <c r="O556" s="181" t="s">
        <v>4773</v>
      </c>
    </row>
    <row r="557" ht="14.25" customHeight="1">
      <c r="H557" s="179" t="str">
        <f t="shared" si="1"/>
        <v>#REF!</v>
      </c>
      <c r="I557" s="178" t="s">
        <v>4767</v>
      </c>
      <c r="J557" s="182" t="s">
        <v>4779</v>
      </c>
      <c r="K557" s="178" t="s">
        <v>4780</v>
      </c>
      <c r="L557" s="178" t="s">
        <v>4808</v>
      </c>
      <c r="M557" s="178" t="str">
        <f t="shared" si="24"/>
        <v>#REF!</v>
      </c>
      <c r="N557" s="185"/>
      <c r="O557" s="181" t="s">
        <v>4773</v>
      </c>
    </row>
    <row r="558" ht="14.25" customHeight="1">
      <c r="H558" s="179" t="str">
        <f t="shared" si="1"/>
        <v>#REF!</v>
      </c>
      <c r="I558" s="178" t="s">
        <v>4767</v>
      </c>
      <c r="J558" s="182" t="s">
        <v>4787</v>
      </c>
      <c r="K558" s="178" t="s">
        <v>4769</v>
      </c>
      <c r="L558" s="178" t="s">
        <v>4808</v>
      </c>
      <c r="M558" s="178" t="str">
        <f t="shared" si="24"/>
        <v>#REF!</v>
      </c>
      <c r="N558" s="185"/>
      <c r="O558" s="181" t="s">
        <v>4773</v>
      </c>
    </row>
    <row r="559" ht="14.25" customHeight="1">
      <c r="H559" s="179" t="str">
        <f t="shared" si="1"/>
        <v>#REF!</v>
      </c>
      <c r="I559" s="178" t="s">
        <v>4767</v>
      </c>
      <c r="J559" s="182" t="s">
        <v>4787</v>
      </c>
      <c r="K559" s="178" t="s">
        <v>4775</v>
      </c>
      <c r="L559" s="178" t="s">
        <v>4808</v>
      </c>
      <c r="M559" s="178" t="str">
        <f t="shared" si="24"/>
        <v>#REF!</v>
      </c>
      <c r="N559" s="185"/>
      <c r="O559" s="181" t="s">
        <v>4773</v>
      </c>
    </row>
    <row r="560" ht="14.25" customHeight="1">
      <c r="H560" s="179" t="str">
        <f t="shared" si="1"/>
        <v>#REF!</v>
      </c>
      <c r="I560" s="178" t="s">
        <v>4767</v>
      </c>
      <c r="J560" s="182" t="s">
        <v>4787</v>
      </c>
      <c r="K560" s="178" t="s">
        <v>4780</v>
      </c>
      <c r="L560" s="178" t="s">
        <v>4808</v>
      </c>
      <c r="M560" s="178" t="str">
        <f t="shared" si="24"/>
        <v>#REF!</v>
      </c>
      <c r="N560" s="185"/>
      <c r="O560" s="181" t="s">
        <v>4773</v>
      </c>
    </row>
    <row r="561" ht="14.25" customHeight="1">
      <c r="H561" s="179" t="str">
        <f t="shared" si="1"/>
        <v>#REF!</v>
      </c>
      <c r="I561" s="178" t="s">
        <v>4767</v>
      </c>
      <c r="J561" s="182" t="s">
        <v>4774</v>
      </c>
      <c r="K561" s="178" t="s">
        <v>4769</v>
      </c>
      <c r="L561" s="178" t="s">
        <v>4808</v>
      </c>
      <c r="M561" s="178" t="str">
        <f t="shared" si="24"/>
        <v>#REF!</v>
      </c>
      <c r="N561" s="185"/>
      <c r="O561" s="181" t="s">
        <v>4773</v>
      </c>
    </row>
    <row r="562" ht="14.25" customHeight="1">
      <c r="H562" s="179" t="str">
        <f t="shared" si="1"/>
        <v>#REF!</v>
      </c>
      <c r="I562" s="178" t="s">
        <v>4767</v>
      </c>
      <c r="J562" s="182" t="s">
        <v>4774</v>
      </c>
      <c r="K562" s="178" t="s">
        <v>4775</v>
      </c>
      <c r="L562" s="178" t="s">
        <v>4808</v>
      </c>
      <c r="M562" s="178" t="str">
        <f t="shared" si="24"/>
        <v>#REF!</v>
      </c>
      <c r="N562" s="185"/>
      <c r="O562" s="181" t="s">
        <v>4773</v>
      </c>
    </row>
    <row r="563" ht="14.25" customHeight="1">
      <c r="H563" s="179" t="str">
        <f t="shared" si="1"/>
        <v>#REF!</v>
      </c>
      <c r="I563" s="178" t="s">
        <v>4767</v>
      </c>
      <c r="J563" s="182" t="s">
        <v>4774</v>
      </c>
      <c r="K563" s="178" t="s">
        <v>4780</v>
      </c>
      <c r="L563" s="178" t="s">
        <v>4808</v>
      </c>
      <c r="M563" s="178" t="str">
        <f t="shared" si="24"/>
        <v>#REF!</v>
      </c>
      <c r="N563" s="185"/>
      <c r="O563" s="181" t="s">
        <v>4773</v>
      </c>
    </row>
    <row r="564" ht="14.25" customHeight="1">
      <c r="H564" s="179" t="str">
        <f t="shared" si="1"/>
        <v>#REF!</v>
      </c>
      <c r="I564" s="178" t="s">
        <v>4767</v>
      </c>
      <c r="J564" s="182" t="s">
        <v>4785</v>
      </c>
      <c r="K564" s="178" t="s">
        <v>4769</v>
      </c>
      <c r="L564" s="178" t="s">
        <v>4808</v>
      </c>
      <c r="M564" s="178" t="str">
        <f t="shared" si="24"/>
        <v>#REF!</v>
      </c>
      <c r="N564" s="185"/>
      <c r="O564" s="181" t="s">
        <v>4773</v>
      </c>
    </row>
    <row r="565" ht="14.25" customHeight="1">
      <c r="H565" s="179" t="str">
        <f t="shared" si="1"/>
        <v>#REF!</v>
      </c>
      <c r="I565" s="178" t="s">
        <v>4767</v>
      </c>
      <c r="J565" s="182" t="s">
        <v>4785</v>
      </c>
      <c r="K565" s="178" t="s">
        <v>4775</v>
      </c>
      <c r="L565" s="178" t="s">
        <v>4808</v>
      </c>
      <c r="M565" s="178" t="str">
        <f t="shared" si="24"/>
        <v>#REF!</v>
      </c>
      <c r="N565" s="185"/>
      <c r="O565" s="181" t="s">
        <v>4773</v>
      </c>
    </row>
    <row r="566" ht="14.25" customHeight="1">
      <c r="H566" s="179" t="str">
        <f t="shared" si="1"/>
        <v>#REF!</v>
      </c>
      <c r="I566" s="178" t="s">
        <v>4767</v>
      </c>
      <c r="J566" s="182" t="s">
        <v>4785</v>
      </c>
      <c r="K566" s="178" t="s">
        <v>4780</v>
      </c>
      <c r="L566" s="178" t="s">
        <v>4808</v>
      </c>
      <c r="M566" s="178" t="str">
        <f t="shared" si="24"/>
        <v>#REF!</v>
      </c>
      <c r="N566" s="185"/>
      <c r="O566" s="181" t="s">
        <v>4773</v>
      </c>
    </row>
    <row r="567" ht="14.25" customHeight="1">
      <c r="H567" s="179" t="str">
        <f t="shared" si="1"/>
        <v>#REF!</v>
      </c>
      <c r="I567" s="178" t="s">
        <v>4767</v>
      </c>
      <c r="J567" s="182" t="s">
        <v>4783</v>
      </c>
      <c r="K567" s="178" t="s">
        <v>4769</v>
      </c>
      <c r="L567" s="178" t="s">
        <v>4808</v>
      </c>
      <c r="M567" s="178" t="str">
        <f t="shared" si="24"/>
        <v>#REF!</v>
      </c>
      <c r="N567" s="185"/>
      <c r="O567" s="181" t="s">
        <v>4773</v>
      </c>
    </row>
    <row r="568" ht="14.25" customHeight="1">
      <c r="H568" s="179" t="str">
        <f t="shared" si="1"/>
        <v>#REF!</v>
      </c>
      <c r="I568" s="178" t="s">
        <v>4767</v>
      </c>
      <c r="J568" s="182" t="s">
        <v>4783</v>
      </c>
      <c r="K568" s="178" t="s">
        <v>4775</v>
      </c>
      <c r="L568" s="178" t="s">
        <v>4808</v>
      </c>
      <c r="M568" s="178" t="str">
        <f t="shared" si="24"/>
        <v>#REF!</v>
      </c>
      <c r="N568" s="185"/>
      <c r="O568" s="181" t="s">
        <v>4773</v>
      </c>
    </row>
    <row r="569" ht="14.25" customHeight="1">
      <c r="H569" s="179" t="str">
        <f t="shared" si="1"/>
        <v>#REF!</v>
      </c>
      <c r="I569" s="178" t="s">
        <v>4767</v>
      </c>
      <c r="J569" s="182" t="s">
        <v>4783</v>
      </c>
      <c r="K569" s="178" t="s">
        <v>4780</v>
      </c>
      <c r="L569" s="178" t="s">
        <v>4808</v>
      </c>
      <c r="M569" s="178" t="str">
        <f t="shared" si="24"/>
        <v>#REF!</v>
      </c>
      <c r="N569" s="185"/>
      <c r="O569" s="181" t="s">
        <v>4773</v>
      </c>
    </row>
    <row r="570" ht="14.25" customHeight="1">
      <c r="H570" s="179" t="str">
        <f t="shared" si="1"/>
        <v>#REF!</v>
      </c>
      <c r="I570" s="178" t="s">
        <v>4767</v>
      </c>
      <c r="J570" s="182" t="s">
        <v>4789</v>
      </c>
      <c r="K570" s="178" t="s">
        <v>4769</v>
      </c>
      <c r="L570" s="178" t="s">
        <v>4808</v>
      </c>
      <c r="M570" s="178" t="str">
        <f t="shared" si="24"/>
        <v>#REF!</v>
      </c>
      <c r="N570" s="185"/>
      <c r="O570" s="181" t="s">
        <v>4773</v>
      </c>
    </row>
    <row r="571" ht="14.25" customHeight="1">
      <c r="H571" s="179" t="str">
        <f t="shared" si="1"/>
        <v>#REF!</v>
      </c>
      <c r="I571" s="178" t="s">
        <v>4767</v>
      </c>
      <c r="J571" s="182" t="s">
        <v>4789</v>
      </c>
      <c r="K571" s="178" t="s">
        <v>4775</v>
      </c>
      <c r="L571" s="178" t="s">
        <v>4808</v>
      </c>
      <c r="M571" s="178" t="str">
        <f t="shared" si="24"/>
        <v>#REF!</v>
      </c>
      <c r="N571" s="185"/>
      <c r="O571" s="181" t="s">
        <v>4773</v>
      </c>
    </row>
    <row r="572" ht="14.25" customHeight="1">
      <c r="H572" s="179" t="str">
        <f t="shared" si="1"/>
        <v>#REF!</v>
      </c>
      <c r="I572" s="178" t="s">
        <v>4767</v>
      </c>
      <c r="J572" s="182" t="s">
        <v>4789</v>
      </c>
      <c r="K572" s="178" t="s">
        <v>4780</v>
      </c>
      <c r="L572" s="178" t="s">
        <v>4808</v>
      </c>
      <c r="M572" s="178" t="str">
        <f t="shared" si="24"/>
        <v>#REF!</v>
      </c>
      <c r="N572" s="185"/>
      <c r="O572" s="181" t="s">
        <v>4773</v>
      </c>
    </row>
    <row r="573" ht="14.25" customHeight="1">
      <c r="H573" s="179" t="str">
        <f t="shared" si="1"/>
        <v>#REF!</v>
      </c>
      <c r="I573" s="178" t="s">
        <v>4767</v>
      </c>
      <c r="J573" s="178" t="s">
        <v>4768</v>
      </c>
      <c r="K573" s="178" t="s">
        <v>4769</v>
      </c>
      <c r="L573" s="178" t="s">
        <v>4808</v>
      </c>
      <c r="M573" s="178" t="str">
        <f t="shared" si="24"/>
        <v>#REF!</v>
      </c>
      <c r="N573" s="185"/>
      <c r="O573" s="181" t="s">
        <v>4773</v>
      </c>
    </row>
    <row r="574" ht="14.25" customHeight="1">
      <c r="H574" s="179" t="str">
        <f t="shared" si="1"/>
        <v>#REF!</v>
      </c>
      <c r="I574" s="178" t="s">
        <v>4767</v>
      </c>
      <c r="J574" s="178" t="s">
        <v>4768</v>
      </c>
      <c r="K574" s="178" t="s">
        <v>4775</v>
      </c>
      <c r="L574" s="178" t="s">
        <v>4808</v>
      </c>
      <c r="M574" s="178" t="str">
        <f t="shared" si="24"/>
        <v>#REF!</v>
      </c>
      <c r="N574" s="185"/>
      <c r="O574" s="181" t="s">
        <v>4773</v>
      </c>
    </row>
    <row r="575" ht="14.25" customHeight="1">
      <c r="H575" s="179" t="str">
        <f t="shared" si="1"/>
        <v>#REF!</v>
      </c>
      <c r="I575" s="178" t="s">
        <v>4767</v>
      </c>
      <c r="J575" s="178" t="s">
        <v>4768</v>
      </c>
      <c r="K575" s="178" t="s">
        <v>4780</v>
      </c>
      <c r="L575" s="178" t="s">
        <v>4808</v>
      </c>
      <c r="M575" s="178" t="str">
        <f t="shared" si="24"/>
        <v>#REF!</v>
      </c>
      <c r="N575" s="185"/>
      <c r="O575" s="181" t="s">
        <v>4773</v>
      </c>
    </row>
    <row r="576" ht="14.25" customHeight="1">
      <c r="H576" s="179" t="str">
        <f t="shared" si="1"/>
        <v>#REF!</v>
      </c>
      <c r="I576" s="178" t="s">
        <v>4767</v>
      </c>
      <c r="J576" s="182" t="s">
        <v>4779</v>
      </c>
      <c r="K576" s="178" t="s">
        <v>4769</v>
      </c>
      <c r="L576" s="178" t="s">
        <v>4808</v>
      </c>
      <c r="M576" s="178" t="str">
        <f t="shared" ref="M576:M596" si="25">IF('Ficha de exención para baterías'!$P$30&gt;0,'Ficha de exención para baterías'!$P$30," ")</f>
        <v>#REF!</v>
      </c>
      <c r="N576" s="185"/>
      <c r="O576" s="181" t="s">
        <v>4773</v>
      </c>
    </row>
    <row r="577" ht="14.25" customHeight="1">
      <c r="H577" s="179" t="str">
        <f t="shared" si="1"/>
        <v>#REF!</v>
      </c>
      <c r="I577" s="178" t="s">
        <v>4767</v>
      </c>
      <c r="J577" s="182" t="s">
        <v>4779</v>
      </c>
      <c r="K577" s="178" t="s">
        <v>4775</v>
      </c>
      <c r="L577" s="178" t="s">
        <v>4808</v>
      </c>
      <c r="M577" s="178" t="str">
        <f t="shared" si="25"/>
        <v>#REF!</v>
      </c>
      <c r="N577" s="185"/>
      <c r="O577" s="181" t="s">
        <v>4773</v>
      </c>
    </row>
    <row r="578" ht="14.25" customHeight="1">
      <c r="H578" s="179" t="str">
        <f t="shared" si="1"/>
        <v>#REF!</v>
      </c>
      <c r="I578" s="178" t="s">
        <v>4767</v>
      </c>
      <c r="J578" s="182" t="s">
        <v>4779</v>
      </c>
      <c r="K578" s="178" t="s">
        <v>4780</v>
      </c>
      <c r="L578" s="178" t="s">
        <v>4808</v>
      </c>
      <c r="M578" s="178" t="str">
        <f t="shared" si="25"/>
        <v>#REF!</v>
      </c>
      <c r="N578" s="185"/>
      <c r="O578" s="181" t="s">
        <v>4773</v>
      </c>
    </row>
    <row r="579" ht="14.25" customHeight="1">
      <c r="H579" s="179" t="str">
        <f t="shared" si="1"/>
        <v>#REF!</v>
      </c>
      <c r="I579" s="178" t="s">
        <v>4767</v>
      </c>
      <c r="J579" s="182" t="s">
        <v>4787</v>
      </c>
      <c r="K579" s="178" t="s">
        <v>4769</v>
      </c>
      <c r="L579" s="178" t="s">
        <v>4808</v>
      </c>
      <c r="M579" s="178" t="str">
        <f t="shared" si="25"/>
        <v>#REF!</v>
      </c>
      <c r="N579" s="185"/>
      <c r="O579" s="181" t="s">
        <v>4773</v>
      </c>
    </row>
    <row r="580" ht="14.25" customHeight="1">
      <c r="H580" s="179" t="str">
        <f t="shared" si="1"/>
        <v>#REF!</v>
      </c>
      <c r="I580" s="178" t="s">
        <v>4767</v>
      </c>
      <c r="J580" s="182" t="s">
        <v>4787</v>
      </c>
      <c r="K580" s="178" t="s">
        <v>4775</v>
      </c>
      <c r="L580" s="178" t="s">
        <v>4808</v>
      </c>
      <c r="M580" s="178" t="str">
        <f t="shared" si="25"/>
        <v>#REF!</v>
      </c>
      <c r="N580" s="185"/>
      <c r="O580" s="181" t="s">
        <v>4773</v>
      </c>
    </row>
    <row r="581" ht="14.25" customHeight="1">
      <c r="H581" s="179" t="str">
        <f t="shared" si="1"/>
        <v>#REF!</v>
      </c>
      <c r="I581" s="178" t="s">
        <v>4767</v>
      </c>
      <c r="J581" s="182" t="s">
        <v>4787</v>
      </c>
      <c r="K581" s="178" t="s">
        <v>4780</v>
      </c>
      <c r="L581" s="178" t="s">
        <v>4808</v>
      </c>
      <c r="M581" s="178" t="str">
        <f t="shared" si="25"/>
        <v>#REF!</v>
      </c>
      <c r="N581" s="185"/>
      <c r="O581" s="181" t="s">
        <v>4773</v>
      </c>
    </row>
    <row r="582" ht="14.25" customHeight="1">
      <c r="H582" s="179" t="str">
        <f t="shared" si="1"/>
        <v>#REF!</v>
      </c>
      <c r="I582" s="178" t="s">
        <v>4767</v>
      </c>
      <c r="J582" s="182" t="s">
        <v>4774</v>
      </c>
      <c r="K582" s="178" t="s">
        <v>4769</v>
      </c>
      <c r="L582" s="178" t="s">
        <v>4808</v>
      </c>
      <c r="M582" s="178" t="str">
        <f t="shared" si="25"/>
        <v>#REF!</v>
      </c>
      <c r="N582" s="185"/>
      <c r="O582" s="181" t="s">
        <v>4773</v>
      </c>
    </row>
    <row r="583" ht="14.25" customHeight="1">
      <c r="H583" s="179" t="str">
        <f t="shared" si="1"/>
        <v>#REF!</v>
      </c>
      <c r="I583" s="178" t="s">
        <v>4767</v>
      </c>
      <c r="J583" s="182" t="s">
        <v>4774</v>
      </c>
      <c r="K583" s="178" t="s">
        <v>4775</v>
      </c>
      <c r="L583" s="178" t="s">
        <v>4808</v>
      </c>
      <c r="M583" s="178" t="str">
        <f t="shared" si="25"/>
        <v>#REF!</v>
      </c>
      <c r="N583" s="185"/>
      <c r="O583" s="181" t="s">
        <v>4773</v>
      </c>
    </row>
    <row r="584" ht="14.25" customHeight="1">
      <c r="H584" s="179" t="str">
        <f t="shared" si="1"/>
        <v>#REF!</v>
      </c>
      <c r="I584" s="178" t="s">
        <v>4767</v>
      </c>
      <c r="J584" s="182" t="s">
        <v>4774</v>
      </c>
      <c r="K584" s="178" t="s">
        <v>4780</v>
      </c>
      <c r="L584" s="178" t="s">
        <v>4808</v>
      </c>
      <c r="M584" s="178" t="str">
        <f t="shared" si="25"/>
        <v>#REF!</v>
      </c>
      <c r="N584" s="185"/>
      <c r="O584" s="181" t="s">
        <v>4773</v>
      </c>
    </row>
    <row r="585" ht="14.25" customHeight="1">
      <c r="H585" s="179" t="str">
        <f t="shared" si="1"/>
        <v>#REF!</v>
      </c>
      <c r="I585" s="178" t="s">
        <v>4767</v>
      </c>
      <c r="J585" s="182" t="s">
        <v>4785</v>
      </c>
      <c r="K585" s="178" t="s">
        <v>4769</v>
      </c>
      <c r="L585" s="178" t="s">
        <v>4808</v>
      </c>
      <c r="M585" s="178" t="str">
        <f t="shared" si="25"/>
        <v>#REF!</v>
      </c>
      <c r="N585" s="185"/>
      <c r="O585" s="181" t="s">
        <v>4773</v>
      </c>
    </row>
    <row r="586" ht="14.25" customHeight="1">
      <c r="H586" s="179" t="str">
        <f t="shared" si="1"/>
        <v>#REF!</v>
      </c>
      <c r="I586" s="178" t="s">
        <v>4767</v>
      </c>
      <c r="J586" s="182" t="s">
        <v>4785</v>
      </c>
      <c r="K586" s="178" t="s">
        <v>4775</v>
      </c>
      <c r="L586" s="178" t="s">
        <v>4808</v>
      </c>
      <c r="M586" s="178" t="str">
        <f t="shared" si="25"/>
        <v>#REF!</v>
      </c>
      <c r="N586" s="185"/>
      <c r="O586" s="181" t="s">
        <v>4773</v>
      </c>
    </row>
    <row r="587" ht="14.25" customHeight="1">
      <c r="H587" s="179" t="str">
        <f t="shared" si="1"/>
        <v>#REF!</v>
      </c>
      <c r="I587" s="178" t="s">
        <v>4767</v>
      </c>
      <c r="J587" s="182" t="s">
        <v>4785</v>
      </c>
      <c r="K587" s="178" t="s">
        <v>4780</v>
      </c>
      <c r="L587" s="178" t="s">
        <v>4808</v>
      </c>
      <c r="M587" s="178" t="str">
        <f t="shared" si="25"/>
        <v>#REF!</v>
      </c>
      <c r="N587" s="185"/>
      <c r="O587" s="181" t="s">
        <v>4773</v>
      </c>
    </row>
    <row r="588" ht="14.25" customHeight="1">
      <c r="H588" s="179" t="str">
        <f t="shared" si="1"/>
        <v>#REF!</v>
      </c>
      <c r="I588" s="178" t="s">
        <v>4767</v>
      </c>
      <c r="J588" s="182" t="s">
        <v>4783</v>
      </c>
      <c r="K588" s="178" t="s">
        <v>4769</v>
      </c>
      <c r="L588" s="178" t="s">
        <v>4808</v>
      </c>
      <c r="M588" s="178" t="str">
        <f t="shared" si="25"/>
        <v>#REF!</v>
      </c>
      <c r="N588" s="185"/>
      <c r="O588" s="181" t="s">
        <v>4773</v>
      </c>
    </row>
    <row r="589" ht="14.25" customHeight="1">
      <c r="H589" s="179" t="str">
        <f t="shared" si="1"/>
        <v>#REF!</v>
      </c>
      <c r="I589" s="178" t="s">
        <v>4767</v>
      </c>
      <c r="J589" s="182" t="s">
        <v>4783</v>
      </c>
      <c r="K589" s="178" t="s">
        <v>4775</v>
      </c>
      <c r="L589" s="178" t="s">
        <v>4808</v>
      </c>
      <c r="M589" s="178" t="str">
        <f t="shared" si="25"/>
        <v>#REF!</v>
      </c>
      <c r="N589" s="185"/>
      <c r="O589" s="181" t="s">
        <v>4773</v>
      </c>
    </row>
    <row r="590" ht="14.25" customHeight="1">
      <c r="H590" s="179" t="str">
        <f t="shared" si="1"/>
        <v>#REF!</v>
      </c>
      <c r="I590" s="178" t="s">
        <v>4767</v>
      </c>
      <c r="J590" s="182" t="s">
        <v>4783</v>
      </c>
      <c r="K590" s="178" t="s">
        <v>4780</v>
      </c>
      <c r="L590" s="178" t="s">
        <v>4808</v>
      </c>
      <c r="M590" s="178" t="str">
        <f t="shared" si="25"/>
        <v>#REF!</v>
      </c>
      <c r="N590" s="185"/>
      <c r="O590" s="181" t="s">
        <v>4773</v>
      </c>
    </row>
    <row r="591" ht="14.25" customHeight="1">
      <c r="H591" s="179" t="str">
        <f t="shared" si="1"/>
        <v>#REF!</v>
      </c>
      <c r="I591" s="178" t="s">
        <v>4767</v>
      </c>
      <c r="J591" s="182" t="s">
        <v>4789</v>
      </c>
      <c r="K591" s="178" t="s">
        <v>4769</v>
      </c>
      <c r="L591" s="178" t="s">
        <v>4808</v>
      </c>
      <c r="M591" s="178" t="str">
        <f t="shared" si="25"/>
        <v>#REF!</v>
      </c>
      <c r="N591" s="185"/>
      <c r="O591" s="181" t="s">
        <v>4773</v>
      </c>
    </row>
    <row r="592" ht="14.25" customHeight="1">
      <c r="H592" s="179" t="str">
        <f t="shared" si="1"/>
        <v>#REF!</v>
      </c>
      <c r="I592" s="178" t="s">
        <v>4767</v>
      </c>
      <c r="J592" s="182" t="s">
        <v>4789</v>
      </c>
      <c r="K592" s="178" t="s">
        <v>4775</v>
      </c>
      <c r="L592" s="178" t="s">
        <v>4808</v>
      </c>
      <c r="M592" s="178" t="str">
        <f t="shared" si="25"/>
        <v>#REF!</v>
      </c>
      <c r="N592" s="185"/>
      <c r="O592" s="181" t="s">
        <v>4773</v>
      </c>
    </row>
    <row r="593" ht="14.25" customHeight="1">
      <c r="H593" s="179" t="str">
        <f t="shared" si="1"/>
        <v>#REF!</v>
      </c>
      <c r="I593" s="178" t="s">
        <v>4767</v>
      </c>
      <c r="J593" s="182" t="s">
        <v>4789</v>
      </c>
      <c r="K593" s="178" t="s">
        <v>4780</v>
      </c>
      <c r="L593" s="178" t="s">
        <v>4808</v>
      </c>
      <c r="M593" s="178" t="str">
        <f t="shared" si="25"/>
        <v>#REF!</v>
      </c>
      <c r="N593" s="185"/>
      <c r="O593" s="181" t="s">
        <v>4773</v>
      </c>
    </row>
    <row r="594" ht="14.25" customHeight="1">
      <c r="H594" s="179" t="str">
        <f t="shared" si="1"/>
        <v>#REF!</v>
      </c>
      <c r="I594" s="178" t="s">
        <v>4767</v>
      </c>
      <c r="J594" s="178" t="s">
        <v>4768</v>
      </c>
      <c r="K594" s="178" t="s">
        <v>4769</v>
      </c>
      <c r="L594" s="178" t="s">
        <v>4808</v>
      </c>
      <c r="M594" s="178" t="str">
        <f t="shared" si="25"/>
        <v>#REF!</v>
      </c>
      <c r="N594" s="185"/>
      <c r="O594" s="181" t="s">
        <v>4773</v>
      </c>
    </row>
    <row r="595" ht="14.25" customHeight="1">
      <c r="H595" s="179" t="str">
        <f t="shared" si="1"/>
        <v>#REF!</v>
      </c>
      <c r="I595" s="178" t="s">
        <v>4767</v>
      </c>
      <c r="J595" s="178" t="s">
        <v>4768</v>
      </c>
      <c r="K595" s="178" t="s">
        <v>4775</v>
      </c>
      <c r="L595" s="178" t="s">
        <v>4808</v>
      </c>
      <c r="M595" s="178" t="str">
        <f t="shared" si="25"/>
        <v>#REF!</v>
      </c>
      <c r="N595" s="185"/>
      <c r="O595" s="181" t="s">
        <v>4773</v>
      </c>
    </row>
    <row r="596" ht="14.25" customHeight="1">
      <c r="H596" s="179" t="str">
        <f t="shared" si="1"/>
        <v>#REF!</v>
      </c>
      <c r="I596" s="178" t="s">
        <v>4767</v>
      </c>
      <c r="J596" s="178" t="s">
        <v>4768</v>
      </c>
      <c r="K596" s="178" t="s">
        <v>4780</v>
      </c>
      <c r="L596" s="178" t="s">
        <v>4808</v>
      </c>
      <c r="M596" s="178" t="str">
        <f t="shared" si="25"/>
        <v>#REF!</v>
      </c>
      <c r="N596" s="185"/>
      <c r="O596" s="181" t="s">
        <v>4773</v>
      </c>
    </row>
    <row r="597" ht="14.25" customHeight="1">
      <c r="H597" s="179" t="str">
        <f t="shared" si="1"/>
        <v>#REF!</v>
      </c>
      <c r="I597" s="178" t="s">
        <v>4767</v>
      </c>
      <c r="J597" s="182" t="s">
        <v>4779</v>
      </c>
      <c r="K597" s="178" t="s">
        <v>4769</v>
      </c>
      <c r="L597" s="178" t="s">
        <v>4808</v>
      </c>
      <c r="M597" s="178" t="str">
        <f t="shared" ref="M597:M617" si="26">IF('Ficha de exención para baterías'!$P$31&gt;0,'Ficha de exención para baterías'!$P$31," ")</f>
        <v>#REF!</v>
      </c>
      <c r="N597" s="185"/>
      <c r="O597" s="181" t="s">
        <v>4773</v>
      </c>
    </row>
    <row r="598" ht="14.25" customHeight="1">
      <c r="H598" s="179" t="str">
        <f t="shared" si="1"/>
        <v>#REF!</v>
      </c>
      <c r="I598" s="178" t="s">
        <v>4767</v>
      </c>
      <c r="J598" s="182" t="s">
        <v>4779</v>
      </c>
      <c r="K598" s="178" t="s">
        <v>4775</v>
      </c>
      <c r="L598" s="178" t="s">
        <v>4808</v>
      </c>
      <c r="M598" s="178" t="str">
        <f t="shared" si="26"/>
        <v>#REF!</v>
      </c>
      <c r="N598" s="185"/>
      <c r="O598" s="181" t="s">
        <v>4773</v>
      </c>
    </row>
    <row r="599" ht="14.25" customHeight="1">
      <c r="H599" s="179" t="str">
        <f t="shared" si="1"/>
        <v>#REF!</v>
      </c>
      <c r="I599" s="178" t="s">
        <v>4767</v>
      </c>
      <c r="J599" s="182" t="s">
        <v>4779</v>
      </c>
      <c r="K599" s="178" t="s">
        <v>4780</v>
      </c>
      <c r="L599" s="178" t="s">
        <v>4808</v>
      </c>
      <c r="M599" s="178" t="str">
        <f t="shared" si="26"/>
        <v>#REF!</v>
      </c>
      <c r="N599" s="185"/>
      <c r="O599" s="181" t="s">
        <v>4773</v>
      </c>
    </row>
    <row r="600" ht="14.25" customHeight="1">
      <c r="H600" s="179" t="str">
        <f t="shared" si="1"/>
        <v>#REF!</v>
      </c>
      <c r="I600" s="178" t="s">
        <v>4767</v>
      </c>
      <c r="J600" s="182" t="s">
        <v>4787</v>
      </c>
      <c r="K600" s="178" t="s">
        <v>4769</v>
      </c>
      <c r="L600" s="178" t="s">
        <v>4808</v>
      </c>
      <c r="M600" s="178" t="str">
        <f t="shared" si="26"/>
        <v>#REF!</v>
      </c>
      <c r="N600" s="185"/>
      <c r="O600" s="181" t="s">
        <v>4773</v>
      </c>
    </row>
    <row r="601" ht="14.25" customHeight="1">
      <c r="H601" s="179" t="str">
        <f t="shared" si="1"/>
        <v>#REF!</v>
      </c>
      <c r="I601" s="178" t="s">
        <v>4767</v>
      </c>
      <c r="J601" s="182" t="s">
        <v>4787</v>
      </c>
      <c r="K601" s="178" t="s">
        <v>4775</v>
      </c>
      <c r="L601" s="178" t="s">
        <v>4808</v>
      </c>
      <c r="M601" s="178" t="str">
        <f t="shared" si="26"/>
        <v>#REF!</v>
      </c>
      <c r="N601" s="185"/>
      <c r="O601" s="181" t="s">
        <v>4773</v>
      </c>
    </row>
    <row r="602" ht="14.25" customHeight="1">
      <c r="H602" s="179" t="str">
        <f t="shared" si="1"/>
        <v>#REF!</v>
      </c>
      <c r="I602" s="178" t="s">
        <v>4767</v>
      </c>
      <c r="J602" s="182" t="s">
        <v>4787</v>
      </c>
      <c r="K602" s="178" t="s">
        <v>4780</v>
      </c>
      <c r="L602" s="178" t="s">
        <v>4808</v>
      </c>
      <c r="M602" s="178" t="str">
        <f t="shared" si="26"/>
        <v>#REF!</v>
      </c>
      <c r="N602" s="185"/>
      <c r="O602" s="181" t="s">
        <v>4773</v>
      </c>
    </row>
    <row r="603" ht="14.25" customHeight="1">
      <c r="H603" s="179" t="str">
        <f t="shared" si="1"/>
        <v>#REF!</v>
      </c>
      <c r="I603" s="178" t="s">
        <v>4767</v>
      </c>
      <c r="J603" s="182" t="s">
        <v>4774</v>
      </c>
      <c r="K603" s="178" t="s">
        <v>4769</v>
      </c>
      <c r="L603" s="178" t="s">
        <v>4808</v>
      </c>
      <c r="M603" s="178" t="str">
        <f t="shared" si="26"/>
        <v>#REF!</v>
      </c>
      <c r="N603" s="185"/>
      <c r="O603" s="181" t="s">
        <v>4773</v>
      </c>
    </row>
    <row r="604" ht="14.25" customHeight="1">
      <c r="H604" s="179" t="str">
        <f t="shared" si="1"/>
        <v>#REF!</v>
      </c>
      <c r="I604" s="178" t="s">
        <v>4767</v>
      </c>
      <c r="J604" s="182" t="s">
        <v>4774</v>
      </c>
      <c r="K604" s="178" t="s">
        <v>4775</v>
      </c>
      <c r="L604" s="178" t="s">
        <v>4808</v>
      </c>
      <c r="M604" s="178" t="str">
        <f t="shared" si="26"/>
        <v>#REF!</v>
      </c>
      <c r="N604" s="185"/>
      <c r="O604" s="181" t="s">
        <v>4773</v>
      </c>
    </row>
    <row r="605" ht="14.25" customHeight="1">
      <c r="H605" s="179" t="str">
        <f t="shared" si="1"/>
        <v>#REF!</v>
      </c>
      <c r="I605" s="178" t="s">
        <v>4767</v>
      </c>
      <c r="J605" s="182" t="s">
        <v>4774</v>
      </c>
      <c r="K605" s="178" t="s">
        <v>4780</v>
      </c>
      <c r="L605" s="178" t="s">
        <v>4808</v>
      </c>
      <c r="M605" s="178" t="str">
        <f t="shared" si="26"/>
        <v>#REF!</v>
      </c>
      <c r="N605" s="185"/>
      <c r="O605" s="181" t="s">
        <v>4773</v>
      </c>
    </row>
    <row r="606" ht="14.25" customHeight="1">
      <c r="H606" s="179" t="str">
        <f t="shared" si="1"/>
        <v>#REF!</v>
      </c>
      <c r="I606" s="178" t="s">
        <v>4767</v>
      </c>
      <c r="J606" s="182" t="s">
        <v>4785</v>
      </c>
      <c r="K606" s="178" t="s">
        <v>4769</v>
      </c>
      <c r="L606" s="178" t="s">
        <v>4808</v>
      </c>
      <c r="M606" s="178" t="str">
        <f t="shared" si="26"/>
        <v>#REF!</v>
      </c>
      <c r="N606" s="185"/>
      <c r="O606" s="181" t="s">
        <v>4773</v>
      </c>
    </row>
    <row r="607" ht="14.25" customHeight="1">
      <c r="H607" s="179" t="str">
        <f t="shared" si="1"/>
        <v>#REF!</v>
      </c>
      <c r="I607" s="178" t="s">
        <v>4767</v>
      </c>
      <c r="J607" s="182" t="s">
        <v>4785</v>
      </c>
      <c r="K607" s="178" t="s">
        <v>4775</v>
      </c>
      <c r="L607" s="178" t="s">
        <v>4808</v>
      </c>
      <c r="M607" s="178" t="str">
        <f t="shared" si="26"/>
        <v>#REF!</v>
      </c>
      <c r="N607" s="185"/>
      <c r="O607" s="181" t="s">
        <v>4773</v>
      </c>
    </row>
    <row r="608" ht="14.25" customHeight="1">
      <c r="H608" s="179" t="str">
        <f t="shared" si="1"/>
        <v>#REF!</v>
      </c>
      <c r="I608" s="178" t="s">
        <v>4767</v>
      </c>
      <c r="J608" s="182" t="s">
        <v>4785</v>
      </c>
      <c r="K608" s="178" t="s">
        <v>4780</v>
      </c>
      <c r="L608" s="178" t="s">
        <v>4808</v>
      </c>
      <c r="M608" s="178" t="str">
        <f t="shared" si="26"/>
        <v>#REF!</v>
      </c>
      <c r="N608" s="185"/>
      <c r="O608" s="181" t="s">
        <v>4773</v>
      </c>
    </row>
    <row r="609" ht="14.25" customHeight="1">
      <c r="H609" s="179" t="str">
        <f t="shared" si="1"/>
        <v>#REF!</v>
      </c>
      <c r="I609" s="178" t="s">
        <v>4767</v>
      </c>
      <c r="J609" s="182" t="s">
        <v>4783</v>
      </c>
      <c r="K609" s="178" t="s">
        <v>4769</v>
      </c>
      <c r="L609" s="178" t="s">
        <v>4808</v>
      </c>
      <c r="M609" s="178" t="str">
        <f t="shared" si="26"/>
        <v>#REF!</v>
      </c>
      <c r="N609" s="185"/>
      <c r="O609" s="181" t="s">
        <v>4773</v>
      </c>
    </row>
    <row r="610" ht="14.25" customHeight="1">
      <c r="H610" s="179" t="str">
        <f t="shared" si="1"/>
        <v>#REF!</v>
      </c>
      <c r="I610" s="178" t="s">
        <v>4767</v>
      </c>
      <c r="J610" s="182" t="s">
        <v>4783</v>
      </c>
      <c r="K610" s="178" t="s">
        <v>4775</v>
      </c>
      <c r="L610" s="178" t="s">
        <v>4808</v>
      </c>
      <c r="M610" s="178" t="str">
        <f t="shared" si="26"/>
        <v>#REF!</v>
      </c>
      <c r="N610" s="185"/>
      <c r="O610" s="181" t="s">
        <v>4773</v>
      </c>
    </row>
    <row r="611" ht="14.25" customHeight="1">
      <c r="H611" s="179" t="str">
        <f t="shared" si="1"/>
        <v>#REF!</v>
      </c>
      <c r="I611" s="178" t="s">
        <v>4767</v>
      </c>
      <c r="J611" s="182" t="s">
        <v>4783</v>
      </c>
      <c r="K611" s="178" t="s">
        <v>4780</v>
      </c>
      <c r="L611" s="178" t="s">
        <v>4808</v>
      </c>
      <c r="M611" s="178" t="str">
        <f t="shared" si="26"/>
        <v>#REF!</v>
      </c>
      <c r="N611" s="185"/>
      <c r="O611" s="181" t="s">
        <v>4773</v>
      </c>
    </row>
    <row r="612" ht="14.25" customHeight="1">
      <c r="H612" s="179" t="str">
        <f t="shared" si="1"/>
        <v>#REF!</v>
      </c>
      <c r="I612" s="178" t="s">
        <v>4767</v>
      </c>
      <c r="J612" s="182" t="s">
        <v>4789</v>
      </c>
      <c r="K612" s="178" t="s">
        <v>4769</v>
      </c>
      <c r="L612" s="178" t="s">
        <v>4808</v>
      </c>
      <c r="M612" s="178" t="str">
        <f t="shared" si="26"/>
        <v>#REF!</v>
      </c>
      <c r="N612" s="185"/>
      <c r="O612" s="181" t="s">
        <v>4773</v>
      </c>
    </row>
    <row r="613" ht="14.25" customHeight="1">
      <c r="H613" s="179" t="str">
        <f t="shared" si="1"/>
        <v>#REF!</v>
      </c>
      <c r="I613" s="178" t="s">
        <v>4767</v>
      </c>
      <c r="J613" s="182" t="s">
        <v>4789</v>
      </c>
      <c r="K613" s="178" t="s">
        <v>4775</v>
      </c>
      <c r="L613" s="178" t="s">
        <v>4808</v>
      </c>
      <c r="M613" s="178" t="str">
        <f t="shared" si="26"/>
        <v>#REF!</v>
      </c>
      <c r="N613" s="185"/>
      <c r="O613" s="181" t="s">
        <v>4773</v>
      </c>
    </row>
    <row r="614" ht="14.25" customHeight="1">
      <c r="H614" s="179" t="str">
        <f t="shared" si="1"/>
        <v>#REF!</v>
      </c>
      <c r="I614" s="178" t="s">
        <v>4767</v>
      </c>
      <c r="J614" s="182" t="s">
        <v>4789</v>
      </c>
      <c r="K614" s="178" t="s">
        <v>4780</v>
      </c>
      <c r="L614" s="178" t="s">
        <v>4808</v>
      </c>
      <c r="M614" s="178" t="str">
        <f t="shared" si="26"/>
        <v>#REF!</v>
      </c>
      <c r="N614" s="185"/>
      <c r="O614" s="181" t="s">
        <v>4773</v>
      </c>
    </row>
    <row r="615" ht="14.25" customHeight="1">
      <c r="H615" s="179" t="str">
        <f t="shared" si="1"/>
        <v>#REF!</v>
      </c>
      <c r="I615" s="178" t="s">
        <v>4767</v>
      </c>
      <c r="J615" s="178" t="s">
        <v>4768</v>
      </c>
      <c r="K615" s="178" t="s">
        <v>4769</v>
      </c>
      <c r="L615" s="178" t="s">
        <v>4808</v>
      </c>
      <c r="M615" s="178" t="str">
        <f t="shared" si="26"/>
        <v>#REF!</v>
      </c>
      <c r="N615" s="185"/>
      <c r="O615" s="181" t="s">
        <v>4773</v>
      </c>
    </row>
    <row r="616" ht="14.25" customHeight="1">
      <c r="H616" s="179" t="str">
        <f t="shared" si="1"/>
        <v>#REF!</v>
      </c>
      <c r="I616" s="178" t="s">
        <v>4767</v>
      </c>
      <c r="J616" s="178" t="s">
        <v>4768</v>
      </c>
      <c r="K616" s="178" t="s">
        <v>4775</v>
      </c>
      <c r="L616" s="178" t="s">
        <v>4808</v>
      </c>
      <c r="M616" s="178" t="str">
        <f t="shared" si="26"/>
        <v>#REF!</v>
      </c>
      <c r="N616" s="185"/>
      <c r="O616" s="181" t="s">
        <v>4773</v>
      </c>
    </row>
    <row r="617" ht="14.25" customHeight="1">
      <c r="H617" s="179" t="str">
        <f t="shared" si="1"/>
        <v>#REF!</v>
      </c>
      <c r="I617" s="178" t="s">
        <v>4767</v>
      </c>
      <c r="J617" s="178" t="s">
        <v>4768</v>
      </c>
      <c r="K617" s="178" t="s">
        <v>4780</v>
      </c>
      <c r="L617" s="178" t="s">
        <v>4808</v>
      </c>
      <c r="M617" s="178" t="str">
        <f t="shared" si="26"/>
        <v>#REF!</v>
      </c>
      <c r="N617" s="185"/>
      <c r="O617" s="181" t="s">
        <v>4773</v>
      </c>
    </row>
    <row r="618" ht="14.25" customHeight="1">
      <c r="H618" s="179" t="str">
        <f t="shared" si="1"/>
        <v>#REF!</v>
      </c>
      <c r="I618" s="178" t="s">
        <v>4767</v>
      </c>
      <c r="J618" s="182" t="s">
        <v>4779</v>
      </c>
      <c r="K618" s="178" t="s">
        <v>4769</v>
      </c>
      <c r="L618" s="178" t="s">
        <v>4808</v>
      </c>
      <c r="M618" s="178" t="str">
        <f t="shared" ref="M618:M638" si="27">IF('Ficha de exención para baterías'!$P$32&gt;0,'Ficha de exención para baterías'!$P$32," ")</f>
        <v>#REF!</v>
      </c>
      <c r="N618" s="185"/>
      <c r="O618" s="181" t="s">
        <v>4773</v>
      </c>
    </row>
    <row r="619" ht="14.25" customHeight="1">
      <c r="H619" s="179" t="str">
        <f t="shared" si="1"/>
        <v>#REF!</v>
      </c>
      <c r="I619" s="178" t="s">
        <v>4767</v>
      </c>
      <c r="J619" s="182" t="s">
        <v>4779</v>
      </c>
      <c r="K619" s="178" t="s">
        <v>4775</v>
      </c>
      <c r="L619" s="178" t="s">
        <v>4808</v>
      </c>
      <c r="M619" s="178" t="str">
        <f t="shared" si="27"/>
        <v>#REF!</v>
      </c>
      <c r="N619" s="185"/>
      <c r="O619" s="181" t="s">
        <v>4773</v>
      </c>
    </row>
    <row r="620" ht="14.25" customHeight="1">
      <c r="H620" s="179" t="str">
        <f t="shared" si="1"/>
        <v>#REF!</v>
      </c>
      <c r="I620" s="178" t="s">
        <v>4767</v>
      </c>
      <c r="J620" s="182" t="s">
        <v>4779</v>
      </c>
      <c r="K620" s="178" t="s">
        <v>4780</v>
      </c>
      <c r="L620" s="178" t="s">
        <v>4808</v>
      </c>
      <c r="M620" s="178" t="str">
        <f t="shared" si="27"/>
        <v>#REF!</v>
      </c>
      <c r="N620" s="185"/>
      <c r="O620" s="181" t="s">
        <v>4773</v>
      </c>
    </row>
    <row r="621" ht="14.25" customHeight="1">
      <c r="H621" s="179" t="str">
        <f t="shared" si="1"/>
        <v>#REF!</v>
      </c>
      <c r="I621" s="178" t="s">
        <v>4767</v>
      </c>
      <c r="J621" s="182" t="s">
        <v>4787</v>
      </c>
      <c r="K621" s="178" t="s">
        <v>4769</v>
      </c>
      <c r="L621" s="178" t="s">
        <v>4808</v>
      </c>
      <c r="M621" s="178" t="str">
        <f t="shared" si="27"/>
        <v>#REF!</v>
      </c>
      <c r="N621" s="185"/>
      <c r="O621" s="181" t="s">
        <v>4773</v>
      </c>
    </row>
    <row r="622" ht="14.25" customHeight="1">
      <c r="H622" s="179" t="str">
        <f t="shared" si="1"/>
        <v>#REF!</v>
      </c>
      <c r="I622" s="178" t="s">
        <v>4767</v>
      </c>
      <c r="J622" s="182" t="s">
        <v>4787</v>
      </c>
      <c r="K622" s="178" t="s">
        <v>4775</v>
      </c>
      <c r="L622" s="178" t="s">
        <v>4808</v>
      </c>
      <c r="M622" s="178" t="str">
        <f t="shared" si="27"/>
        <v>#REF!</v>
      </c>
      <c r="N622" s="185"/>
      <c r="O622" s="181" t="s">
        <v>4773</v>
      </c>
    </row>
    <row r="623" ht="14.25" customHeight="1">
      <c r="H623" s="179" t="str">
        <f t="shared" si="1"/>
        <v>#REF!</v>
      </c>
      <c r="I623" s="178" t="s">
        <v>4767</v>
      </c>
      <c r="J623" s="182" t="s">
        <v>4787</v>
      </c>
      <c r="K623" s="178" t="s">
        <v>4780</v>
      </c>
      <c r="L623" s="178" t="s">
        <v>4808</v>
      </c>
      <c r="M623" s="178" t="str">
        <f t="shared" si="27"/>
        <v>#REF!</v>
      </c>
      <c r="N623" s="185"/>
      <c r="O623" s="181" t="s">
        <v>4773</v>
      </c>
    </row>
    <row r="624" ht="14.25" customHeight="1">
      <c r="H624" s="179" t="str">
        <f t="shared" si="1"/>
        <v>#REF!</v>
      </c>
      <c r="I624" s="178" t="s">
        <v>4767</v>
      </c>
      <c r="J624" s="182" t="s">
        <v>4774</v>
      </c>
      <c r="K624" s="178" t="s">
        <v>4769</v>
      </c>
      <c r="L624" s="178" t="s">
        <v>4808</v>
      </c>
      <c r="M624" s="178" t="str">
        <f t="shared" si="27"/>
        <v>#REF!</v>
      </c>
      <c r="N624" s="185"/>
      <c r="O624" s="181" t="s">
        <v>4773</v>
      </c>
    </row>
    <row r="625" ht="14.25" customHeight="1">
      <c r="H625" s="179" t="str">
        <f t="shared" si="1"/>
        <v>#REF!</v>
      </c>
      <c r="I625" s="178" t="s">
        <v>4767</v>
      </c>
      <c r="J625" s="182" t="s">
        <v>4774</v>
      </c>
      <c r="K625" s="178" t="s">
        <v>4775</v>
      </c>
      <c r="L625" s="178" t="s">
        <v>4808</v>
      </c>
      <c r="M625" s="178" t="str">
        <f t="shared" si="27"/>
        <v>#REF!</v>
      </c>
      <c r="N625" s="185"/>
      <c r="O625" s="181" t="s">
        <v>4773</v>
      </c>
    </row>
    <row r="626" ht="14.25" customHeight="1">
      <c r="H626" s="179" t="str">
        <f t="shared" si="1"/>
        <v>#REF!</v>
      </c>
      <c r="I626" s="178" t="s">
        <v>4767</v>
      </c>
      <c r="J626" s="182" t="s">
        <v>4774</v>
      </c>
      <c r="K626" s="178" t="s">
        <v>4780</v>
      </c>
      <c r="L626" s="178" t="s">
        <v>4808</v>
      </c>
      <c r="M626" s="178" t="str">
        <f t="shared" si="27"/>
        <v>#REF!</v>
      </c>
      <c r="N626" s="185"/>
      <c r="O626" s="181" t="s">
        <v>4773</v>
      </c>
    </row>
    <row r="627" ht="14.25" customHeight="1">
      <c r="H627" s="179" t="str">
        <f t="shared" si="1"/>
        <v>#REF!</v>
      </c>
      <c r="I627" s="178" t="s">
        <v>4767</v>
      </c>
      <c r="J627" s="182" t="s">
        <v>4785</v>
      </c>
      <c r="K627" s="178" t="s">
        <v>4769</v>
      </c>
      <c r="L627" s="178" t="s">
        <v>4808</v>
      </c>
      <c r="M627" s="178" t="str">
        <f t="shared" si="27"/>
        <v>#REF!</v>
      </c>
      <c r="N627" s="185"/>
      <c r="O627" s="181" t="s">
        <v>4773</v>
      </c>
    </row>
    <row r="628" ht="14.25" customHeight="1">
      <c r="H628" s="179" t="str">
        <f t="shared" si="1"/>
        <v>#REF!</v>
      </c>
      <c r="I628" s="178" t="s">
        <v>4767</v>
      </c>
      <c r="J628" s="182" t="s">
        <v>4785</v>
      </c>
      <c r="K628" s="178" t="s">
        <v>4775</v>
      </c>
      <c r="L628" s="178" t="s">
        <v>4808</v>
      </c>
      <c r="M628" s="178" t="str">
        <f t="shared" si="27"/>
        <v>#REF!</v>
      </c>
      <c r="N628" s="185"/>
      <c r="O628" s="181" t="s">
        <v>4773</v>
      </c>
    </row>
    <row r="629" ht="14.25" customHeight="1">
      <c r="H629" s="179" t="str">
        <f t="shared" si="1"/>
        <v>#REF!</v>
      </c>
      <c r="I629" s="178" t="s">
        <v>4767</v>
      </c>
      <c r="J629" s="182" t="s">
        <v>4785</v>
      </c>
      <c r="K629" s="178" t="s">
        <v>4780</v>
      </c>
      <c r="L629" s="178" t="s">
        <v>4808</v>
      </c>
      <c r="M629" s="178" t="str">
        <f t="shared" si="27"/>
        <v>#REF!</v>
      </c>
      <c r="N629" s="185"/>
      <c r="O629" s="181" t="s">
        <v>4773</v>
      </c>
    </row>
    <row r="630" ht="14.25" customHeight="1">
      <c r="H630" s="179" t="str">
        <f t="shared" si="1"/>
        <v>#REF!</v>
      </c>
      <c r="I630" s="178" t="s">
        <v>4767</v>
      </c>
      <c r="J630" s="182" t="s">
        <v>4783</v>
      </c>
      <c r="K630" s="178" t="s">
        <v>4769</v>
      </c>
      <c r="L630" s="178" t="s">
        <v>4808</v>
      </c>
      <c r="M630" s="178" t="str">
        <f t="shared" si="27"/>
        <v>#REF!</v>
      </c>
      <c r="N630" s="185"/>
      <c r="O630" s="181" t="s">
        <v>4773</v>
      </c>
    </row>
    <row r="631" ht="14.25" customHeight="1">
      <c r="H631" s="179" t="str">
        <f t="shared" si="1"/>
        <v>#REF!</v>
      </c>
      <c r="I631" s="178" t="s">
        <v>4767</v>
      </c>
      <c r="J631" s="182" t="s">
        <v>4783</v>
      </c>
      <c r="K631" s="178" t="s">
        <v>4775</v>
      </c>
      <c r="L631" s="178" t="s">
        <v>4808</v>
      </c>
      <c r="M631" s="178" t="str">
        <f t="shared" si="27"/>
        <v>#REF!</v>
      </c>
      <c r="N631" s="185"/>
      <c r="O631" s="181" t="s">
        <v>4773</v>
      </c>
    </row>
    <row r="632" ht="14.25" customHeight="1">
      <c r="H632" s="179" t="str">
        <f t="shared" si="1"/>
        <v>#REF!</v>
      </c>
      <c r="I632" s="178" t="s">
        <v>4767</v>
      </c>
      <c r="J632" s="182" t="s">
        <v>4783</v>
      </c>
      <c r="K632" s="178" t="s">
        <v>4780</v>
      </c>
      <c r="L632" s="178" t="s">
        <v>4808</v>
      </c>
      <c r="M632" s="178" t="str">
        <f t="shared" si="27"/>
        <v>#REF!</v>
      </c>
      <c r="N632" s="185"/>
      <c r="O632" s="181" t="s">
        <v>4773</v>
      </c>
    </row>
    <row r="633" ht="14.25" customHeight="1">
      <c r="H633" s="179" t="str">
        <f t="shared" si="1"/>
        <v>#REF!</v>
      </c>
      <c r="I633" s="178" t="s">
        <v>4767</v>
      </c>
      <c r="J633" s="182" t="s">
        <v>4789</v>
      </c>
      <c r="K633" s="178" t="s">
        <v>4769</v>
      </c>
      <c r="L633" s="178" t="s">
        <v>4808</v>
      </c>
      <c r="M633" s="178" t="str">
        <f t="shared" si="27"/>
        <v>#REF!</v>
      </c>
      <c r="N633" s="185"/>
      <c r="O633" s="181" t="s">
        <v>4773</v>
      </c>
    </row>
    <row r="634" ht="14.25" customHeight="1">
      <c r="H634" s="179" t="str">
        <f t="shared" si="1"/>
        <v>#REF!</v>
      </c>
      <c r="I634" s="178" t="s">
        <v>4767</v>
      </c>
      <c r="J634" s="182" t="s">
        <v>4789</v>
      </c>
      <c r="K634" s="178" t="s">
        <v>4775</v>
      </c>
      <c r="L634" s="178" t="s">
        <v>4808</v>
      </c>
      <c r="M634" s="178" t="str">
        <f t="shared" si="27"/>
        <v>#REF!</v>
      </c>
      <c r="N634" s="185"/>
      <c r="O634" s="181" t="s">
        <v>4773</v>
      </c>
    </row>
    <row r="635" ht="14.25" customHeight="1">
      <c r="H635" s="179" t="str">
        <f t="shared" si="1"/>
        <v>#REF!</v>
      </c>
      <c r="I635" s="178" t="s">
        <v>4767</v>
      </c>
      <c r="J635" s="182" t="s">
        <v>4789</v>
      </c>
      <c r="K635" s="178" t="s">
        <v>4780</v>
      </c>
      <c r="L635" s="178" t="s">
        <v>4808</v>
      </c>
      <c r="M635" s="178" t="str">
        <f t="shared" si="27"/>
        <v>#REF!</v>
      </c>
      <c r="N635" s="185"/>
      <c r="O635" s="181" t="s">
        <v>4773</v>
      </c>
    </row>
    <row r="636" ht="14.25" customHeight="1">
      <c r="H636" s="179" t="str">
        <f t="shared" si="1"/>
        <v>#REF!</v>
      </c>
      <c r="I636" s="178" t="s">
        <v>4767</v>
      </c>
      <c r="J636" s="178" t="s">
        <v>4768</v>
      </c>
      <c r="K636" s="178" t="s">
        <v>4769</v>
      </c>
      <c r="L636" s="178" t="s">
        <v>4808</v>
      </c>
      <c r="M636" s="178" t="str">
        <f t="shared" si="27"/>
        <v>#REF!</v>
      </c>
      <c r="N636" s="185"/>
      <c r="O636" s="181" t="s">
        <v>4773</v>
      </c>
    </row>
    <row r="637" ht="14.25" customHeight="1">
      <c r="H637" s="179" t="str">
        <f t="shared" si="1"/>
        <v>#REF!</v>
      </c>
      <c r="I637" s="178" t="s">
        <v>4767</v>
      </c>
      <c r="J637" s="178" t="s">
        <v>4768</v>
      </c>
      <c r="K637" s="178" t="s">
        <v>4775</v>
      </c>
      <c r="L637" s="178" t="s">
        <v>4808</v>
      </c>
      <c r="M637" s="178" t="str">
        <f t="shared" si="27"/>
        <v>#REF!</v>
      </c>
      <c r="N637" s="185"/>
      <c r="O637" s="181" t="s">
        <v>4773</v>
      </c>
    </row>
    <row r="638" ht="14.25" customHeight="1">
      <c r="H638" s="179" t="str">
        <f t="shared" si="1"/>
        <v>#REF!</v>
      </c>
      <c r="I638" s="178" t="s">
        <v>4767</v>
      </c>
      <c r="J638" s="178" t="s">
        <v>4768</v>
      </c>
      <c r="K638" s="178" t="s">
        <v>4780</v>
      </c>
      <c r="L638" s="178" t="s">
        <v>4808</v>
      </c>
      <c r="M638" s="178" t="str">
        <f t="shared" si="27"/>
        <v>#REF!</v>
      </c>
      <c r="N638" s="185"/>
      <c r="O638" s="181" t="s">
        <v>4773</v>
      </c>
    </row>
    <row r="639" ht="14.25" customHeight="1">
      <c r="H639" s="179" t="str">
        <f t="shared" si="1"/>
        <v>#REF!</v>
      </c>
      <c r="I639" s="178" t="s">
        <v>4767</v>
      </c>
      <c r="J639" s="182" t="s">
        <v>4779</v>
      </c>
      <c r="K639" s="178" t="s">
        <v>4769</v>
      </c>
      <c r="L639" s="178" t="s">
        <v>4809</v>
      </c>
      <c r="M639" s="178" t="str">
        <f t="shared" ref="M639:M659" si="28">IF('Ficha de exención para baterías'!$P$14&gt;0,'Ficha de exención para baterías'!$P$14," ")</f>
        <v>#REF!</v>
      </c>
      <c r="N639" s="185"/>
      <c r="O639" s="181" t="s">
        <v>4773</v>
      </c>
    </row>
    <row r="640" ht="14.25" customHeight="1">
      <c r="H640" s="179" t="str">
        <f t="shared" si="1"/>
        <v>#REF!</v>
      </c>
      <c r="I640" s="178" t="s">
        <v>4767</v>
      </c>
      <c r="J640" s="182" t="s">
        <v>4779</v>
      </c>
      <c r="K640" s="178" t="s">
        <v>4775</v>
      </c>
      <c r="L640" s="178" t="s">
        <v>4809</v>
      </c>
      <c r="M640" s="178" t="str">
        <f t="shared" si="28"/>
        <v>#REF!</v>
      </c>
      <c r="N640" s="185"/>
      <c r="O640" s="181" t="s">
        <v>4773</v>
      </c>
    </row>
    <row r="641" ht="14.25" customHeight="1">
      <c r="H641" s="179" t="str">
        <f t="shared" si="1"/>
        <v>#REF!</v>
      </c>
      <c r="I641" s="178" t="s">
        <v>4767</v>
      </c>
      <c r="J641" s="182" t="s">
        <v>4779</v>
      </c>
      <c r="K641" s="178" t="s">
        <v>4780</v>
      </c>
      <c r="L641" s="178" t="s">
        <v>4809</v>
      </c>
      <c r="M641" s="178" t="str">
        <f t="shared" si="28"/>
        <v>#REF!</v>
      </c>
      <c r="N641" s="185"/>
      <c r="O641" s="181" t="s">
        <v>4773</v>
      </c>
    </row>
    <row r="642" ht="14.25" customHeight="1">
      <c r="H642" s="179" t="str">
        <f t="shared" si="1"/>
        <v>#REF!</v>
      </c>
      <c r="I642" s="178" t="s">
        <v>4767</v>
      </c>
      <c r="J642" s="182" t="s">
        <v>4787</v>
      </c>
      <c r="K642" s="178" t="s">
        <v>4769</v>
      </c>
      <c r="L642" s="178" t="s">
        <v>4809</v>
      </c>
      <c r="M642" s="178" t="str">
        <f t="shared" si="28"/>
        <v>#REF!</v>
      </c>
      <c r="N642" s="185"/>
      <c r="O642" s="181" t="s">
        <v>4773</v>
      </c>
    </row>
    <row r="643" ht="14.25" customHeight="1">
      <c r="H643" s="179" t="str">
        <f t="shared" si="1"/>
        <v>#REF!</v>
      </c>
      <c r="I643" s="178" t="s">
        <v>4767</v>
      </c>
      <c r="J643" s="182" t="s">
        <v>4787</v>
      </c>
      <c r="K643" s="178" t="s">
        <v>4775</v>
      </c>
      <c r="L643" s="178" t="s">
        <v>4809</v>
      </c>
      <c r="M643" s="178" t="str">
        <f t="shared" si="28"/>
        <v>#REF!</v>
      </c>
      <c r="N643" s="185"/>
      <c r="O643" s="181" t="s">
        <v>4773</v>
      </c>
    </row>
    <row r="644" ht="14.25" customHeight="1">
      <c r="H644" s="179" t="str">
        <f t="shared" si="1"/>
        <v>#REF!</v>
      </c>
      <c r="I644" s="178" t="s">
        <v>4767</v>
      </c>
      <c r="J644" s="182" t="s">
        <v>4787</v>
      </c>
      <c r="K644" s="178" t="s">
        <v>4780</v>
      </c>
      <c r="L644" s="178" t="s">
        <v>4809</v>
      </c>
      <c r="M644" s="178" t="str">
        <f t="shared" si="28"/>
        <v>#REF!</v>
      </c>
      <c r="N644" s="185"/>
      <c r="O644" s="181" t="s">
        <v>4773</v>
      </c>
    </row>
    <row r="645" ht="14.25" customHeight="1">
      <c r="H645" s="179" t="str">
        <f t="shared" si="1"/>
        <v>#REF!</v>
      </c>
      <c r="I645" s="178" t="s">
        <v>4767</v>
      </c>
      <c r="J645" s="182" t="s">
        <v>4774</v>
      </c>
      <c r="K645" s="178" t="s">
        <v>4769</v>
      </c>
      <c r="L645" s="178" t="s">
        <v>4809</v>
      </c>
      <c r="M645" s="178" t="str">
        <f t="shared" si="28"/>
        <v>#REF!</v>
      </c>
      <c r="N645" s="185"/>
      <c r="O645" s="181" t="s">
        <v>4773</v>
      </c>
    </row>
    <row r="646" ht="14.25" customHeight="1">
      <c r="H646" s="179" t="str">
        <f t="shared" si="1"/>
        <v>#REF!</v>
      </c>
      <c r="I646" s="178" t="s">
        <v>4767</v>
      </c>
      <c r="J646" s="182" t="s">
        <v>4774</v>
      </c>
      <c r="K646" s="178" t="s">
        <v>4775</v>
      </c>
      <c r="L646" s="178" t="s">
        <v>4809</v>
      </c>
      <c r="M646" s="178" t="str">
        <f t="shared" si="28"/>
        <v>#REF!</v>
      </c>
      <c r="N646" s="185"/>
      <c r="O646" s="181" t="s">
        <v>4773</v>
      </c>
    </row>
    <row r="647" ht="14.25" customHeight="1">
      <c r="H647" s="179" t="str">
        <f t="shared" si="1"/>
        <v>#REF!</v>
      </c>
      <c r="I647" s="178" t="s">
        <v>4767</v>
      </c>
      <c r="J647" s="182" t="s">
        <v>4774</v>
      </c>
      <c r="K647" s="178" t="s">
        <v>4780</v>
      </c>
      <c r="L647" s="178" t="s">
        <v>4809</v>
      </c>
      <c r="M647" s="178" t="str">
        <f t="shared" si="28"/>
        <v>#REF!</v>
      </c>
      <c r="N647" s="185"/>
      <c r="O647" s="181" t="s">
        <v>4773</v>
      </c>
    </row>
    <row r="648" ht="14.25" customHeight="1">
      <c r="H648" s="179" t="str">
        <f t="shared" si="1"/>
        <v>#REF!</v>
      </c>
      <c r="I648" s="178" t="s">
        <v>4767</v>
      </c>
      <c r="J648" s="182" t="s">
        <v>4785</v>
      </c>
      <c r="K648" s="178" t="s">
        <v>4769</v>
      </c>
      <c r="L648" s="178" t="s">
        <v>4809</v>
      </c>
      <c r="M648" s="178" t="str">
        <f t="shared" si="28"/>
        <v>#REF!</v>
      </c>
      <c r="N648" s="185"/>
      <c r="O648" s="181" t="s">
        <v>4773</v>
      </c>
    </row>
    <row r="649" ht="14.25" customHeight="1">
      <c r="H649" s="179" t="str">
        <f t="shared" si="1"/>
        <v>#REF!</v>
      </c>
      <c r="I649" s="178" t="s">
        <v>4767</v>
      </c>
      <c r="J649" s="182" t="s">
        <v>4785</v>
      </c>
      <c r="K649" s="178" t="s">
        <v>4775</v>
      </c>
      <c r="L649" s="178" t="s">
        <v>4809</v>
      </c>
      <c r="M649" s="178" t="str">
        <f t="shared" si="28"/>
        <v>#REF!</v>
      </c>
      <c r="N649" s="185"/>
      <c r="O649" s="181" t="s">
        <v>4773</v>
      </c>
    </row>
    <row r="650" ht="14.25" customHeight="1">
      <c r="H650" s="179" t="str">
        <f t="shared" si="1"/>
        <v>#REF!</v>
      </c>
      <c r="I650" s="178" t="s">
        <v>4767</v>
      </c>
      <c r="J650" s="182" t="s">
        <v>4785</v>
      </c>
      <c r="K650" s="178" t="s">
        <v>4780</v>
      </c>
      <c r="L650" s="178" t="s">
        <v>4809</v>
      </c>
      <c r="M650" s="178" t="str">
        <f t="shared" si="28"/>
        <v>#REF!</v>
      </c>
      <c r="N650" s="185"/>
      <c r="O650" s="181" t="s">
        <v>4773</v>
      </c>
    </row>
    <row r="651" ht="14.25" customHeight="1">
      <c r="H651" s="179" t="str">
        <f t="shared" si="1"/>
        <v>#REF!</v>
      </c>
      <c r="I651" s="178" t="s">
        <v>4767</v>
      </c>
      <c r="J651" s="182" t="s">
        <v>4783</v>
      </c>
      <c r="K651" s="178" t="s">
        <v>4769</v>
      </c>
      <c r="L651" s="178" t="s">
        <v>4809</v>
      </c>
      <c r="M651" s="178" t="str">
        <f t="shared" si="28"/>
        <v>#REF!</v>
      </c>
      <c r="N651" s="185"/>
      <c r="O651" s="181" t="s">
        <v>4773</v>
      </c>
    </row>
    <row r="652" ht="14.25" customHeight="1">
      <c r="H652" s="179" t="str">
        <f t="shared" si="1"/>
        <v>#REF!</v>
      </c>
      <c r="I652" s="178" t="s">
        <v>4767</v>
      </c>
      <c r="J652" s="182" t="s">
        <v>4783</v>
      </c>
      <c r="K652" s="178" t="s">
        <v>4775</v>
      </c>
      <c r="L652" s="178" t="s">
        <v>4809</v>
      </c>
      <c r="M652" s="178" t="str">
        <f t="shared" si="28"/>
        <v>#REF!</v>
      </c>
      <c r="N652" s="185"/>
      <c r="O652" s="181" t="s">
        <v>4773</v>
      </c>
    </row>
    <row r="653" ht="14.25" customHeight="1">
      <c r="H653" s="179" t="str">
        <f t="shared" si="1"/>
        <v>#REF!</v>
      </c>
      <c r="I653" s="178" t="s">
        <v>4767</v>
      </c>
      <c r="J653" s="182" t="s">
        <v>4783</v>
      </c>
      <c r="K653" s="178" t="s">
        <v>4780</v>
      </c>
      <c r="L653" s="178" t="s">
        <v>4809</v>
      </c>
      <c r="M653" s="178" t="str">
        <f t="shared" si="28"/>
        <v>#REF!</v>
      </c>
      <c r="N653" s="185"/>
      <c r="O653" s="181" t="s">
        <v>4773</v>
      </c>
    </row>
    <row r="654" ht="14.25" customHeight="1">
      <c r="H654" s="179" t="str">
        <f t="shared" si="1"/>
        <v>#REF!</v>
      </c>
      <c r="I654" s="178" t="s">
        <v>4767</v>
      </c>
      <c r="J654" s="182" t="s">
        <v>4789</v>
      </c>
      <c r="K654" s="178" t="s">
        <v>4769</v>
      </c>
      <c r="L654" s="178" t="s">
        <v>4809</v>
      </c>
      <c r="M654" s="178" t="str">
        <f t="shared" si="28"/>
        <v>#REF!</v>
      </c>
      <c r="N654" s="185"/>
      <c r="O654" s="181" t="s">
        <v>4773</v>
      </c>
    </row>
    <row r="655" ht="14.25" customHeight="1">
      <c r="H655" s="179" t="str">
        <f t="shared" si="1"/>
        <v>#REF!</v>
      </c>
      <c r="I655" s="178" t="s">
        <v>4767</v>
      </c>
      <c r="J655" s="182" t="s">
        <v>4789</v>
      </c>
      <c r="K655" s="178" t="s">
        <v>4775</v>
      </c>
      <c r="L655" s="178" t="s">
        <v>4809</v>
      </c>
      <c r="M655" s="178" t="str">
        <f t="shared" si="28"/>
        <v>#REF!</v>
      </c>
      <c r="N655" s="185"/>
      <c r="O655" s="181" t="s">
        <v>4773</v>
      </c>
    </row>
    <row r="656" ht="14.25" customHeight="1">
      <c r="H656" s="179" t="str">
        <f t="shared" si="1"/>
        <v>#REF!</v>
      </c>
      <c r="I656" s="178" t="s">
        <v>4767</v>
      </c>
      <c r="J656" s="182" t="s">
        <v>4789</v>
      </c>
      <c r="K656" s="178" t="s">
        <v>4780</v>
      </c>
      <c r="L656" s="178" t="s">
        <v>4809</v>
      </c>
      <c r="M656" s="178" t="str">
        <f t="shared" si="28"/>
        <v>#REF!</v>
      </c>
      <c r="N656" s="185"/>
      <c r="O656" s="181" t="s">
        <v>4773</v>
      </c>
    </row>
    <row r="657" ht="14.25" customHeight="1">
      <c r="H657" s="179" t="str">
        <f t="shared" si="1"/>
        <v>#REF!</v>
      </c>
      <c r="I657" s="178" t="s">
        <v>4767</v>
      </c>
      <c r="J657" s="178" t="s">
        <v>4768</v>
      </c>
      <c r="K657" s="178" t="s">
        <v>4769</v>
      </c>
      <c r="L657" s="178" t="s">
        <v>4809</v>
      </c>
      <c r="M657" s="178" t="str">
        <f t="shared" si="28"/>
        <v>#REF!</v>
      </c>
      <c r="N657" s="185"/>
      <c r="O657" s="181" t="s">
        <v>4773</v>
      </c>
    </row>
    <row r="658" ht="14.25" customHeight="1">
      <c r="H658" s="179" t="str">
        <f t="shared" si="1"/>
        <v>#REF!</v>
      </c>
      <c r="I658" s="178" t="s">
        <v>4767</v>
      </c>
      <c r="J658" s="178" t="s">
        <v>4768</v>
      </c>
      <c r="K658" s="178" t="s">
        <v>4775</v>
      </c>
      <c r="L658" s="178" t="s">
        <v>4809</v>
      </c>
      <c r="M658" s="178" t="str">
        <f t="shared" si="28"/>
        <v>#REF!</v>
      </c>
      <c r="N658" s="185"/>
      <c r="O658" s="181" t="s">
        <v>4773</v>
      </c>
    </row>
    <row r="659" ht="14.25" customHeight="1">
      <c r="H659" s="179" t="str">
        <f t="shared" si="1"/>
        <v>#REF!</v>
      </c>
      <c r="I659" s="178" t="s">
        <v>4767</v>
      </c>
      <c r="J659" s="178" t="s">
        <v>4768</v>
      </c>
      <c r="K659" s="178" t="s">
        <v>4780</v>
      </c>
      <c r="L659" s="178" t="s">
        <v>4809</v>
      </c>
      <c r="M659" s="178" t="str">
        <f t="shared" si="28"/>
        <v>#REF!</v>
      </c>
      <c r="N659" s="185"/>
      <c r="O659" s="181" t="s">
        <v>4773</v>
      </c>
    </row>
    <row r="660" ht="14.25" customHeight="1">
      <c r="H660" s="179" t="str">
        <f t="shared" si="1"/>
        <v>#REF!</v>
      </c>
      <c r="I660" s="178" t="s">
        <v>4767</v>
      </c>
      <c r="J660" s="182" t="s">
        <v>4779</v>
      </c>
      <c r="K660" s="178" t="s">
        <v>4769</v>
      </c>
      <c r="L660" s="178" t="s">
        <v>4809</v>
      </c>
      <c r="M660" s="178" t="str">
        <f t="shared" ref="M660:M680" si="29">IF('Ficha de exención para baterías'!$P$15&gt;0,'Ficha de exención para baterías'!$P$15," ")</f>
        <v>#REF!</v>
      </c>
      <c r="N660" s="185"/>
      <c r="O660" s="181" t="s">
        <v>4773</v>
      </c>
    </row>
    <row r="661" ht="14.25" customHeight="1">
      <c r="H661" s="179" t="str">
        <f t="shared" si="1"/>
        <v>#REF!</v>
      </c>
      <c r="I661" s="178" t="s">
        <v>4767</v>
      </c>
      <c r="J661" s="182" t="s">
        <v>4779</v>
      </c>
      <c r="K661" s="178" t="s">
        <v>4775</v>
      </c>
      <c r="L661" s="178" t="s">
        <v>4809</v>
      </c>
      <c r="M661" s="178" t="str">
        <f t="shared" si="29"/>
        <v>#REF!</v>
      </c>
      <c r="N661" s="185"/>
      <c r="O661" s="181" t="s">
        <v>4773</v>
      </c>
    </row>
    <row r="662" ht="14.25" customHeight="1">
      <c r="H662" s="179" t="str">
        <f t="shared" si="1"/>
        <v>#REF!</v>
      </c>
      <c r="I662" s="178" t="s">
        <v>4767</v>
      </c>
      <c r="J662" s="182" t="s">
        <v>4779</v>
      </c>
      <c r="K662" s="178" t="s">
        <v>4780</v>
      </c>
      <c r="L662" s="178" t="s">
        <v>4809</v>
      </c>
      <c r="M662" s="178" t="str">
        <f t="shared" si="29"/>
        <v>#REF!</v>
      </c>
      <c r="N662" s="185"/>
      <c r="O662" s="181" t="s">
        <v>4773</v>
      </c>
    </row>
    <row r="663" ht="14.25" customHeight="1">
      <c r="H663" s="179" t="str">
        <f t="shared" si="1"/>
        <v>#REF!</v>
      </c>
      <c r="I663" s="178" t="s">
        <v>4767</v>
      </c>
      <c r="J663" s="182" t="s">
        <v>4787</v>
      </c>
      <c r="K663" s="178" t="s">
        <v>4769</v>
      </c>
      <c r="L663" s="178" t="s">
        <v>4809</v>
      </c>
      <c r="M663" s="178" t="str">
        <f t="shared" si="29"/>
        <v>#REF!</v>
      </c>
      <c r="N663" s="185"/>
      <c r="O663" s="181" t="s">
        <v>4773</v>
      </c>
    </row>
    <row r="664" ht="14.25" customHeight="1">
      <c r="H664" s="179" t="str">
        <f t="shared" si="1"/>
        <v>#REF!</v>
      </c>
      <c r="I664" s="178" t="s">
        <v>4767</v>
      </c>
      <c r="J664" s="182" t="s">
        <v>4787</v>
      </c>
      <c r="K664" s="178" t="s">
        <v>4775</v>
      </c>
      <c r="L664" s="178" t="s">
        <v>4809</v>
      </c>
      <c r="M664" s="178" t="str">
        <f t="shared" si="29"/>
        <v>#REF!</v>
      </c>
      <c r="N664" s="185"/>
      <c r="O664" s="181" t="s">
        <v>4773</v>
      </c>
    </row>
    <row r="665" ht="14.25" customHeight="1">
      <c r="H665" s="179" t="str">
        <f t="shared" si="1"/>
        <v>#REF!</v>
      </c>
      <c r="I665" s="178" t="s">
        <v>4767</v>
      </c>
      <c r="J665" s="182" t="s">
        <v>4787</v>
      </c>
      <c r="K665" s="178" t="s">
        <v>4780</v>
      </c>
      <c r="L665" s="178" t="s">
        <v>4809</v>
      </c>
      <c r="M665" s="178" t="str">
        <f t="shared" si="29"/>
        <v>#REF!</v>
      </c>
      <c r="N665" s="185"/>
      <c r="O665" s="181" t="s">
        <v>4773</v>
      </c>
    </row>
    <row r="666" ht="14.25" customHeight="1">
      <c r="H666" s="179" t="str">
        <f t="shared" si="1"/>
        <v>#REF!</v>
      </c>
      <c r="I666" s="178" t="s">
        <v>4767</v>
      </c>
      <c r="J666" s="182" t="s">
        <v>4774</v>
      </c>
      <c r="K666" s="178" t="s">
        <v>4769</v>
      </c>
      <c r="L666" s="178" t="s">
        <v>4809</v>
      </c>
      <c r="M666" s="178" t="str">
        <f t="shared" si="29"/>
        <v>#REF!</v>
      </c>
      <c r="N666" s="185"/>
      <c r="O666" s="181" t="s">
        <v>4773</v>
      </c>
    </row>
    <row r="667" ht="14.25" customHeight="1">
      <c r="H667" s="179" t="str">
        <f t="shared" si="1"/>
        <v>#REF!</v>
      </c>
      <c r="I667" s="178" t="s">
        <v>4767</v>
      </c>
      <c r="J667" s="182" t="s">
        <v>4774</v>
      </c>
      <c r="K667" s="178" t="s">
        <v>4775</v>
      </c>
      <c r="L667" s="178" t="s">
        <v>4809</v>
      </c>
      <c r="M667" s="178" t="str">
        <f t="shared" si="29"/>
        <v>#REF!</v>
      </c>
      <c r="N667" s="185"/>
      <c r="O667" s="181" t="s">
        <v>4773</v>
      </c>
    </row>
    <row r="668" ht="14.25" customHeight="1">
      <c r="H668" s="179" t="str">
        <f t="shared" si="1"/>
        <v>#REF!</v>
      </c>
      <c r="I668" s="178" t="s">
        <v>4767</v>
      </c>
      <c r="J668" s="182" t="s">
        <v>4774</v>
      </c>
      <c r="K668" s="178" t="s">
        <v>4780</v>
      </c>
      <c r="L668" s="178" t="s">
        <v>4809</v>
      </c>
      <c r="M668" s="178" t="str">
        <f t="shared" si="29"/>
        <v>#REF!</v>
      </c>
      <c r="N668" s="185"/>
      <c r="O668" s="181" t="s">
        <v>4773</v>
      </c>
    </row>
    <row r="669" ht="14.25" customHeight="1">
      <c r="H669" s="179" t="str">
        <f t="shared" si="1"/>
        <v>#REF!</v>
      </c>
      <c r="I669" s="178" t="s">
        <v>4767</v>
      </c>
      <c r="J669" s="182" t="s">
        <v>4785</v>
      </c>
      <c r="K669" s="178" t="s">
        <v>4769</v>
      </c>
      <c r="L669" s="178" t="s">
        <v>4809</v>
      </c>
      <c r="M669" s="178" t="str">
        <f t="shared" si="29"/>
        <v>#REF!</v>
      </c>
      <c r="N669" s="185"/>
      <c r="O669" s="181" t="s">
        <v>4773</v>
      </c>
    </row>
    <row r="670" ht="14.25" customHeight="1">
      <c r="H670" s="179" t="str">
        <f t="shared" si="1"/>
        <v>#REF!</v>
      </c>
      <c r="I670" s="178" t="s">
        <v>4767</v>
      </c>
      <c r="J670" s="182" t="s">
        <v>4785</v>
      </c>
      <c r="K670" s="178" t="s">
        <v>4775</v>
      </c>
      <c r="L670" s="178" t="s">
        <v>4809</v>
      </c>
      <c r="M670" s="178" t="str">
        <f t="shared" si="29"/>
        <v>#REF!</v>
      </c>
      <c r="N670" s="185"/>
      <c r="O670" s="181" t="s">
        <v>4773</v>
      </c>
    </row>
    <row r="671" ht="14.25" customHeight="1">
      <c r="H671" s="179" t="str">
        <f t="shared" si="1"/>
        <v>#REF!</v>
      </c>
      <c r="I671" s="178" t="s">
        <v>4767</v>
      </c>
      <c r="J671" s="182" t="s">
        <v>4785</v>
      </c>
      <c r="K671" s="178" t="s">
        <v>4780</v>
      </c>
      <c r="L671" s="178" t="s">
        <v>4809</v>
      </c>
      <c r="M671" s="178" t="str">
        <f t="shared" si="29"/>
        <v>#REF!</v>
      </c>
      <c r="N671" s="185"/>
      <c r="O671" s="181" t="s">
        <v>4773</v>
      </c>
    </row>
    <row r="672" ht="14.25" customHeight="1">
      <c r="H672" s="179" t="str">
        <f t="shared" si="1"/>
        <v>#REF!</v>
      </c>
      <c r="I672" s="178" t="s">
        <v>4767</v>
      </c>
      <c r="J672" s="182" t="s">
        <v>4783</v>
      </c>
      <c r="K672" s="178" t="s">
        <v>4769</v>
      </c>
      <c r="L672" s="178" t="s">
        <v>4809</v>
      </c>
      <c r="M672" s="178" t="str">
        <f t="shared" si="29"/>
        <v>#REF!</v>
      </c>
      <c r="N672" s="185"/>
      <c r="O672" s="181" t="s">
        <v>4773</v>
      </c>
    </row>
    <row r="673" ht="14.25" customHeight="1">
      <c r="H673" s="179" t="str">
        <f t="shared" si="1"/>
        <v>#REF!</v>
      </c>
      <c r="I673" s="178" t="s">
        <v>4767</v>
      </c>
      <c r="J673" s="182" t="s">
        <v>4783</v>
      </c>
      <c r="K673" s="178" t="s">
        <v>4775</v>
      </c>
      <c r="L673" s="178" t="s">
        <v>4809</v>
      </c>
      <c r="M673" s="178" t="str">
        <f t="shared" si="29"/>
        <v>#REF!</v>
      </c>
      <c r="N673" s="185"/>
      <c r="O673" s="181" t="s">
        <v>4773</v>
      </c>
    </row>
    <row r="674" ht="14.25" customHeight="1">
      <c r="H674" s="179" t="str">
        <f t="shared" si="1"/>
        <v>#REF!</v>
      </c>
      <c r="I674" s="178" t="s">
        <v>4767</v>
      </c>
      <c r="J674" s="182" t="s">
        <v>4783</v>
      </c>
      <c r="K674" s="178" t="s">
        <v>4780</v>
      </c>
      <c r="L674" s="178" t="s">
        <v>4809</v>
      </c>
      <c r="M674" s="178" t="str">
        <f t="shared" si="29"/>
        <v>#REF!</v>
      </c>
      <c r="N674" s="185"/>
      <c r="O674" s="181" t="s">
        <v>4773</v>
      </c>
    </row>
    <row r="675" ht="14.25" customHeight="1">
      <c r="H675" s="179" t="str">
        <f t="shared" si="1"/>
        <v>#REF!</v>
      </c>
      <c r="I675" s="178" t="s">
        <v>4767</v>
      </c>
      <c r="J675" s="182" t="s">
        <v>4789</v>
      </c>
      <c r="K675" s="178" t="s">
        <v>4769</v>
      </c>
      <c r="L675" s="178" t="s">
        <v>4809</v>
      </c>
      <c r="M675" s="178" t="str">
        <f t="shared" si="29"/>
        <v>#REF!</v>
      </c>
      <c r="N675" s="185"/>
      <c r="O675" s="181" t="s">
        <v>4773</v>
      </c>
    </row>
    <row r="676" ht="14.25" customHeight="1">
      <c r="H676" s="179" t="str">
        <f t="shared" si="1"/>
        <v>#REF!</v>
      </c>
      <c r="I676" s="178" t="s">
        <v>4767</v>
      </c>
      <c r="J676" s="182" t="s">
        <v>4789</v>
      </c>
      <c r="K676" s="178" t="s">
        <v>4775</v>
      </c>
      <c r="L676" s="178" t="s">
        <v>4809</v>
      </c>
      <c r="M676" s="178" t="str">
        <f t="shared" si="29"/>
        <v>#REF!</v>
      </c>
      <c r="N676" s="185"/>
      <c r="O676" s="181" t="s">
        <v>4773</v>
      </c>
    </row>
    <row r="677" ht="14.25" customHeight="1">
      <c r="H677" s="179" t="str">
        <f t="shared" si="1"/>
        <v>#REF!</v>
      </c>
      <c r="I677" s="178" t="s">
        <v>4767</v>
      </c>
      <c r="J677" s="182" t="s">
        <v>4789</v>
      </c>
      <c r="K677" s="178" t="s">
        <v>4780</v>
      </c>
      <c r="L677" s="178" t="s">
        <v>4809</v>
      </c>
      <c r="M677" s="178" t="str">
        <f t="shared" si="29"/>
        <v>#REF!</v>
      </c>
      <c r="N677" s="185"/>
      <c r="O677" s="181" t="s">
        <v>4773</v>
      </c>
    </row>
    <row r="678" ht="14.25" customHeight="1">
      <c r="H678" s="179" t="str">
        <f t="shared" si="1"/>
        <v>#REF!</v>
      </c>
      <c r="I678" s="178" t="s">
        <v>4767</v>
      </c>
      <c r="J678" s="178" t="s">
        <v>4768</v>
      </c>
      <c r="K678" s="178" t="s">
        <v>4769</v>
      </c>
      <c r="L678" s="178" t="s">
        <v>4809</v>
      </c>
      <c r="M678" s="178" t="str">
        <f t="shared" si="29"/>
        <v>#REF!</v>
      </c>
      <c r="N678" s="185"/>
      <c r="O678" s="181" t="s">
        <v>4773</v>
      </c>
    </row>
    <row r="679" ht="14.25" customHeight="1">
      <c r="H679" s="179" t="str">
        <f t="shared" si="1"/>
        <v>#REF!</v>
      </c>
      <c r="I679" s="178" t="s">
        <v>4767</v>
      </c>
      <c r="J679" s="178" t="s">
        <v>4768</v>
      </c>
      <c r="K679" s="178" t="s">
        <v>4775</v>
      </c>
      <c r="L679" s="178" t="s">
        <v>4809</v>
      </c>
      <c r="M679" s="178" t="str">
        <f t="shared" si="29"/>
        <v>#REF!</v>
      </c>
      <c r="N679" s="185"/>
      <c r="O679" s="181" t="s">
        <v>4773</v>
      </c>
    </row>
    <row r="680" ht="14.25" customHeight="1">
      <c r="H680" s="179" t="str">
        <f t="shared" si="1"/>
        <v>#REF!</v>
      </c>
      <c r="I680" s="178" t="s">
        <v>4767</v>
      </c>
      <c r="J680" s="178" t="s">
        <v>4768</v>
      </c>
      <c r="K680" s="178" t="s">
        <v>4780</v>
      </c>
      <c r="L680" s="178" t="s">
        <v>4809</v>
      </c>
      <c r="M680" s="178" t="str">
        <f t="shared" si="29"/>
        <v>#REF!</v>
      </c>
      <c r="N680" s="185"/>
      <c r="O680" s="181" t="s">
        <v>4773</v>
      </c>
    </row>
    <row r="681" ht="14.25" customHeight="1">
      <c r="H681" s="179" t="str">
        <f t="shared" si="1"/>
        <v>#REF!</v>
      </c>
      <c r="I681" s="178" t="s">
        <v>4767</v>
      </c>
      <c r="J681" s="182" t="s">
        <v>4779</v>
      </c>
      <c r="K681" s="178" t="s">
        <v>4769</v>
      </c>
      <c r="L681" s="178" t="s">
        <v>4809</v>
      </c>
      <c r="M681" s="178" t="str">
        <f t="shared" ref="M681:M701" si="30">IF('Ficha de exención para baterías'!$P$16&gt;0,'Ficha de exención para baterías'!$P$16," ")</f>
        <v>#REF!</v>
      </c>
      <c r="N681" s="185"/>
      <c r="O681" s="181" t="s">
        <v>4773</v>
      </c>
    </row>
    <row r="682" ht="14.25" customHeight="1">
      <c r="H682" s="179" t="str">
        <f t="shared" si="1"/>
        <v>#REF!</v>
      </c>
      <c r="I682" s="178" t="s">
        <v>4767</v>
      </c>
      <c r="J682" s="182" t="s">
        <v>4779</v>
      </c>
      <c r="K682" s="178" t="s">
        <v>4775</v>
      </c>
      <c r="L682" s="178" t="s">
        <v>4809</v>
      </c>
      <c r="M682" s="178" t="str">
        <f t="shared" si="30"/>
        <v>#REF!</v>
      </c>
      <c r="N682" s="185"/>
      <c r="O682" s="181" t="s">
        <v>4773</v>
      </c>
    </row>
    <row r="683" ht="14.25" customHeight="1">
      <c r="H683" s="179" t="str">
        <f t="shared" si="1"/>
        <v>#REF!</v>
      </c>
      <c r="I683" s="178" t="s">
        <v>4767</v>
      </c>
      <c r="J683" s="182" t="s">
        <v>4779</v>
      </c>
      <c r="K683" s="178" t="s">
        <v>4780</v>
      </c>
      <c r="L683" s="178" t="s">
        <v>4809</v>
      </c>
      <c r="M683" s="178" t="str">
        <f t="shared" si="30"/>
        <v>#REF!</v>
      </c>
      <c r="N683" s="185"/>
      <c r="O683" s="181" t="s">
        <v>4773</v>
      </c>
    </row>
    <row r="684" ht="14.25" customHeight="1">
      <c r="H684" s="179" t="str">
        <f t="shared" si="1"/>
        <v>#REF!</v>
      </c>
      <c r="I684" s="178" t="s">
        <v>4767</v>
      </c>
      <c r="J684" s="182" t="s">
        <v>4787</v>
      </c>
      <c r="K684" s="178" t="s">
        <v>4769</v>
      </c>
      <c r="L684" s="178" t="s">
        <v>4809</v>
      </c>
      <c r="M684" s="178" t="str">
        <f t="shared" si="30"/>
        <v>#REF!</v>
      </c>
      <c r="N684" s="185"/>
      <c r="O684" s="181" t="s">
        <v>4773</v>
      </c>
    </row>
    <row r="685" ht="14.25" customHeight="1">
      <c r="H685" s="179" t="str">
        <f t="shared" si="1"/>
        <v>#REF!</v>
      </c>
      <c r="I685" s="178" t="s">
        <v>4767</v>
      </c>
      <c r="J685" s="182" t="s">
        <v>4787</v>
      </c>
      <c r="K685" s="178" t="s">
        <v>4775</v>
      </c>
      <c r="L685" s="178" t="s">
        <v>4809</v>
      </c>
      <c r="M685" s="178" t="str">
        <f t="shared" si="30"/>
        <v>#REF!</v>
      </c>
      <c r="N685" s="185"/>
      <c r="O685" s="181" t="s">
        <v>4773</v>
      </c>
    </row>
    <row r="686" ht="14.25" customHeight="1">
      <c r="H686" s="179" t="str">
        <f t="shared" si="1"/>
        <v>#REF!</v>
      </c>
      <c r="I686" s="178" t="s">
        <v>4767</v>
      </c>
      <c r="J686" s="182" t="s">
        <v>4787</v>
      </c>
      <c r="K686" s="178" t="s">
        <v>4780</v>
      </c>
      <c r="L686" s="178" t="s">
        <v>4809</v>
      </c>
      <c r="M686" s="178" t="str">
        <f t="shared" si="30"/>
        <v>#REF!</v>
      </c>
      <c r="N686" s="185"/>
      <c r="O686" s="181" t="s">
        <v>4773</v>
      </c>
    </row>
    <row r="687" ht="14.25" customHeight="1">
      <c r="H687" s="179" t="str">
        <f t="shared" si="1"/>
        <v>#REF!</v>
      </c>
      <c r="I687" s="178" t="s">
        <v>4767</v>
      </c>
      <c r="J687" s="182" t="s">
        <v>4774</v>
      </c>
      <c r="K687" s="178" t="s">
        <v>4769</v>
      </c>
      <c r="L687" s="178" t="s">
        <v>4809</v>
      </c>
      <c r="M687" s="178" t="str">
        <f t="shared" si="30"/>
        <v>#REF!</v>
      </c>
      <c r="N687" s="185"/>
      <c r="O687" s="181" t="s">
        <v>4773</v>
      </c>
    </row>
    <row r="688" ht="14.25" customHeight="1">
      <c r="H688" s="179" t="str">
        <f t="shared" si="1"/>
        <v>#REF!</v>
      </c>
      <c r="I688" s="178" t="s">
        <v>4767</v>
      </c>
      <c r="J688" s="182" t="s">
        <v>4774</v>
      </c>
      <c r="K688" s="178" t="s">
        <v>4775</v>
      </c>
      <c r="L688" s="178" t="s">
        <v>4809</v>
      </c>
      <c r="M688" s="178" t="str">
        <f t="shared" si="30"/>
        <v>#REF!</v>
      </c>
      <c r="N688" s="185"/>
      <c r="O688" s="181" t="s">
        <v>4773</v>
      </c>
    </row>
    <row r="689" ht="14.25" customHeight="1">
      <c r="H689" s="179" t="str">
        <f t="shared" si="1"/>
        <v>#REF!</v>
      </c>
      <c r="I689" s="178" t="s">
        <v>4767</v>
      </c>
      <c r="J689" s="182" t="s">
        <v>4774</v>
      </c>
      <c r="K689" s="178" t="s">
        <v>4780</v>
      </c>
      <c r="L689" s="178" t="s">
        <v>4809</v>
      </c>
      <c r="M689" s="178" t="str">
        <f t="shared" si="30"/>
        <v>#REF!</v>
      </c>
      <c r="N689" s="185"/>
      <c r="O689" s="181" t="s">
        <v>4773</v>
      </c>
    </row>
    <row r="690" ht="14.25" customHeight="1">
      <c r="H690" s="179" t="str">
        <f t="shared" si="1"/>
        <v>#REF!</v>
      </c>
      <c r="I690" s="178" t="s">
        <v>4767</v>
      </c>
      <c r="J690" s="182" t="s">
        <v>4785</v>
      </c>
      <c r="K690" s="178" t="s">
        <v>4769</v>
      </c>
      <c r="L690" s="178" t="s">
        <v>4809</v>
      </c>
      <c r="M690" s="178" t="str">
        <f t="shared" si="30"/>
        <v>#REF!</v>
      </c>
      <c r="N690" s="185"/>
      <c r="O690" s="181" t="s">
        <v>4773</v>
      </c>
    </row>
    <row r="691" ht="14.25" customHeight="1">
      <c r="H691" s="179" t="str">
        <f t="shared" si="1"/>
        <v>#REF!</v>
      </c>
      <c r="I691" s="178" t="s">
        <v>4767</v>
      </c>
      <c r="J691" s="182" t="s">
        <v>4785</v>
      </c>
      <c r="K691" s="178" t="s">
        <v>4775</v>
      </c>
      <c r="L691" s="178" t="s">
        <v>4809</v>
      </c>
      <c r="M691" s="178" t="str">
        <f t="shared" si="30"/>
        <v>#REF!</v>
      </c>
      <c r="N691" s="185"/>
      <c r="O691" s="181" t="s">
        <v>4773</v>
      </c>
    </row>
    <row r="692" ht="14.25" customHeight="1">
      <c r="H692" s="179" t="str">
        <f t="shared" si="1"/>
        <v>#REF!</v>
      </c>
      <c r="I692" s="178" t="s">
        <v>4767</v>
      </c>
      <c r="J692" s="182" t="s">
        <v>4785</v>
      </c>
      <c r="K692" s="178" t="s">
        <v>4780</v>
      </c>
      <c r="L692" s="178" t="s">
        <v>4809</v>
      </c>
      <c r="M692" s="178" t="str">
        <f t="shared" si="30"/>
        <v>#REF!</v>
      </c>
      <c r="N692" s="185"/>
      <c r="O692" s="181" t="s">
        <v>4773</v>
      </c>
    </row>
    <row r="693" ht="14.25" customHeight="1">
      <c r="H693" s="179" t="str">
        <f t="shared" si="1"/>
        <v>#REF!</v>
      </c>
      <c r="I693" s="178" t="s">
        <v>4767</v>
      </c>
      <c r="J693" s="182" t="s">
        <v>4783</v>
      </c>
      <c r="K693" s="178" t="s">
        <v>4769</v>
      </c>
      <c r="L693" s="178" t="s">
        <v>4809</v>
      </c>
      <c r="M693" s="178" t="str">
        <f t="shared" si="30"/>
        <v>#REF!</v>
      </c>
      <c r="N693" s="185"/>
      <c r="O693" s="181" t="s">
        <v>4773</v>
      </c>
    </row>
    <row r="694" ht="14.25" customHeight="1">
      <c r="H694" s="179" t="str">
        <f t="shared" si="1"/>
        <v>#REF!</v>
      </c>
      <c r="I694" s="178" t="s">
        <v>4767</v>
      </c>
      <c r="J694" s="182" t="s">
        <v>4783</v>
      </c>
      <c r="K694" s="178" t="s">
        <v>4775</v>
      </c>
      <c r="L694" s="178" t="s">
        <v>4809</v>
      </c>
      <c r="M694" s="178" t="str">
        <f t="shared" si="30"/>
        <v>#REF!</v>
      </c>
      <c r="N694" s="185"/>
      <c r="O694" s="181" t="s">
        <v>4773</v>
      </c>
    </row>
    <row r="695" ht="14.25" customHeight="1">
      <c r="H695" s="179" t="str">
        <f t="shared" si="1"/>
        <v>#REF!</v>
      </c>
      <c r="I695" s="178" t="s">
        <v>4767</v>
      </c>
      <c r="J695" s="182" t="s">
        <v>4783</v>
      </c>
      <c r="K695" s="178" t="s">
        <v>4780</v>
      </c>
      <c r="L695" s="178" t="s">
        <v>4809</v>
      </c>
      <c r="M695" s="178" t="str">
        <f t="shared" si="30"/>
        <v>#REF!</v>
      </c>
      <c r="N695" s="185"/>
      <c r="O695" s="181" t="s">
        <v>4773</v>
      </c>
    </row>
    <row r="696" ht="14.25" customHeight="1">
      <c r="H696" s="179" t="str">
        <f t="shared" si="1"/>
        <v>#REF!</v>
      </c>
      <c r="I696" s="178" t="s">
        <v>4767</v>
      </c>
      <c r="J696" s="182" t="s">
        <v>4789</v>
      </c>
      <c r="K696" s="178" t="s">
        <v>4769</v>
      </c>
      <c r="L696" s="178" t="s">
        <v>4809</v>
      </c>
      <c r="M696" s="178" t="str">
        <f t="shared" si="30"/>
        <v>#REF!</v>
      </c>
      <c r="N696" s="185"/>
      <c r="O696" s="181" t="s">
        <v>4773</v>
      </c>
    </row>
    <row r="697" ht="14.25" customHeight="1">
      <c r="H697" s="179" t="str">
        <f t="shared" si="1"/>
        <v>#REF!</v>
      </c>
      <c r="I697" s="178" t="s">
        <v>4767</v>
      </c>
      <c r="J697" s="182" t="s">
        <v>4789</v>
      </c>
      <c r="K697" s="178" t="s">
        <v>4775</v>
      </c>
      <c r="L697" s="178" t="s">
        <v>4809</v>
      </c>
      <c r="M697" s="178" t="str">
        <f t="shared" si="30"/>
        <v>#REF!</v>
      </c>
      <c r="N697" s="185"/>
      <c r="O697" s="181" t="s">
        <v>4773</v>
      </c>
    </row>
    <row r="698" ht="14.25" customHeight="1">
      <c r="H698" s="179" t="str">
        <f t="shared" si="1"/>
        <v>#REF!</v>
      </c>
      <c r="I698" s="178" t="s">
        <v>4767</v>
      </c>
      <c r="J698" s="182" t="s">
        <v>4789</v>
      </c>
      <c r="K698" s="178" t="s">
        <v>4780</v>
      </c>
      <c r="L698" s="178" t="s">
        <v>4809</v>
      </c>
      <c r="M698" s="178" t="str">
        <f t="shared" si="30"/>
        <v>#REF!</v>
      </c>
      <c r="N698" s="185"/>
      <c r="O698" s="181" t="s">
        <v>4773</v>
      </c>
    </row>
    <row r="699" ht="14.25" customHeight="1">
      <c r="H699" s="179" t="str">
        <f t="shared" si="1"/>
        <v>#REF!</v>
      </c>
      <c r="I699" s="178" t="s">
        <v>4767</v>
      </c>
      <c r="J699" s="178" t="s">
        <v>4768</v>
      </c>
      <c r="K699" s="178" t="s">
        <v>4769</v>
      </c>
      <c r="L699" s="178" t="s">
        <v>4809</v>
      </c>
      <c r="M699" s="178" t="str">
        <f t="shared" si="30"/>
        <v>#REF!</v>
      </c>
      <c r="N699" s="185"/>
      <c r="O699" s="181" t="s">
        <v>4773</v>
      </c>
    </row>
    <row r="700" ht="14.25" customHeight="1">
      <c r="H700" s="179" t="str">
        <f t="shared" si="1"/>
        <v>#REF!</v>
      </c>
      <c r="I700" s="178" t="s">
        <v>4767</v>
      </c>
      <c r="J700" s="178" t="s">
        <v>4768</v>
      </c>
      <c r="K700" s="178" t="s">
        <v>4775</v>
      </c>
      <c r="L700" s="178" t="s">
        <v>4809</v>
      </c>
      <c r="M700" s="178" t="str">
        <f t="shared" si="30"/>
        <v>#REF!</v>
      </c>
      <c r="N700" s="185"/>
      <c r="O700" s="181" t="s">
        <v>4773</v>
      </c>
    </row>
    <row r="701" ht="14.25" customHeight="1">
      <c r="H701" s="179" t="str">
        <f t="shared" si="1"/>
        <v>#REF!</v>
      </c>
      <c r="I701" s="178" t="s">
        <v>4767</v>
      </c>
      <c r="J701" s="178" t="s">
        <v>4768</v>
      </c>
      <c r="K701" s="178" t="s">
        <v>4780</v>
      </c>
      <c r="L701" s="178" t="s">
        <v>4809</v>
      </c>
      <c r="M701" s="178" t="str">
        <f t="shared" si="30"/>
        <v>#REF!</v>
      </c>
      <c r="N701" s="185"/>
      <c r="O701" s="181" t="s">
        <v>4773</v>
      </c>
    </row>
    <row r="702" ht="14.25" customHeight="1">
      <c r="H702" s="179" t="str">
        <f t="shared" si="1"/>
        <v>#REF!</v>
      </c>
      <c r="I702" s="178" t="s">
        <v>4767</v>
      </c>
      <c r="J702" s="182" t="s">
        <v>4779</v>
      </c>
      <c r="K702" s="178" t="s">
        <v>4769</v>
      </c>
      <c r="L702" s="178" t="s">
        <v>4809</v>
      </c>
      <c r="M702" s="178" t="str">
        <f t="shared" ref="M702:M722" si="31">IF('Ficha de exención para baterías'!$P$17&gt;0,'Ficha de exención para baterías'!$P$17," ")</f>
        <v>#REF!</v>
      </c>
      <c r="N702" s="185"/>
      <c r="O702" s="181" t="s">
        <v>4773</v>
      </c>
    </row>
    <row r="703" ht="14.25" customHeight="1">
      <c r="H703" s="179" t="str">
        <f t="shared" si="1"/>
        <v>#REF!</v>
      </c>
      <c r="I703" s="178" t="s">
        <v>4767</v>
      </c>
      <c r="J703" s="182" t="s">
        <v>4779</v>
      </c>
      <c r="K703" s="178" t="s">
        <v>4775</v>
      </c>
      <c r="L703" s="178" t="s">
        <v>4809</v>
      </c>
      <c r="M703" s="178" t="str">
        <f t="shared" si="31"/>
        <v>#REF!</v>
      </c>
      <c r="N703" s="185"/>
      <c r="O703" s="181" t="s">
        <v>4773</v>
      </c>
    </row>
    <row r="704" ht="14.25" customHeight="1">
      <c r="H704" s="179" t="str">
        <f t="shared" si="1"/>
        <v>#REF!</v>
      </c>
      <c r="I704" s="178" t="s">
        <v>4767</v>
      </c>
      <c r="J704" s="182" t="s">
        <v>4779</v>
      </c>
      <c r="K704" s="178" t="s">
        <v>4780</v>
      </c>
      <c r="L704" s="178" t="s">
        <v>4809</v>
      </c>
      <c r="M704" s="178" t="str">
        <f t="shared" si="31"/>
        <v>#REF!</v>
      </c>
      <c r="N704" s="185"/>
      <c r="O704" s="181" t="s">
        <v>4773</v>
      </c>
    </row>
    <row r="705" ht="14.25" customHeight="1">
      <c r="H705" s="179" t="str">
        <f t="shared" si="1"/>
        <v>#REF!</v>
      </c>
      <c r="I705" s="178" t="s">
        <v>4767</v>
      </c>
      <c r="J705" s="182" t="s">
        <v>4787</v>
      </c>
      <c r="K705" s="178" t="s">
        <v>4769</v>
      </c>
      <c r="L705" s="178" t="s">
        <v>4809</v>
      </c>
      <c r="M705" s="178" t="str">
        <f t="shared" si="31"/>
        <v>#REF!</v>
      </c>
      <c r="N705" s="185"/>
      <c r="O705" s="181" t="s">
        <v>4773</v>
      </c>
    </row>
    <row r="706" ht="14.25" customHeight="1">
      <c r="H706" s="179" t="str">
        <f t="shared" si="1"/>
        <v>#REF!</v>
      </c>
      <c r="I706" s="178" t="s">
        <v>4767</v>
      </c>
      <c r="J706" s="182" t="s">
        <v>4787</v>
      </c>
      <c r="K706" s="178" t="s">
        <v>4775</v>
      </c>
      <c r="L706" s="178" t="s">
        <v>4809</v>
      </c>
      <c r="M706" s="178" t="str">
        <f t="shared" si="31"/>
        <v>#REF!</v>
      </c>
      <c r="N706" s="185"/>
      <c r="O706" s="181" t="s">
        <v>4773</v>
      </c>
    </row>
    <row r="707" ht="14.25" customHeight="1">
      <c r="H707" s="179" t="str">
        <f t="shared" si="1"/>
        <v>#REF!</v>
      </c>
      <c r="I707" s="178" t="s">
        <v>4767</v>
      </c>
      <c r="J707" s="182" t="s">
        <v>4787</v>
      </c>
      <c r="K707" s="178" t="s">
        <v>4780</v>
      </c>
      <c r="L707" s="178" t="s">
        <v>4809</v>
      </c>
      <c r="M707" s="178" t="str">
        <f t="shared" si="31"/>
        <v>#REF!</v>
      </c>
      <c r="N707" s="185"/>
      <c r="O707" s="181" t="s">
        <v>4773</v>
      </c>
    </row>
    <row r="708" ht="14.25" customHeight="1">
      <c r="H708" s="179" t="str">
        <f t="shared" si="1"/>
        <v>#REF!</v>
      </c>
      <c r="I708" s="178" t="s">
        <v>4767</v>
      </c>
      <c r="J708" s="182" t="s">
        <v>4774</v>
      </c>
      <c r="K708" s="178" t="s">
        <v>4769</v>
      </c>
      <c r="L708" s="178" t="s">
        <v>4809</v>
      </c>
      <c r="M708" s="178" t="str">
        <f t="shared" si="31"/>
        <v>#REF!</v>
      </c>
      <c r="N708" s="185"/>
      <c r="O708" s="181" t="s">
        <v>4773</v>
      </c>
    </row>
    <row r="709" ht="14.25" customHeight="1">
      <c r="H709" s="179" t="str">
        <f t="shared" si="1"/>
        <v>#REF!</v>
      </c>
      <c r="I709" s="178" t="s">
        <v>4767</v>
      </c>
      <c r="J709" s="182" t="s">
        <v>4774</v>
      </c>
      <c r="K709" s="178" t="s">
        <v>4775</v>
      </c>
      <c r="L709" s="178" t="s">
        <v>4809</v>
      </c>
      <c r="M709" s="178" t="str">
        <f t="shared" si="31"/>
        <v>#REF!</v>
      </c>
      <c r="N709" s="185"/>
      <c r="O709" s="181" t="s">
        <v>4773</v>
      </c>
    </row>
    <row r="710" ht="14.25" customHeight="1">
      <c r="H710" s="179" t="str">
        <f t="shared" si="1"/>
        <v>#REF!</v>
      </c>
      <c r="I710" s="178" t="s">
        <v>4767</v>
      </c>
      <c r="J710" s="182" t="s">
        <v>4774</v>
      </c>
      <c r="K710" s="178" t="s">
        <v>4780</v>
      </c>
      <c r="L710" s="178" t="s">
        <v>4809</v>
      </c>
      <c r="M710" s="178" t="str">
        <f t="shared" si="31"/>
        <v>#REF!</v>
      </c>
      <c r="N710" s="185"/>
      <c r="O710" s="181" t="s">
        <v>4773</v>
      </c>
    </row>
    <row r="711" ht="14.25" customHeight="1">
      <c r="H711" s="179" t="str">
        <f t="shared" si="1"/>
        <v>#REF!</v>
      </c>
      <c r="I711" s="178" t="s">
        <v>4767</v>
      </c>
      <c r="J711" s="182" t="s">
        <v>4785</v>
      </c>
      <c r="K711" s="178" t="s">
        <v>4769</v>
      </c>
      <c r="L711" s="178" t="s">
        <v>4809</v>
      </c>
      <c r="M711" s="178" t="str">
        <f t="shared" si="31"/>
        <v>#REF!</v>
      </c>
      <c r="N711" s="185"/>
      <c r="O711" s="181" t="s">
        <v>4773</v>
      </c>
    </row>
    <row r="712" ht="14.25" customHeight="1">
      <c r="H712" s="179" t="str">
        <f t="shared" si="1"/>
        <v>#REF!</v>
      </c>
      <c r="I712" s="178" t="s">
        <v>4767</v>
      </c>
      <c r="J712" s="182" t="s">
        <v>4785</v>
      </c>
      <c r="K712" s="178" t="s">
        <v>4775</v>
      </c>
      <c r="L712" s="178" t="s">
        <v>4809</v>
      </c>
      <c r="M712" s="178" t="str">
        <f t="shared" si="31"/>
        <v>#REF!</v>
      </c>
      <c r="N712" s="185"/>
      <c r="O712" s="181" t="s">
        <v>4773</v>
      </c>
    </row>
    <row r="713" ht="14.25" customHeight="1">
      <c r="H713" s="179" t="str">
        <f t="shared" si="1"/>
        <v>#REF!</v>
      </c>
      <c r="I713" s="178" t="s">
        <v>4767</v>
      </c>
      <c r="J713" s="182" t="s">
        <v>4785</v>
      </c>
      <c r="K713" s="178" t="s">
        <v>4780</v>
      </c>
      <c r="L713" s="178" t="s">
        <v>4809</v>
      </c>
      <c r="M713" s="178" t="str">
        <f t="shared" si="31"/>
        <v>#REF!</v>
      </c>
      <c r="N713" s="185"/>
      <c r="O713" s="181" t="s">
        <v>4773</v>
      </c>
    </row>
    <row r="714" ht="14.25" customHeight="1">
      <c r="H714" s="179" t="str">
        <f t="shared" si="1"/>
        <v>#REF!</v>
      </c>
      <c r="I714" s="178" t="s">
        <v>4767</v>
      </c>
      <c r="J714" s="182" t="s">
        <v>4783</v>
      </c>
      <c r="K714" s="178" t="s">
        <v>4769</v>
      </c>
      <c r="L714" s="178" t="s">
        <v>4809</v>
      </c>
      <c r="M714" s="178" t="str">
        <f t="shared" si="31"/>
        <v>#REF!</v>
      </c>
      <c r="N714" s="185"/>
      <c r="O714" s="181" t="s">
        <v>4773</v>
      </c>
    </row>
    <row r="715" ht="14.25" customHeight="1">
      <c r="H715" s="179" t="str">
        <f t="shared" si="1"/>
        <v>#REF!</v>
      </c>
      <c r="I715" s="178" t="s">
        <v>4767</v>
      </c>
      <c r="J715" s="182" t="s">
        <v>4783</v>
      </c>
      <c r="K715" s="178" t="s">
        <v>4775</v>
      </c>
      <c r="L715" s="178" t="s">
        <v>4809</v>
      </c>
      <c r="M715" s="178" t="str">
        <f t="shared" si="31"/>
        <v>#REF!</v>
      </c>
      <c r="N715" s="185"/>
      <c r="O715" s="181" t="s">
        <v>4773</v>
      </c>
    </row>
    <row r="716" ht="14.25" customHeight="1">
      <c r="H716" s="179" t="str">
        <f t="shared" si="1"/>
        <v>#REF!</v>
      </c>
      <c r="I716" s="178" t="s">
        <v>4767</v>
      </c>
      <c r="J716" s="182" t="s">
        <v>4783</v>
      </c>
      <c r="K716" s="178" t="s">
        <v>4780</v>
      </c>
      <c r="L716" s="178" t="s">
        <v>4809</v>
      </c>
      <c r="M716" s="178" t="str">
        <f t="shared" si="31"/>
        <v>#REF!</v>
      </c>
      <c r="N716" s="185"/>
      <c r="O716" s="181" t="s">
        <v>4773</v>
      </c>
    </row>
    <row r="717" ht="14.25" customHeight="1">
      <c r="H717" s="179" t="str">
        <f t="shared" si="1"/>
        <v>#REF!</v>
      </c>
      <c r="I717" s="178" t="s">
        <v>4767</v>
      </c>
      <c r="J717" s="182" t="s">
        <v>4789</v>
      </c>
      <c r="K717" s="178" t="s">
        <v>4769</v>
      </c>
      <c r="L717" s="178" t="s">
        <v>4809</v>
      </c>
      <c r="M717" s="178" t="str">
        <f t="shared" si="31"/>
        <v>#REF!</v>
      </c>
      <c r="N717" s="185"/>
      <c r="O717" s="181" t="s">
        <v>4773</v>
      </c>
    </row>
    <row r="718" ht="14.25" customHeight="1">
      <c r="H718" s="179" t="str">
        <f t="shared" si="1"/>
        <v>#REF!</v>
      </c>
      <c r="I718" s="178" t="s">
        <v>4767</v>
      </c>
      <c r="J718" s="182" t="s">
        <v>4789</v>
      </c>
      <c r="K718" s="178" t="s">
        <v>4775</v>
      </c>
      <c r="L718" s="178" t="s">
        <v>4809</v>
      </c>
      <c r="M718" s="178" t="str">
        <f t="shared" si="31"/>
        <v>#REF!</v>
      </c>
      <c r="N718" s="185"/>
      <c r="O718" s="181" t="s">
        <v>4773</v>
      </c>
    </row>
    <row r="719" ht="14.25" customHeight="1">
      <c r="H719" s="179" t="str">
        <f t="shared" si="1"/>
        <v>#REF!</v>
      </c>
      <c r="I719" s="178" t="s">
        <v>4767</v>
      </c>
      <c r="J719" s="182" t="s">
        <v>4789</v>
      </c>
      <c r="K719" s="178" t="s">
        <v>4780</v>
      </c>
      <c r="L719" s="178" t="s">
        <v>4809</v>
      </c>
      <c r="M719" s="178" t="str">
        <f t="shared" si="31"/>
        <v>#REF!</v>
      </c>
      <c r="N719" s="185"/>
      <c r="O719" s="181" t="s">
        <v>4773</v>
      </c>
    </row>
    <row r="720" ht="14.25" customHeight="1">
      <c r="H720" s="179" t="str">
        <f t="shared" si="1"/>
        <v>#REF!</v>
      </c>
      <c r="I720" s="178" t="s">
        <v>4767</v>
      </c>
      <c r="J720" s="178" t="s">
        <v>4768</v>
      </c>
      <c r="K720" s="178" t="s">
        <v>4769</v>
      </c>
      <c r="L720" s="178" t="s">
        <v>4809</v>
      </c>
      <c r="M720" s="178" t="str">
        <f t="shared" si="31"/>
        <v>#REF!</v>
      </c>
      <c r="N720" s="185"/>
      <c r="O720" s="181" t="s">
        <v>4773</v>
      </c>
    </row>
    <row r="721" ht="14.25" customHeight="1">
      <c r="H721" s="179" t="str">
        <f t="shared" si="1"/>
        <v>#REF!</v>
      </c>
      <c r="I721" s="178" t="s">
        <v>4767</v>
      </c>
      <c r="J721" s="178" t="s">
        <v>4768</v>
      </c>
      <c r="K721" s="178" t="s">
        <v>4775</v>
      </c>
      <c r="L721" s="178" t="s">
        <v>4809</v>
      </c>
      <c r="M721" s="178" t="str">
        <f t="shared" si="31"/>
        <v>#REF!</v>
      </c>
      <c r="N721" s="185"/>
      <c r="O721" s="181" t="s">
        <v>4773</v>
      </c>
    </row>
    <row r="722" ht="14.25" customHeight="1">
      <c r="H722" s="179" t="str">
        <f t="shared" si="1"/>
        <v>#REF!</v>
      </c>
      <c r="I722" s="178" t="s">
        <v>4767</v>
      </c>
      <c r="J722" s="178" t="s">
        <v>4768</v>
      </c>
      <c r="K722" s="178" t="s">
        <v>4780</v>
      </c>
      <c r="L722" s="178" t="s">
        <v>4809</v>
      </c>
      <c r="M722" s="178" t="str">
        <f t="shared" si="31"/>
        <v>#REF!</v>
      </c>
      <c r="N722" s="185"/>
      <c r="O722" s="181" t="s">
        <v>4773</v>
      </c>
    </row>
    <row r="723" ht="14.25" customHeight="1">
      <c r="H723" s="179" t="str">
        <f t="shared" si="1"/>
        <v>#REF!</v>
      </c>
      <c r="I723" s="178" t="s">
        <v>4767</v>
      </c>
      <c r="J723" s="182" t="s">
        <v>4779</v>
      </c>
      <c r="K723" s="178" t="s">
        <v>4769</v>
      </c>
      <c r="L723" s="178" t="s">
        <v>4809</v>
      </c>
      <c r="M723" s="178" t="str">
        <f t="shared" ref="M723:M743" si="32">IF('Ficha de exención para baterías'!$P$18&gt;0,'Ficha de exención para baterías'!$P$18," ")</f>
        <v>#REF!</v>
      </c>
      <c r="N723" s="185"/>
      <c r="O723" s="181" t="s">
        <v>4773</v>
      </c>
    </row>
    <row r="724" ht="14.25" customHeight="1">
      <c r="H724" s="179" t="str">
        <f t="shared" si="1"/>
        <v>#REF!</v>
      </c>
      <c r="I724" s="178" t="s">
        <v>4767</v>
      </c>
      <c r="J724" s="182" t="s">
        <v>4779</v>
      </c>
      <c r="K724" s="178" t="s">
        <v>4775</v>
      </c>
      <c r="L724" s="178" t="s">
        <v>4809</v>
      </c>
      <c r="M724" s="178" t="str">
        <f t="shared" si="32"/>
        <v>#REF!</v>
      </c>
      <c r="N724" s="185"/>
      <c r="O724" s="181" t="s">
        <v>4773</v>
      </c>
    </row>
    <row r="725" ht="14.25" customHeight="1">
      <c r="H725" s="179" t="str">
        <f t="shared" si="1"/>
        <v>#REF!</v>
      </c>
      <c r="I725" s="178" t="s">
        <v>4767</v>
      </c>
      <c r="J725" s="182" t="s">
        <v>4779</v>
      </c>
      <c r="K725" s="178" t="s">
        <v>4780</v>
      </c>
      <c r="L725" s="178" t="s">
        <v>4809</v>
      </c>
      <c r="M725" s="178" t="str">
        <f t="shared" si="32"/>
        <v>#REF!</v>
      </c>
      <c r="N725" s="185"/>
      <c r="O725" s="181" t="s">
        <v>4773</v>
      </c>
    </row>
    <row r="726" ht="14.25" customHeight="1">
      <c r="H726" s="179" t="str">
        <f t="shared" si="1"/>
        <v>#REF!</v>
      </c>
      <c r="I726" s="178" t="s">
        <v>4767</v>
      </c>
      <c r="J726" s="182" t="s">
        <v>4787</v>
      </c>
      <c r="K726" s="178" t="s">
        <v>4769</v>
      </c>
      <c r="L726" s="178" t="s">
        <v>4809</v>
      </c>
      <c r="M726" s="178" t="str">
        <f t="shared" si="32"/>
        <v>#REF!</v>
      </c>
      <c r="N726" s="185"/>
      <c r="O726" s="181" t="s">
        <v>4773</v>
      </c>
    </row>
    <row r="727" ht="14.25" customHeight="1">
      <c r="H727" s="179" t="str">
        <f t="shared" si="1"/>
        <v>#REF!</v>
      </c>
      <c r="I727" s="178" t="s">
        <v>4767</v>
      </c>
      <c r="J727" s="182" t="s">
        <v>4787</v>
      </c>
      <c r="K727" s="178" t="s">
        <v>4775</v>
      </c>
      <c r="L727" s="178" t="s">
        <v>4809</v>
      </c>
      <c r="M727" s="178" t="str">
        <f t="shared" si="32"/>
        <v>#REF!</v>
      </c>
      <c r="N727" s="185"/>
      <c r="O727" s="181" t="s">
        <v>4773</v>
      </c>
    </row>
    <row r="728" ht="14.25" customHeight="1">
      <c r="H728" s="179" t="str">
        <f t="shared" si="1"/>
        <v>#REF!</v>
      </c>
      <c r="I728" s="178" t="s">
        <v>4767</v>
      </c>
      <c r="J728" s="182" t="s">
        <v>4787</v>
      </c>
      <c r="K728" s="178" t="s">
        <v>4780</v>
      </c>
      <c r="L728" s="178" t="s">
        <v>4809</v>
      </c>
      <c r="M728" s="178" t="str">
        <f t="shared" si="32"/>
        <v>#REF!</v>
      </c>
      <c r="N728" s="185"/>
      <c r="O728" s="181" t="s">
        <v>4773</v>
      </c>
    </row>
    <row r="729" ht="14.25" customHeight="1">
      <c r="H729" s="179" t="str">
        <f t="shared" si="1"/>
        <v>#REF!</v>
      </c>
      <c r="I729" s="178" t="s">
        <v>4767</v>
      </c>
      <c r="J729" s="182" t="s">
        <v>4774</v>
      </c>
      <c r="K729" s="178" t="s">
        <v>4769</v>
      </c>
      <c r="L729" s="178" t="s">
        <v>4809</v>
      </c>
      <c r="M729" s="178" t="str">
        <f t="shared" si="32"/>
        <v>#REF!</v>
      </c>
      <c r="N729" s="185"/>
      <c r="O729" s="181" t="s">
        <v>4773</v>
      </c>
    </row>
    <row r="730" ht="14.25" customHeight="1">
      <c r="H730" s="179" t="str">
        <f t="shared" si="1"/>
        <v>#REF!</v>
      </c>
      <c r="I730" s="178" t="s">
        <v>4767</v>
      </c>
      <c r="J730" s="182" t="s">
        <v>4774</v>
      </c>
      <c r="K730" s="178" t="s">
        <v>4775</v>
      </c>
      <c r="L730" s="178" t="s">
        <v>4809</v>
      </c>
      <c r="M730" s="178" t="str">
        <f t="shared" si="32"/>
        <v>#REF!</v>
      </c>
      <c r="N730" s="185"/>
      <c r="O730" s="181" t="s">
        <v>4773</v>
      </c>
    </row>
    <row r="731" ht="14.25" customHeight="1">
      <c r="H731" s="179" t="str">
        <f t="shared" si="1"/>
        <v>#REF!</v>
      </c>
      <c r="I731" s="178" t="s">
        <v>4767</v>
      </c>
      <c r="J731" s="182" t="s">
        <v>4774</v>
      </c>
      <c r="K731" s="178" t="s">
        <v>4780</v>
      </c>
      <c r="L731" s="178" t="s">
        <v>4809</v>
      </c>
      <c r="M731" s="178" t="str">
        <f t="shared" si="32"/>
        <v>#REF!</v>
      </c>
      <c r="N731" s="185"/>
      <c r="O731" s="181" t="s">
        <v>4773</v>
      </c>
    </row>
    <row r="732" ht="14.25" customHeight="1">
      <c r="H732" s="179" t="str">
        <f t="shared" si="1"/>
        <v>#REF!</v>
      </c>
      <c r="I732" s="178" t="s">
        <v>4767</v>
      </c>
      <c r="J732" s="182" t="s">
        <v>4785</v>
      </c>
      <c r="K732" s="178" t="s">
        <v>4769</v>
      </c>
      <c r="L732" s="178" t="s">
        <v>4809</v>
      </c>
      <c r="M732" s="178" t="str">
        <f t="shared" si="32"/>
        <v>#REF!</v>
      </c>
      <c r="N732" s="185"/>
      <c r="O732" s="181" t="s">
        <v>4773</v>
      </c>
    </row>
    <row r="733" ht="14.25" customHeight="1">
      <c r="H733" s="179" t="str">
        <f t="shared" si="1"/>
        <v>#REF!</v>
      </c>
      <c r="I733" s="178" t="s">
        <v>4767</v>
      </c>
      <c r="J733" s="182" t="s">
        <v>4785</v>
      </c>
      <c r="K733" s="178" t="s">
        <v>4775</v>
      </c>
      <c r="L733" s="178" t="s">
        <v>4809</v>
      </c>
      <c r="M733" s="178" t="str">
        <f t="shared" si="32"/>
        <v>#REF!</v>
      </c>
      <c r="N733" s="185"/>
      <c r="O733" s="181" t="s">
        <v>4773</v>
      </c>
    </row>
    <row r="734" ht="14.25" customHeight="1">
      <c r="H734" s="179" t="str">
        <f t="shared" si="1"/>
        <v>#REF!</v>
      </c>
      <c r="I734" s="178" t="s">
        <v>4767</v>
      </c>
      <c r="J734" s="182" t="s">
        <v>4785</v>
      </c>
      <c r="K734" s="178" t="s">
        <v>4780</v>
      </c>
      <c r="L734" s="178" t="s">
        <v>4809</v>
      </c>
      <c r="M734" s="178" t="str">
        <f t="shared" si="32"/>
        <v>#REF!</v>
      </c>
      <c r="N734" s="185"/>
      <c r="O734" s="181" t="s">
        <v>4773</v>
      </c>
    </row>
    <row r="735" ht="14.25" customHeight="1">
      <c r="H735" s="179" t="str">
        <f t="shared" si="1"/>
        <v>#REF!</v>
      </c>
      <c r="I735" s="178" t="s">
        <v>4767</v>
      </c>
      <c r="J735" s="182" t="s">
        <v>4783</v>
      </c>
      <c r="K735" s="178" t="s">
        <v>4769</v>
      </c>
      <c r="L735" s="178" t="s">
        <v>4809</v>
      </c>
      <c r="M735" s="178" t="str">
        <f t="shared" si="32"/>
        <v>#REF!</v>
      </c>
      <c r="N735" s="185"/>
      <c r="O735" s="181" t="s">
        <v>4773</v>
      </c>
    </row>
    <row r="736" ht="14.25" customHeight="1">
      <c r="H736" s="179" t="str">
        <f t="shared" si="1"/>
        <v>#REF!</v>
      </c>
      <c r="I736" s="178" t="s">
        <v>4767</v>
      </c>
      <c r="J736" s="182" t="s">
        <v>4783</v>
      </c>
      <c r="K736" s="178" t="s">
        <v>4775</v>
      </c>
      <c r="L736" s="178" t="s">
        <v>4809</v>
      </c>
      <c r="M736" s="178" t="str">
        <f t="shared" si="32"/>
        <v>#REF!</v>
      </c>
      <c r="N736" s="185"/>
      <c r="O736" s="181" t="s">
        <v>4773</v>
      </c>
    </row>
    <row r="737" ht="14.25" customHeight="1">
      <c r="H737" s="179" t="str">
        <f t="shared" si="1"/>
        <v>#REF!</v>
      </c>
      <c r="I737" s="178" t="s">
        <v>4767</v>
      </c>
      <c r="J737" s="182" t="s">
        <v>4783</v>
      </c>
      <c r="K737" s="178" t="s">
        <v>4780</v>
      </c>
      <c r="L737" s="178" t="s">
        <v>4809</v>
      </c>
      <c r="M737" s="178" t="str">
        <f t="shared" si="32"/>
        <v>#REF!</v>
      </c>
      <c r="N737" s="185"/>
      <c r="O737" s="181" t="s">
        <v>4773</v>
      </c>
    </row>
    <row r="738" ht="14.25" customHeight="1">
      <c r="H738" s="179" t="str">
        <f t="shared" si="1"/>
        <v>#REF!</v>
      </c>
      <c r="I738" s="178" t="s">
        <v>4767</v>
      </c>
      <c r="J738" s="182" t="s">
        <v>4789</v>
      </c>
      <c r="K738" s="178" t="s">
        <v>4769</v>
      </c>
      <c r="L738" s="178" t="s">
        <v>4809</v>
      </c>
      <c r="M738" s="178" t="str">
        <f t="shared" si="32"/>
        <v>#REF!</v>
      </c>
      <c r="N738" s="185"/>
      <c r="O738" s="181" t="s">
        <v>4773</v>
      </c>
    </row>
    <row r="739" ht="14.25" customHeight="1">
      <c r="H739" s="179" t="str">
        <f t="shared" si="1"/>
        <v>#REF!</v>
      </c>
      <c r="I739" s="178" t="s">
        <v>4767</v>
      </c>
      <c r="J739" s="182" t="s">
        <v>4789</v>
      </c>
      <c r="K739" s="178" t="s">
        <v>4775</v>
      </c>
      <c r="L739" s="178" t="s">
        <v>4809</v>
      </c>
      <c r="M739" s="178" t="str">
        <f t="shared" si="32"/>
        <v>#REF!</v>
      </c>
      <c r="N739" s="185"/>
      <c r="O739" s="181" t="s">
        <v>4773</v>
      </c>
    </row>
    <row r="740" ht="14.25" customHeight="1">
      <c r="H740" s="179" t="str">
        <f t="shared" si="1"/>
        <v>#REF!</v>
      </c>
      <c r="I740" s="178" t="s">
        <v>4767</v>
      </c>
      <c r="J740" s="182" t="s">
        <v>4789</v>
      </c>
      <c r="K740" s="178" t="s">
        <v>4780</v>
      </c>
      <c r="L740" s="178" t="s">
        <v>4809</v>
      </c>
      <c r="M740" s="178" t="str">
        <f t="shared" si="32"/>
        <v>#REF!</v>
      </c>
      <c r="N740" s="185"/>
      <c r="O740" s="181" t="s">
        <v>4773</v>
      </c>
    </row>
    <row r="741" ht="14.25" customHeight="1">
      <c r="H741" s="179" t="str">
        <f t="shared" si="1"/>
        <v>#REF!</v>
      </c>
      <c r="I741" s="178" t="s">
        <v>4767</v>
      </c>
      <c r="J741" s="178" t="s">
        <v>4768</v>
      </c>
      <c r="K741" s="178" t="s">
        <v>4769</v>
      </c>
      <c r="L741" s="178" t="s">
        <v>4809</v>
      </c>
      <c r="M741" s="178" t="str">
        <f t="shared" si="32"/>
        <v>#REF!</v>
      </c>
      <c r="N741" s="185"/>
      <c r="O741" s="181" t="s">
        <v>4773</v>
      </c>
    </row>
    <row r="742" ht="14.25" customHeight="1">
      <c r="H742" s="179" t="str">
        <f t="shared" si="1"/>
        <v>#REF!</v>
      </c>
      <c r="I742" s="178" t="s">
        <v>4767</v>
      </c>
      <c r="J742" s="178" t="s">
        <v>4768</v>
      </c>
      <c r="K742" s="178" t="s">
        <v>4775</v>
      </c>
      <c r="L742" s="178" t="s">
        <v>4809</v>
      </c>
      <c r="M742" s="178" t="str">
        <f t="shared" si="32"/>
        <v>#REF!</v>
      </c>
      <c r="N742" s="185"/>
      <c r="O742" s="181" t="s">
        <v>4773</v>
      </c>
    </row>
    <row r="743" ht="14.25" customHeight="1">
      <c r="H743" s="179" t="str">
        <f t="shared" si="1"/>
        <v>#REF!</v>
      </c>
      <c r="I743" s="178" t="s">
        <v>4767</v>
      </c>
      <c r="J743" s="178" t="s">
        <v>4768</v>
      </c>
      <c r="K743" s="178" t="s">
        <v>4780</v>
      </c>
      <c r="L743" s="178" t="s">
        <v>4809</v>
      </c>
      <c r="M743" s="178" t="str">
        <f t="shared" si="32"/>
        <v>#REF!</v>
      </c>
      <c r="N743" s="185"/>
      <c r="O743" s="181" t="s">
        <v>4773</v>
      </c>
    </row>
    <row r="744" ht="14.25" customHeight="1">
      <c r="H744" s="179" t="str">
        <f t="shared" si="1"/>
        <v>#REF!</v>
      </c>
      <c r="I744" s="178" t="s">
        <v>4767</v>
      </c>
      <c r="J744" s="182" t="s">
        <v>4779</v>
      </c>
      <c r="K744" s="178" t="s">
        <v>4769</v>
      </c>
      <c r="L744" s="178" t="s">
        <v>4809</v>
      </c>
      <c r="M744" s="178" t="str">
        <f t="shared" ref="M744:M764" si="33">IF('Ficha de exención para baterías'!$P$19&gt;0,'Ficha de exención para baterías'!$P$19," ")</f>
        <v>#REF!</v>
      </c>
      <c r="N744" s="185"/>
      <c r="O744" s="181" t="s">
        <v>4773</v>
      </c>
    </row>
    <row r="745" ht="14.25" customHeight="1">
      <c r="H745" s="179" t="str">
        <f t="shared" si="1"/>
        <v>#REF!</v>
      </c>
      <c r="I745" s="178" t="s">
        <v>4767</v>
      </c>
      <c r="J745" s="182" t="s">
        <v>4779</v>
      </c>
      <c r="K745" s="178" t="s">
        <v>4775</v>
      </c>
      <c r="L745" s="178" t="s">
        <v>4809</v>
      </c>
      <c r="M745" s="178" t="str">
        <f t="shared" si="33"/>
        <v>#REF!</v>
      </c>
      <c r="N745" s="185"/>
      <c r="O745" s="181" t="s">
        <v>4773</v>
      </c>
    </row>
    <row r="746" ht="14.25" customHeight="1">
      <c r="H746" s="179" t="str">
        <f t="shared" si="1"/>
        <v>#REF!</v>
      </c>
      <c r="I746" s="178" t="s">
        <v>4767</v>
      </c>
      <c r="J746" s="182" t="s">
        <v>4779</v>
      </c>
      <c r="K746" s="178" t="s">
        <v>4780</v>
      </c>
      <c r="L746" s="178" t="s">
        <v>4809</v>
      </c>
      <c r="M746" s="178" t="str">
        <f t="shared" si="33"/>
        <v>#REF!</v>
      </c>
      <c r="N746" s="185"/>
      <c r="O746" s="181" t="s">
        <v>4773</v>
      </c>
    </row>
    <row r="747" ht="14.25" customHeight="1">
      <c r="H747" s="179" t="str">
        <f t="shared" si="1"/>
        <v>#REF!</v>
      </c>
      <c r="I747" s="178" t="s">
        <v>4767</v>
      </c>
      <c r="J747" s="182" t="s">
        <v>4787</v>
      </c>
      <c r="K747" s="178" t="s">
        <v>4769</v>
      </c>
      <c r="L747" s="178" t="s">
        <v>4809</v>
      </c>
      <c r="M747" s="178" t="str">
        <f t="shared" si="33"/>
        <v>#REF!</v>
      </c>
      <c r="N747" s="185"/>
      <c r="O747" s="181" t="s">
        <v>4773</v>
      </c>
    </row>
    <row r="748" ht="14.25" customHeight="1">
      <c r="H748" s="179" t="str">
        <f t="shared" si="1"/>
        <v>#REF!</v>
      </c>
      <c r="I748" s="178" t="s">
        <v>4767</v>
      </c>
      <c r="J748" s="182" t="s">
        <v>4787</v>
      </c>
      <c r="K748" s="178" t="s">
        <v>4775</v>
      </c>
      <c r="L748" s="178" t="s">
        <v>4809</v>
      </c>
      <c r="M748" s="178" t="str">
        <f t="shared" si="33"/>
        <v>#REF!</v>
      </c>
      <c r="N748" s="185"/>
      <c r="O748" s="181" t="s">
        <v>4773</v>
      </c>
    </row>
    <row r="749" ht="14.25" customHeight="1">
      <c r="H749" s="179" t="str">
        <f t="shared" si="1"/>
        <v>#REF!</v>
      </c>
      <c r="I749" s="178" t="s">
        <v>4767</v>
      </c>
      <c r="J749" s="182" t="s">
        <v>4787</v>
      </c>
      <c r="K749" s="178" t="s">
        <v>4780</v>
      </c>
      <c r="L749" s="178" t="s">
        <v>4809</v>
      </c>
      <c r="M749" s="178" t="str">
        <f t="shared" si="33"/>
        <v>#REF!</v>
      </c>
      <c r="N749" s="185"/>
      <c r="O749" s="181" t="s">
        <v>4773</v>
      </c>
    </row>
    <row r="750" ht="14.25" customHeight="1">
      <c r="H750" s="179" t="str">
        <f t="shared" si="1"/>
        <v>#REF!</v>
      </c>
      <c r="I750" s="178" t="s">
        <v>4767</v>
      </c>
      <c r="J750" s="182" t="s">
        <v>4774</v>
      </c>
      <c r="K750" s="178" t="s">
        <v>4769</v>
      </c>
      <c r="L750" s="178" t="s">
        <v>4809</v>
      </c>
      <c r="M750" s="178" t="str">
        <f t="shared" si="33"/>
        <v>#REF!</v>
      </c>
      <c r="N750" s="185"/>
      <c r="O750" s="181" t="s">
        <v>4773</v>
      </c>
    </row>
    <row r="751" ht="14.25" customHeight="1">
      <c r="H751" s="179" t="str">
        <f t="shared" si="1"/>
        <v>#REF!</v>
      </c>
      <c r="I751" s="178" t="s">
        <v>4767</v>
      </c>
      <c r="J751" s="182" t="s">
        <v>4774</v>
      </c>
      <c r="K751" s="178" t="s">
        <v>4775</v>
      </c>
      <c r="L751" s="178" t="s">
        <v>4809</v>
      </c>
      <c r="M751" s="178" t="str">
        <f t="shared" si="33"/>
        <v>#REF!</v>
      </c>
      <c r="N751" s="185"/>
      <c r="O751" s="181" t="s">
        <v>4773</v>
      </c>
    </row>
    <row r="752" ht="14.25" customHeight="1">
      <c r="H752" s="179" t="str">
        <f t="shared" si="1"/>
        <v>#REF!</v>
      </c>
      <c r="I752" s="178" t="s">
        <v>4767</v>
      </c>
      <c r="J752" s="182" t="s">
        <v>4774</v>
      </c>
      <c r="K752" s="178" t="s">
        <v>4780</v>
      </c>
      <c r="L752" s="178" t="s">
        <v>4809</v>
      </c>
      <c r="M752" s="178" t="str">
        <f t="shared" si="33"/>
        <v>#REF!</v>
      </c>
      <c r="N752" s="185"/>
      <c r="O752" s="181" t="s">
        <v>4773</v>
      </c>
    </row>
    <row r="753" ht="14.25" customHeight="1">
      <c r="H753" s="179" t="str">
        <f t="shared" si="1"/>
        <v>#REF!</v>
      </c>
      <c r="I753" s="178" t="s">
        <v>4767</v>
      </c>
      <c r="J753" s="182" t="s">
        <v>4785</v>
      </c>
      <c r="K753" s="178" t="s">
        <v>4769</v>
      </c>
      <c r="L753" s="178" t="s">
        <v>4809</v>
      </c>
      <c r="M753" s="178" t="str">
        <f t="shared" si="33"/>
        <v>#REF!</v>
      </c>
      <c r="N753" s="185"/>
      <c r="O753" s="181" t="s">
        <v>4773</v>
      </c>
    </row>
    <row r="754" ht="14.25" customHeight="1">
      <c r="H754" s="179" t="str">
        <f t="shared" si="1"/>
        <v>#REF!</v>
      </c>
      <c r="I754" s="178" t="s">
        <v>4767</v>
      </c>
      <c r="J754" s="182" t="s">
        <v>4785</v>
      </c>
      <c r="K754" s="178" t="s">
        <v>4775</v>
      </c>
      <c r="L754" s="178" t="s">
        <v>4809</v>
      </c>
      <c r="M754" s="178" t="str">
        <f t="shared" si="33"/>
        <v>#REF!</v>
      </c>
      <c r="N754" s="185"/>
      <c r="O754" s="181" t="s">
        <v>4773</v>
      </c>
    </row>
    <row r="755" ht="14.25" customHeight="1">
      <c r="H755" s="179" t="str">
        <f t="shared" si="1"/>
        <v>#REF!</v>
      </c>
      <c r="I755" s="178" t="s">
        <v>4767</v>
      </c>
      <c r="J755" s="182" t="s">
        <v>4785</v>
      </c>
      <c r="K755" s="178" t="s">
        <v>4780</v>
      </c>
      <c r="L755" s="178" t="s">
        <v>4809</v>
      </c>
      <c r="M755" s="178" t="str">
        <f t="shared" si="33"/>
        <v>#REF!</v>
      </c>
      <c r="N755" s="185"/>
      <c r="O755" s="181" t="s">
        <v>4773</v>
      </c>
    </row>
    <row r="756" ht="14.25" customHeight="1">
      <c r="H756" s="179" t="str">
        <f t="shared" si="1"/>
        <v>#REF!</v>
      </c>
      <c r="I756" s="178" t="s">
        <v>4767</v>
      </c>
      <c r="J756" s="182" t="s">
        <v>4783</v>
      </c>
      <c r="K756" s="178" t="s">
        <v>4769</v>
      </c>
      <c r="L756" s="178" t="s">
        <v>4809</v>
      </c>
      <c r="M756" s="178" t="str">
        <f t="shared" si="33"/>
        <v>#REF!</v>
      </c>
      <c r="N756" s="185"/>
      <c r="O756" s="181" t="s">
        <v>4773</v>
      </c>
    </row>
    <row r="757" ht="14.25" customHeight="1">
      <c r="H757" s="179" t="str">
        <f t="shared" si="1"/>
        <v>#REF!</v>
      </c>
      <c r="I757" s="178" t="s">
        <v>4767</v>
      </c>
      <c r="J757" s="182" t="s">
        <v>4783</v>
      </c>
      <c r="K757" s="178" t="s">
        <v>4775</v>
      </c>
      <c r="L757" s="178" t="s">
        <v>4809</v>
      </c>
      <c r="M757" s="178" t="str">
        <f t="shared" si="33"/>
        <v>#REF!</v>
      </c>
      <c r="N757" s="185"/>
      <c r="O757" s="181" t="s">
        <v>4773</v>
      </c>
    </row>
    <row r="758" ht="14.25" customHeight="1">
      <c r="H758" s="179" t="str">
        <f t="shared" si="1"/>
        <v>#REF!</v>
      </c>
      <c r="I758" s="178" t="s">
        <v>4767</v>
      </c>
      <c r="J758" s="182" t="s">
        <v>4783</v>
      </c>
      <c r="K758" s="178" t="s">
        <v>4780</v>
      </c>
      <c r="L758" s="178" t="s">
        <v>4809</v>
      </c>
      <c r="M758" s="178" t="str">
        <f t="shared" si="33"/>
        <v>#REF!</v>
      </c>
      <c r="N758" s="185"/>
      <c r="O758" s="181" t="s">
        <v>4773</v>
      </c>
    </row>
    <row r="759" ht="14.25" customHeight="1">
      <c r="H759" s="179" t="str">
        <f t="shared" si="1"/>
        <v>#REF!</v>
      </c>
      <c r="I759" s="178" t="s">
        <v>4767</v>
      </c>
      <c r="J759" s="182" t="s">
        <v>4789</v>
      </c>
      <c r="K759" s="178" t="s">
        <v>4769</v>
      </c>
      <c r="L759" s="178" t="s">
        <v>4809</v>
      </c>
      <c r="M759" s="178" t="str">
        <f t="shared" si="33"/>
        <v>#REF!</v>
      </c>
      <c r="N759" s="185"/>
      <c r="O759" s="181" t="s">
        <v>4773</v>
      </c>
    </row>
    <row r="760" ht="14.25" customHeight="1">
      <c r="H760" s="179" t="str">
        <f t="shared" si="1"/>
        <v>#REF!</v>
      </c>
      <c r="I760" s="178" t="s">
        <v>4767</v>
      </c>
      <c r="J760" s="182" t="s">
        <v>4789</v>
      </c>
      <c r="K760" s="178" t="s">
        <v>4775</v>
      </c>
      <c r="L760" s="178" t="s">
        <v>4809</v>
      </c>
      <c r="M760" s="178" t="str">
        <f t="shared" si="33"/>
        <v>#REF!</v>
      </c>
      <c r="N760" s="185"/>
      <c r="O760" s="181" t="s">
        <v>4773</v>
      </c>
    </row>
    <row r="761" ht="14.25" customHeight="1">
      <c r="H761" s="179" t="str">
        <f t="shared" si="1"/>
        <v>#REF!</v>
      </c>
      <c r="I761" s="178" t="s">
        <v>4767</v>
      </c>
      <c r="J761" s="182" t="s">
        <v>4789</v>
      </c>
      <c r="K761" s="178" t="s">
        <v>4780</v>
      </c>
      <c r="L761" s="178" t="s">
        <v>4809</v>
      </c>
      <c r="M761" s="178" t="str">
        <f t="shared" si="33"/>
        <v>#REF!</v>
      </c>
      <c r="N761" s="185"/>
      <c r="O761" s="181" t="s">
        <v>4773</v>
      </c>
    </row>
    <row r="762" ht="14.25" customHeight="1">
      <c r="H762" s="179" t="str">
        <f t="shared" si="1"/>
        <v>#REF!</v>
      </c>
      <c r="I762" s="178" t="s">
        <v>4767</v>
      </c>
      <c r="J762" s="178" t="s">
        <v>4768</v>
      </c>
      <c r="K762" s="178" t="s">
        <v>4769</v>
      </c>
      <c r="L762" s="178" t="s">
        <v>4809</v>
      </c>
      <c r="M762" s="178" t="str">
        <f t="shared" si="33"/>
        <v>#REF!</v>
      </c>
      <c r="N762" s="185"/>
      <c r="O762" s="181" t="s">
        <v>4773</v>
      </c>
    </row>
    <row r="763" ht="14.25" customHeight="1">
      <c r="H763" s="179" t="str">
        <f t="shared" si="1"/>
        <v>#REF!</v>
      </c>
      <c r="I763" s="178" t="s">
        <v>4767</v>
      </c>
      <c r="J763" s="178" t="s">
        <v>4768</v>
      </c>
      <c r="K763" s="178" t="s">
        <v>4775</v>
      </c>
      <c r="L763" s="178" t="s">
        <v>4809</v>
      </c>
      <c r="M763" s="178" t="str">
        <f t="shared" si="33"/>
        <v>#REF!</v>
      </c>
      <c r="N763" s="185"/>
      <c r="O763" s="181" t="s">
        <v>4773</v>
      </c>
    </row>
    <row r="764" ht="14.25" customHeight="1">
      <c r="H764" s="179" t="str">
        <f t="shared" si="1"/>
        <v>#REF!</v>
      </c>
      <c r="I764" s="178" t="s">
        <v>4767</v>
      </c>
      <c r="J764" s="178" t="s">
        <v>4768</v>
      </c>
      <c r="K764" s="178" t="s">
        <v>4780</v>
      </c>
      <c r="L764" s="178" t="s">
        <v>4809</v>
      </c>
      <c r="M764" s="178" t="str">
        <f t="shared" si="33"/>
        <v>#REF!</v>
      </c>
      <c r="N764" s="185"/>
      <c r="O764" s="181" t="s">
        <v>4773</v>
      </c>
    </row>
    <row r="765" ht="14.25" customHeight="1">
      <c r="H765" s="179" t="str">
        <f t="shared" si="1"/>
        <v>#REF!</v>
      </c>
      <c r="I765" s="178" t="s">
        <v>4767</v>
      </c>
      <c r="J765" s="182" t="s">
        <v>4779</v>
      </c>
      <c r="K765" s="178" t="s">
        <v>4769</v>
      </c>
      <c r="L765" s="178" t="s">
        <v>4809</v>
      </c>
      <c r="M765" s="178" t="str">
        <f t="shared" ref="M765:M785" si="34">IF('Ficha de exención para baterías'!$P$20&gt;0,'Ficha de exención para baterías'!$P$20," ")</f>
        <v>#REF!</v>
      </c>
      <c r="N765" s="185"/>
      <c r="O765" s="181" t="s">
        <v>4773</v>
      </c>
    </row>
    <row r="766" ht="14.25" customHeight="1">
      <c r="H766" s="179" t="str">
        <f t="shared" si="1"/>
        <v>#REF!</v>
      </c>
      <c r="I766" s="178" t="s">
        <v>4767</v>
      </c>
      <c r="J766" s="182" t="s">
        <v>4779</v>
      </c>
      <c r="K766" s="178" t="s">
        <v>4775</v>
      </c>
      <c r="L766" s="178" t="s">
        <v>4809</v>
      </c>
      <c r="M766" s="178" t="str">
        <f t="shared" si="34"/>
        <v>#REF!</v>
      </c>
      <c r="N766" s="185"/>
      <c r="O766" s="181" t="s">
        <v>4773</v>
      </c>
    </row>
    <row r="767" ht="14.25" customHeight="1">
      <c r="H767" s="179" t="str">
        <f t="shared" si="1"/>
        <v>#REF!</v>
      </c>
      <c r="I767" s="178" t="s">
        <v>4767</v>
      </c>
      <c r="J767" s="182" t="s">
        <v>4779</v>
      </c>
      <c r="K767" s="178" t="s">
        <v>4780</v>
      </c>
      <c r="L767" s="178" t="s">
        <v>4809</v>
      </c>
      <c r="M767" s="178" t="str">
        <f t="shared" si="34"/>
        <v>#REF!</v>
      </c>
      <c r="N767" s="185"/>
      <c r="O767" s="181" t="s">
        <v>4773</v>
      </c>
    </row>
    <row r="768" ht="14.25" customHeight="1">
      <c r="H768" s="179" t="str">
        <f t="shared" si="1"/>
        <v>#REF!</v>
      </c>
      <c r="I768" s="178" t="s">
        <v>4767</v>
      </c>
      <c r="J768" s="182" t="s">
        <v>4787</v>
      </c>
      <c r="K768" s="178" t="s">
        <v>4769</v>
      </c>
      <c r="L768" s="178" t="s">
        <v>4809</v>
      </c>
      <c r="M768" s="178" t="str">
        <f t="shared" si="34"/>
        <v>#REF!</v>
      </c>
      <c r="N768" s="185"/>
      <c r="O768" s="181" t="s">
        <v>4773</v>
      </c>
    </row>
    <row r="769" ht="14.25" customHeight="1">
      <c r="H769" s="179" t="str">
        <f t="shared" si="1"/>
        <v>#REF!</v>
      </c>
      <c r="I769" s="178" t="s">
        <v>4767</v>
      </c>
      <c r="J769" s="182" t="s">
        <v>4787</v>
      </c>
      <c r="K769" s="178" t="s">
        <v>4775</v>
      </c>
      <c r="L769" s="178" t="s">
        <v>4809</v>
      </c>
      <c r="M769" s="178" t="str">
        <f t="shared" si="34"/>
        <v>#REF!</v>
      </c>
      <c r="N769" s="185"/>
      <c r="O769" s="181" t="s">
        <v>4773</v>
      </c>
    </row>
    <row r="770" ht="14.25" customHeight="1">
      <c r="H770" s="179" t="str">
        <f t="shared" si="1"/>
        <v>#REF!</v>
      </c>
      <c r="I770" s="178" t="s">
        <v>4767</v>
      </c>
      <c r="J770" s="182" t="s">
        <v>4787</v>
      </c>
      <c r="K770" s="178" t="s">
        <v>4780</v>
      </c>
      <c r="L770" s="178" t="s">
        <v>4809</v>
      </c>
      <c r="M770" s="178" t="str">
        <f t="shared" si="34"/>
        <v>#REF!</v>
      </c>
      <c r="N770" s="185"/>
      <c r="O770" s="181" t="s">
        <v>4773</v>
      </c>
    </row>
    <row r="771" ht="14.25" customHeight="1">
      <c r="H771" s="179" t="str">
        <f t="shared" si="1"/>
        <v>#REF!</v>
      </c>
      <c r="I771" s="178" t="s">
        <v>4767</v>
      </c>
      <c r="J771" s="182" t="s">
        <v>4774</v>
      </c>
      <c r="K771" s="178" t="s">
        <v>4769</v>
      </c>
      <c r="L771" s="178" t="s">
        <v>4809</v>
      </c>
      <c r="M771" s="178" t="str">
        <f t="shared" si="34"/>
        <v>#REF!</v>
      </c>
      <c r="N771" s="185"/>
      <c r="O771" s="181" t="s">
        <v>4773</v>
      </c>
    </row>
    <row r="772" ht="14.25" customHeight="1">
      <c r="H772" s="179" t="str">
        <f t="shared" si="1"/>
        <v>#REF!</v>
      </c>
      <c r="I772" s="178" t="s">
        <v>4767</v>
      </c>
      <c r="J772" s="182" t="s">
        <v>4774</v>
      </c>
      <c r="K772" s="178" t="s">
        <v>4775</v>
      </c>
      <c r="L772" s="178" t="s">
        <v>4809</v>
      </c>
      <c r="M772" s="178" t="str">
        <f t="shared" si="34"/>
        <v>#REF!</v>
      </c>
      <c r="N772" s="185"/>
      <c r="O772" s="181" t="s">
        <v>4773</v>
      </c>
    </row>
    <row r="773" ht="14.25" customHeight="1">
      <c r="H773" s="179" t="str">
        <f t="shared" si="1"/>
        <v>#REF!</v>
      </c>
      <c r="I773" s="178" t="s">
        <v>4767</v>
      </c>
      <c r="J773" s="182" t="s">
        <v>4774</v>
      </c>
      <c r="K773" s="178" t="s">
        <v>4780</v>
      </c>
      <c r="L773" s="178" t="s">
        <v>4809</v>
      </c>
      <c r="M773" s="178" t="str">
        <f t="shared" si="34"/>
        <v>#REF!</v>
      </c>
      <c r="N773" s="185"/>
      <c r="O773" s="181" t="s">
        <v>4773</v>
      </c>
    </row>
    <row r="774" ht="14.25" customHeight="1">
      <c r="H774" s="179" t="str">
        <f t="shared" si="1"/>
        <v>#REF!</v>
      </c>
      <c r="I774" s="178" t="s">
        <v>4767</v>
      </c>
      <c r="J774" s="182" t="s">
        <v>4785</v>
      </c>
      <c r="K774" s="178" t="s">
        <v>4769</v>
      </c>
      <c r="L774" s="178" t="s">
        <v>4809</v>
      </c>
      <c r="M774" s="178" t="str">
        <f t="shared" si="34"/>
        <v>#REF!</v>
      </c>
      <c r="N774" s="185"/>
      <c r="O774" s="181" t="s">
        <v>4773</v>
      </c>
    </row>
    <row r="775" ht="14.25" customHeight="1">
      <c r="H775" s="179" t="str">
        <f t="shared" si="1"/>
        <v>#REF!</v>
      </c>
      <c r="I775" s="178" t="s">
        <v>4767</v>
      </c>
      <c r="J775" s="182" t="s">
        <v>4785</v>
      </c>
      <c r="K775" s="178" t="s">
        <v>4775</v>
      </c>
      <c r="L775" s="178" t="s">
        <v>4809</v>
      </c>
      <c r="M775" s="178" t="str">
        <f t="shared" si="34"/>
        <v>#REF!</v>
      </c>
      <c r="N775" s="185"/>
      <c r="O775" s="181" t="s">
        <v>4773</v>
      </c>
    </row>
    <row r="776" ht="14.25" customHeight="1">
      <c r="H776" s="179" t="str">
        <f t="shared" si="1"/>
        <v>#REF!</v>
      </c>
      <c r="I776" s="178" t="s">
        <v>4767</v>
      </c>
      <c r="J776" s="182" t="s">
        <v>4785</v>
      </c>
      <c r="K776" s="178" t="s">
        <v>4780</v>
      </c>
      <c r="L776" s="178" t="s">
        <v>4809</v>
      </c>
      <c r="M776" s="178" t="str">
        <f t="shared" si="34"/>
        <v>#REF!</v>
      </c>
      <c r="N776" s="185"/>
      <c r="O776" s="181" t="s">
        <v>4773</v>
      </c>
    </row>
    <row r="777" ht="14.25" customHeight="1">
      <c r="H777" s="179" t="str">
        <f t="shared" si="1"/>
        <v>#REF!</v>
      </c>
      <c r="I777" s="178" t="s">
        <v>4767</v>
      </c>
      <c r="J777" s="182" t="s">
        <v>4783</v>
      </c>
      <c r="K777" s="178" t="s">
        <v>4769</v>
      </c>
      <c r="L777" s="178" t="s">
        <v>4809</v>
      </c>
      <c r="M777" s="178" t="str">
        <f t="shared" si="34"/>
        <v>#REF!</v>
      </c>
      <c r="N777" s="185"/>
      <c r="O777" s="181" t="s">
        <v>4773</v>
      </c>
    </row>
    <row r="778" ht="14.25" customHeight="1">
      <c r="H778" s="179" t="str">
        <f t="shared" si="1"/>
        <v>#REF!</v>
      </c>
      <c r="I778" s="178" t="s">
        <v>4767</v>
      </c>
      <c r="J778" s="182" t="s">
        <v>4783</v>
      </c>
      <c r="K778" s="178" t="s">
        <v>4775</v>
      </c>
      <c r="L778" s="178" t="s">
        <v>4809</v>
      </c>
      <c r="M778" s="178" t="str">
        <f t="shared" si="34"/>
        <v>#REF!</v>
      </c>
      <c r="N778" s="185"/>
      <c r="O778" s="181" t="s">
        <v>4773</v>
      </c>
    </row>
    <row r="779" ht="14.25" customHeight="1">
      <c r="H779" s="179" t="str">
        <f t="shared" si="1"/>
        <v>#REF!</v>
      </c>
      <c r="I779" s="178" t="s">
        <v>4767</v>
      </c>
      <c r="J779" s="182" t="s">
        <v>4783</v>
      </c>
      <c r="K779" s="178" t="s">
        <v>4780</v>
      </c>
      <c r="L779" s="178" t="s">
        <v>4809</v>
      </c>
      <c r="M779" s="178" t="str">
        <f t="shared" si="34"/>
        <v>#REF!</v>
      </c>
      <c r="N779" s="185"/>
      <c r="O779" s="181" t="s">
        <v>4773</v>
      </c>
    </row>
    <row r="780" ht="14.25" customHeight="1">
      <c r="H780" s="179" t="str">
        <f t="shared" si="1"/>
        <v>#REF!</v>
      </c>
      <c r="I780" s="178" t="s">
        <v>4767</v>
      </c>
      <c r="J780" s="182" t="s">
        <v>4789</v>
      </c>
      <c r="K780" s="178" t="s">
        <v>4769</v>
      </c>
      <c r="L780" s="178" t="s">
        <v>4809</v>
      </c>
      <c r="M780" s="178" t="str">
        <f t="shared" si="34"/>
        <v>#REF!</v>
      </c>
      <c r="N780" s="185"/>
      <c r="O780" s="181" t="s">
        <v>4773</v>
      </c>
    </row>
    <row r="781" ht="14.25" customHeight="1">
      <c r="H781" s="179" t="str">
        <f t="shared" si="1"/>
        <v>#REF!</v>
      </c>
      <c r="I781" s="178" t="s">
        <v>4767</v>
      </c>
      <c r="J781" s="182" t="s">
        <v>4789</v>
      </c>
      <c r="K781" s="178" t="s">
        <v>4775</v>
      </c>
      <c r="L781" s="178" t="s">
        <v>4809</v>
      </c>
      <c r="M781" s="178" t="str">
        <f t="shared" si="34"/>
        <v>#REF!</v>
      </c>
      <c r="N781" s="185"/>
      <c r="O781" s="181" t="s">
        <v>4773</v>
      </c>
    </row>
    <row r="782" ht="14.25" customHeight="1">
      <c r="H782" s="179" t="str">
        <f t="shared" si="1"/>
        <v>#REF!</v>
      </c>
      <c r="I782" s="178" t="s">
        <v>4767</v>
      </c>
      <c r="J782" s="182" t="s">
        <v>4789</v>
      </c>
      <c r="K782" s="178" t="s">
        <v>4780</v>
      </c>
      <c r="L782" s="178" t="s">
        <v>4809</v>
      </c>
      <c r="M782" s="178" t="str">
        <f t="shared" si="34"/>
        <v>#REF!</v>
      </c>
      <c r="N782" s="185"/>
      <c r="O782" s="181" t="s">
        <v>4773</v>
      </c>
    </row>
    <row r="783" ht="14.25" customHeight="1">
      <c r="H783" s="179" t="str">
        <f t="shared" si="1"/>
        <v>#REF!</v>
      </c>
      <c r="I783" s="178" t="s">
        <v>4767</v>
      </c>
      <c r="J783" s="178" t="s">
        <v>4768</v>
      </c>
      <c r="K783" s="178" t="s">
        <v>4769</v>
      </c>
      <c r="L783" s="178" t="s">
        <v>4809</v>
      </c>
      <c r="M783" s="178" t="str">
        <f t="shared" si="34"/>
        <v>#REF!</v>
      </c>
      <c r="N783" s="185"/>
      <c r="O783" s="181" t="s">
        <v>4773</v>
      </c>
    </row>
    <row r="784" ht="14.25" customHeight="1">
      <c r="H784" s="179" t="str">
        <f t="shared" si="1"/>
        <v>#REF!</v>
      </c>
      <c r="I784" s="178" t="s">
        <v>4767</v>
      </c>
      <c r="J784" s="178" t="s">
        <v>4768</v>
      </c>
      <c r="K784" s="178" t="s">
        <v>4775</v>
      </c>
      <c r="L784" s="178" t="s">
        <v>4809</v>
      </c>
      <c r="M784" s="178" t="str">
        <f t="shared" si="34"/>
        <v>#REF!</v>
      </c>
      <c r="N784" s="185"/>
      <c r="O784" s="181" t="s">
        <v>4773</v>
      </c>
    </row>
    <row r="785" ht="14.25" customHeight="1">
      <c r="H785" s="179" t="str">
        <f t="shared" si="1"/>
        <v>#REF!</v>
      </c>
      <c r="I785" s="178" t="s">
        <v>4767</v>
      </c>
      <c r="J785" s="178" t="s">
        <v>4768</v>
      </c>
      <c r="K785" s="178" t="s">
        <v>4780</v>
      </c>
      <c r="L785" s="178" t="s">
        <v>4809</v>
      </c>
      <c r="M785" s="178" t="str">
        <f t="shared" si="34"/>
        <v>#REF!</v>
      </c>
      <c r="N785" s="185"/>
      <c r="O785" s="181" t="s">
        <v>4773</v>
      </c>
    </row>
    <row r="786" ht="14.25" customHeight="1">
      <c r="H786" s="179" t="str">
        <f t="shared" si="1"/>
        <v>#REF!</v>
      </c>
      <c r="I786" s="178" t="s">
        <v>4767</v>
      </c>
      <c r="J786" s="182" t="s">
        <v>4779</v>
      </c>
      <c r="K786" s="178" t="s">
        <v>4769</v>
      </c>
      <c r="L786" s="178" t="s">
        <v>4809</v>
      </c>
      <c r="M786" s="178" t="str">
        <f t="shared" ref="M786:M806" si="35">IF('Ficha de exención para baterías'!$P$21&gt;0,'Ficha de exención para baterías'!$P$21," ")</f>
        <v>#REF!</v>
      </c>
      <c r="N786" s="185"/>
      <c r="O786" s="181" t="s">
        <v>4773</v>
      </c>
    </row>
    <row r="787" ht="14.25" customHeight="1">
      <c r="H787" s="179" t="str">
        <f t="shared" si="1"/>
        <v>#REF!</v>
      </c>
      <c r="I787" s="178" t="s">
        <v>4767</v>
      </c>
      <c r="J787" s="182" t="s">
        <v>4779</v>
      </c>
      <c r="K787" s="178" t="s">
        <v>4775</v>
      </c>
      <c r="L787" s="178" t="s">
        <v>4809</v>
      </c>
      <c r="M787" s="178" t="str">
        <f t="shared" si="35"/>
        <v>#REF!</v>
      </c>
      <c r="N787" s="185"/>
      <c r="O787" s="181" t="s">
        <v>4773</v>
      </c>
    </row>
    <row r="788" ht="14.25" customHeight="1">
      <c r="H788" s="179" t="str">
        <f t="shared" si="1"/>
        <v>#REF!</v>
      </c>
      <c r="I788" s="178" t="s">
        <v>4767</v>
      </c>
      <c r="J788" s="182" t="s">
        <v>4779</v>
      </c>
      <c r="K788" s="178" t="s">
        <v>4780</v>
      </c>
      <c r="L788" s="178" t="s">
        <v>4809</v>
      </c>
      <c r="M788" s="178" t="str">
        <f t="shared" si="35"/>
        <v>#REF!</v>
      </c>
      <c r="N788" s="185"/>
      <c r="O788" s="181" t="s">
        <v>4773</v>
      </c>
    </row>
    <row r="789" ht="14.25" customHeight="1">
      <c r="H789" s="179" t="str">
        <f t="shared" si="1"/>
        <v>#REF!</v>
      </c>
      <c r="I789" s="178" t="s">
        <v>4767</v>
      </c>
      <c r="J789" s="182" t="s">
        <v>4787</v>
      </c>
      <c r="K789" s="178" t="s">
        <v>4769</v>
      </c>
      <c r="L789" s="178" t="s">
        <v>4809</v>
      </c>
      <c r="M789" s="178" t="str">
        <f t="shared" si="35"/>
        <v>#REF!</v>
      </c>
      <c r="N789" s="185"/>
      <c r="O789" s="181" t="s">
        <v>4773</v>
      </c>
    </row>
    <row r="790" ht="14.25" customHeight="1">
      <c r="H790" s="179" t="str">
        <f t="shared" si="1"/>
        <v>#REF!</v>
      </c>
      <c r="I790" s="178" t="s">
        <v>4767</v>
      </c>
      <c r="J790" s="182" t="s">
        <v>4787</v>
      </c>
      <c r="K790" s="178" t="s">
        <v>4775</v>
      </c>
      <c r="L790" s="178" t="s">
        <v>4809</v>
      </c>
      <c r="M790" s="178" t="str">
        <f t="shared" si="35"/>
        <v>#REF!</v>
      </c>
      <c r="N790" s="185"/>
      <c r="O790" s="181" t="s">
        <v>4773</v>
      </c>
    </row>
    <row r="791" ht="14.25" customHeight="1">
      <c r="H791" s="179" t="str">
        <f t="shared" si="1"/>
        <v>#REF!</v>
      </c>
      <c r="I791" s="178" t="s">
        <v>4767</v>
      </c>
      <c r="J791" s="182" t="s">
        <v>4787</v>
      </c>
      <c r="K791" s="178" t="s">
        <v>4780</v>
      </c>
      <c r="L791" s="178" t="s">
        <v>4809</v>
      </c>
      <c r="M791" s="178" t="str">
        <f t="shared" si="35"/>
        <v>#REF!</v>
      </c>
      <c r="N791" s="185"/>
      <c r="O791" s="181" t="s">
        <v>4773</v>
      </c>
    </row>
    <row r="792" ht="14.25" customHeight="1">
      <c r="H792" s="179" t="str">
        <f t="shared" si="1"/>
        <v>#REF!</v>
      </c>
      <c r="I792" s="178" t="s">
        <v>4767</v>
      </c>
      <c r="J792" s="182" t="s">
        <v>4774</v>
      </c>
      <c r="K792" s="178" t="s">
        <v>4769</v>
      </c>
      <c r="L792" s="178" t="s">
        <v>4809</v>
      </c>
      <c r="M792" s="178" t="str">
        <f t="shared" si="35"/>
        <v>#REF!</v>
      </c>
      <c r="N792" s="185"/>
      <c r="O792" s="181" t="s">
        <v>4773</v>
      </c>
    </row>
    <row r="793" ht="14.25" customHeight="1">
      <c r="H793" s="179" t="str">
        <f t="shared" si="1"/>
        <v>#REF!</v>
      </c>
      <c r="I793" s="178" t="s">
        <v>4767</v>
      </c>
      <c r="J793" s="182" t="s">
        <v>4774</v>
      </c>
      <c r="K793" s="178" t="s">
        <v>4775</v>
      </c>
      <c r="L793" s="178" t="s">
        <v>4809</v>
      </c>
      <c r="M793" s="178" t="str">
        <f t="shared" si="35"/>
        <v>#REF!</v>
      </c>
      <c r="N793" s="185"/>
      <c r="O793" s="181" t="s">
        <v>4773</v>
      </c>
    </row>
    <row r="794" ht="14.25" customHeight="1">
      <c r="H794" s="179" t="str">
        <f t="shared" si="1"/>
        <v>#REF!</v>
      </c>
      <c r="I794" s="178" t="s">
        <v>4767</v>
      </c>
      <c r="J794" s="182" t="s">
        <v>4774</v>
      </c>
      <c r="K794" s="178" t="s">
        <v>4780</v>
      </c>
      <c r="L794" s="178" t="s">
        <v>4809</v>
      </c>
      <c r="M794" s="178" t="str">
        <f t="shared" si="35"/>
        <v>#REF!</v>
      </c>
      <c r="N794" s="185"/>
      <c r="O794" s="181" t="s">
        <v>4773</v>
      </c>
    </row>
    <row r="795" ht="14.25" customHeight="1">
      <c r="H795" s="179" t="str">
        <f t="shared" si="1"/>
        <v>#REF!</v>
      </c>
      <c r="I795" s="178" t="s">
        <v>4767</v>
      </c>
      <c r="J795" s="182" t="s">
        <v>4785</v>
      </c>
      <c r="K795" s="178" t="s">
        <v>4769</v>
      </c>
      <c r="L795" s="178" t="s">
        <v>4809</v>
      </c>
      <c r="M795" s="178" t="str">
        <f t="shared" si="35"/>
        <v>#REF!</v>
      </c>
      <c r="N795" s="185"/>
      <c r="O795" s="181" t="s">
        <v>4773</v>
      </c>
    </row>
    <row r="796" ht="14.25" customHeight="1">
      <c r="H796" s="179" t="str">
        <f t="shared" si="1"/>
        <v>#REF!</v>
      </c>
      <c r="I796" s="178" t="s">
        <v>4767</v>
      </c>
      <c r="J796" s="182" t="s">
        <v>4785</v>
      </c>
      <c r="K796" s="178" t="s">
        <v>4775</v>
      </c>
      <c r="L796" s="178" t="s">
        <v>4809</v>
      </c>
      <c r="M796" s="178" t="str">
        <f t="shared" si="35"/>
        <v>#REF!</v>
      </c>
      <c r="N796" s="185"/>
      <c r="O796" s="181" t="s">
        <v>4773</v>
      </c>
    </row>
    <row r="797" ht="14.25" customHeight="1">
      <c r="H797" s="179" t="str">
        <f t="shared" si="1"/>
        <v>#REF!</v>
      </c>
      <c r="I797" s="178" t="s">
        <v>4767</v>
      </c>
      <c r="J797" s="182" t="s">
        <v>4785</v>
      </c>
      <c r="K797" s="178" t="s">
        <v>4780</v>
      </c>
      <c r="L797" s="178" t="s">
        <v>4809</v>
      </c>
      <c r="M797" s="178" t="str">
        <f t="shared" si="35"/>
        <v>#REF!</v>
      </c>
      <c r="N797" s="185"/>
      <c r="O797" s="181" t="s">
        <v>4773</v>
      </c>
    </row>
    <row r="798" ht="14.25" customHeight="1">
      <c r="H798" s="179" t="str">
        <f t="shared" si="1"/>
        <v>#REF!</v>
      </c>
      <c r="I798" s="178" t="s">
        <v>4767</v>
      </c>
      <c r="J798" s="182" t="s">
        <v>4783</v>
      </c>
      <c r="K798" s="178" t="s">
        <v>4769</v>
      </c>
      <c r="L798" s="178" t="s">
        <v>4809</v>
      </c>
      <c r="M798" s="178" t="str">
        <f t="shared" si="35"/>
        <v>#REF!</v>
      </c>
      <c r="N798" s="185"/>
      <c r="O798" s="181" t="s">
        <v>4773</v>
      </c>
    </row>
    <row r="799" ht="14.25" customHeight="1">
      <c r="H799" s="179" t="str">
        <f t="shared" si="1"/>
        <v>#REF!</v>
      </c>
      <c r="I799" s="178" t="s">
        <v>4767</v>
      </c>
      <c r="J799" s="182" t="s">
        <v>4783</v>
      </c>
      <c r="K799" s="178" t="s">
        <v>4775</v>
      </c>
      <c r="L799" s="178" t="s">
        <v>4809</v>
      </c>
      <c r="M799" s="178" t="str">
        <f t="shared" si="35"/>
        <v>#REF!</v>
      </c>
      <c r="N799" s="185"/>
      <c r="O799" s="181" t="s">
        <v>4773</v>
      </c>
    </row>
    <row r="800" ht="14.25" customHeight="1">
      <c r="H800" s="179" t="str">
        <f t="shared" si="1"/>
        <v>#REF!</v>
      </c>
      <c r="I800" s="178" t="s">
        <v>4767</v>
      </c>
      <c r="J800" s="182" t="s">
        <v>4783</v>
      </c>
      <c r="K800" s="178" t="s">
        <v>4780</v>
      </c>
      <c r="L800" s="178" t="s">
        <v>4809</v>
      </c>
      <c r="M800" s="178" t="str">
        <f t="shared" si="35"/>
        <v>#REF!</v>
      </c>
      <c r="N800" s="185"/>
      <c r="O800" s="181" t="s">
        <v>4773</v>
      </c>
    </row>
    <row r="801" ht="14.25" customHeight="1">
      <c r="H801" s="179" t="str">
        <f t="shared" si="1"/>
        <v>#REF!</v>
      </c>
      <c r="I801" s="178" t="s">
        <v>4767</v>
      </c>
      <c r="J801" s="182" t="s">
        <v>4789</v>
      </c>
      <c r="K801" s="178" t="s">
        <v>4769</v>
      </c>
      <c r="L801" s="178" t="s">
        <v>4809</v>
      </c>
      <c r="M801" s="178" t="str">
        <f t="shared" si="35"/>
        <v>#REF!</v>
      </c>
      <c r="N801" s="185"/>
      <c r="O801" s="181" t="s">
        <v>4773</v>
      </c>
    </row>
    <row r="802" ht="14.25" customHeight="1">
      <c r="H802" s="179" t="str">
        <f t="shared" si="1"/>
        <v>#REF!</v>
      </c>
      <c r="I802" s="178" t="s">
        <v>4767</v>
      </c>
      <c r="J802" s="182" t="s">
        <v>4789</v>
      </c>
      <c r="K802" s="178" t="s">
        <v>4775</v>
      </c>
      <c r="L802" s="178" t="s">
        <v>4809</v>
      </c>
      <c r="M802" s="178" t="str">
        <f t="shared" si="35"/>
        <v>#REF!</v>
      </c>
      <c r="N802" s="185"/>
      <c r="O802" s="181" t="s">
        <v>4773</v>
      </c>
    </row>
    <row r="803" ht="14.25" customHeight="1">
      <c r="H803" s="179" t="str">
        <f t="shared" si="1"/>
        <v>#REF!</v>
      </c>
      <c r="I803" s="178" t="s">
        <v>4767</v>
      </c>
      <c r="J803" s="182" t="s">
        <v>4789</v>
      </c>
      <c r="K803" s="178" t="s">
        <v>4780</v>
      </c>
      <c r="L803" s="178" t="s">
        <v>4809</v>
      </c>
      <c r="M803" s="178" t="str">
        <f t="shared" si="35"/>
        <v>#REF!</v>
      </c>
      <c r="N803" s="185"/>
      <c r="O803" s="181" t="s">
        <v>4773</v>
      </c>
    </row>
    <row r="804" ht="14.25" customHeight="1">
      <c r="H804" s="179" t="str">
        <f t="shared" si="1"/>
        <v>#REF!</v>
      </c>
      <c r="I804" s="178" t="s">
        <v>4767</v>
      </c>
      <c r="J804" s="178" t="s">
        <v>4768</v>
      </c>
      <c r="K804" s="178" t="s">
        <v>4769</v>
      </c>
      <c r="L804" s="178" t="s">
        <v>4809</v>
      </c>
      <c r="M804" s="178" t="str">
        <f t="shared" si="35"/>
        <v>#REF!</v>
      </c>
      <c r="N804" s="185"/>
      <c r="O804" s="181" t="s">
        <v>4773</v>
      </c>
    </row>
    <row r="805" ht="14.25" customHeight="1">
      <c r="H805" s="179" t="str">
        <f t="shared" si="1"/>
        <v>#REF!</v>
      </c>
      <c r="I805" s="178" t="s">
        <v>4767</v>
      </c>
      <c r="J805" s="178" t="s">
        <v>4768</v>
      </c>
      <c r="K805" s="178" t="s">
        <v>4775</v>
      </c>
      <c r="L805" s="178" t="s">
        <v>4809</v>
      </c>
      <c r="M805" s="178" t="str">
        <f t="shared" si="35"/>
        <v>#REF!</v>
      </c>
      <c r="N805" s="185"/>
      <c r="O805" s="181" t="s">
        <v>4773</v>
      </c>
    </row>
    <row r="806" ht="14.25" customHeight="1">
      <c r="H806" s="179" t="str">
        <f t="shared" si="1"/>
        <v>#REF!</v>
      </c>
      <c r="I806" s="178" t="s">
        <v>4767</v>
      </c>
      <c r="J806" s="178" t="s">
        <v>4768</v>
      </c>
      <c r="K806" s="178" t="s">
        <v>4780</v>
      </c>
      <c r="L806" s="178" t="s">
        <v>4809</v>
      </c>
      <c r="M806" s="178" t="str">
        <f t="shared" si="35"/>
        <v>#REF!</v>
      </c>
      <c r="N806" s="185"/>
      <c r="O806" s="181" t="s">
        <v>4773</v>
      </c>
    </row>
    <row r="807" ht="14.25" customHeight="1">
      <c r="H807" s="179" t="str">
        <f t="shared" si="1"/>
        <v>#REF!</v>
      </c>
      <c r="I807" s="178" t="s">
        <v>4767</v>
      </c>
      <c r="J807" s="182" t="s">
        <v>4779</v>
      </c>
      <c r="K807" s="178" t="s">
        <v>4769</v>
      </c>
      <c r="L807" s="178" t="s">
        <v>4809</v>
      </c>
      <c r="M807" s="178" t="str">
        <f t="shared" ref="M807:M827" si="36">IF('Ficha de exención para baterías'!$P$22&gt;0,'Ficha de exención para baterías'!$P$22," ")</f>
        <v>#REF!</v>
      </c>
      <c r="N807" s="185"/>
      <c r="O807" s="181" t="s">
        <v>4773</v>
      </c>
    </row>
    <row r="808" ht="14.25" customHeight="1">
      <c r="H808" s="179" t="str">
        <f t="shared" si="1"/>
        <v>#REF!</v>
      </c>
      <c r="I808" s="178" t="s">
        <v>4767</v>
      </c>
      <c r="J808" s="182" t="s">
        <v>4779</v>
      </c>
      <c r="K808" s="178" t="s">
        <v>4775</v>
      </c>
      <c r="L808" s="178" t="s">
        <v>4809</v>
      </c>
      <c r="M808" s="178" t="str">
        <f t="shared" si="36"/>
        <v>#REF!</v>
      </c>
      <c r="N808" s="185"/>
      <c r="O808" s="181" t="s">
        <v>4773</v>
      </c>
    </row>
    <row r="809" ht="14.25" customHeight="1">
      <c r="H809" s="179" t="str">
        <f t="shared" si="1"/>
        <v>#REF!</v>
      </c>
      <c r="I809" s="178" t="s">
        <v>4767</v>
      </c>
      <c r="J809" s="182" t="s">
        <v>4779</v>
      </c>
      <c r="K809" s="178" t="s">
        <v>4780</v>
      </c>
      <c r="L809" s="178" t="s">
        <v>4809</v>
      </c>
      <c r="M809" s="178" t="str">
        <f t="shared" si="36"/>
        <v>#REF!</v>
      </c>
      <c r="N809" s="185"/>
      <c r="O809" s="181" t="s">
        <v>4773</v>
      </c>
    </row>
    <row r="810" ht="14.25" customHeight="1">
      <c r="H810" s="179" t="str">
        <f t="shared" si="1"/>
        <v>#REF!</v>
      </c>
      <c r="I810" s="178" t="s">
        <v>4767</v>
      </c>
      <c r="J810" s="182" t="s">
        <v>4787</v>
      </c>
      <c r="K810" s="178" t="s">
        <v>4769</v>
      </c>
      <c r="L810" s="178" t="s">
        <v>4809</v>
      </c>
      <c r="M810" s="178" t="str">
        <f t="shared" si="36"/>
        <v>#REF!</v>
      </c>
      <c r="N810" s="185"/>
      <c r="O810" s="181" t="s">
        <v>4773</v>
      </c>
    </row>
    <row r="811" ht="14.25" customHeight="1">
      <c r="H811" s="179" t="str">
        <f t="shared" si="1"/>
        <v>#REF!</v>
      </c>
      <c r="I811" s="178" t="s">
        <v>4767</v>
      </c>
      <c r="J811" s="182" t="s">
        <v>4787</v>
      </c>
      <c r="K811" s="178" t="s">
        <v>4775</v>
      </c>
      <c r="L811" s="178" t="s">
        <v>4809</v>
      </c>
      <c r="M811" s="178" t="str">
        <f t="shared" si="36"/>
        <v>#REF!</v>
      </c>
      <c r="N811" s="185"/>
      <c r="O811" s="181" t="s">
        <v>4773</v>
      </c>
    </row>
    <row r="812" ht="14.25" customHeight="1">
      <c r="H812" s="179" t="str">
        <f t="shared" si="1"/>
        <v>#REF!</v>
      </c>
      <c r="I812" s="178" t="s">
        <v>4767</v>
      </c>
      <c r="J812" s="182" t="s">
        <v>4787</v>
      </c>
      <c r="K812" s="178" t="s">
        <v>4780</v>
      </c>
      <c r="L812" s="178" t="s">
        <v>4809</v>
      </c>
      <c r="M812" s="178" t="str">
        <f t="shared" si="36"/>
        <v>#REF!</v>
      </c>
      <c r="N812" s="185"/>
      <c r="O812" s="181" t="s">
        <v>4773</v>
      </c>
    </row>
    <row r="813" ht="14.25" customHeight="1">
      <c r="H813" s="179" t="str">
        <f t="shared" si="1"/>
        <v>#REF!</v>
      </c>
      <c r="I813" s="178" t="s">
        <v>4767</v>
      </c>
      <c r="J813" s="182" t="s">
        <v>4774</v>
      </c>
      <c r="K813" s="178" t="s">
        <v>4769</v>
      </c>
      <c r="L813" s="178" t="s">
        <v>4809</v>
      </c>
      <c r="M813" s="178" t="str">
        <f t="shared" si="36"/>
        <v>#REF!</v>
      </c>
      <c r="N813" s="185"/>
      <c r="O813" s="181" t="s">
        <v>4773</v>
      </c>
    </row>
    <row r="814" ht="14.25" customHeight="1">
      <c r="H814" s="179" t="str">
        <f t="shared" si="1"/>
        <v>#REF!</v>
      </c>
      <c r="I814" s="178" t="s">
        <v>4767</v>
      </c>
      <c r="J814" s="182" t="s">
        <v>4774</v>
      </c>
      <c r="K814" s="178" t="s">
        <v>4775</v>
      </c>
      <c r="L814" s="178" t="s">
        <v>4809</v>
      </c>
      <c r="M814" s="178" t="str">
        <f t="shared" si="36"/>
        <v>#REF!</v>
      </c>
      <c r="N814" s="185"/>
      <c r="O814" s="181" t="s">
        <v>4773</v>
      </c>
    </row>
    <row r="815" ht="14.25" customHeight="1">
      <c r="H815" s="179" t="str">
        <f t="shared" si="1"/>
        <v>#REF!</v>
      </c>
      <c r="I815" s="178" t="s">
        <v>4767</v>
      </c>
      <c r="J815" s="182" t="s">
        <v>4774</v>
      </c>
      <c r="K815" s="178" t="s">
        <v>4780</v>
      </c>
      <c r="L815" s="178" t="s">
        <v>4809</v>
      </c>
      <c r="M815" s="178" t="str">
        <f t="shared" si="36"/>
        <v>#REF!</v>
      </c>
      <c r="N815" s="185"/>
      <c r="O815" s="181" t="s">
        <v>4773</v>
      </c>
    </row>
    <row r="816" ht="14.25" customHeight="1">
      <c r="H816" s="179" t="str">
        <f t="shared" si="1"/>
        <v>#REF!</v>
      </c>
      <c r="I816" s="178" t="s">
        <v>4767</v>
      </c>
      <c r="J816" s="182" t="s">
        <v>4785</v>
      </c>
      <c r="K816" s="178" t="s">
        <v>4769</v>
      </c>
      <c r="L816" s="178" t="s">
        <v>4809</v>
      </c>
      <c r="M816" s="178" t="str">
        <f t="shared" si="36"/>
        <v>#REF!</v>
      </c>
      <c r="N816" s="185"/>
      <c r="O816" s="181" t="s">
        <v>4773</v>
      </c>
    </row>
    <row r="817" ht="14.25" customHeight="1">
      <c r="H817" s="179" t="str">
        <f t="shared" si="1"/>
        <v>#REF!</v>
      </c>
      <c r="I817" s="178" t="s">
        <v>4767</v>
      </c>
      <c r="J817" s="182" t="s">
        <v>4785</v>
      </c>
      <c r="K817" s="178" t="s">
        <v>4775</v>
      </c>
      <c r="L817" s="178" t="s">
        <v>4809</v>
      </c>
      <c r="M817" s="178" t="str">
        <f t="shared" si="36"/>
        <v>#REF!</v>
      </c>
      <c r="N817" s="185"/>
      <c r="O817" s="181" t="s">
        <v>4773</v>
      </c>
    </row>
    <row r="818" ht="14.25" customHeight="1">
      <c r="H818" s="179" t="str">
        <f t="shared" si="1"/>
        <v>#REF!</v>
      </c>
      <c r="I818" s="178" t="s">
        <v>4767</v>
      </c>
      <c r="J818" s="182" t="s">
        <v>4785</v>
      </c>
      <c r="K818" s="178" t="s">
        <v>4780</v>
      </c>
      <c r="L818" s="178" t="s">
        <v>4809</v>
      </c>
      <c r="M818" s="178" t="str">
        <f t="shared" si="36"/>
        <v>#REF!</v>
      </c>
      <c r="N818" s="185"/>
      <c r="O818" s="181" t="s">
        <v>4773</v>
      </c>
    </row>
    <row r="819" ht="14.25" customHeight="1">
      <c r="H819" s="179" t="str">
        <f t="shared" si="1"/>
        <v>#REF!</v>
      </c>
      <c r="I819" s="178" t="s">
        <v>4767</v>
      </c>
      <c r="J819" s="182" t="s">
        <v>4783</v>
      </c>
      <c r="K819" s="178" t="s">
        <v>4769</v>
      </c>
      <c r="L819" s="178" t="s">
        <v>4809</v>
      </c>
      <c r="M819" s="178" t="str">
        <f t="shared" si="36"/>
        <v>#REF!</v>
      </c>
      <c r="N819" s="185"/>
      <c r="O819" s="181" t="s">
        <v>4773</v>
      </c>
    </row>
    <row r="820" ht="14.25" customHeight="1">
      <c r="H820" s="179" t="str">
        <f t="shared" si="1"/>
        <v>#REF!</v>
      </c>
      <c r="I820" s="178" t="s">
        <v>4767</v>
      </c>
      <c r="J820" s="182" t="s">
        <v>4783</v>
      </c>
      <c r="K820" s="178" t="s">
        <v>4775</v>
      </c>
      <c r="L820" s="178" t="s">
        <v>4809</v>
      </c>
      <c r="M820" s="178" t="str">
        <f t="shared" si="36"/>
        <v>#REF!</v>
      </c>
      <c r="N820" s="185"/>
      <c r="O820" s="181" t="s">
        <v>4773</v>
      </c>
    </row>
    <row r="821" ht="14.25" customHeight="1">
      <c r="H821" s="179" t="str">
        <f t="shared" si="1"/>
        <v>#REF!</v>
      </c>
      <c r="I821" s="178" t="s">
        <v>4767</v>
      </c>
      <c r="J821" s="182" t="s">
        <v>4783</v>
      </c>
      <c r="K821" s="178" t="s">
        <v>4780</v>
      </c>
      <c r="L821" s="178" t="s">
        <v>4809</v>
      </c>
      <c r="M821" s="178" t="str">
        <f t="shared" si="36"/>
        <v>#REF!</v>
      </c>
      <c r="N821" s="185"/>
      <c r="O821" s="181" t="s">
        <v>4773</v>
      </c>
    </row>
    <row r="822" ht="14.25" customHeight="1">
      <c r="H822" s="179" t="str">
        <f t="shared" si="1"/>
        <v>#REF!</v>
      </c>
      <c r="I822" s="178" t="s">
        <v>4767</v>
      </c>
      <c r="J822" s="182" t="s">
        <v>4789</v>
      </c>
      <c r="K822" s="178" t="s">
        <v>4769</v>
      </c>
      <c r="L822" s="178" t="s">
        <v>4809</v>
      </c>
      <c r="M822" s="178" t="str">
        <f t="shared" si="36"/>
        <v>#REF!</v>
      </c>
      <c r="N822" s="185"/>
      <c r="O822" s="181" t="s">
        <v>4773</v>
      </c>
    </row>
    <row r="823" ht="14.25" customHeight="1">
      <c r="H823" s="179" t="str">
        <f t="shared" si="1"/>
        <v>#REF!</v>
      </c>
      <c r="I823" s="178" t="s">
        <v>4767</v>
      </c>
      <c r="J823" s="182" t="s">
        <v>4789</v>
      </c>
      <c r="K823" s="178" t="s">
        <v>4775</v>
      </c>
      <c r="L823" s="178" t="s">
        <v>4809</v>
      </c>
      <c r="M823" s="178" t="str">
        <f t="shared" si="36"/>
        <v>#REF!</v>
      </c>
      <c r="N823" s="185"/>
      <c r="O823" s="181" t="s">
        <v>4773</v>
      </c>
    </row>
    <row r="824" ht="14.25" customHeight="1">
      <c r="H824" s="179" t="str">
        <f t="shared" si="1"/>
        <v>#REF!</v>
      </c>
      <c r="I824" s="178" t="s">
        <v>4767</v>
      </c>
      <c r="J824" s="182" t="s">
        <v>4789</v>
      </c>
      <c r="K824" s="178" t="s">
        <v>4780</v>
      </c>
      <c r="L824" s="178" t="s">
        <v>4809</v>
      </c>
      <c r="M824" s="178" t="str">
        <f t="shared" si="36"/>
        <v>#REF!</v>
      </c>
      <c r="N824" s="185"/>
      <c r="O824" s="181" t="s">
        <v>4773</v>
      </c>
    </row>
    <row r="825" ht="14.25" customHeight="1">
      <c r="H825" s="179" t="str">
        <f t="shared" si="1"/>
        <v>#REF!</v>
      </c>
      <c r="I825" s="178" t="s">
        <v>4767</v>
      </c>
      <c r="J825" s="178" t="s">
        <v>4768</v>
      </c>
      <c r="K825" s="178" t="s">
        <v>4769</v>
      </c>
      <c r="L825" s="178" t="s">
        <v>4809</v>
      </c>
      <c r="M825" s="178" t="str">
        <f t="shared" si="36"/>
        <v>#REF!</v>
      </c>
      <c r="N825" s="185"/>
      <c r="O825" s="181" t="s">
        <v>4773</v>
      </c>
    </row>
    <row r="826" ht="14.25" customHeight="1">
      <c r="H826" s="179" t="str">
        <f t="shared" si="1"/>
        <v>#REF!</v>
      </c>
      <c r="I826" s="178" t="s">
        <v>4767</v>
      </c>
      <c r="J826" s="178" t="s">
        <v>4768</v>
      </c>
      <c r="K826" s="178" t="s">
        <v>4775</v>
      </c>
      <c r="L826" s="178" t="s">
        <v>4809</v>
      </c>
      <c r="M826" s="178" t="str">
        <f t="shared" si="36"/>
        <v>#REF!</v>
      </c>
      <c r="N826" s="185"/>
      <c r="O826" s="181" t="s">
        <v>4773</v>
      </c>
    </row>
    <row r="827" ht="14.25" customHeight="1">
      <c r="H827" s="179" t="str">
        <f t="shared" si="1"/>
        <v>#REF!</v>
      </c>
      <c r="I827" s="178" t="s">
        <v>4767</v>
      </c>
      <c r="J827" s="178" t="s">
        <v>4768</v>
      </c>
      <c r="K827" s="178" t="s">
        <v>4780</v>
      </c>
      <c r="L827" s="178" t="s">
        <v>4809</v>
      </c>
      <c r="M827" s="178" t="str">
        <f t="shared" si="36"/>
        <v>#REF!</v>
      </c>
      <c r="N827" s="185"/>
      <c r="O827" s="181" t="s">
        <v>4773</v>
      </c>
    </row>
    <row r="828" ht="14.25" customHeight="1">
      <c r="H828" s="179" t="str">
        <f t="shared" si="1"/>
        <v>#REF!</v>
      </c>
      <c r="I828" s="178" t="s">
        <v>4767</v>
      </c>
      <c r="J828" s="182" t="s">
        <v>4779</v>
      </c>
      <c r="K828" s="178" t="s">
        <v>4769</v>
      </c>
      <c r="L828" s="178" t="s">
        <v>4809</v>
      </c>
      <c r="M828" s="178" t="str">
        <f t="shared" ref="M828:M848" si="37">IF('Ficha de exención para baterías'!$P$23&gt;0,'Ficha de exención para baterías'!$P$23," ")</f>
        <v>#REF!</v>
      </c>
      <c r="N828" s="185"/>
      <c r="O828" s="181" t="s">
        <v>4773</v>
      </c>
    </row>
    <row r="829" ht="14.25" customHeight="1">
      <c r="H829" s="179" t="str">
        <f t="shared" si="1"/>
        <v>#REF!</v>
      </c>
      <c r="I829" s="178" t="s">
        <v>4767</v>
      </c>
      <c r="J829" s="182" t="s">
        <v>4779</v>
      </c>
      <c r="K829" s="178" t="s">
        <v>4775</v>
      </c>
      <c r="L829" s="178" t="s">
        <v>4809</v>
      </c>
      <c r="M829" s="178" t="str">
        <f t="shared" si="37"/>
        <v>#REF!</v>
      </c>
      <c r="N829" s="185"/>
      <c r="O829" s="181" t="s">
        <v>4773</v>
      </c>
    </row>
    <row r="830" ht="14.25" customHeight="1">
      <c r="H830" s="179" t="str">
        <f t="shared" si="1"/>
        <v>#REF!</v>
      </c>
      <c r="I830" s="178" t="s">
        <v>4767</v>
      </c>
      <c r="J830" s="182" t="s">
        <v>4779</v>
      </c>
      <c r="K830" s="178" t="s">
        <v>4780</v>
      </c>
      <c r="L830" s="178" t="s">
        <v>4809</v>
      </c>
      <c r="M830" s="178" t="str">
        <f t="shared" si="37"/>
        <v>#REF!</v>
      </c>
      <c r="N830" s="185"/>
      <c r="O830" s="181" t="s">
        <v>4773</v>
      </c>
    </row>
    <row r="831" ht="14.25" customHeight="1">
      <c r="H831" s="179" t="str">
        <f t="shared" si="1"/>
        <v>#REF!</v>
      </c>
      <c r="I831" s="178" t="s">
        <v>4767</v>
      </c>
      <c r="J831" s="182" t="s">
        <v>4787</v>
      </c>
      <c r="K831" s="178" t="s">
        <v>4769</v>
      </c>
      <c r="L831" s="178" t="s">
        <v>4809</v>
      </c>
      <c r="M831" s="178" t="str">
        <f t="shared" si="37"/>
        <v>#REF!</v>
      </c>
      <c r="N831" s="185"/>
      <c r="O831" s="181" t="s">
        <v>4773</v>
      </c>
    </row>
    <row r="832" ht="14.25" customHeight="1">
      <c r="H832" s="179" t="str">
        <f t="shared" si="1"/>
        <v>#REF!</v>
      </c>
      <c r="I832" s="178" t="s">
        <v>4767</v>
      </c>
      <c r="J832" s="182" t="s">
        <v>4787</v>
      </c>
      <c r="K832" s="178" t="s">
        <v>4775</v>
      </c>
      <c r="L832" s="178" t="s">
        <v>4809</v>
      </c>
      <c r="M832" s="178" t="str">
        <f t="shared" si="37"/>
        <v>#REF!</v>
      </c>
      <c r="N832" s="185"/>
      <c r="O832" s="181" t="s">
        <v>4773</v>
      </c>
    </row>
    <row r="833" ht="14.25" customHeight="1">
      <c r="H833" s="179" t="str">
        <f t="shared" si="1"/>
        <v>#REF!</v>
      </c>
      <c r="I833" s="178" t="s">
        <v>4767</v>
      </c>
      <c r="J833" s="182" t="s">
        <v>4787</v>
      </c>
      <c r="K833" s="178" t="s">
        <v>4780</v>
      </c>
      <c r="L833" s="178" t="s">
        <v>4809</v>
      </c>
      <c r="M833" s="178" t="str">
        <f t="shared" si="37"/>
        <v>#REF!</v>
      </c>
      <c r="N833" s="185"/>
      <c r="O833" s="181" t="s">
        <v>4773</v>
      </c>
    </row>
    <row r="834" ht="14.25" customHeight="1">
      <c r="H834" s="179" t="str">
        <f t="shared" si="1"/>
        <v>#REF!</v>
      </c>
      <c r="I834" s="178" t="s">
        <v>4767</v>
      </c>
      <c r="J834" s="182" t="s">
        <v>4774</v>
      </c>
      <c r="K834" s="178" t="s">
        <v>4769</v>
      </c>
      <c r="L834" s="178" t="s">
        <v>4809</v>
      </c>
      <c r="M834" s="178" t="str">
        <f t="shared" si="37"/>
        <v>#REF!</v>
      </c>
      <c r="N834" s="185"/>
      <c r="O834" s="181" t="s">
        <v>4773</v>
      </c>
    </row>
    <row r="835" ht="14.25" customHeight="1">
      <c r="H835" s="179" t="str">
        <f t="shared" si="1"/>
        <v>#REF!</v>
      </c>
      <c r="I835" s="178" t="s">
        <v>4767</v>
      </c>
      <c r="J835" s="182" t="s">
        <v>4774</v>
      </c>
      <c r="K835" s="178" t="s">
        <v>4775</v>
      </c>
      <c r="L835" s="178" t="s">
        <v>4809</v>
      </c>
      <c r="M835" s="178" t="str">
        <f t="shared" si="37"/>
        <v>#REF!</v>
      </c>
      <c r="N835" s="185"/>
      <c r="O835" s="181" t="s">
        <v>4773</v>
      </c>
    </row>
    <row r="836" ht="14.25" customHeight="1">
      <c r="H836" s="179" t="str">
        <f t="shared" si="1"/>
        <v>#REF!</v>
      </c>
      <c r="I836" s="178" t="s">
        <v>4767</v>
      </c>
      <c r="J836" s="182" t="s">
        <v>4774</v>
      </c>
      <c r="K836" s="178" t="s">
        <v>4780</v>
      </c>
      <c r="L836" s="178" t="s">
        <v>4809</v>
      </c>
      <c r="M836" s="178" t="str">
        <f t="shared" si="37"/>
        <v>#REF!</v>
      </c>
      <c r="N836" s="185"/>
      <c r="O836" s="181" t="s">
        <v>4773</v>
      </c>
    </row>
    <row r="837" ht="14.25" customHeight="1">
      <c r="H837" s="179" t="str">
        <f t="shared" si="1"/>
        <v>#REF!</v>
      </c>
      <c r="I837" s="178" t="s">
        <v>4767</v>
      </c>
      <c r="J837" s="182" t="s">
        <v>4785</v>
      </c>
      <c r="K837" s="178" t="s">
        <v>4769</v>
      </c>
      <c r="L837" s="178" t="s">
        <v>4809</v>
      </c>
      <c r="M837" s="178" t="str">
        <f t="shared" si="37"/>
        <v>#REF!</v>
      </c>
      <c r="N837" s="185"/>
      <c r="O837" s="181" t="s">
        <v>4773</v>
      </c>
    </row>
    <row r="838" ht="14.25" customHeight="1">
      <c r="H838" s="179" t="str">
        <f t="shared" si="1"/>
        <v>#REF!</v>
      </c>
      <c r="I838" s="178" t="s">
        <v>4767</v>
      </c>
      <c r="J838" s="182" t="s">
        <v>4785</v>
      </c>
      <c r="K838" s="178" t="s">
        <v>4775</v>
      </c>
      <c r="L838" s="178" t="s">
        <v>4809</v>
      </c>
      <c r="M838" s="178" t="str">
        <f t="shared" si="37"/>
        <v>#REF!</v>
      </c>
      <c r="N838" s="185"/>
      <c r="O838" s="181" t="s">
        <v>4773</v>
      </c>
    </row>
    <row r="839" ht="14.25" customHeight="1">
      <c r="H839" s="179" t="str">
        <f t="shared" si="1"/>
        <v>#REF!</v>
      </c>
      <c r="I839" s="178" t="s">
        <v>4767</v>
      </c>
      <c r="J839" s="182" t="s">
        <v>4785</v>
      </c>
      <c r="K839" s="178" t="s">
        <v>4780</v>
      </c>
      <c r="L839" s="178" t="s">
        <v>4809</v>
      </c>
      <c r="M839" s="178" t="str">
        <f t="shared" si="37"/>
        <v>#REF!</v>
      </c>
      <c r="N839" s="185"/>
      <c r="O839" s="181" t="s">
        <v>4773</v>
      </c>
    </row>
    <row r="840" ht="14.25" customHeight="1">
      <c r="H840" s="179" t="str">
        <f t="shared" si="1"/>
        <v>#REF!</v>
      </c>
      <c r="I840" s="178" t="s">
        <v>4767</v>
      </c>
      <c r="J840" s="182" t="s">
        <v>4783</v>
      </c>
      <c r="K840" s="178" t="s">
        <v>4769</v>
      </c>
      <c r="L840" s="178" t="s">
        <v>4809</v>
      </c>
      <c r="M840" s="178" t="str">
        <f t="shared" si="37"/>
        <v>#REF!</v>
      </c>
      <c r="N840" s="185"/>
      <c r="O840" s="181" t="s">
        <v>4773</v>
      </c>
    </row>
    <row r="841" ht="14.25" customHeight="1">
      <c r="H841" s="179" t="str">
        <f t="shared" si="1"/>
        <v>#REF!</v>
      </c>
      <c r="I841" s="178" t="s">
        <v>4767</v>
      </c>
      <c r="J841" s="182" t="s">
        <v>4783</v>
      </c>
      <c r="K841" s="178" t="s">
        <v>4775</v>
      </c>
      <c r="L841" s="178" t="s">
        <v>4809</v>
      </c>
      <c r="M841" s="178" t="str">
        <f t="shared" si="37"/>
        <v>#REF!</v>
      </c>
      <c r="N841" s="185"/>
      <c r="O841" s="181" t="s">
        <v>4773</v>
      </c>
    </row>
    <row r="842" ht="14.25" customHeight="1">
      <c r="H842" s="179" t="str">
        <f t="shared" si="1"/>
        <v>#REF!</v>
      </c>
      <c r="I842" s="178" t="s">
        <v>4767</v>
      </c>
      <c r="J842" s="182" t="s">
        <v>4783</v>
      </c>
      <c r="K842" s="178" t="s">
        <v>4780</v>
      </c>
      <c r="L842" s="178" t="s">
        <v>4809</v>
      </c>
      <c r="M842" s="178" t="str">
        <f t="shared" si="37"/>
        <v>#REF!</v>
      </c>
      <c r="N842" s="185"/>
      <c r="O842" s="181" t="s">
        <v>4773</v>
      </c>
    </row>
    <row r="843" ht="14.25" customHeight="1">
      <c r="H843" s="179" t="str">
        <f t="shared" si="1"/>
        <v>#REF!</v>
      </c>
      <c r="I843" s="178" t="s">
        <v>4767</v>
      </c>
      <c r="J843" s="182" t="s">
        <v>4789</v>
      </c>
      <c r="K843" s="178" t="s">
        <v>4769</v>
      </c>
      <c r="L843" s="178" t="s">
        <v>4809</v>
      </c>
      <c r="M843" s="178" t="str">
        <f t="shared" si="37"/>
        <v>#REF!</v>
      </c>
      <c r="N843" s="185"/>
      <c r="O843" s="181" t="s">
        <v>4773</v>
      </c>
    </row>
    <row r="844" ht="14.25" customHeight="1">
      <c r="H844" s="179" t="str">
        <f t="shared" si="1"/>
        <v>#REF!</v>
      </c>
      <c r="I844" s="178" t="s">
        <v>4767</v>
      </c>
      <c r="J844" s="182" t="s">
        <v>4789</v>
      </c>
      <c r="K844" s="178" t="s">
        <v>4775</v>
      </c>
      <c r="L844" s="178" t="s">
        <v>4809</v>
      </c>
      <c r="M844" s="178" t="str">
        <f t="shared" si="37"/>
        <v>#REF!</v>
      </c>
      <c r="N844" s="185"/>
      <c r="O844" s="181" t="s">
        <v>4773</v>
      </c>
    </row>
    <row r="845" ht="14.25" customHeight="1">
      <c r="H845" s="179" t="str">
        <f t="shared" si="1"/>
        <v>#REF!</v>
      </c>
      <c r="I845" s="178" t="s">
        <v>4767</v>
      </c>
      <c r="J845" s="182" t="s">
        <v>4789</v>
      </c>
      <c r="K845" s="178" t="s">
        <v>4780</v>
      </c>
      <c r="L845" s="178" t="s">
        <v>4809</v>
      </c>
      <c r="M845" s="178" t="str">
        <f t="shared" si="37"/>
        <v>#REF!</v>
      </c>
      <c r="N845" s="185"/>
      <c r="O845" s="181" t="s">
        <v>4773</v>
      </c>
    </row>
    <row r="846" ht="14.25" customHeight="1">
      <c r="H846" s="179" t="str">
        <f t="shared" si="1"/>
        <v>#REF!</v>
      </c>
      <c r="I846" s="178" t="s">
        <v>4767</v>
      </c>
      <c r="J846" s="178" t="s">
        <v>4768</v>
      </c>
      <c r="K846" s="178" t="s">
        <v>4769</v>
      </c>
      <c r="L846" s="178" t="s">
        <v>4809</v>
      </c>
      <c r="M846" s="178" t="str">
        <f t="shared" si="37"/>
        <v>#REF!</v>
      </c>
      <c r="N846" s="185"/>
      <c r="O846" s="181" t="s">
        <v>4773</v>
      </c>
    </row>
    <row r="847" ht="14.25" customHeight="1">
      <c r="H847" s="179" t="str">
        <f t="shared" si="1"/>
        <v>#REF!</v>
      </c>
      <c r="I847" s="178" t="s">
        <v>4767</v>
      </c>
      <c r="J847" s="178" t="s">
        <v>4768</v>
      </c>
      <c r="K847" s="178" t="s">
        <v>4775</v>
      </c>
      <c r="L847" s="178" t="s">
        <v>4809</v>
      </c>
      <c r="M847" s="178" t="str">
        <f t="shared" si="37"/>
        <v>#REF!</v>
      </c>
      <c r="N847" s="185"/>
      <c r="O847" s="181" t="s">
        <v>4773</v>
      </c>
    </row>
    <row r="848" ht="14.25" customHeight="1">
      <c r="H848" s="179" t="str">
        <f t="shared" si="1"/>
        <v>#REF!</v>
      </c>
      <c r="I848" s="178" t="s">
        <v>4767</v>
      </c>
      <c r="J848" s="178" t="s">
        <v>4768</v>
      </c>
      <c r="K848" s="178" t="s">
        <v>4780</v>
      </c>
      <c r="L848" s="178" t="s">
        <v>4809</v>
      </c>
      <c r="M848" s="178" t="str">
        <f t="shared" si="37"/>
        <v>#REF!</v>
      </c>
      <c r="N848" s="185"/>
      <c r="O848" s="181" t="s">
        <v>4773</v>
      </c>
    </row>
    <row r="849" ht="14.25" customHeight="1">
      <c r="H849" s="179" t="str">
        <f t="shared" si="1"/>
        <v>#REF!</v>
      </c>
      <c r="I849" s="178" t="s">
        <v>4767</v>
      </c>
      <c r="J849" s="182" t="s">
        <v>4779</v>
      </c>
      <c r="K849" s="178" t="s">
        <v>4769</v>
      </c>
      <c r="L849" s="178" t="s">
        <v>4809</v>
      </c>
      <c r="M849" s="178" t="str">
        <f t="shared" ref="M849:M869" si="38">IF('Ficha de exención para baterías'!$P$24&gt;0,'Ficha de exención para baterías'!$P$24," ")</f>
        <v>#REF!</v>
      </c>
      <c r="N849" s="185"/>
      <c r="O849" s="181" t="s">
        <v>4773</v>
      </c>
    </row>
    <row r="850" ht="14.25" customHeight="1">
      <c r="H850" s="179" t="str">
        <f t="shared" si="1"/>
        <v>#REF!</v>
      </c>
      <c r="I850" s="178" t="s">
        <v>4767</v>
      </c>
      <c r="J850" s="182" t="s">
        <v>4779</v>
      </c>
      <c r="K850" s="178" t="s">
        <v>4775</v>
      </c>
      <c r="L850" s="178" t="s">
        <v>4809</v>
      </c>
      <c r="M850" s="178" t="str">
        <f t="shared" si="38"/>
        <v>#REF!</v>
      </c>
      <c r="N850" s="185"/>
      <c r="O850" s="181" t="s">
        <v>4773</v>
      </c>
    </row>
    <row r="851" ht="14.25" customHeight="1">
      <c r="H851" s="179" t="str">
        <f t="shared" si="1"/>
        <v>#REF!</v>
      </c>
      <c r="I851" s="178" t="s">
        <v>4767</v>
      </c>
      <c r="J851" s="182" t="s">
        <v>4779</v>
      </c>
      <c r="K851" s="178" t="s">
        <v>4780</v>
      </c>
      <c r="L851" s="178" t="s">
        <v>4809</v>
      </c>
      <c r="M851" s="178" t="str">
        <f t="shared" si="38"/>
        <v>#REF!</v>
      </c>
      <c r="N851" s="185"/>
      <c r="O851" s="181" t="s">
        <v>4773</v>
      </c>
    </row>
    <row r="852" ht="14.25" customHeight="1">
      <c r="H852" s="179" t="str">
        <f t="shared" si="1"/>
        <v>#REF!</v>
      </c>
      <c r="I852" s="178" t="s">
        <v>4767</v>
      </c>
      <c r="J852" s="182" t="s">
        <v>4787</v>
      </c>
      <c r="K852" s="178" t="s">
        <v>4769</v>
      </c>
      <c r="L852" s="178" t="s">
        <v>4809</v>
      </c>
      <c r="M852" s="178" t="str">
        <f t="shared" si="38"/>
        <v>#REF!</v>
      </c>
      <c r="N852" s="185"/>
      <c r="O852" s="181" t="s">
        <v>4773</v>
      </c>
    </row>
    <row r="853" ht="14.25" customHeight="1">
      <c r="H853" s="179" t="str">
        <f t="shared" si="1"/>
        <v>#REF!</v>
      </c>
      <c r="I853" s="178" t="s">
        <v>4767</v>
      </c>
      <c r="J853" s="182" t="s">
        <v>4787</v>
      </c>
      <c r="K853" s="178" t="s">
        <v>4775</v>
      </c>
      <c r="L853" s="178" t="s">
        <v>4809</v>
      </c>
      <c r="M853" s="178" t="str">
        <f t="shared" si="38"/>
        <v>#REF!</v>
      </c>
      <c r="N853" s="185"/>
      <c r="O853" s="181" t="s">
        <v>4773</v>
      </c>
    </row>
    <row r="854" ht="14.25" customHeight="1">
      <c r="H854" s="179" t="str">
        <f t="shared" si="1"/>
        <v>#REF!</v>
      </c>
      <c r="I854" s="178" t="s">
        <v>4767</v>
      </c>
      <c r="J854" s="182" t="s">
        <v>4787</v>
      </c>
      <c r="K854" s="178" t="s">
        <v>4780</v>
      </c>
      <c r="L854" s="178" t="s">
        <v>4809</v>
      </c>
      <c r="M854" s="178" t="str">
        <f t="shared" si="38"/>
        <v>#REF!</v>
      </c>
      <c r="N854" s="185"/>
      <c r="O854" s="181" t="s">
        <v>4773</v>
      </c>
    </row>
    <row r="855" ht="14.25" customHeight="1">
      <c r="H855" s="179" t="str">
        <f t="shared" si="1"/>
        <v>#REF!</v>
      </c>
      <c r="I855" s="178" t="s">
        <v>4767</v>
      </c>
      <c r="J855" s="182" t="s">
        <v>4774</v>
      </c>
      <c r="K855" s="178" t="s">
        <v>4769</v>
      </c>
      <c r="L855" s="178" t="s">
        <v>4809</v>
      </c>
      <c r="M855" s="178" t="str">
        <f t="shared" si="38"/>
        <v>#REF!</v>
      </c>
      <c r="N855" s="185"/>
      <c r="O855" s="181" t="s">
        <v>4773</v>
      </c>
    </row>
    <row r="856" ht="14.25" customHeight="1">
      <c r="H856" s="179" t="str">
        <f t="shared" si="1"/>
        <v>#REF!</v>
      </c>
      <c r="I856" s="178" t="s">
        <v>4767</v>
      </c>
      <c r="J856" s="182" t="s">
        <v>4774</v>
      </c>
      <c r="K856" s="178" t="s">
        <v>4775</v>
      </c>
      <c r="L856" s="178" t="s">
        <v>4809</v>
      </c>
      <c r="M856" s="178" t="str">
        <f t="shared" si="38"/>
        <v>#REF!</v>
      </c>
      <c r="N856" s="185"/>
      <c r="O856" s="181" t="s">
        <v>4773</v>
      </c>
    </row>
    <row r="857" ht="14.25" customHeight="1">
      <c r="H857" s="179" t="str">
        <f t="shared" si="1"/>
        <v>#REF!</v>
      </c>
      <c r="I857" s="178" t="s">
        <v>4767</v>
      </c>
      <c r="J857" s="182" t="s">
        <v>4774</v>
      </c>
      <c r="K857" s="178" t="s">
        <v>4780</v>
      </c>
      <c r="L857" s="178" t="s">
        <v>4809</v>
      </c>
      <c r="M857" s="178" t="str">
        <f t="shared" si="38"/>
        <v>#REF!</v>
      </c>
      <c r="N857" s="185"/>
      <c r="O857" s="181" t="s">
        <v>4773</v>
      </c>
    </row>
    <row r="858" ht="14.25" customHeight="1">
      <c r="H858" s="179" t="str">
        <f t="shared" si="1"/>
        <v>#REF!</v>
      </c>
      <c r="I858" s="178" t="s">
        <v>4767</v>
      </c>
      <c r="J858" s="182" t="s">
        <v>4785</v>
      </c>
      <c r="K858" s="178" t="s">
        <v>4769</v>
      </c>
      <c r="L858" s="178" t="s">
        <v>4809</v>
      </c>
      <c r="M858" s="178" t="str">
        <f t="shared" si="38"/>
        <v>#REF!</v>
      </c>
      <c r="N858" s="185"/>
      <c r="O858" s="181" t="s">
        <v>4773</v>
      </c>
    </row>
    <row r="859" ht="14.25" customHeight="1">
      <c r="H859" s="179" t="str">
        <f t="shared" si="1"/>
        <v>#REF!</v>
      </c>
      <c r="I859" s="178" t="s">
        <v>4767</v>
      </c>
      <c r="J859" s="182" t="s">
        <v>4785</v>
      </c>
      <c r="K859" s="178" t="s">
        <v>4775</v>
      </c>
      <c r="L859" s="178" t="s">
        <v>4809</v>
      </c>
      <c r="M859" s="178" t="str">
        <f t="shared" si="38"/>
        <v>#REF!</v>
      </c>
      <c r="N859" s="185"/>
      <c r="O859" s="181" t="s">
        <v>4773</v>
      </c>
    </row>
    <row r="860" ht="14.25" customHeight="1">
      <c r="H860" s="179" t="str">
        <f t="shared" si="1"/>
        <v>#REF!</v>
      </c>
      <c r="I860" s="178" t="s">
        <v>4767</v>
      </c>
      <c r="J860" s="182" t="s">
        <v>4785</v>
      </c>
      <c r="K860" s="178" t="s">
        <v>4780</v>
      </c>
      <c r="L860" s="178" t="s">
        <v>4809</v>
      </c>
      <c r="M860" s="178" t="str">
        <f t="shared" si="38"/>
        <v>#REF!</v>
      </c>
      <c r="N860" s="185"/>
      <c r="O860" s="181" t="s">
        <v>4773</v>
      </c>
    </row>
    <row r="861" ht="14.25" customHeight="1">
      <c r="H861" s="179" t="str">
        <f t="shared" si="1"/>
        <v>#REF!</v>
      </c>
      <c r="I861" s="178" t="s">
        <v>4767</v>
      </c>
      <c r="J861" s="182" t="s">
        <v>4783</v>
      </c>
      <c r="K861" s="178" t="s">
        <v>4769</v>
      </c>
      <c r="L861" s="178" t="s">
        <v>4809</v>
      </c>
      <c r="M861" s="178" t="str">
        <f t="shared" si="38"/>
        <v>#REF!</v>
      </c>
      <c r="N861" s="185"/>
      <c r="O861" s="181" t="s">
        <v>4773</v>
      </c>
    </row>
    <row r="862" ht="14.25" customHeight="1">
      <c r="H862" s="179" t="str">
        <f t="shared" si="1"/>
        <v>#REF!</v>
      </c>
      <c r="I862" s="178" t="s">
        <v>4767</v>
      </c>
      <c r="J862" s="182" t="s">
        <v>4783</v>
      </c>
      <c r="K862" s="178" t="s">
        <v>4775</v>
      </c>
      <c r="L862" s="178" t="s">
        <v>4809</v>
      </c>
      <c r="M862" s="178" t="str">
        <f t="shared" si="38"/>
        <v>#REF!</v>
      </c>
      <c r="N862" s="185"/>
      <c r="O862" s="181" t="s">
        <v>4773</v>
      </c>
    </row>
    <row r="863" ht="14.25" customHeight="1">
      <c r="H863" s="179" t="str">
        <f t="shared" si="1"/>
        <v>#REF!</v>
      </c>
      <c r="I863" s="178" t="s">
        <v>4767</v>
      </c>
      <c r="J863" s="182" t="s">
        <v>4783</v>
      </c>
      <c r="K863" s="178" t="s">
        <v>4780</v>
      </c>
      <c r="L863" s="178" t="s">
        <v>4809</v>
      </c>
      <c r="M863" s="178" t="str">
        <f t="shared" si="38"/>
        <v>#REF!</v>
      </c>
      <c r="N863" s="185"/>
      <c r="O863" s="181" t="s">
        <v>4773</v>
      </c>
    </row>
    <row r="864" ht="14.25" customHeight="1">
      <c r="H864" s="179" t="str">
        <f t="shared" si="1"/>
        <v>#REF!</v>
      </c>
      <c r="I864" s="178" t="s">
        <v>4767</v>
      </c>
      <c r="J864" s="182" t="s">
        <v>4789</v>
      </c>
      <c r="K864" s="178" t="s">
        <v>4769</v>
      </c>
      <c r="L864" s="178" t="s">
        <v>4809</v>
      </c>
      <c r="M864" s="178" t="str">
        <f t="shared" si="38"/>
        <v>#REF!</v>
      </c>
      <c r="N864" s="185"/>
      <c r="O864" s="181" t="s">
        <v>4773</v>
      </c>
    </row>
    <row r="865" ht="14.25" customHeight="1">
      <c r="H865" s="179" t="str">
        <f t="shared" si="1"/>
        <v>#REF!</v>
      </c>
      <c r="I865" s="178" t="s">
        <v>4767</v>
      </c>
      <c r="J865" s="182" t="s">
        <v>4789</v>
      </c>
      <c r="K865" s="178" t="s">
        <v>4775</v>
      </c>
      <c r="L865" s="178" t="s">
        <v>4809</v>
      </c>
      <c r="M865" s="178" t="str">
        <f t="shared" si="38"/>
        <v>#REF!</v>
      </c>
      <c r="N865" s="185"/>
      <c r="O865" s="181" t="s">
        <v>4773</v>
      </c>
    </row>
    <row r="866" ht="14.25" customHeight="1">
      <c r="H866" s="179" t="str">
        <f t="shared" si="1"/>
        <v>#REF!</v>
      </c>
      <c r="I866" s="178" t="s">
        <v>4767</v>
      </c>
      <c r="J866" s="182" t="s">
        <v>4789</v>
      </c>
      <c r="K866" s="178" t="s">
        <v>4780</v>
      </c>
      <c r="L866" s="178" t="s">
        <v>4809</v>
      </c>
      <c r="M866" s="178" t="str">
        <f t="shared" si="38"/>
        <v>#REF!</v>
      </c>
      <c r="N866" s="185"/>
      <c r="O866" s="181" t="s">
        <v>4773</v>
      </c>
    </row>
    <row r="867" ht="14.25" customHeight="1">
      <c r="H867" s="179" t="str">
        <f t="shared" si="1"/>
        <v>#REF!</v>
      </c>
      <c r="I867" s="178" t="s">
        <v>4767</v>
      </c>
      <c r="J867" s="178" t="s">
        <v>4768</v>
      </c>
      <c r="K867" s="178" t="s">
        <v>4769</v>
      </c>
      <c r="L867" s="178" t="s">
        <v>4809</v>
      </c>
      <c r="M867" s="178" t="str">
        <f t="shared" si="38"/>
        <v>#REF!</v>
      </c>
      <c r="N867" s="185"/>
      <c r="O867" s="181" t="s">
        <v>4773</v>
      </c>
    </row>
    <row r="868" ht="14.25" customHeight="1">
      <c r="H868" s="179" t="str">
        <f t="shared" si="1"/>
        <v>#REF!</v>
      </c>
      <c r="I868" s="178" t="s">
        <v>4767</v>
      </c>
      <c r="J868" s="178" t="s">
        <v>4768</v>
      </c>
      <c r="K868" s="178" t="s">
        <v>4775</v>
      </c>
      <c r="L868" s="178" t="s">
        <v>4809</v>
      </c>
      <c r="M868" s="178" t="str">
        <f t="shared" si="38"/>
        <v>#REF!</v>
      </c>
      <c r="N868" s="185"/>
      <c r="O868" s="181" t="s">
        <v>4773</v>
      </c>
    </row>
    <row r="869" ht="14.25" customHeight="1">
      <c r="H869" s="179" t="str">
        <f t="shared" si="1"/>
        <v>#REF!</v>
      </c>
      <c r="I869" s="178" t="s">
        <v>4767</v>
      </c>
      <c r="J869" s="178" t="s">
        <v>4768</v>
      </c>
      <c r="K869" s="178" t="s">
        <v>4780</v>
      </c>
      <c r="L869" s="178" t="s">
        <v>4809</v>
      </c>
      <c r="M869" s="178" t="str">
        <f t="shared" si="38"/>
        <v>#REF!</v>
      </c>
      <c r="N869" s="185"/>
      <c r="O869" s="181" t="s">
        <v>4773</v>
      </c>
    </row>
    <row r="870" ht="14.25" customHeight="1">
      <c r="H870" s="179" t="str">
        <f t="shared" si="1"/>
        <v>#REF!</v>
      </c>
      <c r="I870" s="178" t="s">
        <v>4767</v>
      </c>
      <c r="J870" s="182" t="s">
        <v>4779</v>
      </c>
      <c r="K870" s="178" t="s">
        <v>4769</v>
      </c>
      <c r="L870" s="178" t="s">
        <v>4809</v>
      </c>
      <c r="M870" s="178" t="str">
        <f t="shared" ref="M870:M890" si="39">IF('Ficha de exención para baterías'!$P$25&gt;0,'Ficha de exención para baterías'!$P$25," ")</f>
        <v>#REF!</v>
      </c>
      <c r="N870" s="185"/>
      <c r="O870" s="181" t="s">
        <v>4773</v>
      </c>
    </row>
    <row r="871" ht="14.25" customHeight="1">
      <c r="H871" s="179" t="str">
        <f t="shared" si="1"/>
        <v>#REF!</v>
      </c>
      <c r="I871" s="178" t="s">
        <v>4767</v>
      </c>
      <c r="J871" s="182" t="s">
        <v>4779</v>
      </c>
      <c r="K871" s="178" t="s">
        <v>4775</v>
      </c>
      <c r="L871" s="178" t="s">
        <v>4809</v>
      </c>
      <c r="M871" s="178" t="str">
        <f t="shared" si="39"/>
        <v>#REF!</v>
      </c>
      <c r="N871" s="185"/>
      <c r="O871" s="181" t="s">
        <v>4773</v>
      </c>
    </row>
    <row r="872" ht="14.25" customHeight="1">
      <c r="H872" s="179" t="str">
        <f t="shared" si="1"/>
        <v>#REF!</v>
      </c>
      <c r="I872" s="178" t="s">
        <v>4767</v>
      </c>
      <c r="J872" s="182" t="s">
        <v>4779</v>
      </c>
      <c r="K872" s="178" t="s">
        <v>4780</v>
      </c>
      <c r="L872" s="178" t="s">
        <v>4809</v>
      </c>
      <c r="M872" s="178" t="str">
        <f t="shared" si="39"/>
        <v>#REF!</v>
      </c>
      <c r="N872" s="185"/>
      <c r="O872" s="181" t="s">
        <v>4773</v>
      </c>
    </row>
    <row r="873" ht="14.25" customHeight="1">
      <c r="H873" s="179" t="str">
        <f t="shared" si="1"/>
        <v>#REF!</v>
      </c>
      <c r="I873" s="178" t="s">
        <v>4767</v>
      </c>
      <c r="J873" s="182" t="s">
        <v>4787</v>
      </c>
      <c r="K873" s="178" t="s">
        <v>4769</v>
      </c>
      <c r="L873" s="178" t="s">
        <v>4809</v>
      </c>
      <c r="M873" s="178" t="str">
        <f t="shared" si="39"/>
        <v>#REF!</v>
      </c>
      <c r="N873" s="185"/>
      <c r="O873" s="181" t="s">
        <v>4773</v>
      </c>
    </row>
    <row r="874" ht="14.25" customHeight="1">
      <c r="H874" s="179" t="str">
        <f t="shared" si="1"/>
        <v>#REF!</v>
      </c>
      <c r="I874" s="178" t="s">
        <v>4767</v>
      </c>
      <c r="J874" s="182" t="s">
        <v>4787</v>
      </c>
      <c r="K874" s="178" t="s">
        <v>4775</v>
      </c>
      <c r="L874" s="178" t="s">
        <v>4809</v>
      </c>
      <c r="M874" s="178" t="str">
        <f t="shared" si="39"/>
        <v>#REF!</v>
      </c>
      <c r="N874" s="185"/>
      <c r="O874" s="181" t="s">
        <v>4773</v>
      </c>
    </row>
    <row r="875" ht="14.25" customHeight="1">
      <c r="H875" s="179" t="str">
        <f t="shared" si="1"/>
        <v>#REF!</v>
      </c>
      <c r="I875" s="178" t="s">
        <v>4767</v>
      </c>
      <c r="J875" s="182" t="s">
        <v>4787</v>
      </c>
      <c r="K875" s="178" t="s">
        <v>4780</v>
      </c>
      <c r="L875" s="178" t="s">
        <v>4809</v>
      </c>
      <c r="M875" s="178" t="str">
        <f t="shared" si="39"/>
        <v>#REF!</v>
      </c>
      <c r="N875" s="185"/>
      <c r="O875" s="181" t="s">
        <v>4773</v>
      </c>
    </row>
    <row r="876" ht="14.25" customHeight="1">
      <c r="H876" s="179" t="str">
        <f t="shared" si="1"/>
        <v>#REF!</v>
      </c>
      <c r="I876" s="178" t="s">
        <v>4767</v>
      </c>
      <c r="J876" s="182" t="s">
        <v>4774</v>
      </c>
      <c r="K876" s="178" t="s">
        <v>4769</v>
      </c>
      <c r="L876" s="178" t="s">
        <v>4809</v>
      </c>
      <c r="M876" s="178" t="str">
        <f t="shared" si="39"/>
        <v>#REF!</v>
      </c>
      <c r="N876" s="185"/>
      <c r="O876" s="181" t="s">
        <v>4773</v>
      </c>
    </row>
    <row r="877" ht="14.25" customHeight="1">
      <c r="H877" s="179" t="str">
        <f t="shared" si="1"/>
        <v>#REF!</v>
      </c>
      <c r="I877" s="178" t="s">
        <v>4767</v>
      </c>
      <c r="J877" s="182" t="s">
        <v>4774</v>
      </c>
      <c r="K877" s="178" t="s">
        <v>4775</v>
      </c>
      <c r="L877" s="178" t="s">
        <v>4809</v>
      </c>
      <c r="M877" s="178" t="str">
        <f t="shared" si="39"/>
        <v>#REF!</v>
      </c>
      <c r="N877" s="185"/>
      <c r="O877" s="181" t="s">
        <v>4773</v>
      </c>
    </row>
    <row r="878" ht="14.25" customHeight="1">
      <c r="H878" s="179" t="str">
        <f t="shared" si="1"/>
        <v>#REF!</v>
      </c>
      <c r="I878" s="178" t="s">
        <v>4767</v>
      </c>
      <c r="J878" s="182" t="s">
        <v>4774</v>
      </c>
      <c r="K878" s="178" t="s">
        <v>4780</v>
      </c>
      <c r="L878" s="178" t="s">
        <v>4809</v>
      </c>
      <c r="M878" s="178" t="str">
        <f t="shared" si="39"/>
        <v>#REF!</v>
      </c>
      <c r="N878" s="185"/>
      <c r="O878" s="181" t="s">
        <v>4773</v>
      </c>
    </row>
    <row r="879" ht="14.25" customHeight="1">
      <c r="H879" s="179" t="str">
        <f t="shared" si="1"/>
        <v>#REF!</v>
      </c>
      <c r="I879" s="178" t="s">
        <v>4767</v>
      </c>
      <c r="J879" s="182" t="s">
        <v>4785</v>
      </c>
      <c r="K879" s="178" t="s">
        <v>4769</v>
      </c>
      <c r="L879" s="178" t="s">
        <v>4809</v>
      </c>
      <c r="M879" s="178" t="str">
        <f t="shared" si="39"/>
        <v>#REF!</v>
      </c>
      <c r="N879" s="185"/>
      <c r="O879" s="181" t="s">
        <v>4773</v>
      </c>
    </row>
    <row r="880" ht="14.25" customHeight="1">
      <c r="H880" s="179" t="str">
        <f t="shared" si="1"/>
        <v>#REF!</v>
      </c>
      <c r="I880" s="178" t="s">
        <v>4767</v>
      </c>
      <c r="J880" s="182" t="s">
        <v>4785</v>
      </c>
      <c r="K880" s="178" t="s">
        <v>4775</v>
      </c>
      <c r="L880" s="178" t="s">
        <v>4809</v>
      </c>
      <c r="M880" s="178" t="str">
        <f t="shared" si="39"/>
        <v>#REF!</v>
      </c>
      <c r="N880" s="185"/>
      <c r="O880" s="181" t="s">
        <v>4773</v>
      </c>
    </row>
    <row r="881" ht="14.25" customHeight="1">
      <c r="H881" s="179" t="str">
        <f t="shared" si="1"/>
        <v>#REF!</v>
      </c>
      <c r="I881" s="178" t="s">
        <v>4767</v>
      </c>
      <c r="J881" s="182" t="s">
        <v>4785</v>
      </c>
      <c r="K881" s="178" t="s">
        <v>4780</v>
      </c>
      <c r="L881" s="178" t="s">
        <v>4809</v>
      </c>
      <c r="M881" s="178" t="str">
        <f t="shared" si="39"/>
        <v>#REF!</v>
      </c>
      <c r="N881" s="185"/>
      <c r="O881" s="181" t="s">
        <v>4773</v>
      </c>
    </row>
    <row r="882" ht="14.25" customHeight="1">
      <c r="H882" s="179" t="str">
        <f t="shared" si="1"/>
        <v>#REF!</v>
      </c>
      <c r="I882" s="178" t="s">
        <v>4767</v>
      </c>
      <c r="J882" s="182" t="s">
        <v>4783</v>
      </c>
      <c r="K882" s="178" t="s">
        <v>4769</v>
      </c>
      <c r="L882" s="178" t="s">
        <v>4809</v>
      </c>
      <c r="M882" s="178" t="str">
        <f t="shared" si="39"/>
        <v>#REF!</v>
      </c>
      <c r="N882" s="185"/>
      <c r="O882" s="181" t="s">
        <v>4773</v>
      </c>
    </row>
    <row r="883" ht="14.25" customHeight="1">
      <c r="H883" s="179" t="str">
        <f t="shared" si="1"/>
        <v>#REF!</v>
      </c>
      <c r="I883" s="178" t="s">
        <v>4767</v>
      </c>
      <c r="J883" s="182" t="s">
        <v>4783</v>
      </c>
      <c r="K883" s="178" t="s">
        <v>4775</v>
      </c>
      <c r="L883" s="178" t="s">
        <v>4809</v>
      </c>
      <c r="M883" s="178" t="str">
        <f t="shared" si="39"/>
        <v>#REF!</v>
      </c>
      <c r="N883" s="185"/>
      <c r="O883" s="181" t="s">
        <v>4773</v>
      </c>
    </row>
    <row r="884" ht="14.25" customHeight="1">
      <c r="H884" s="179" t="str">
        <f t="shared" si="1"/>
        <v>#REF!</v>
      </c>
      <c r="I884" s="178" t="s">
        <v>4767</v>
      </c>
      <c r="J884" s="182" t="s">
        <v>4783</v>
      </c>
      <c r="K884" s="178" t="s">
        <v>4780</v>
      </c>
      <c r="L884" s="178" t="s">
        <v>4809</v>
      </c>
      <c r="M884" s="178" t="str">
        <f t="shared" si="39"/>
        <v>#REF!</v>
      </c>
      <c r="N884" s="185"/>
      <c r="O884" s="181" t="s">
        <v>4773</v>
      </c>
    </row>
    <row r="885" ht="14.25" customHeight="1">
      <c r="H885" s="179" t="str">
        <f t="shared" si="1"/>
        <v>#REF!</v>
      </c>
      <c r="I885" s="178" t="s">
        <v>4767</v>
      </c>
      <c r="J885" s="182" t="s">
        <v>4789</v>
      </c>
      <c r="K885" s="178" t="s">
        <v>4769</v>
      </c>
      <c r="L885" s="178" t="s">
        <v>4809</v>
      </c>
      <c r="M885" s="178" t="str">
        <f t="shared" si="39"/>
        <v>#REF!</v>
      </c>
      <c r="N885" s="185"/>
      <c r="O885" s="181" t="s">
        <v>4773</v>
      </c>
    </row>
    <row r="886" ht="14.25" customHeight="1">
      <c r="H886" s="179" t="str">
        <f t="shared" si="1"/>
        <v>#REF!</v>
      </c>
      <c r="I886" s="178" t="s">
        <v>4767</v>
      </c>
      <c r="J886" s="182" t="s">
        <v>4789</v>
      </c>
      <c r="K886" s="178" t="s">
        <v>4775</v>
      </c>
      <c r="L886" s="178" t="s">
        <v>4809</v>
      </c>
      <c r="M886" s="178" t="str">
        <f t="shared" si="39"/>
        <v>#REF!</v>
      </c>
      <c r="N886" s="185"/>
      <c r="O886" s="181" t="s">
        <v>4773</v>
      </c>
    </row>
    <row r="887" ht="14.25" customHeight="1">
      <c r="H887" s="179" t="str">
        <f t="shared" si="1"/>
        <v>#REF!</v>
      </c>
      <c r="I887" s="178" t="s">
        <v>4767</v>
      </c>
      <c r="J887" s="182" t="s">
        <v>4789</v>
      </c>
      <c r="K887" s="178" t="s">
        <v>4780</v>
      </c>
      <c r="L887" s="178" t="s">
        <v>4809</v>
      </c>
      <c r="M887" s="178" t="str">
        <f t="shared" si="39"/>
        <v>#REF!</v>
      </c>
      <c r="N887" s="185"/>
      <c r="O887" s="181" t="s">
        <v>4773</v>
      </c>
    </row>
    <row r="888" ht="14.25" customHeight="1">
      <c r="H888" s="179" t="str">
        <f t="shared" si="1"/>
        <v>#REF!</v>
      </c>
      <c r="I888" s="178" t="s">
        <v>4767</v>
      </c>
      <c r="J888" s="178" t="s">
        <v>4768</v>
      </c>
      <c r="K888" s="178" t="s">
        <v>4769</v>
      </c>
      <c r="L888" s="178" t="s">
        <v>4809</v>
      </c>
      <c r="M888" s="178" t="str">
        <f t="shared" si="39"/>
        <v>#REF!</v>
      </c>
      <c r="N888" s="185"/>
      <c r="O888" s="181" t="s">
        <v>4773</v>
      </c>
    </row>
    <row r="889" ht="14.25" customHeight="1">
      <c r="H889" s="179" t="str">
        <f t="shared" si="1"/>
        <v>#REF!</v>
      </c>
      <c r="I889" s="178" t="s">
        <v>4767</v>
      </c>
      <c r="J889" s="178" t="s">
        <v>4768</v>
      </c>
      <c r="K889" s="178" t="s">
        <v>4775</v>
      </c>
      <c r="L889" s="178" t="s">
        <v>4809</v>
      </c>
      <c r="M889" s="178" t="str">
        <f t="shared" si="39"/>
        <v>#REF!</v>
      </c>
      <c r="N889" s="185"/>
      <c r="O889" s="181" t="s">
        <v>4773</v>
      </c>
    </row>
    <row r="890" ht="14.25" customHeight="1">
      <c r="H890" s="179" t="str">
        <f t="shared" si="1"/>
        <v>#REF!</v>
      </c>
      <c r="I890" s="178" t="s">
        <v>4767</v>
      </c>
      <c r="J890" s="178" t="s">
        <v>4768</v>
      </c>
      <c r="K890" s="178" t="s">
        <v>4780</v>
      </c>
      <c r="L890" s="178" t="s">
        <v>4809</v>
      </c>
      <c r="M890" s="178" t="str">
        <f t="shared" si="39"/>
        <v>#REF!</v>
      </c>
      <c r="N890" s="185"/>
      <c r="O890" s="181" t="s">
        <v>4773</v>
      </c>
    </row>
    <row r="891" ht="14.25" customHeight="1">
      <c r="H891" s="179" t="str">
        <f t="shared" si="1"/>
        <v>#REF!</v>
      </c>
      <c r="I891" s="178" t="s">
        <v>4767</v>
      </c>
      <c r="J891" s="182" t="s">
        <v>4779</v>
      </c>
      <c r="K891" s="178" t="s">
        <v>4769</v>
      </c>
      <c r="L891" s="178" t="s">
        <v>4809</v>
      </c>
      <c r="M891" s="178" t="str">
        <f t="shared" ref="M891:M911" si="40">IF('Ficha de exención para baterías'!$P$26&gt;0,'Ficha de exención para baterías'!$P$26," ")</f>
        <v>#REF!</v>
      </c>
      <c r="N891" s="185"/>
      <c r="O891" s="181" t="s">
        <v>4773</v>
      </c>
    </row>
    <row r="892" ht="14.25" customHeight="1">
      <c r="H892" s="179" t="str">
        <f t="shared" si="1"/>
        <v>#REF!</v>
      </c>
      <c r="I892" s="178" t="s">
        <v>4767</v>
      </c>
      <c r="J892" s="182" t="s">
        <v>4779</v>
      </c>
      <c r="K892" s="178" t="s">
        <v>4775</v>
      </c>
      <c r="L892" s="178" t="s">
        <v>4809</v>
      </c>
      <c r="M892" s="178" t="str">
        <f t="shared" si="40"/>
        <v>#REF!</v>
      </c>
      <c r="N892" s="185"/>
      <c r="O892" s="181" t="s">
        <v>4773</v>
      </c>
    </row>
    <row r="893" ht="14.25" customHeight="1">
      <c r="H893" s="179" t="str">
        <f t="shared" si="1"/>
        <v>#REF!</v>
      </c>
      <c r="I893" s="178" t="s">
        <v>4767</v>
      </c>
      <c r="J893" s="182" t="s">
        <v>4779</v>
      </c>
      <c r="K893" s="178" t="s">
        <v>4780</v>
      </c>
      <c r="L893" s="178" t="s">
        <v>4809</v>
      </c>
      <c r="M893" s="178" t="str">
        <f t="shared" si="40"/>
        <v>#REF!</v>
      </c>
      <c r="N893" s="185"/>
      <c r="O893" s="181" t="s">
        <v>4773</v>
      </c>
    </row>
    <row r="894" ht="14.25" customHeight="1">
      <c r="H894" s="179" t="str">
        <f t="shared" si="1"/>
        <v>#REF!</v>
      </c>
      <c r="I894" s="178" t="s">
        <v>4767</v>
      </c>
      <c r="J894" s="182" t="s">
        <v>4787</v>
      </c>
      <c r="K894" s="178" t="s">
        <v>4769</v>
      </c>
      <c r="L894" s="178" t="s">
        <v>4809</v>
      </c>
      <c r="M894" s="178" t="str">
        <f t="shared" si="40"/>
        <v>#REF!</v>
      </c>
      <c r="N894" s="185"/>
      <c r="O894" s="181" t="s">
        <v>4773</v>
      </c>
    </row>
    <row r="895" ht="14.25" customHeight="1">
      <c r="H895" s="179" t="str">
        <f t="shared" si="1"/>
        <v>#REF!</v>
      </c>
      <c r="I895" s="178" t="s">
        <v>4767</v>
      </c>
      <c r="J895" s="182" t="s">
        <v>4787</v>
      </c>
      <c r="K895" s="178" t="s">
        <v>4775</v>
      </c>
      <c r="L895" s="178" t="s">
        <v>4809</v>
      </c>
      <c r="M895" s="178" t="str">
        <f t="shared" si="40"/>
        <v>#REF!</v>
      </c>
      <c r="N895" s="185"/>
      <c r="O895" s="181" t="s">
        <v>4773</v>
      </c>
    </row>
    <row r="896" ht="14.25" customHeight="1">
      <c r="H896" s="179" t="str">
        <f t="shared" si="1"/>
        <v>#REF!</v>
      </c>
      <c r="I896" s="178" t="s">
        <v>4767</v>
      </c>
      <c r="J896" s="182" t="s">
        <v>4787</v>
      </c>
      <c r="K896" s="178" t="s">
        <v>4780</v>
      </c>
      <c r="L896" s="178" t="s">
        <v>4809</v>
      </c>
      <c r="M896" s="178" t="str">
        <f t="shared" si="40"/>
        <v>#REF!</v>
      </c>
      <c r="N896" s="185"/>
      <c r="O896" s="181" t="s">
        <v>4773</v>
      </c>
    </row>
    <row r="897" ht="14.25" customHeight="1">
      <c r="H897" s="179" t="str">
        <f t="shared" si="1"/>
        <v>#REF!</v>
      </c>
      <c r="I897" s="178" t="s">
        <v>4767</v>
      </c>
      <c r="J897" s="182" t="s">
        <v>4774</v>
      </c>
      <c r="K897" s="178" t="s">
        <v>4769</v>
      </c>
      <c r="L897" s="178" t="s">
        <v>4809</v>
      </c>
      <c r="M897" s="178" t="str">
        <f t="shared" si="40"/>
        <v>#REF!</v>
      </c>
      <c r="N897" s="185"/>
      <c r="O897" s="181" t="s">
        <v>4773</v>
      </c>
    </row>
    <row r="898" ht="14.25" customHeight="1">
      <c r="H898" s="179" t="str">
        <f t="shared" si="1"/>
        <v>#REF!</v>
      </c>
      <c r="I898" s="178" t="s">
        <v>4767</v>
      </c>
      <c r="J898" s="182" t="s">
        <v>4774</v>
      </c>
      <c r="K898" s="178" t="s">
        <v>4775</v>
      </c>
      <c r="L898" s="178" t="s">
        <v>4809</v>
      </c>
      <c r="M898" s="178" t="str">
        <f t="shared" si="40"/>
        <v>#REF!</v>
      </c>
      <c r="N898" s="185"/>
      <c r="O898" s="181" t="s">
        <v>4773</v>
      </c>
    </row>
    <row r="899" ht="14.25" customHeight="1">
      <c r="H899" s="179" t="str">
        <f t="shared" si="1"/>
        <v>#REF!</v>
      </c>
      <c r="I899" s="178" t="s">
        <v>4767</v>
      </c>
      <c r="J899" s="182" t="s">
        <v>4774</v>
      </c>
      <c r="K899" s="178" t="s">
        <v>4780</v>
      </c>
      <c r="L899" s="178" t="s">
        <v>4809</v>
      </c>
      <c r="M899" s="178" t="str">
        <f t="shared" si="40"/>
        <v>#REF!</v>
      </c>
      <c r="N899" s="185"/>
      <c r="O899" s="181" t="s">
        <v>4773</v>
      </c>
    </row>
    <row r="900" ht="14.25" customHeight="1">
      <c r="H900" s="179" t="str">
        <f t="shared" si="1"/>
        <v>#REF!</v>
      </c>
      <c r="I900" s="178" t="s">
        <v>4767</v>
      </c>
      <c r="J900" s="182" t="s">
        <v>4785</v>
      </c>
      <c r="K900" s="178" t="s">
        <v>4769</v>
      </c>
      <c r="L900" s="178" t="s">
        <v>4809</v>
      </c>
      <c r="M900" s="178" t="str">
        <f t="shared" si="40"/>
        <v>#REF!</v>
      </c>
      <c r="N900" s="185"/>
      <c r="O900" s="181" t="s">
        <v>4773</v>
      </c>
    </row>
    <row r="901" ht="14.25" customHeight="1">
      <c r="H901" s="179" t="str">
        <f t="shared" si="1"/>
        <v>#REF!</v>
      </c>
      <c r="I901" s="178" t="s">
        <v>4767</v>
      </c>
      <c r="J901" s="182" t="s">
        <v>4785</v>
      </c>
      <c r="K901" s="178" t="s">
        <v>4775</v>
      </c>
      <c r="L901" s="178" t="s">
        <v>4809</v>
      </c>
      <c r="M901" s="178" t="str">
        <f t="shared" si="40"/>
        <v>#REF!</v>
      </c>
      <c r="N901" s="185"/>
      <c r="O901" s="181" t="s">
        <v>4773</v>
      </c>
    </row>
    <row r="902" ht="14.25" customHeight="1">
      <c r="H902" s="179" t="str">
        <f t="shared" si="1"/>
        <v>#REF!</v>
      </c>
      <c r="I902" s="178" t="s">
        <v>4767</v>
      </c>
      <c r="J902" s="182" t="s">
        <v>4785</v>
      </c>
      <c r="K902" s="178" t="s">
        <v>4780</v>
      </c>
      <c r="L902" s="178" t="s">
        <v>4809</v>
      </c>
      <c r="M902" s="178" t="str">
        <f t="shared" si="40"/>
        <v>#REF!</v>
      </c>
      <c r="N902" s="185"/>
      <c r="O902" s="181" t="s">
        <v>4773</v>
      </c>
    </row>
    <row r="903" ht="14.25" customHeight="1">
      <c r="H903" s="179" t="str">
        <f t="shared" si="1"/>
        <v>#REF!</v>
      </c>
      <c r="I903" s="178" t="s">
        <v>4767</v>
      </c>
      <c r="J903" s="182" t="s">
        <v>4783</v>
      </c>
      <c r="K903" s="178" t="s">
        <v>4769</v>
      </c>
      <c r="L903" s="178" t="s">
        <v>4809</v>
      </c>
      <c r="M903" s="178" t="str">
        <f t="shared" si="40"/>
        <v>#REF!</v>
      </c>
      <c r="N903" s="185"/>
      <c r="O903" s="181" t="s">
        <v>4773</v>
      </c>
    </row>
    <row r="904" ht="14.25" customHeight="1">
      <c r="H904" s="179" t="str">
        <f t="shared" si="1"/>
        <v>#REF!</v>
      </c>
      <c r="I904" s="178" t="s">
        <v>4767</v>
      </c>
      <c r="J904" s="182" t="s">
        <v>4783</v>
      </c>
      <c r="K904" s="178" t="s">
        <v>4775</v>
      </c>
      <c r="L904" s="178" t="s">
        <v>4809</v>
      </c>
      <c r="M904" s="178" t="str">
        <f t="shared" si="40"/>
        <v>#REF!</v>
      </c>
      <c r="N904" s="185"/>
      <c r="O904" s="181" t="s">
        <v>4773</v>
      </c>
    </row>
    <row r="905" ht="14.25" customHeight="1">
      <c r="H905" s="179" t="str">
        <f t="shared" si="1"/>
        <v>#REF!</v>
      </c>
      <c r="I905" s="178" t="s">
        <v>4767</v>
      </c>
      <c r="J905" s="182" t="s">
        <v>4783</v>
      </c>
      <c r="K905" s="178" t="s">
        <v>4780</v>
      </c>
      <c r="L905" s="178" t="s">
        <v>4809</v>
      </c>
      <c r="M905" s="178" t="str">
        <f t="shared" si="40"/>
        <v>#REF!</v>
      </c>
      <c r="N905" s="185"/>
      <c r="O905" s="181" t="s">
        <v>4773</v>
      </c>
    </row>
    <row r="906" ht="14.25" customHeight="1">
      <c r="H906" s="179" t="str">
        <f t="shared" si="1"/>
        <v>#REF!</v>
      </c>
      <c r="I906" s="178" t="s">
        <v>4767</v>
      </c>
      <c r="J906" s="182" t="s">
        <v>4789</v>
      </c>
      <c r="K906" s="178" t="s">
        <v>4769</v>
      </c>
      <c r="L906" s="178" t="s">
        <v>4809</v>
      </c>
      <c r="M906" s="178" t="str">
        <f t="shared" si="40"/>
        <v>#REF!</v>
      </c>
      <c r="N906" s="185"/>
      <c r="O906" s="181" t="s">
        <v>4773</v>
      </c>
    </row>
    <row r="907" ht="14.25" customHeight="1">
      <c r="H907" s="179" t="str">
        <f t="shared" si="1"/>
        <v>#REF!</v>
      </c>
      <c r="I907" s="178" t="s">
        <v>4767</v>
      </c>
      <c r="J907" s="182" t="s">
        <v>4789</v>
      </c>
      <c r="K907" s="178" t="s">
        <v>4775</v>
      </c>
      <c r="L907" s="178" t="s">
        <v>4809</v>
      </c>
      <c r="M907" s="178" t="str">
        <f t="shared" si="40"/>
        <v>#REF!</v>
      </c>
      <c r="N907" s="185"/>
      <c r="O907" s="181" t="s">
        <v>4773</v>
      </c>
    </row>
    <row r="908" ht="14.25" customHeight="1">
      <c r="H908" s="179" t="str">
        <f t="shared" si="1"/>
        <v>#REF!</v>
      </c>
      <c r="I908" s="178" t="s">
        <v>4767</v>
      </c>
      <c r="J908" s="182" t="s">
        <v>4789</v>
      </c>
      <c r="K908" s="178" t="s">
        <v>4780</v>
      </c>
      <c r="L908" s="178" t="s">
        <v>4809</v>
      </c>
      <c r="M908" s="178" t="str">
        <f t="shared" si="40"/>
        <v>#REF!</v>
      </c>
      <c r="N908" s="185"/>
      <c r="O908" s="181" t="s">
        <v>4773</v>
      </c>
    </row>
    <row r="909" ht="14.25" customHeight="1">
      <c r="H909" s="179" t="str">
        <f t="shared" si="1"/>
        <v>#REF!</v>
      </c>
      <c r="I909" s="178" t="s">
        <v>4767</v>
      </c>
      <c r="J909" s="178" t="s">
        <v>4768</v>
      </c>
      <c r="K909" s="178" t="s">
        <v>4769</v>
      </c>
      <c r="L909" s="178" t="s">
        <v>4809</v>
      </c>
      <c r="M909" s="178" t="str">
        <f t="shared" si="40"/>
        <v>#REF!</v>
      </c>
      <c r="N909" s="185"/>
      <c r="O909" s="181" t="s">
        <v>4773</v>
      </c>
    </row>
    <row r="910" ht="14.25" customHeight="1">
      <c r="H910" s="179" t="str">
        <f t="shared" si="1"/>
        <v>#REF!</v>
      </c>
      <c r="I910" s="178" t="s">
        <v>4767</v>
      </c>
      <c r="J910" s="178" t="s">
        <v>4768</v>
      </c>
      <c r="K910" s="178" t="s">
        <v>4775</v>
      </c>
      <c r="L910" s="178" t="s">
        <v>4809</v>
      </c>
      <c r="M910" s="178" t="str">
        <f t="shared" si="40"/>
        <v>#REF!</v>
      </c>
      <c r="N910" s="185"/>
      <c r="O910" s="181" t="s">
        <v>4773</v>
      </c>
    </row>
    <row r="911" ht="14.25" customHeight="1">
      <c r="H911" s="179" t="str">
        <f t="shared" si="1"/>
        <v>#REF!</v>
      </c>
      <c r="I911" s="178" t="s">
        <v>4767</v>
      </c>
      <c r="J911" s="178" t="s">
        <v>4768</v>
      </c>
      <c r="K911" s="178" t="s">
        <v>4780</v>
      </c>
      <c r="L911" s="178" t="s">
        <v>4809</v>
      </c>
      <c r="M911" s="178" t="str">
        <f t="shared" si="40"/>
        <v>#REF!</v>
      </c>
      <c r="N911" s="185"/>
      <c r="O911" s="181" t="s">
        <v>4773</v>
      </c>
    </row>
    <row r="912" ht="14.25" customHeight="1">
      <c r="H912" s="179" t="str">
        <f t="shared" si="1"/>
        <v>#REF!</v>
      </c>
      <c r="I912" s="178" t="s">
        <v>4767</v>
      </c>
      <c r="J912" s="182" t="s">
        <v>4779</v>
      </c>
      <c r="K912" s="178" t="s">
        <v>4769</v>
      </c>
      <c r="L912" s="178" t="s">
        <v>4809</v>
      </c>
      <c r="M912" s="178" t="str">
        <f t="shared" ref="M912:M932" si="41">IF('Ficha de exención para baterías'!$P$27&gt;0,'Ficha de exención para baterías'!$P$27," ")</f>
        <v>#REF!</v>
      </c>
      <c r="N912" s="185"/>
      <c r="O912" s="181" t="s">
        <v>4773</v>
      </c>
    </row>
    <row r="913" ht="14.25" customHeight="1">
      <c r="H913" s="179" t="str">
        <f t="shared" si="1"/>
        <v>#REF!</v>
      </c>
      <c r="I913" s="178" t="s">
        <v>4767</v>
      </c>
      <c r="J913" s="182" t="s">
        <v>4779</v>
      </c>
      <c r="K913" s="178" t="s">
        <v>4775</v>
      </c>
      <c r="L913" s="178" t="s">
        <v>4809</v>
      </c>
      <c r="M913" s="178" t="str">
        <f t="shared" si="41"/>
        <v>#REF!</v>
      </c>
      <c r="N913" s="185"/>
      <c r="O913" s="181" t="s">
        <v>4773</v>
      </c>
    </row>
    <row r="914" ht="14.25" customHeight="1">
      <c r="H914" s="179" t="str">
        <f t="shared" si="1"/>
        <v>#REF!</v>
      </c>
      <c r="I914" s="178" t="s">
        <v>4767</v>
      </c>
      <c r="J914" s="182" t="s">
        <v>4779</v>
      </c>
      <c r="K914" s="178" t="s">
        <v>4780</v>
      </c>
      <c r="L914" s="178" t="s">
        <v>4809</v>
      </c>
      <c r="M914" s="178" t="str">
        <f t="shared" si="41"/>
        <v>#REF!</v>
      </c>
      <c r="N914" s="185"/>
      <c r="O914" s="181" t="s">
        <v>4773</v>
      </c>
    </row>
    <row r="915" ht="14.25" customHeight="1">
      <c r="H915" s="179" t="str">
        <f t="shared" si="1"/>
        <v>#REF!</v>
      </c>
      <c r="I915" s="178" t="s">
        <v>4767</v>
      </c>
      <c r="J915" s="182" t="s">
        <v>4787</v>
      </c>
      <c r="K915" s="178" t="s">
        <v>4769</v>
      </c>
      <c r="L915" s="178" t="s">
        <v>4809</v>
      </c>
      <c r="M915" s="178" t="str">
        <f t="shared" si="41"/>
        <v>#REF!</v>
      </c>
      <c r="N915" s="185"/>
      <c r="O915" s="181" t="s">
        <v>4773</v>
      </c>
    </row>
    <row r="916" ht="14.25" customHeight="1">
      <c r="H916" s="179" t="str">
        <f t="shared" si="1"/>
        <v>#REF!</v>
      </c>
      <c r="I916" s="178" t="s">
        <v>4767</v>
      </c>
      <c r="J916" s="182" t="s">
        <v>4787</v>
      </c>
      <c r="K916" s="178" t="s">
        <v>4775</v>
      </c>
      <c r="L916" s="178" t="s">
        <v>4809</v>
      </c>
      <c r="M916" s="178" t="str">
        <f t="shared" si="41"/>
        <v>#REF!</v>
      </c>
      <c r="N916" s="185"/>
      <c r="O916" s="181" t="s">
        <v>4773</v>
      </c>
    </row>
    <row r="917" ht="14.25" customHeight="1">
      <c r="H917" s="179" t="str">
        <f t="shared" si="1"/>
        <v>#REF!</v>
      </c>
      <c r="I917" s="178" t="s">
        <v>4767</v>
      </c>
      <c r="J917" s="182" t="s">
        <v>4787</v>
      </c>
      <c r="K917" s="178" t="s">
        <v>4780</v>
      </c>
      <c r="L917" s="178" t="s">
        <v>4809</v>
      </c>
      <c r="M917" s="178" t="str">
        <f t="shared" si="41"/>
        <v>#REF!</v>
      </c>
      <c r="N917" s="185"/>
      <c r="O917" s="181" t="s">
        <v>4773</v>
      </c>
    </row>
    <row r="918" ht="14.25" customHeight="1">
      <c r="H918" s="179" t="str">
        <f t="shared" si="1"/>
        <v>#REF!</v>
      </c>
      <c r="I918" s="178" t="s">
        <v>4767</v>
      </c>
      <c r="J918" s="182" t="s">
        <v>4774</v>
      </c>
      <c r="K918" s="178" t="s">
        <v>4769</v>
      </c>
      <c r="L918" s="178" t="s">
        <v>4809</v>
      </c>
      <c r="M918" s="178" t="str">
        <f t="shared" si="41"/>
        <v>#REF!</v>
      </c>
      <c r="N918" s="185"/>
      <c r="O918" s="181" t="s">
        <v>4773</v>
      </c>
    </row>
    <row r="919" ht="14.25" customHeight="1">
      <c r="H919" s="179" t="str">
        <f t="shared" si="1"/>
        <v>#REF!</v>
      </c>
      <c r="I919" s="178" t="s">
        <v>4767</v>
      </c>
      <c r="J919" s="182" t="s">
        <v>4774</v>
      </c>
      <c r="K919" s="178" t="s">
        <v>4775</v>
      </c>
      <c r="L919" s="178" t="s">
        <v>4809</v>
      </c>
      <c r="M919" s="178" t="str">
        <f t="shared" si="41"/>
        <v>#REF!</v>
      </c>
      <c r="N919" s="185"/>
      <c r="O919" s="181" t="s">
        <v>4773</v>
      </c>
    </row>
    <row r="920" ht="14.25" customHeight="1">
      <c r="H920" s="179" t="str">
        <f t="shared" si="1"/>
        <v>#REF!</v>
      </c>
      <c r="I920" s="178" t="s">
        <v>4767</v>
      </c>
      <c r="J920" s="182" t="s">
        <v>4774</v>
      </c>
      <c r="K920" s="178" t="s">
        <v>4780</v>
      </c>
      <c r="L920" s="178" t="s">
        <v>4809</v>
      </c>
      <c r="M920" s="178" t="str">
        <f t="shared" si="41"/>
        <v>#REF!</v>
      </c>
      <c r="N920" s="185"/>
      <c r="O920" s="181" t="s">
        <v>4773</v>
      </c>
    </row>
    <row r="921" ht="14.25" customHeight="1">
      <c r="H921" s="179" t="str">
        <f t="shared" si="1"/>
        <v>#REF!</v>
      </c>
      <c r="I921" s="178" t="s">
        <v>4767</v>
      </c>
      <c r="J921" s="182" t="s">
        <v>4785</v>
      </c>
      <c r="K921" s="178" t="s">
        <v>4769</v>
      </c>
      <c r="L921" s="178" t="s">
        <v>4809</v>
      </c>
      <c r="M921" s="178" t="str">
        <f t="shared" si="41"/>
        <v>#REF!</v>
      </c>
      <c r="N921" s="185"/>
      <c r="O921" s="181" t="s">
        <v>4773</v>
      </c>
    </row>
    <row r="922" ht="14.25" customHeight="1">
      <c r="H922" s="179" t="str">
        <f t="shared" si="1"/>
        <v>#REF!</v>
      </c>
      <c r="I922" s="178" t="s">
        <v>4767</v>
      </c>
      <c r="J922" s="182" t="s">
        <v>4785</v>
      </c>
      <c r="K922" s="178" t="s">
        <v>4775</v>
      </c>
      <c r="L922" s="178" t="s">
        <v>4809</v>
      </c>
      <c r="M922" s="178" t="str">
        <f t="shared" si="41"/>
        <v>#REF!</v>
      </c>
      <c r="N922" s="185"/>
      <c r="O922" s="181" t="s">
        <v>4773</v>
      </c>
    </row>
    <row r="923" ht="14.25" customHeight="1">
      <c r="H923" s="179" t="str">
        <f t="shared" si="1"/>
        <v>#REF!</v>
      </c>
      <c r="I923" s="178" t="s">
        <v>4767</v>
      </c>
      <c r="J923" s="182" t="s">
        <v>4785</v>
      </c>
      <c r="K923" s="178" t="s">
        <v>4780</v>
      </c>
      <c r="L923" s="178" t="s">
        <v>4809</v>
      </c>
      <c r="M923" s="178" t="str">
        <f t="shared" si="41"/>
        <v>#REF!</v>
      </c>
      <c r="N923" s="185"/>
      <c r="O923" s="181" t="s">
        <v>4773</v>
      </c>
    </row>
    <row r="924" ht="14.25" customHeight="1">
      <c r="H924" s="179" t="str">
        <f t="shared" si="1"/>
        <v>#REF!</v>
      </c>
      <c r="I924" s="178" t="s">
        <v>4767</v>
      </c>
      <c r="J924" s="182" t="s">
        <v>4783</v>
      </c>
      <c r="K924" s="178" t="s">
        <v>4769</v>
      </c>
      <c r="L924" s="178" t="s">
        <v>4809</v>
      </c>
      <c r="M924" s="178" t="str">
        <f t="shared" si="41"/>
        <v>#REF!</v>
      </c>
      <c r="N924" s="185"/>
      <c r="O924" s="181" t="s">
        <v>4773</v>
      </c>
    </row>
    <row r="925" ht="14.25" customHeight="1">
      <c r="H925" s="179" t="str">
        <f t="shared" si="1"/>
        <v>#REF!</v>
      </c>
      <c r="I925" s="178" t="s">
        <v>4767</v>
      </c>
      <c r="J925" s="182" t="s">
        <v>4783</v>
      </c>
      <c r="K925" s="178" t="s">
        <v>4775</v>
      </c>
      <c r="L925" s="178" t="s">
        <v>4809</v>
      </c>
      <c r="M925" s="178" t="str">
        <f t="shared" si="41"/>
        <v>#REF!</v>
      </c>
      <c r="N925" s="185"/>
      <c r="O925" s="181" t="s">
        <v>4773</v>
      </c>
    </row>
    <row r="926" ht="14.25" customHeight="1">
      <c r="H926" s="179" t="str">
        <f t="shared" si="1"/>
        <v>#REF!</v>
      </c>
      <c r="I926" s="178" t="s">
        <v>4767</v>
      </c>
      <c r="J926" s="182" t="s">
        <v>4783</v>
      </c>
      <c r="K926" s="178" t="s">
        <v>4780</v>
      </c>
      <c r="L926" s="178" t="s">
        <v>4809</v>
      </c>
      <c r="M926" s="178" t="str">
        <f t="shared" si="41"/>
        <v>#REF!</v>
      </c>
      <c r="N926" s="185"/>
      <c r="O926" s="181" t="s">
        <v>4773</v>
      </c>
    </row>
    <row r="927" ht="14.25" customHeight="1">
      <c r="H927" s="179" t="str">
        <f t="shared" si="1"/>
        <v>#REF!</v>
      </c>
      <c r="I927" s="178" t="s">
        <v>4767</v>
      </c>
      <c r="J927" s="182" t="s">
        <v>4789</v>
      </c>
      <c r="K927" s="178" t="s">
        <v>4769</v>
      </c>
      <c r="L927" s="178" t="s">
        <v>4809</v>
      </c>
      <c r="M927" s="178" t="str">
        <f t="shared" si="41"/>
        <v>#REF!</v>
      </c>
      <c r="N927" s="185"/>
      <c r="O927" s="181" t="s">
        <v>4773</v>
      </c>
    </row>
    <row r="928" ht="14.25" customHeight="1">
      <c r="H928" s="179" t="str">
        <f t="shared" si="1"/>
        <v>#REF!</v>
      </c>
      <c r="I928" s="178" t="s">
        <v>4767</v>
      </c>
      <c r="J928" s="182" t="s">
        <v>4789</v>
      </c>
      <c r="K928" s="178" t="s">
        <v>4775</v>
      </c>
      <c r="L928" s="178" t="s">
        <v>4809</v>
      </c>
      <c r="M928" s="178" t="str">
        <f t="shared" si="41"/>
        <v>#REF!</v>
      </c>
      <c r="N928" s="185"/>
      <c r="O928" s="181" t="s">
        <v>4773</v>
      </c>
    </row>
    <row r="929" ht="14.25" customHeight="1">
      <c r="H929" s="179" t="str">
        <f t="shared" si="1"/>
        <v>#REF!</v>
      </c>
      <c r="I929" s="178" t="s">
        <v>4767</v>
      </c>
      <c r="J929" s="182" t="s">
        <v>4789</v>
      </c>
      <c r="K929" s="178" t="s">
        <v>4780</v>
      </c>
      <c r="L929" s="178" t="s">
        <v>4809</v>
      </c>
      <c r="M929" s="178" t="str">
        <f t="shared" si="41"/>
        <v>#REF!</v>
      </c>
      <c r="N929" s="185"/>
      <c r="O929" s="181" t="s">
        <v>4773</v>
      </c>
    </row>
    <row r="930" ht="14.25" customHeight="1">
      <c r="H930" s="179" t="str">
        <f t="shared" si="1"/>
        <v>#REF!</v>
      </c>
      <c r="I930" s="178" t="s">
        <v>4767</v>
      </c>
      <c r="J930" s="178" t="s">
        <v>4768</v>
      </c>
      <c r="K930" s="178" t="s">
        <v>4769</v>
      </c>
      <c r="L930" s="178" t="s">
        <v>4809</v>
      </c>
      <c r="M930" s="178" t="str">
        <f t="shared" si="41"/>
        <v>#REF!</v>
      </c>
      <c r="N930" s="185"/>
      <c r="O930" s="181" t="s">
        <v>4773</v>
      </c>
    </row>
    <row r="931" ht="14.25" customHeight="1">
      <c r="H931" s="179" t="str">
        <f t="shared" si="1"/>
        <v>#REF!</v>
      </c>
      <c r="I931" s="178" t="s">
        <v>4767</v>
      </c>
      <c r="J931" s="178" t="s">
        <v>4768</v>
      </c>
      <c r="K931" s="178" t="s">
        <v>4775</v>
      </c>
      <c r="L931" s="178" t="s">
        <v>4809</v>
      </c>
      <c r="M931" s="178" t="str">
        <f t="shared" si="41"/>
        <v>#REF!</v>
      </c>
      <c r="N931" s="185"/>
      <c r="O931" s="181" t="s">
        <v>4773</v>
      </c>
    </row>
    <row r="932" ht="14.25" customHeight="1">
      <c r="H932" s="179" t="str">
        <f t="shared" si="1"/>
        <v>#REF!</v>
      </c>
      <c r="I932" s="178" t="s">
        <v>4767</v>
      </c>
      <c r="J932" s="178" t="s">
        <v>4768</v>
      </c>
      <c r="K932" s="178" t="s">
        <v>4780</v>
      </c>
      <c r="L932" s="178" t="s">
        <v>4809</v>
      </c>
      <c r="M932" s="178" t="str">
        <f t="shared" si="41"/>
        <v>#REF!</v>
      </c>
      <c r="N932" s="185"/>
      <c r="O932" s="181" t="s">
        <v>4773</v>
      </c>
    </row>
    <row r="933" ht="14.25" customHeight="1">
      <c r="H933" s="179" t="str">
        <f t="shared" si="1"/>
        <v>#REF!</v>
      </c>
      <c r="I933" s="178" t="s">
        <v>4767</v>
      </c>
      <c r="J933" s="182" t="s">
        <v>4779</v>
      </c>
      <c r="K933" s="178" t="s">
        <v>4769</v>
      </c>
      <c r="L933" s="178" t="s">
        <v>4809</v>
      </c>
      <c r="M933" s="178" t="str">
        <f t="shared" ref="M933:M953" si="42">IF('Ficha de exención para baterías'!$P$28&gt;0,'Ficha de exención para baterías'!$P$28," ")</f>
        <v>#REF!</v>
      </c>
      <c r="N933" s="185"/>
      <c r="O933" s="181" t="s">
        <v>4773</v>
      </c>
    </row>
    <row r="934" ht="14.25" customHeight="1">
      <c r="H934" s="179" t="str">
        <f t="shared" si="1"/>
        <v>#REF!</v>
      </c>
      <c r="I934" s="178" t="s">
        <v>4767</v>
      </c>
      <c r="J934" s="182" t="s">
        <v>4779</v>
      </c>
      <c r="K934" s="178" t="s">
        <v>4775</v>
      </c>
      <c r="L934" s="178" t="s">
        <v>4809</v>
      </c>
      <c r="M934" s="178" t="str">
        <f t="shared" si="42"/>
        <v>#REF!</v>
      </c>
      <c r="N934" s="185"/>
      <c r="O934" s="181" t="s">
        <v>4773</v>
      </c>
    </row>
    <row r="935" ht="14.25" customHeight="1">
      <c r="H935" s="179" t="str">
        <f t="shared" si="1"/>
        <v>#REF!</v>
      </c>
      <c r="I935" s="178" t="s">
        <v>4767</v>
      </c>
      <c r="J935" s="182" t="s">
        <v>4779</v>
      </c>
      <c r="K935" s="178" t="s">
        <v>4780</v>
      </c>
      <c r="L935" s="178" t="s">
        <v>4809</v>
      </c>
      <c r="M935" s="178" t="str">
        <f t="shared" si="42"/>
        <v>#REF!</v>
      </c>
      <c r="N935" s="185"/>
      <c r="O935" s="181" t="s">
        <v>4773</v>
      </c>
    </row>
    <row r="936" ht="14.25" customHeight="1">
      <c r="H936" s="179" t="str">
        <f t="shared" si="1"/>
        <v>#REF!</v>
      </c>
      <c r="I936" s="178" t="s">
        <v>4767</v>
      </c>
      <c r="J936" s="182" t="s">
        <v>4787</v>
      </c>
      <c r="K936" s="178" t="s">
        <v>4769</v>
      </c>
      <c r="L936" s="178" t="s">
        <v>4809</v>
      </c>
      <c r="M936" s="178" t="str">
        <f t="shared" si="42"/>
        <v>#REF!</v>
      </c>
      <c r="N936" s="185"/>
      <c r="O936" s="181" t="s">
        <v>4773</v>
      </c>
    </row>
    <row r="937" ht="14.25" customHeight="1">
      <c r="H937" s="179" t="str">
        <f t="shared" si="1"/>
        <v>#REF!</v>
      </c>
      <c r="I937" s="178" t="s">
        <v>4767</v>
      </c>
      <c r="J937" s="182" t="s">
        <v>4787</v>
      </c>
      <c r="K937" s="178" t="s">
        <v>4775</v>
      </c>
      <c r="L937" s="178" t="s">
        <v>4809</v>
      </c>
      <c r="M937" s="178" t="str">
        <f t="shared" si="42"/>
        <v>#REF!</v>
      </c>
      <c r="N937" s="185"/>
      <c r="O937" s="181" t="s">
        <v>4773</v>
      </c>
    </row>
    <row r="938" ht="14.25" customHeight="1">
      <c r="H938" s="179" t="str">
        <f t="shared" si="1"/>
        <v>#REF!</v>
      </c>
      <c r="I938" s="178" t="s">
        <v>4767</v>
      </c>
      <c r="J938" s="182" t="s">
        <v>4787</v>
      </c>
      <c r="K938" s="178" t="s">
        <v>4780</v>
      </c>
      <c r="L938" s="178" t="s">
        <v>4809</v>
      </c>
      <c r="M938" s="178" t="str">
        <f t="shared" si="42"/>
        <v>#REF!</v>
      </c>
      <c r="N938" s="185"/>
      <c r="O938" s="181" t="s">
        <v>4773</v>
      </c>
    </row>
    <row r="939" ht="14.25" customHeight="1">
      <c r="H939" s="179" t="str">
        <f t="shared" si="1"/>
        <v>#REF!</v>
      </c>
      <c r="I939" s="178" t="s">
        <v>4767</v>
      </c>
      <c r="J939" s="182" t="s">
        <v>4774</v>
      </c>
      <c r="K939" s="178" t="s">
        <v>4769</v>
      </c>
      <c r="L939" s="178" t="s">
        <v>4809</v>
      </c>
      <c r="M939" s="178" t="str">
        <f t="shared" si="42"/>
        <v>#REF!</v>
      </c>
      <c r="N939" s="185"/>
      <c r="O939" s="181" t="s">
        <v>4773</v>
      </c>
    </row>
    <row r="940" ht="14.25" customHeight="1">
      <c r="H940" s="179" t="str">
        <f t="shared" si="1"/>
        <v>#REF!</v>
      </c>
      <c r="I940" s="178" t="s">
        <v>4767</v>
      </c>
      <c r="J940" s="182" t="s">
        <v>4774</v>
      </c>
      <c r="K940" s="178" t="s">
        <v>4775</v>
      </c>
      <c r="L940" s="178" t="s">
        <v>4809</v>
      </c>
      <c r="M940" s="178" t="str">
        <f t="shared" si="42"/>
        <v>#REF!</v>
      </c>
      <c r="N940" s="185"/>
      <c r="O940" s="181" t="s">
        <v>4773</v>
      </c>
    </row>
    <row r="941" ht="14.25" customHeight="1">
      <c r="H941" s="179" t="str">
        <f t="shared" si="1"/>
        <v>#REF!</v>
      </c>
      <c r="I941" s="178" t="s">
        <v>4767</v>
      </c>
      <c r="J941" s="182" t="s">
        <v>4774</v>
      </c>
      <c r="K941" s="178" t="s">
        <v>4780</v>
      </c>
      <c r="L941" s="178" t="s">
        <v>4809</v>
      </c>
      <c r="M941" s="178" t="str">
        <f t="shared" si="42"/>
        <v>#REF!</v>
      </c>
      <c r="N941" s="185"/>
      <c r="O941" s="181" t="s">
        <v>4773</v>
      </c>
    </row>
    <row r="942" ht="14.25" customHeight="1">
      <c r="H942" s="179" t="str">
        <f t="shared" si="1"/>
        <v>#REF!</v>
      </c>
      <c r="I942" s="178" t="s">
        <v>4767</v>
      </c>
      <c r="J942" s="182" t="s">
        <v>4785</v>
      </c>
      <c r="K942" s="178" t="s">
        <v>4769</v>
      </c>
      <c r="L942" s="178" t="s">
        <v>4809</v>
      </c>
      <c r="M942" s="178" t="str">
        <f t="shared" si="42"/>
        <v>#REF!</v>
      </c>
      <c r="N942" s="185"/>
      <c r="O942" s="181" t="s">
        <v>4773</v>
      </c>
    </row>
    <row r="943" ht="14.25" customHeight="1">
      <c r="H943" s="179" t="str">
        <f t="shared" si="1"/>
        <v>#REF!</v>
      </c>
      <c r="I943" s="178" t="s">
        <v>4767</v>
      </c>
      <c r="J943" s="182" t="s">
        <v>4785</v>
      </c>
      <c r="K943" s="178" t="s">
        <v>4775</v>
      </c>
      <c r="L943" s="178" t="s">
        <v>4809</v>
      </c>
      <c r="M943" s="178" t="str">
        <f t="shared" si="42"/>
        <v>#REF!</v>
      </c>
      <c r="N943" s="185"/>
      <c r="O943" s="181" t="s">
        <v>4773</v>
      </c>
    </row>
    <row r="944" ht="14.25" customHeight="1">
      <c r="H944" s="179" t="str">
        <f t="shared" si="1"/>
        <v>#REF!</v>
      </c>
      <c r="I944" s="178" t="s">
        <v>4767</v>
      </c>
      <c r="J944" s="182" t="s">
        <v>4785</v>
      </c>
      <c r="K944" s="178" t="s">
        <v>4780</v>
      </c>
      <c r="L944" s="178" t="s">
        <v>4809</v>
      </c>
      <c r="M944" s="178" t="str">
        <f t="shared" si="42"/>
        <v>#REF!</v>
      </c>
      <c r="N944" s="185"/>
      <c r="O944" s="181" t="s">
        <v>4773</v>
      </c>
    </row>
    <row r="945" ht="14.25" customHeight="1">
      <c r="H945" s="179" t="str">
        <f t="shared" si="1"/>
        <v>#REF!</v>
      </c>
      <c r="I945" s="178" t="s">
        <v>4767</v>
      </c>
      <c r="J945" s="182" t="s">
        <v>4783</v>
      </c>
      <c r="K945" s="178" t="s">
        <v>4769</v>
      </c>
      <c r="L945" s="178" t="s">
        <v>4809</v>
      </c>
      <c r="M945" s="178" t="str">
        <f t="shared" si="42"/>
        <v>#REF!</v>
      </c>
      <c r="N945" s="185"/>
      <c r="O945" s="181" t="s">
        <v>4773</v>
      </c>
    </row>
    <row r="946" ht="14.25" customHeight="1">
      <c r="H946" s="179" t="str">
        <f t="shared" si="1"/>
        <v>#REF!</v>
      </c>
      <c r="I946" s="178" t="s">
        <v>4767</v>
      </c>
      <c r="J946" s="182" t="s">
        <v>4783</v>
      </c>
      <c r="K946" s="178" t="s">
        <v>4775</v>
      </c>
      <c r="L946" s="178" t="s">
        <v>4809</v>
      </c>
      <c r="M946" s="178" t="str">
        <f t="shared" si="42"/>
        <v>#REF!</v>
      </c>
      <c r="N946" s="185"/>
      <c r="O946" s="181" t="s">
        <v>4773</v>
      </c>
    </row>
    <row r="947" ht="14.25" customHeight="1">
      <c r="H947" s="179" t="str">
        <f t="shared" si="1"/>
        <v>#REF!</v>
      </c>
      <c r="I947" s="178" t="s">
        <v>4767</v>
      </c>
      <c r="J947" s="182" t="s">
        <v>4783</v>
      </c>
      <c r="K947" s="178" t="s">
        <v>4780</v>
      </c>
      <c r="L947" s="178" t="s">
        <v>4809</v>
      </c>
      <c r="M947" s="178" t="str">
        <f t="shared" si="42"/>
        <v>#REF!</v>
      </c>
      <c r="N947" s="185"/>
      <c r="O947" s="181" t="s">
        <v>4773</v>
      </c>
    </row>
    <row r="948" ht="14.25" customHeight="1">
      <c r="H948" s="179" t="str">
        <f t="shared" si="1"/>
        <v>#REF!</v>
      </c>
      <c r="I948" s="178" t="s">
        <v>4767</v>
      </c>
      <c r="J948" s="182" t="s">
        <v>4789</v>
      </c>
      <c r="K948" s="178" t="s">
        <v>4769</v>
      </c>
      <c r="L948" s="178" t="s">
        <v>4809</v>
      </c>
      <c r="M948" s="178" t="str">
        <f t="shared" si="42"/>
        <v>#REF!</v>
      </c>
      <c r="N948" s="185"/>
      <c r="O948" s="181" t="s">
        <v>4773</v>
      </c>
    </row>
    <row r="949" ht="14.25" customHeight="1">
      <c r="H949" s="179" t="str">
        <f t="shared" si="1"/>
        <v>#REF!</v>
      </c>
      <c r="I949" s="178" t="s">
        <v>4767</v>
      </c>
      <c r="J949" s="182" t="s">
        <v>4789</v>
      </c>
      <c r="K949" s="178" t="s">
        <v>4775</v>
      </c>
      <c r="L949" s="178" t="s">
        <v>4809</v>
      </c>
      <c r="M949" s="178" t="str">
        <f t="shared" si="42"/>
        <v>#REF!</v>
      </c>
      <c r="N949" s="185"/>
      <c r="O949" s="181" t="s">
        <v>4773</v>
      </c>
    </row>
    <row r="950" ht="14.25" customHeight="1">
      <c r="H950" s="179" t="str">
        <f t="shared" si="1"/>
        <v>#REF!</v>
      </c>
      <c r="I950" s="178" t="s">
        <v>4767</v>
      </c>
      <c r="J950" s="182" t="s">
        <v>4789</v>
      </c>
      <c r="K950" s="178" t="s">
        <v>4780</v>
      </c>
      <c r="L950" s="178" t="s">
        <v>4809</v>
      </c>
      <c r="M950" s="178" t="str">
        <f t="shared" si="42"/>
        <v>#REF!</v>
      </c>
      <c r="N950" s="185"/>
      <c r="O950" s="181" t="s">
        <v>4773</v>
      </c>
    </row>
    <row r="951" ht="14.25" customHeight="1">
      <c r="H951" s="179" t="str">
        <f t="shared" si="1"/>
        <v>#REF!</v>
      </c>
      <c r="I951" s="178" t="s">
        <v>4767</v>
      </c>
      <c r="J951" s="178" t="s">
        <v>4768</v>
      </c>
      <c r="K951" s="178" t="s">
        <v>4769</v>
      </c>
      <c r="L951" s="178" t="s">
        <v>4809</v>
      </c>
      <c r="M951" s="178" t="str">
        <f t="shared" si="42"/>
        <v>#REF!</v>
      </c>
      <c r="N951" s="185"/>
      <c r="O951" s="181" t="s">
        <v>4773</v>
      </c>
    </row>
    <row r="952" ht="14.25" customHeight="1">
      <c r="H952" s="179" t="str">
        <f t="shared" si="1"/>
        <v>#REF!</v>
      </c>
      <c r="I952" s="178" t="s">
        <v>4767</v>
      </c>
      <c r="J952" s="178" t="s">
        <v>4768</v>
      </c>
      <c r="K952" s="178" t="s">
        <v>4775</v>
      </c>
      <c r="L952" s="178" t="s">
        <v>4809</v>
      </c>
      <c r="M952" s="178" t="str">
        <f t="shared" si="42"/>
        <v>#REF!</v>
      </c>
      <c r="N952" s="185"/>
      <c r="O952" s="181" t="s">
        <v>4773</v>
      </c>
    </row>
    <row r="953" ht="14.25" customHeight="1">
      <c r="H953" s="179" t="str">
        <f t="shared" si="1"/>
        <v>#REF!</v>
      </c>
      <c r="I953" s="178" t="s">
        <v>4767</v>
      </c>
      <c r="J953" s="178" t="s">
        <v>4768</v>
      </c>
      <c r="K953" s="178" t="s">
        <v>4780</v>
      </c>
      <c r="L953" s="178" t="s">
        <v>4809</v>
      </c>
      <c r="M953" s="178" t="str">
        <f t="shared" si="42"/>
        <v>#REF!</v>
      </c>
      <c r="N953" s="185"/>
      <c r="O953" s="181" t="s">
        <v>4773</v>
      </c>
    </row>
    <row r="954" ht="14.25" customHeight="1">
      <c r="H954" s="179" t="str">
        <f t="shared" si="1"/>
        <v>#REF!</v>
      </c>
      <c r="I954" s="178" t="s">
        <v>4767</v>
      </c>
      <c r="J954" s="182" t="s">
        <v>4779</v>
      </c>
      <c r="K954" s="178" t="s">
        <v>4769</v>
      </c>
      <c r="L954" s="178" t="s">
        <v>4809</v>
      </c>
      <c r="M954" s="178" t="str">
        <f t="shared" ref="M954:M974" si="43">IF('Ficha de exención para baterías'!$P$29&gt;0,'Ficha de exención para baterías'!$P$29," ")</f>
        <v>#REF!</v>
      </c>
      <c r="N954" s="185"/>
      <c r="O954" s="181" t="s">
        <v>4773</v>
      </c>
    </row>
    <row r="955" ht="14.25" customHeight="1">
      <c r="H955" s="179" t="str">
        <f t="shared" si="1"/>
        <v>#REF!</v>
      </c>
      <c r="I955" s="178" t="s">
        <v>4767</v>
      </c>
      <c r="J955" s="182" t="s">
        <v>4779</v>
      </c>
      <c r="K955" s="178" t="s">
        <v>4775</v>
      </c>
      <c r="L955" s="178" t="s">
        <v>4809</v>
      </c>
      <c r="M955" s="178" t="str">
        <f t="shared" si="43"/>
        <v>#REF!</v>
      </c>
      <c r="N955" s="185"/>
      <c r="O955" s="181" t="s">
        <v>4773</v>
      </c>
    </row>
    <row r="956" ht="14.25" customHeight="1">
      <c r="H956" s="179" t="str">
        <f t="shared" si="1"/>
        <v>#REF!</v>
      </c>
      <c r="I956" s="178" t="s">
        <v>4767</v>
      </c>
      <c r="J956" s="182" t="s">
        <v>4779</v>
      </c>
      <c r="K956" s="178" t="s">
        <v>4780</v>
      </c>
      <c r="L956" s="178" t="s">
        <v>4809</v>
      </c>
      <c r="M956" s="178" t="str">
        <f t="shared" si="43"/>
        <v>#REF!</v>
      </c>
      <c r="N956" s="185"/>
      <c r="O956" s="181" t="s">
        <v>4773</v>
      </c>
    </row>
    <row r="957" ht="14.25" customHeight="1">
      <c r="H957" s="179" t="str">
        <f t="shared" si="1"/>
        <v>#REF!</v>
      </c>
      <c r="I957" s="178" t="s">
        <v>4767</v>
      </c>
      <c r="J957" s="182" t="s">
        <v>4787</v>
      </c>
      <c r="K957" s="178" t="s">
        <v>4769</v>
      </c>
      <c r="L957" s="178" t="s">
        <v>4809</v>
      </c>
      <c r="M957" s="178" t="str">
        <f t="shared" si="43"/>
        <v>#REF!</v>
      </c>
      <c r="N957" s="185"/>
      <c r="O957" s="181" t="s">
        <v>4773</v>
      </c>
    </row>
    <row r="958" ht="14.25" customHeight="1">
      <c r="H958" s="179" t="str">
        <f t="shared" si="1"/>
        <v>#REF!</v>
      </c>
      <c r="I958" s="178" t="s">
        <v>4767</v>
      </c>
      <c r="J958" s="182" t="s">
        <v>4787</v>
      </c>
      <c r="K958" s="178" t="s">
        <v>4775</v>
      </c>
      <c r="L958" s="178" t="s">
        <v>4809</v>
      </c>
      <c r="M958" s="178" t="str">
        <f t="shared" si="43"/>
        <v>#REF!</v>
      </c>
      <c r="N958" s="185"/>
      <c r="O958" s="181" t="s">
        <v>4773</v>
      </c>
    </row>
    <row r="959" ht="14.25" customHeight="1">
      <c r="H959" s="179" t="str">
        <f t="shared" si="1"/>
        <v>#REF!</v>
      </c>
      <c r="I959" s="178" t="s">
        <v>4767</v>
      </c>
      <c r="J959" s="182" t="s">
        <v>4787</v>
      </c>
      <c r="K959" s="178" t="s">
        <v>4780</v>
      </c>
      <c r="L959" s="178" t="s">
        <v>4809</v>
      </c>
      <c r="M959" s="178" t="str">
        <f t="shared" si="43"/>
        <v>#REF!</v>
      </c>
      <c r="N959" s="185"/>
      <c r="O959" s="181" t="s">
        <v>4773</v>
      </c>
    </row>
    <row r="960" ht="14.25" customHeight="1">
      <c r="H960" s="179" t="str">
        <f t="shared" si="1"/>
        <v>#REF!</v>
      </c>
      <c r="I960" s="178" t="s">
        <v>4767</v>
      </c>
      <c r="J960" s="182" t="s">
        <v>4774</v>
      </c>
      <c r="K960" s="178" t="s">
        <v>4769</v>
      </c>
      <c r="L960" s="178" t="s">
        <v>4809</v>
      </c>
      <c r="M960" s="178" t="str">
        <f t="shared" si="43"/>
        <v>#REF!</v>
      </c>
      <c r="N960" s="185"/>
      <c r="O960" s="181" t="s">
        <v>4773</v>
      </c>
    </row>
    <row r="961" ht="14.25" customHeight="1">
      <c r="H961" s="179" t="str">
        <f t="shared" si="1"/>
        <v>#REF!</v>
      </c>
      <c r="I961" s="178" t="s">
        <v>4767</v>
      </c>
      <c r="J961" s="182" t="s">
        <v>4774</v>
      </c>
      <c r="K961" s="178" t="s">
        <v>4775</v>
      </c>
      <c r="L961" s="178" t="s">
        <v>4809</v>
      </c>
      <c r="M961" s="178" t="str">
        <f t="shared" si="43"/>
        <v>#REF!</v>
      </c>
      <c r="N961" s="185"/>
      <c r="O961" s="181" t="s">
        <v>4773</v>
      </c>
    </row>
    <row r="962" ht="14.25" customHeight="1">
      <c r="H962" s="179" t="str">
        <f t="shared" si="1"/>
        <v>#REF!</v>
      </c>
      <c r="I962" s="178" t="s">
        <v>4767</v>
      </c>
      <c r="J962" s="182" t="s">
        <v>4774</v>
      </c>
      <c r="K962" s="178" t="s">
        <v>4780</v>
      </c>
      <c r="L962" s="178" t="s">
        <v>4809</v>
      </c>
      <c r="M962" s="178" t="str">
        <f t="shared" si="43"/>
        <v>#REF!</v>
      </c>
      <c r="N962" s="185"/>
      <c r="O962" s="181" t="s">
        <v>4773</v>
      </c>
    </row>
    <row r="963" ht="14.25" customHeight="1">
      <c r="H963" s="179" t="str">
        <f t="shared" si="1"/>
        <v>#REF!</v>
      </c>
      <c r="I963" s="178" t="s">
        <v>4767</v>
      </c>
      <c r="J963" s="182" t="s">
        <v>4785</v>
      </c>
      <c r="K963" s="178" t="s">
        <v>4769</v>
      </c>
      <c r="L963" s="178" t="s">
        <v>4809</v>
      </c>
      <c r="M963" s="178" t="str">
        <f t="shared" si="43"/>
        <v>#REF!</v>
      </c>
      <c r="N963" s="185"/>
      <c r="O963" s="181" t="s">
        <v>4773</v>
      </c>
    </row>
    <row r="964" ht="14.25" customHeight="1">
      <c r="H964" s="179" t="str">
        <f t="shared" si="1"/>
        <v>#REF!</v>
      </c>
      <c r="I964" s="178" t="s">
        <v>4767</v>
      </c>
      <c r="J964" s="182" t="s">
        <v>4785</v>
      </c>
      <c r="K964" s="178" t="s">
        <v>4775</v>
      </c>
      <c r="L964" s="178" t="s">
        <v>4809</v>
      </c>
      <c r="M964" s="178" t="str">
        <f t="shared" si="43"/>
        <v>#REF!</v>
      </c>
      <c r="N964" s="185"/>
      <c r="O964" s="181" t="s">
        <v>4773</v>
      </c>
    </row>
    <row r="965" ht="14.25" customHeight="1">
      <c r="H965" s="179" t="str">
        <f t="shared" si="1"/>
        <v>#REF!</v>
      </c>
      <c r="I965" s="178" t="s">
        <v>4767</v>
      </c>
      <c r="J965" s="182" t="s">
        <v>4785</v>
      </c>
      <c r="K965" s="178" t="s">
        <v>4780</v>
      </c>
      <c r="L965" s="178" t="s">
        <v>4809</v>
      </c>
      <c r="M965" s="178" t="str">
        <f t="shared" si="43"/>
        <v>#REF!</v>
      </c>
      <c r="N965" s="185"/>
      <c r="O965" s="181" t="s">
        <v>4773</v>
      </c>
    </row>
    <row r="966" ht="14.25" customHeight="1">
      <c r="H966" s="179" t="str">
        <f t="shared" si="1"/>
        <v>#REF!</v>
      </c>
      <c r="I966" s="178" t="s">
        <v>4767</v>
      </c>
      <c r="J966" s="182" t="s">
        <v>4783</v>
      </c>
      <c r="K966" s="178" t="s">
        <v>4769</v>
      </c>
      <c r="L966" s="178" t="s">
        <v>4809</v>
      </c>
      <c r="M966" s="178" t="str">
        <f t="shared" si="43"/>
        <v>#REF!</v>
      </c>
      <c r="N966" s="185"/>
      <c r="O966" s="181" t="s">
        <v>4773</v>
      </c>
    </row>
    <row r="967" ht="14.25" customHeight="1">
      <c r="H967" s="179" t="str">
        <f t="shared" si="1"/>
        <v>#REF!</v>
      </c>
      <c r="I967" s="178" t="s">
        <v>4767</v>
      </c>
      <c r="J967" s="182" t="s">
        <v>4783</v>
      </c>
      <c r="K967" s="178" t="s">
        <v>4775</v>
      </c>
      <c r="L967" s="178" t="s">
        <v>4809</v>
      </c>
      <c r="M967" s="178" t="str">
        <f t="shared" si="43"/>
        <v>#REF!</v>
      </c>
      <c r="N967" s="185"/>
      <c r="O967" s="181" t="s">
        <v>4773</v>
      </c>
    </row>
    <row r="968" ht="14.25" customHeight="1">
      <c r="H968" s="179" t="str">
        <f t="shared" si="1"/>
        <v>#REF!</v>
      </c>
      <c r="I968" s="178" t="s">
        <v>4767</v>
      </c>
      <c r="J968" s="182" t="s">
        <v>4783</v>
      </c>
      <c r="K968" s="178" t="s">
        <v>4780</v>
      </c>
      <c r="L968" s="178" t="s">
        <v>4809</v>
      </c>
      <c r="M968" s="178" t="str">
        <f t="shared" si="43"/>
        <v>#REF!</v>
      </c>
      <c r="N968" s="185"/>
      <c r="O968" s="181" t="s">
        <v>4773</v>
      </c>
    </row>
    <row r="969" ht="14.25" customHeight="1">
      <c r="H969" s="179" t="str">
        <f t="shared" si="1"/>
        <v>#REF!</v>
      </c>
      <c r="I969" s="178" t="s">
        <v>4767</v>
      </c>
      <c r="J969" s="182" t="s">
        <v>4789</v>
      </c>
      <c r="K969" s="178" t="s">
        <v>4769</v>
      </c>
      <c r="L969" s="178" t="s">
        <v>4809</v>
      </c>
      <c r="M969" s="178" t="str">
        <f t="shared" si="43"/>
        <v>#REF!</v>
      </c>
      <c r="N969" s="185"/>
      <c r="O969" s="181" t="s">
        <v>4773</v>
      </c>
    </row>
    <row r="970" ht="14.25" customHeight="1">
      <c r="H970" s="179" t="str">
        <f t="shared" si="1"/>
        <v>#REF!</v>
      </c>
      <c r="I970" s="178" t="s">
        <v>4767</v>
      </c>
      <c r="J970" s="182" t="s">
        <v>4789</v>
      </c>
      <c r="K970" s="178" t="s">
        <v>4775</v>
      </c>
      <c r="L970" s="178" t="s">
        <v>4809</v>
      </c>
      <c r="M970" s="178" t="str">
        <f t="shared" si="43"/>
        <v>#REF!</v>
      </c>
      <c r="N970" s="185"/>
      <c r="O970" s="181" t="s">
        <v>4773</v>
      </c>
    </row>
    <row r="971" ht="14.25" customHeight="1">
      <c r="H971" s="179" t="str">
        <f t="shared" si="1"/>
        <v>#REF!</v>
      </c>
      <c r="I971" s="178" t="s">
        <v>4767</v>
      </c>
      <c r="J971" s="182" t="s">
        <v>4789</v>
      </c>
      <c r="K971" s="178" t="s">
        <v>4780</v>
      </c>
      <c r="L971" s="178" t="s">
        <v>4809</v>
      </c>
      <c r="M971" s="178" t="str">
        <f t="shared" si="43"/>
        <v>#REF!</v>
      </c>
      <c r="N971" s="185"/>
      <c r="O971" s="181" t="s">
        <v>4773</v>
      </c>
    </row>
    <row r="972" ht="14.25" customHeight="1">
      <c r="H972" s="179" t="str">
        <f t="shared" si="1"/>
        <v>#REF!</v>
      </c>
      <c r="I972" s="178" t="s">
        <v>4767</v>
      </c>
      <c r="J972" s="178" t="s">
        <v>4768</v>
      </c>
      <c r="K972" s="178" t="s">
        <v>4769</v>
      </c>
      <c r="L972" s="178" t="s">
        <v>4809</v>
      </c>
      <c r="M972" s="178" t="str">
        <f t="shared" si="43"/>
        <v>#REF!</v>
      </c>
      <c r="N972" s="185"/>
      <c r="O972" s="181" t="s">
        <v>4773</v>
      </c>
    </row>
    <row r="973" ht="14.25" customHeight="1">
      <c r="H973" s="179" t="str">
        <f t="shared" si="1"/>
        <v>#REF!</v>
      </c>
      <c r="I973" s="178" t="s">
        <v>4767</v>
      </c>
      <c r="J973" s="178" t="s">
        <v>4768</v>
      </c>
      <c r="K973" s="178" t="s">
        <v>4775</v>
      </c>
      <c r="L973" s="178" t="s">
        <v>4809</v>
      </c>
      <c r="M973" s="178" t="str">
        <f t="shared" si="43"/>
        <v>#REF!</v>
      </c>
      <c r="N973" s="185"/>
      <c r="O973" s="181" t="s">
        <v>4773</v>
      </c>
    </row>
    <row r="974" ht="14.25" customHeight="1">
      <c r="H974" s="179" t="str">
        <f t="shared" si="1"/>
        <v>#REF!</v>
      </c>
      <c r="I974" s="178" t="s">
        <v>4767</v>
      </c>
      <c r="J974" s="178" t="s">
        <v>4768</v>
      </c>
      <c r="K974" s="178" t="s">
        <v>4780</v>
      </c>
      <c r="L974" s="178" t="s">
        <v>4809</v>
      </c>
      <c r="M974" s="178" t="str">
        <f t="shared" si="43"/>
        <v>#REF!</v>
      </c>
      <c r="N974" s="185"/>
      <c r="O974" s="181" t="s">
        <v>4773</v>
      </c>
    </row>
    <row r="975" ht="14.25" customHeight="1">
      <c r="H975" s="179" t="str">
        <f t="shared" si="1"/>
        <v>#REF!</v>
      </c>
      <c r="I975" s="178" t="s">
        <v>4767</v>
      </c>
      <c r="J975" s="182" t="s">
        <v>4779</v>
      </c>
      <c r="K975" s="178" t="s">
        <v>4769</v>
      </c>
      <c r="L975" s="178" t="s">
        <v>4809</v>
      </c>
      <c r="M975" s="178" t="str">
        <f t="shared" ref="M975:M995" si="44">IF('Ficha de exención para baterías'!$P$30&gt;0,'Ficha de exención para baterías'!$P$30," ")</f>
        <v>#REF!</v>
      </c>
      <c r="N975" s="185"/>
      <c r="O975" s="181" t="s">
        <v>4773</v>
      </c>
    </row>
    <row r="976" ht="14.25" customHeight="1">
      <c r="H976" s="179" t="str">
        <f t="shared" si="1"/>
        <v>#REF!</v>
      </c>
      <c r="I976" s="178" t="s">
        <v>4767</v>
      </c>
      <c r="J976" s="182" t="s">
        <v>4779</v>
      </c>
      <c r="K976" s="178" t="s">
        <v>4775</v>
      </c>
      <c r="L976" s="178" t="s">
        <v>4809</v>
      </c>
      <c r="M976" s="178" t="str">
        <f t="shared" si="44"/>
        <v>#REF!</v>
      </c>
      <c r="N976" s="185"/>
      <c r="O976" s="181" t="s">
        <v>4773</v>
      </c>
    </row>
    <row r="977" ht="14.25" customHeight="1">
      <c r="H977" s="179" t="str">
        <f t="shared" si="1"/>
        <v>#REF!</v>
      </c>
      <c r="I977" s="178" t="s">
        <v>4767</v>
      </c>
      <c r="J977" s="182" t="s">
        <v>4779</v>
      </c>
      <c r="K977" s="178" t="s">
        <v>4780</v>
      </c>
      <c r="L977" s="178" t="s">
        <v>4809</v>
      </c>
      <c r="M977" s="178" t="str">
        <f t="shared" si="44"/>
        <v>#REF!</v>
      </c>
      <c r="N977" s="185"/>
      <c r="O977" s="181" t="s">
        <v>4773</v>
      </c>
    </row>
    <row r="978" ht="14.25" customHeight="1">
      <c r="H978" s="179" t="str">
        <f t="shared" si="1"/>
        <v>#REF!</v>
      </c>
      <c r="I978" s="178" t="s">
        <v>4767</v>
      </c>
      <c r="J978" s="182" t="s">
        <v>4787</v>
      </c>
      <c r="K978" s="178" t="s">
        <v>4769</v>
      </c>
      <c r="L978" s="178" t="s">
        <v>4809</v>
      </c>
      <c r="M978" s="178" t="str">
        <f t="shared" si="44"/>
        <v>#REF!</v>
      </c>
      <c r="N978" s="185"/>
      <c r="O978" s="181" t="s">
        <v>4773</v>
      </c>
    </row>
    <row r="979" ht="14.25" customHeight="1">
      <c r="H979" s="179" t="str">
        <f t="shared" si="1"/>
        <v>#REF!</v>
      </c>
      <c r="I979" s="178" t="s">
        <v>4767</v>
      </c>
      <c r="J979" s="182" t="s">
        <v>4787</v>
      </c>
      <c r="K979" s="178" t="s">
        <v>4775</v>
      </c>
      <c r="L979" s="178" t="s">
        <v>4809</v>
      </c>
      <c r="M979" s="178" t="str">
        <f t="shared" si="44"/>
        <v>#REF!</v>
      </c>
      <c r="N979" s="185"/>
      <c r="O979" s="181" t="s">
        <v>4773</v>
      </c>
    </row>
    <row r="980" ht="14.25" customHeight="1">
      <c r="H980" s="179" t="str">
        <f t="shared" si="1"/>
        <v>#REF!</v>
      </c>
      <c r="I980" s="178" t="s">
        <v>4767</v>
      </c>
      <c r="J980" s="182" t="s">
        <v>4787</v>
      </c>
      <c r="K980" s="178" t="s">
        <v>4780</v>
      </c>
      <c r="L980" s="178" t="s">
        <v>4809</v>
      </c>
      <c r="M980" s="178" t="str">
        <f t="shared" si="44"/>
        <v>#REF!</v>
      </c>
      <c r="N980" s="185"/>
      <c r="O980" s="181" t="s">
        <v>4773</v>
      </c>
    </row>
    <row r="981" ht="14.25" customHeight="1">
      <c r="H981" s="179" t="str">
        <f t="shared" si="1"/>
        <v>#REF!</v>
      </c>
      <c r="I981" s="178" t="s">
        <v>4767</v>
      </c>
      <c r="J981" s="182" t="s">
        <v>4774</v>
      </c>
      <c r="K981" s="178" t="s">
        <v>4769</v>
      </c>
      <c r="L981" s="178" t="s">
        <v>4809</v>
      </c>
      <c r="M981" s="178" t="str">
        <f t="shared" si="44"/>
        <v>#REF!</v>
      </c>
      <c r="N981" s="185"/>
      <c r="O981" s="181" t="s">
        <v>4773</v>
      </c>
    </row>
    <row r="982" ht="14.25" customHeight="1">
      <c r="H982" s="179" t="str">
        <f t="shared" si="1"/>
        <v>#REF!</v>
      </c>
      <c r="I982" s="178" t="s">
        <v>4767</v>
      </c>
      <c r="J982" s="182" t="s">
        <v>4774</v>
      </c>
      <c r="K982" s="178" t="s">
        <v>4775</v>
      </c>
      <c r="L982" s="178" t="s">
        <v>4809</v>
      </c>
      <c r="M982" s="178" t="str">
        <f t="shared" si="44"/>
        <v>#REF!</v>
      </c>
      <c r="N982" s="185"/>
      <c r="O982" s="181" t="s">
        <v>4773</v>
      </c>
    </row>
    <row r="983" ht="14.25" customHeight="1">
      <c r="H983" s="179" t="str">
        <f t="shared" si="1"/>
        <v>#REF!</v>
      </c>
      <c r="I983" s="178" t="s">
        <v>4767</v>
      </c>
      <c r="J983" s="182" t="s">
        <v>4774</v>
      </c>
      <c r="K983" s="178" t="s">
        <v>4780</v>
      </c>
      <c r="L983" s="178" t="s">
        <v>4809</v>
      </c>
      <c r="M983" s="178" t="str">
        <f t="shared" si="44"/>
        <v>#REF!</v>
      </c>
      <c r="N983" s="185"/>
      <c r="O983" s="181" t="s">
        <v>4773</v>
      </c>
    </row>
    <row r="984" ht="14.25" customHeight="1">
      <c r="H984" s="179" t="str">
        <f t="shared" si="1"/>
        <v>#REF!</v>
      </c>
      <c r="I984" s="178" t="s">
        <v>4767</v>
      </c>
      <c r="J984" s="182" t="s">
        <v>4785</v>
      </c>
      <c r="K984" s="178" t="s">
        <v>4769</v>
      </c>
      <c r="L984" s="178" t="s">
        <v>4809</v>
      </c>
      <c r="M984" s="178" t="str">
        <f t="shared" si="44"/>
        <v>#REF!</v>
      </c>
      <c r="N984" s="185"/>
      <c r="O984" s="181" t="s">
        <v>4773</v>
      </c>
    </row>
    <row r="985" ht="14.25" customHeight="1">
      <c r="H985" s="179" t="str">
        <f t="shared" si="1"/>
        <v>#REF!</v>
      </c>
      <c r="I985" s="178" t="s">
        <v>4767</v>
      </c>
      <c r="J985" s="182" t="s">
        <v>4785</v>
      </c>
      <c r="K985" s="178" t="s">
        <v>4775</v>
      </c>
      <c r="L985" s="178" t="s">
        <v>4809</v>
      </c>
      <c r="M985" s="178" t="str">
        <f t="shared" si="44"/>
        <v>#REF!</v>
      </c>
      <c r="N985" s="185"/>
      <c r="O985" s="181" t="s">
        <v>4773</v>
      </c>
    </row>
    <row r="986" ht="14.25" customHeight="1">
      <c r="H986" s="179" t="str">
        <f t="shared" si="1"/>
        <v>#REF!</v>
      </c>
      <c r="I986" s="178" t="s">
        <v>4767</v>
      </c>
      <c r="J986" s="182" t="s">
        <v>4785</v>
      </c>
      <c r="K986" s="178" t="s">
        <v>4780</v>
      </c>
      <c r="L986" s="178" t="s">
        <v>4809</v>
      </c>
      <c r="M986" s="178" t="str">
        <f t="shared" si="44"/>
        <v>#REF!</v>
      </c>
      <c r="N986" s="185"/>
      <c r="O986" s="181" t="s">
        <v>4773</v>
      </c>
    </row>
    <row r="987" ht="14.25" customHeight="1">
      <c r="H987" s="179" t="str">
        <f t="shared" si="1"/>
        <v>#REF!</v>
      </c>
      <c r="I987" s="178" t="s">
        <v>4767</v>
      </c>
      <c r="J987" s="182" t="s">
        <v>4783</v>
      </c>
      <c r="K987" s="178" t="s">
        <v>4769</v>
      </c>
      <c r="L987" s="178" t="s">
        <v>4809</v>
      </c>
      <c r="M987" s="178" t="str">
        <f t="shared" si="44"/>
        <v>#REF!</v>
      </c>
      <c r="N987" s="185"/>
      <c r="O987" s="181" t="s">
        <v>4773</v>
      </c>
    </row>
    <row r="988" ht="14.25" customHeight="1">
      <c r="H988" s="179" t="str">
        <f t="shared" si="1"/>
        <v>#REF!</v>
      </c>
      <c r="I988" s="178" t="s">
        <v>4767</v>
      </c>
      <c r="J988" s="182" t="s">
        <v>4783</v>
      </c>
      <c r="K988" s="178" t="s">
        <v>4775</v>
      </c>
      <c r="L988" s="178" t="s">
        <v>4809</v>
      </c>
      <c r="M988" s="178" t="str">
        <f t="shared" si="44"/>
        <v>#REF!</v>
      </c>
      <c r="N988" s="185"/>
      <c r="O988" s="181" t="s">
        <v>4773</v>
      </c>
    </row>
    <row r="989" ht="14.25" customHeight="1">
      <c r="H989" s="179" t="str">
        <f t="shared" si="1"/>
        <v>#REF!</v>
      </c>
      <c r="I989" s="178" t="s">
        <v>4767</v>
      </c>
      <c r="J989" s="182" t="s">
        <v>4783</v>
      </c>
      <c r="K989" s="178" t="s">
        <v>4780</v>
      </c>
      <c r="L989" s="178" t="s">
        <v>4809</v>
      </c>
      <c r="M989" s="178" t="str">
        <f t="shared" si="44"/>
        <v>#REF!</v>
      </c>
      <c r="N989" s="185"/>
      <c r="O989" s="181" t="s">
        <v>4773</v>
      </c>
    </row>
    <row r="990" ht="14.25" customHeight="1">
      <c r="H990" s="179" t="str">
        <f t="shared" si="1"/>
        <v>#REF!</v>
      </c>
      <c r="I990" s="178" t="s">
        <v>4767</v>
      </c>
      <c r="J990" s="182" t="s">
        <v>4789</v>
      </c>
      <c r="K990" s="178" t="s">
        <v>4769</v>
      </c>
      <c r="L990" s="178" t="s">
        <v>4809</v>
      </c>
      <c r="M990" s="178" t="str">
        <f t="shared" si="44"/>
        <v>#REF!</v>
      </c>
      <c r="N990" s="185"/>
      <c r="O990" s="181" t="s">
        <v>4773</v>
      </c>
    </row>
    <row r="991" ht="14.25" customHeight="1">
      <c r="H991" s="179" t="str">
        <f t="shared" si="1"/>
        <v>#REF!</v>
      </c>
      <c r="I991" s="178" t="s">
        <v>4767</v>
      </c>
      <c r="J991" s="182" t="s">
        <v>4789</v>
      </c>
      <c r="K991" s="178" t="s">
        <v>4775</v>
      </c>
      <c r="L991" s="178" t="s">
        <v>4809</v>
      </c>
      <c r="M991" s="178" t="str">
        <f t="shared" si="44"/>
        <v>#REF!</v>
      </c>
      <c r="N991" s="185"/>
      <c r="O991" s="181" t="s">
        <v>4773</v>
      </c>
    </row>
    <row r="992" ht="14.25" customHeight="1">
      <c r="H992" s="179" t="str">
        <f t="shared" si="1"/>
        <v>#REF!</v>
      </c>
      <c r="I992" s="178" t="s">
        <v>4767</v>
      </c>
      <c r="J992" s="182" t="s">
        <v>4789</v>
      </c>
      <c r="K992" s="178" t="s">
        <v>4780</v>
      </c>
      <c r="L992" s="178" t="s">
        <v>4809</v>
      </c>
      <c r="M992" s="178" t="str">
        <f t="shared" si="44"/>
        <v>#REF!</v>
      </c>
      <c r="N992" s="185"/>
      <c r="O992" s="181" t="s">
        <v>4773</v>
      </c>
    </row>
    <row r="993" ht="14.25" customHeight="1">
      <c r="H993" s="179" t="str">
        <f t="shared" si="1"/>
        <v>#REF!</v>
      </c>
      <c r="I993" s="178" t="s">
        <v>4767</v>
      </c>
      <c r="J993" s="178" t="s">
        <v>4768</v>
      </c>
      <c r="K993" s="178" t="s">
        <v>4769</v>
      </c>
      <c r="L993" s="178" t="s">
        <v>4809</v>
      </c>
      <c r="M993" s="178" t="str">
        <f t="shared" si="44"/>
        <v>#REF!</v>
      </c>
      <c r="N993" s="185"/>
      <c r="O993" s="181" t="s">
        <v>4773</v>
      </c>
    </row>
    <row r="994" ht="14.25" customHeight="1">
      <c r="H994" s="179" t="str">
        <f t="shared" si="1"/>
        <v>#REF!</v>
      </c>
      <c r="I994" s="178" t="s">
        <v>4767</v>
      </c>
      <c r="J994" s="178" t="s">
        <v>4768</v>
      </c>
      <c r="K994" s="178" t="s">
        <v>4775</v>
      </c>
      <c r="L994" s="178" t="s">
        <v>4809</v>
      </c>
      <c r="M994" s="178" t="str">
        <f t="shared" si="44"/>
        <v>#REF!</v>
      </c>
      <c r="N994" s="185"/>
      <c r="O994" s="181" t="s">
        <v>4773</v>
      </c>
    </row>
    <row r="995" ht="14.25" customHeight="1">
      <c r="H995" s="179" t="str">
        <f t="shared" si="1"/>
        <v>#REF!</v>
      </c>
      <c r="I995" s="178" t="s">
        <v>4767</v>
      </c>
      <c r="J995" s="178" t="s">
        <v>4768</v>
      </c>
      <c r="K995" s="178" t="s">
        <v>4780</v>
      </c>
      <c r="L995" s="178" t="s">
        <v>4809</v>
      </c>
      <c r="M995" s="178" t="str">
        <f t="shared" si="44"/>
        <v>#REF!</v>
      </c>
      <c r="N995" s="185"/>
      <c r="O995" s="181" t="s">
        <v>4773</v>
      </c>
    </row>
    <row r="996" ht="14.25" customHeight="1">
      <c r="H996" s="179" t="str">
        <f t="shared" si="1"/>
        <v>#REF!</v>
      </c>
      <c r="I996" s="178" t="s">
        <v>4767</v>
      </c>
      <c r="J996" s="182" t="s">
        <v>4779</v>
      </c>
      <c r="K996" s="178" t="s">
        <v>4769</v>
      </c>
      <c r="L996" s="178" t="s">
        <v>4809</v>
      </c>
      <c r="M996" s="178" t="str">
        <f t="shared" ref="M996:M1016" si="45">IF('Ficha de exención para baterías'!$P$31&gt;0,'Ficha de exención para baterías'!$P$31," ")</f>
        <v>#REF!</v>
      </c>
      <c r="N996" s="185"/>
      <c r="O996" s="181" t="s">
        <v>4773</v>
      </c>
    </row>
    <row r="997" ht="14.25" customHeight="1">
      <c r="H997" s="179" t="str">
        <f t="shared" si="1"/>
        <v>#REF!</v>
      </c>
      <c r="I997" s="178" t="s">
        <v>4767</v>
      </c>
      <c r="J997" s="182" t="s">
        <v>4779</v>
      </c>
      <c r="K997" s="178" t="s">
        <v>4775</v>
      </c>
      <c r="L997" s="178" t="s">
        <v>4809</v>
      </c>
      <c r="M997" s="178" t="str">
        <f t="shared" si="45"/>
        <v>#REF!</v>
      </c>
      <c r="N997" s="185"/>
      <c r="O997" s="181" t="s">
        <v>4773</v>
      </c>
    </row>
    <row r="998" ht="14.25" customHeight="1">
      <c r="H998" s="179" t="str">
        <f t="shared" si="1"/>
        <v>#REF!</v>
      </c>
      <c r="I998" s="178" t="s">
        <v>4767</v>
      </c>
      <c r="J998" s="182" t="s">
        <v>4779</v>
      </c>
      <c r="K998" s="178" t="s">
        <v>4780</v>
      </c>
      <c r="L998" s="178" t="s">
        <v>4809</v>
      </c>
      <c r="M998" s="178" t="str">
        <f t="shared" si="45"/>
        <v>#REF!</v>
      </c>
      <c r="N998" s="185"/>
      <c r="O998" s="181" t="s">
        <v>4773</v>
      </c>
    </row>
    <row r="999" ht="14.25" customHeight="1">
      <c r="H999" s="179" t="str">
        <f t="shared" si="1"/>
        <v>#REF!</v>
      </c>
      <c r="I999" s="178" t="s">
        <v>4767</v>
      </c>
      <c r="J999" s="182" t="s">
        <v>4787</v>
      </c>
      <c r="K999" s="178" t="s">
        <v>4769</v>
      </c>
      <c r="L999" s="178" t="s">
        <v>4809</v>
      </c>
      <c r="M999" s="178" t="str">
        <f t="shared" si="45"/>
        <v>#REF!</v>
      </c>
      <c r="N999" s="185"/>
      <c r="O999" s="181" t="s">
        <v>4773</v>
      </c>
    </row>
    <row r="1000" ht="14.25" customHeight="1">
      <c r="H1000" s="179" t="str">
        <f t="shared" si="1"/>
        <v>#REF!</v>
      </c>
      <c r="I1000" s="178" t="s">
        <v>4767</v>
      </c>
      <c r="J1000" s="182" t="s">
        <v>4787</v>
      </c>
      <c r="K1000" s="178" t="s">
        <v>4775</v>
      </c>
      <c r="L1000" s="178" t="s">
        <v>4809</v>
      </c>
      <c r="M1000" s="178" t="str">
        <f t="shared" si="45"/>
        <v>#REF!</v>
      </c>
      <c r="N1000" s="185"/>
      <c r="O1000" s="181" t="s">
        <v>4773</v>
      </c>
    </row>
    <row r="1001" ht="14.25" customHeight="1">
      <c r="H1001" s="179" t="str">
        <f t="shared" si="1"/>
        <v>#REF!</v>
      </c>
      <c r="I1001" s="178" t="s">
        <v>4767</v>
      </c>
      <c r="J1001" s="182" t="s">
        <v>4787</v>
      </c>
      <c r="K1001" s="178" t="s">
        <v>4780</v>
      </c>
      <c r="L1001" s="178" t="s">
        <v>4809</v>
      </c>
      <c r="M1001" s="178" t="str">
        <f t="shared" si="45"/>
        <v>#REF!</v>
      </c>
      <c r="N1001" s="185"/>
      <c r="O1001" s="181" t="s">
        <v>4773</v>
      </c>
    </row>
    <row r="1002" ht="14.25" customHeight="1">
      <c r="H1002" s="179" t="str">
        <f t="shared" si="1"/>
        <v>#REF!</v>
      </c>
      <c r="I1002" s="178" t="s">
        <v>4767</v>
      </c>
      <c r="J1002" s="182" t="s">
        <v>4774</v>
      </c>
      <c r="K1002" s="178" t="s">
        <v>4769</v>
      </c>
      <c r="L1002" s="178" t="s">
        <v>4809</v>
      </c>
      <c r="M1002" s="178" t="str">
        <f t="shared" si="45"/>
        <v>#REF!</v>
      </c>
      <c r="N1002" s="185"/>
      <c r="O1002" s="181" t="s">
        <v>4773</v>
      </c>
    </row>
    <row r="1003" ht="14.25" customHeight="1">
      <c r="H1003" s="179" t="str">
        <f t="shared" si="1"/>
        <v>#REF!</v>
      </c>
      <c r="I1003" s="178" t="s">
        <v>4767</v>
      </c>
      <c r="J1003" s="182" t="s">
        <v>4774</v>
      </c>
      <c r="K1003" s="178" t="s">
        <v>4775</v>
      </c>
      <c r="L1003" s="178" t="s">
        <v>4809</v>
      </c>
      <c r="M1003" s="178" t="str">
        <f t="shared" si="45"/>
        <v>#REF!</v>
      </c>
      <c r="N1003" s="185"/>
      <c r="O1003" s="181" t="s">
        <v>4773</v>
      </c>
    </row>
    <row r="1004" ht="14.25" customHeight="1">
      <c r="H1004" s="179" t="str">
        <f t="shared" si="1"/>
        <v>#REF!</v>
      </c>
      <c r="I1004" s="178" t="s">
        <v>4767</v>
      </c>
      <c r="J1004" s="182" t="s">
        <v>4774</v>
      </c>
      <c r="K1004" s="178" t="s">
        <v>4780</v>
      </c>
      <c r="L1004" s="178" t="s">
        <v>4809</v>
      </c>
      <c r="M1004" s="178" t="str">
        <f t="shared" si="45"/>
        <v>#REF!</v>
      </c>
      <c r="N1004" s="185"/>
      <c r="O1004" s="181" t="s">
        <v>4773</v>
      </c>
    </row>
    <row r="1005" ht="14.25" customHeight="1">
      <c r="H1005" s="179" t="str">
        <f t="shared" si="1"/>
        <v>#REF!</v>
      </c>
      <c r="I1005" s="178" t="s">
        <v>4767</v>
      </c>
      <c r="J1005" s="182" t="s">
        <v>4785</v>
      </c>
      <c r="K1005" s="178" t="s">
        <v>4769</v>
      </c>
      <c r="L1005" s="178" t="s">
        <v>4809</v>
      </c>
      <c r="M1005" s="178" t="str">
        <f t="shared" si="45"/>
        <v>#REF!</v>
      </c>
      <c r="N1005" s="185"/>
      <c r="O1005" s="181" t="s">
        <v>4773</v>
      </c>
    </row>
    <row r="1006" ht="14.25" customHeight="1">
      <c r="H1006" s="179" t="str">
        <f t="shared" si="1"/>
        <v>#REF!</v>
      </c>
      <c r="I1006" s="178" t="s">
        <v>4767</v>
      </c>
      <c r="J1006" s="182" t="s">
        <v>4785</v>
      </c>
      <c r="K1006" s="178" t="s">
        <v>4775</v>
      </c>
      <c r="L1006" s="178" t="s">
        <v>4809</v>
      </c>
      <c r="M1006" s="178" t="str">
        <f t="shared" si="45"/>
        <v>#REF!</v>
      </c>
      <c r="N1006" s="185"/>
      <c r="O1006" s="181" t="s">
        <v>4773</v>
      </c>
    </row>
    <row r="1007" ht="14.25" customHeight="1">
      <c r="H1007" s="179" t="str">
        <f t="shared" si="1"/>
        <v>#REF!</v>
      </c>
      <c r="I1007" s="178" t="s">
        <v>4767</v>
      </c>
      <c r="J1007" s="182" t="s">
        <v>4785</v>
      </c>
      <c r="K1007" s="178" t="s">
        <v>4780</v>
      </c>
      <c r="L1007" s="178" t="s">
        <v>4809</v>
      </c>
      <c r="M1007" s="178" t="str">
        <f t="shared" si="45"/>
        <v>#REF!</v>
      </c>
      <c r="N1007" s="185"/>
      <c r="O1007" s="181" t="s">
        <v>4773</v>
      </c>
    </row>
    <row r="1008" ht="14.25" customHeight="1">
      <c r="H1008" s="179" t="str">
        <f t="shared" si="1"/>
        <v>#REF!</v>
      </c>
      <c r="I1008" s="178" t="s">
        <v>4767</v>
      </c>
      <c r="J1008" s="182" t="s">
        <v>4783</v>
      </c>
      <c r="K1008" s="178" t="s">
        <v>4769</v>
      </c>
      <c r="L1008" s="178" t="s">
        <v>4809</v>
      </c>
      <c r="M1008" s="178" t="str">
        <f t="shared" si="45"/>
        <v>#REF!</v>
      </c>
      <c r="N1008" s="185"/>
      <c r="O1008" s="181" t="s">
        <v>4773</v>
      </c>
    </row>
    <row r="1009" ht="14.25" customHeight="1">
      <c r="H1009" s="179" t="str">
        <f t="shared" si="1"/>
        <v>#REF!</v>
      </c>
      <c r="I1009" s="178" t="s">
        <v>4767</v>
      </c>
      <c r="J1009" s="182" t="s">
        <v>4783</v>
      </c>
      <c r="K1009" s="178" t="s">
        <v>4775</v>
      </c>
      <c r="L1009" s="178" t="s">
        <v>4809</v>
      </c>
      <c r="M1009" s="178" t="str">
        <f t="shared" si="45"/>
        <v>#REF!</v>
      </c>
      <c r="N1009" s="185"/>
      <c r="O1009" s="181" t="s">
        <v>4773</v>
      </c>
    </row>
    <row r="1010" ht="14.25" customHeight="1">
      <c r="H1010" s="179" t="str">
        <f t="shared" si="1"/>
        <v>#REF!</v>
      </c>
      <c r="I1010" s="178" t="s">
        <v>4767</v>
      </c>
      <c r="J1010" s="182" t="s">
        <v>4783</v>
      </c>
      <c r="K1010" s="178" t="s">
        <v>4780</v>
      </c>
      <c r="L1010" s="178" t="s">
        <v>4809</v>
      </c>
      <c r="M1010" s="178" t="str">
        <f t="shared" si="45"/>
        <v>#REF!</v>
      </c>
      <c r="N1010" s="185"/>
      <c r="O1010" s="181" t="s">
        <v>4773</v>
      </c>
    </row>
    <row r="1011" ht="14.25" customHeight="1">
      <c r="H1011" s="179" t="str">
        <f t="shared" si="1"/>
        <v>#REF!</v>
      </c>
      <c r="I1011" s="178" t="s">
        <v>4767</v>
      </c>
      <c r="J1011" s="182" t="s">
        <v>4789</v>
      </c>
      <c r="K1011" s="178" t="s">
        <v>4769</v>
      </c>
      <c r="L1011" s="178" t="s">
        <v>4809</v>
      </c>
      <c r="M1011" s="178" t="str">
        <f t="shared" si="45"/>
        <v>#REF!</v>
      </c>
      <c r="N1011" s="185"/>
      <c r="O1011" s="181" t="s">
        <v>4773</v>
      </c>
    </row>
    <row r="1012" ht="14.25" customHeight="1">
      <c r="H1012" s="179" t="str">
        <f t="shared" si="1"/>
        <v>#REF!</v>
      </c>
      <c r="I1012" s="178" t="s">
        <v>4767</v>
      </c>
      <c r="J1012" s="182" t="s">
        <v>4789</v>
      </c>
      <c r="K1012" s="178" t="s">
        <v>4775</v>
      </c>
      <c r="L1012" s="178" t="s">
        <v>4809</v>
      </c>
      <c r="M1012" s="178" t="str">
        <f t="shared" si="45"/>
        <v>#REF!</v>
      </c>
      <c r="N1012" s="185"/>
      <c r="O1012" s="181" t="s">
        <v>4773</v>
      </c>
    </row>
    <row r="1013" ht="14.25" customHeight="1">
      <c r="H1013" s="179" t="str">
        <f t="shared" si="1"/>
        <v>#REF!</v>
      </c>
      <c r="I1013" s="178" t="s">
        <v>4767</v>
      </c>
      <c r="J1013" s="182" t="s">
        <v>4789</v>
      </c>
      <c r="K1013" s="178" t="s">
        <v>4780</v>
      </c>
      <c r="L1013" s="178" t="s">
        <v>4809</v>
      </c>
      <c r="M1013" s="178" t="str">
        <f t="shared" si="45"/>
        <v>#REF!</v>
      </c>
      <c r="N1013" s="185"/>
      <c r="O1013" s="181" t="s">
        <v>4773</v>
      </c>
    </row>
    <row r="1014" ht="14.25" customHeight="1">
      <c r="H1014" s="179" t="str">
        <f t="shared" si="1"/>
        <v>#REF!</v>
      </c>
      <c r="I1014" s="178" t="s">
        <v>4767</v>
      </c>
      <c r="J1014" s="178" t="s">
        <v>4768</v>
      </c>
      <c r="K1014" s="178" t="s">
        <v>4769</v>
      </c>
      <c r="L1014" s="178" t="s">
        <v>4809</v>
      </c>
      <c r="M1014" s="178" t="str">
        <f t="shared" si="45"/>
        <v>#REF!</v>
      </c>
      <c r="N1014" s="185"/>
      <c r="O1014" s="181" t="s">
        <v>4773</v>
      </c>
    </row>
    <row r="1015" ht="14.25" customHeight="1">
      <c r="H1015" s="179" t="str">
        <f t="shared" si="1"/>
        <v>#REF!</v>
      </c>
      <c r="I1015" s="178" t="s">
        <v>4767</v>
      </c>
      <c r="J1015" s="178" t="s">
        <v>4768</v>
      </c>
      <c r="K1015" s="178" t="s">
        <v>4775</v>
      </c>
      <c r="L1015" s="178" t="s">
        <v>4809</v>
      </c>
      <c r="M1015" s="178" t="str">
        <f t="shared" si="45"/>
        <v>#REF!</v>
      </c>
      <c r="N1015" s="185"/>
      <c r="O1015" s="181" t="s">
        <v>4773</v>
      </c>
    </row>
    <row r="1016" ht="14.25" customHeight="1">
      <c r="H1016" s="179" t="str">
        <f t="shared" si="1"/>
        <v>#REF!</v>
      </c>
      <c r="I1016" s="178" t="s">
        <v>4767</v>
      </c>
      <c r="J1016" s="178" t="s">
        <v>4768</v>
      </c>
      <c r="K1016" s="178" t="s">
        <v>4780</v>
      </c>
      <c r="L1016" s="178" t="s">
        <v>4809</v>
      </c>
      <c r="M1016" s="178" t="str">
        <f t="shared" si="45"/>
        <v>#REF!</v>
      </c>
      <c r="N1016" s="185"/>
      <c r="O1016" s="181" t="s">
        <v>4773</v>
      </c>
    </row>
    <row r="1017" ht="14.25" customHeight="1">
      <c r="H1017" s="179" t="str">
        <f t="shared" si="1"/>
        <v>#REF!</v>
      </c>
      <c r="I1017" s="178" t="s">
        <v>4767</v>
      </c>
      <c r="J1017" s="182" t="s">
        <v>4779</v>
      </c>
      <c r="K1017" s="178" t="s">
        <v>4769</v>
      </c>
      <c r="L1017" s="178" t="s">
        <v>4809</v>
      </c>
      <c r="M1017" s="178" t="str">
        <f t="shared" ref="M1017:M1037" si="46">IF('Ficha de exención para baterías'!$P$32&gt;0,'Ficha de exención para baterías'!$P$32," ")</f>
        <v>#REF!</v>
      </c>
      <c r="N1017" s="185"/>
      <c r="O1017" s="181" t="s">
        <v>4773</v>
      </c>
    </row>
    <row r="1018" ht="14.25" customHeight="1">
      <c r="H1018" s="179" t="str">
        <f t="shared" si="1"/>
        <v>#REF!</v>
      </c>
      <c r="I1018" s="178" t="s">
        <v>4767</v>
      </c>
      <c r="J1018" s="182" t="s">
        <v>4779</v>
      </c>
      <c r="K1018" s="178" t="s">
        <v>4775</v>
      </c>
      <c r="L1018" s="178" t="s">
        <v>4809</v>
      </c>
      <c r="M1018" s="178" t="str">
        <f t="shared" si="46"/>
        <v>#REF!</v>
      </c>
      <c r="N1018" s="185"/>
      <c r="O1018" s="181" t="s">
        <v>4773</v>
      </c>
    </row>
    <row r="1019" ht="14.25" customHeight="1">
      <c r="H1019" s="179" t="str">
        <f t="shared" si="1"/>
        <v>#REF!</v>
      </c>
      <c r="I1019" s="178" t="s">
        <v>4767</v>
      </c>
      <c r="J1019" s="182" t="s">
        <v>4779</v>
      </c>
      <c r="K1019" s="178" t="s">
        <v>4780</v>
      </c>
      <c r="L1019" s="178" t="s">
        <v>4809</v>
      </c>
      <c r="M1019" s="178" t="str">
        <f t="shared" si="46"/>
        <v>#REF!</v>
      </c>
      <c r="N1019" s="185"/>
      <c r="O1019" s="181" t="s">
        <v>4773</v>
      </c>
    </row>
    <row r="1020" ht="14.25" customHeight="1">
      <c r="H1020" s="179" t="str">
        <f t="shared" si="1"/>
        <v>#REF!</v>
      </c>
      <c r="I1020" s="178" t="s">
        <v>4767</v>
      </c>
      <c r="J1020" s="182" t="s">
        <v>4787</v>
      </c>
      <c r="K1020" s="178" t="s">
        <v>4769</v>
      </c>
      <c r="L1020" s="178" t="s">
        <v>4809</v>
      </c>
      <c r="M1020" s="178" t="str">
        <f t="shared" si="46"/>
        <v>#REF!</v>
      </c>
      <c r="N1020" s="185"/>
      <c r="O1020" s="181" t="s">
        <v>4773</v>
      </c>
    </row>
    <row r="1021" ht="14.25" customHeight="1">
      <c r="H1021" s="179" t="str">
        <f t="shared" si="1"/>
        <v>#REF!</v>
      </c>
      <c r="I1021" s="178" t="s">
        <v>4767</v>
      </c>
      <c r="J1021" s="182" t="s">
        <v>4787</v>
      </c>
      <c r="K1021" s="178" t="s">
        <v>4775</v>
      </c>
      <c r="L1021" s="178" t="s">
        <v>4809</v>
      </c>
      <c r="M1021" s="178" t="str">
        <f t="shared" si="46"/>
        <v>#REF!</v>
      </c>
      <c r="N1021" s="185"/>
      <c r="O1021" s="181" t="s">
        <v>4773</v>
      </c>
    </row>
    <row r="1022" ht="14.25" customHeight="1">
      <c r="H1022" s="179" t="str">
        <f t="shared" si="1"/>
        <v>#REF!</v>
      </c>
      <c r="I1022" s="178" t="s">
        <v>4767</v>
      </c>
      <c r="J1022" s="182" t="s">
        <v>4787</v>
      </c>
      <c r="K1022" s="178" t="s">
        <v>4780</v>
      </c>
      <c r="L1022" s="178" t="s">
        <v>4809</v>
      </c>
      <c r="M1022" s="178" t="str">
        <f t="shared" si="46"/>
        <v>#REF!</v>
      </c>
      <c r="N1022" s="185"/>
      <c r="O1022" s="181" t="s">
        <v>4773</v>
      </c>
    </row>
    <row r="1023" ht="14.25" customHeight="1">
      <c r="H1023" s="179" t="str">
        <f t="shared" si="1"/>
        <v>#REF!</v>
      </c>
      <c r="I1023" s="178" t="s">
        <v>4767</v>
      </c>
      <c r="J1023" s="182" t="s">
        <v>4774</v>
      </c>
      <c r="K1023" s="178" t="s">
        <v>4769</v>
      </c>
      <c r="L1023" s="178" t="s">
        <v>4809</v>
      </c>
      <c r="M1023" s="178" t="str">
        <f t="shared" si="46"/>
        <v>#REF!</v>
      </c>
      <c r="N1023" s="185"/>
      <c r="O1023" s="181" t="s">
        <v>4773</v>
      </c>
    </row>
    <row r="1024" ht="14.25" customHeight="1">
      <c r="H1024" s="179" t="str">
        <f t="shared" si="1"/>
        <v>#REF!</v>
      </c>
      <c r="I1024" s="178" t="s">
        <v>4767</v>
      </c>
      <c r="J1024" s="182" t="s">
        <v>4774</v>
      </c>
      <c r="K1024" s="178" t="s">
        <v>4775</v>
      </c>
      <c r="L1024" s="178" t="s">
        <v>4809</v>
      </c>
      <c r="M1024" s="178" t="str">
        <f t="shared" si="46"/>
        <v>#REF!</v>
      </c>
      <c r="N1024" s="185"/>
      <c r="O1024" s="181" t="s">
        <v>4773</v>
      </c>
    </row>
    <row r="1025" ht="14.25" customHeight="1">
      <c r="H1025" s="179" t="str">
        <f t="shared" si="1"/>
        <v>#REF!</v>
      </c>
      <c r="I1025" s="178" t="s">
        <v>4767</v>
      </c>
      <c r="J1025" s="182" t="s">
        <v>4774</v>
      </c>
      <c r="K1025" s="178" t="s">
        <v>4780</v>
      </c>
      <c r="L1025" s="178" t="s">
        <v>4809</v>
      </c>
      <c r="M1025" s="178" t="str">
        <f t="shared" si="46"/>
        <v>#REF!</v>
      </c>
      <c r="N1025" s="185"/>
      <c r="O1025" s="181" t="s">
        <v>4773</v>
      </c>
    </row>
    <row r="1026" ht="14.25" customHeight="1">
      <c r="H1026" s="179" t="str">
        <f t="shared" si="1"/>
        <v>#REF!</v>
      </c>
      <c r="I1026" s="178" t="s">
        <v>4767</v>
      </c>
      <c r="J1026" s="182" t="s">
        <v>4785</v>
      </c>
      <c r="K1026" s="178" t="s">
        <v>4769</v>
      </c>
      <c r="L1026" s="178" t="s">
        <v>4809</v>
      </c>
      <c r="M1026" s="178" t="str">
        <f t="shared" si="46"/>
        <v>#REF!</v>
      </c>
      <c r="N1026" s="185"/>
      <c r="O1026" s="181" t="s">
        <v>4773</v>
      </c>
    </row>
    <row r="1027" ht="14.25" customHeight="1">
      <c r="H1027" s="179" t="str">
        <f t="shared" si="1"/>
        <v>#REF!</v>
      </c>
      <c r="I1027" s="178" t="s">
        <v>4767</v>
      </c>
      <c r="J1027" s="182" t="s">
        <v>4785</v>
      </c>
      <c r="K1027" s="178" t="s">
        <v>4775</v>
      </c>
      <c r="L1027" s="178" t="s">
        <v>4809</v>
      </c>
      <c r="M1027" s="178" t="str">
        <f t="shared" si="46"/>
        <v>#REF!</v>
      </c>
      <c r="N1027" s="185"/>
      <c r="O1027" s="181" t="s">
        <v>4773</v>
      </c>
    </row>
    <row r="1028" ht="14.25" customHeight="1">
      <c r="H1028" s="179" t="str">
        <f t="shared" si="1"/>
        <v>#REF!</v>
      </c>
      <c r="I1028" s="178" t="s">
        <v>4767</v>
      </c>
      <c r="J1028" s="182" t="s">
        <v>4785</v>
      </c>
      <c r="K1028" s="178" t="s">
        <v>4780</v>
      </c>
      <c r="L1028" s="178" t="s">
        <v>4809</v>
      </c>
      <c r="M1028" s="178" t="str">
        <f t="shared" si="46"/>
        <v>#REF!</v>
      </c>
      <c r="N1028" s="185"/>
      <c r="O1028" s="181" t="s">
        <v>4773</v>
      </c>
    </row>
    <row r="1029" ht="14.25" customHeight="1">
      <c r="H1029" s="179" t="str">
        <f t="shared" si="1"/>
        <v>#REF!</v>
      </c>
      <c r="I1029" s="178" t="s">
        <v>4767</v>
      </c>
      <c r="J1029" s="182" t="s">
        <v>4783</v>
      </c>
      <c r="K1029" s="178" t="s">
        <v>4769</v>
      </c>
      <c r="L1029" s="178" t="s">
        <v>4809</v>
      </c>
      <c r="M1029" s="178" t="str">
        <f t="shared" si="46"/>
        <v>#REF!</v>
      </c>
      <c r="N1029" s="185"/>
      <c r="O1029" s="181" t="s">
        <v>4773</v>
      </c>
    </row>
    <row r="1030" ht="14.25" customHeight="1">
      <c r="H1030" s="179" t="str">
        <f t="shared" si="1"/>
        <v>#REF!</v>
      </c>
      <c r="I1030" s="178" t="s">
        <v>4767</v>
      </c>
      <c r="J1030" s="182" t="s">
        <v>4783</v>
      </c>
      <c r="K1030" s="178" t="s">
        <v>4775</v>
      </c>
      <c r="L1030" s="178" t="s">
        <v>4809</v>
      </c>
      <c r="M1030" s="178" t="str">
        <f t="shared" si="46"/>
        <v>#REF!</v>
      </c>
      <c r="N1030" s="185"/>
      <c r="O1030" s="181" t="s">
        <v>4773</v>
      </c>
    </row>
    <row r="1031" ht="14.25" customHeight="1">
      <c r="H1031" s="179" t="str">
        <f t="shared" si="1"/>
        <v>#REF!</v>
      </c>
      <c r="I1031" s="178" t="s">
        <v>4767</v>
      </c>
      <c r="J1031" s="182" t="s">
        <v>4783</v>
      </c>
      <c r="K1031" s="178" t="s">
        <v>4780</v>
      </c>
      <c r="L1031" s="178" t="s">
        <v>4809</v>
      </c>
      <c r="M1031" s="178" t="str">
        <f t="shared" si="46"/>
        <v>#REF!</v>
      </c>
      <c r="N1031" s="185"/>
      <c r="O1031" s="181" t="s">
        <v>4773</v>
      </c>
    </row>
    <row r="1032" ht="14.25" customHeight="1">
      <c r="H1032" s="179" t="str">
        <f t="shared" si="1"/>
        <v>#REF!</v>
      </c>
      <c r="I1032" s="178" t="s">
        <v>4767</v>
      </c>
      <c r="J1032" s="182" t="s">
        <v>4789</v>
      </c>
      <c r="K1032" s="178" t="s">
        <v>4769</v>
      </c>
      <c r="L1032" s="178" t="s">
        <v>4809</v>
      </c>
      <c r="M1032" s="178" t="str">
        <f t="shared" si="46"/>
        <v>#REF!</v>
      </c>
      <c r="N1032" s="185"/>
      <c r="O1032" s="181" t="s">
        <v>4773</v>
      </c>
    </row>
    <row r="1033" ht="14.25" customHeight="1">
      <c r="H1033" s="179" t="str">
        <f t="shared" si="1"/>
        <v>#REF!</v>
      </c>
      <c r="I1033" s="178" t="s">
        <v>4767</v>
      </c>
      <c r="J1033" s="182" t="s">
        <v>4789</v>
      </c>
      <c r="K1033" s="178" t="s">
        <v>4775</v>
      </c>
      <c r="L1033" s="178" t="s">
        <v>4809</v>
      </c>
      <c r="M1033" s="178" t="str">
        <f t="shared" si="46"/>
        <v>#REF!</v>
      </c>
      <c r="N1033" s="185"/>
      <c r="O1033" s="181" t="s">
        <v>4773</v>
      </c>
    </row>
    <row r="1034" ht="14.25" customHeight="1">
      <c r="H1034" s="179" t="str">
        <f t="shared" si="1"/>
        <v>#REF!</v>
      </c>
      <c r="I1034" s="178" t="s">
        <v>4767</v>
      </c>
      <c r="J1034" s="182" t="s">
        <v>4789</v>
      </c>
      <c r="K1034" s="178" t="s">
        <v>4780</v>
      </c>
      <c r="L1034" s="178" t="s">
        <v>4809</v>
      </c>
      <c r="M1034" s="178" t="str">
        <f t="shared" si="46"/>
        <v>#REF!</v>
      </c>
      <c r="N1034" s="185"/>
      <c r="O1034" s="181" t="s">
        <v>4773</v>
      </c>
    </row>
    <row r="1035" ht="14.25" customHeight="1">
      <c r="H1035" s="179" t="str">
        <f t="shared" si="1"/>
        <v>#REF!</v>
      </c>
      <c r="I1035" s="178" t="s">
        <v>4767</v>
      </c>
      <c r="J1035" s="178" t="s">
        <v>4768</v>
      </c>
      <c r="K1035" s="178" t="s">
        <v>4769</v>
      </c>
      <c r="L1035" s="178" t="s">
        <v>4809</v>
      </c>
      <c r="M1035" s="178" t="str">
        <f t="shared" si="46"/>
        <v>#REF!</v>
      </c>
      <c r="N1035" s="185"/>
      <c r="O1035" s="181" t="s">
        <v>4773</v>
      </c>
    </row>
    <row r="1036" ht="14.25" customHeight="1">
      <c r="H1036" s="179" t="str">
        <f t="shared" si="1"/>
        <v>#REF!</v>
      </c>
      <c r="I1036" s="178" t="s">
        <v>4767</v>
      </c>
      <c r="J1036" s="178" t="s">
        <v>4768</v>
      </c>
      <c r="K1036" s="178" t="s">
        <v>4775</v>
      </c>
      <c r="L1036" s="178" t="s">
        <v>4809</v>
      </c>
      <c r="M1036" s="178" t="str">
        <f t="shared" si="46"/>
        <v>#REF!</v>
      </c>
      <c r="N1036" s="185"/>
      <c r="O1036" s="181" t="s">
        <v>4773</v>
      </c>
    </row>
    <row r="1037" ht="14.25" customHeight="1">
      <c r="H1037" s="179" t="str">
        <f t="shared" si="1"/>
        <v>#REF!</v>
      </c>
      <c r="I1037" s="178" t="s">
        <v>4767</v>
      </c>
      <c r="J1037" s="178" t="s">
        <v>4768</v>
      </c>
      <c r="K1037" s="178" t="s">
        <v>4780</v>
      </c>
      <c r="L1037" s="178" t="s">
        <v>4809</v>
      </c>
      <c r="M1037" s="178" t="str">
        <f t="shared" si="46"/>
        <v>#REF!</v>
      </c>
      <c r="N1037" s="185"/>
      <c r="O1037" s="181" t="s">
        <v>4773</v>
      </c>
    </row>
    <row r="1038" ht="14.25" customHeight="1">
      <c r="H1038" s="179" t="str">
        <f t="shared" si="1"/>
        <v>#REF!</v>
      </c>
      <c r="I1038" s="178" t="s">
        <v>4767</v>
      </c>
      <c r="J1038" s="182" t="s">
        <v>4779</v>
      </c>
      <c r="K1038" s="178" t="s">
        <v>4769</v>
      </c>
      <c r="L1038" s="178" t="s">
        <v>4809</v>
      </c>
      <c r="M1038" s="178" t="str">
        <f t="shared" ref="M1038:M1079" si="47">IF('Ficha de exención para baterías'!$P$13&gt;0,'Ficha de exención para baterías'!$P$13," ")</f>
        <v>#REF!</v>
      </c>
      <c r="N1038" s="185"/>
      <c r="O1038" s="181" t="s">
        <v>4773</v>
      </c>
    </row>
    <row r="1039" ht="14.25" customHeight="1">
      <c r="H1039" s="179" t="str">
        <f t="shared" si="1"/>
        <v>#REF!</v>
      </c>
      <c r="I1039" s="178" t="s">
        <v>4767</v>
      </c>
      <c r="J1039" s="182" t="s">
        <v>4779</v>
      </c>
      <c r="K1039" s="178" t="s">
        <v>4775</v>
      </c>
      <c r="L1039" s="178" t="s">
        <v>4809</v>
      </c>
      <c r="M1039" s="178" t="str">
        <f t="shared" si="47"/>
        <v>#REF!</v>
      </c>
      <c r="N1039" s="185"/>
      <c r="O1039" s="181" t="s">
        <v>4773</v>
      </c>
    </row>
    <row r="1040" ht="14.25" customHeight="1">
      <c r="H1040" s="179" t="str">
        <f t="shared" si="1"/>
        <v>#REF!</v>
      </c>
      <c r="I1040" s="178" t="s">
        <v>4767</v>
      </c>
      <c r="J1040" s="182" t="s">
        <v>4779</v>
      </c>
      <c r="K1040" s="178" t="s">
        <v>4780</v>
      </c>
      <c r="L1040" s="178" t="s">
        <v>4809</v>
      </c>
      <c r="M1040" s="178" t="str">
        <f t="shared" si="47"/>
        <v>#REF!</v>
      </c>
      <c r="N1040" s="185"/>
      <c r="O1040" s="181" t="s">
        <v>4773</v>
      </c>
    </row>
    <row r="1041" ht="14.25" customHeight="1">
      <c r="H1041" s="179" t="str">
        <f t="shared" si="1"/>
        <v>#REF!</v>
      </c>
      <c r="I1041" s="178" t="s">
        <v>4767</v>
      </c>
      <c r="J1041" s="182" t="s">
        <v>4787</v>
      </c>
      <c r="K1041" s="178" t="s">
        <v>4769</v>
      </c>
      <c r="L1041" s="178" t="s">
        <v>4809</v>
      </c>
      <c r="M1041" s="178" t="str">
        <f t="shared" si="47"/>
        <v>#REF!</v>
      </c>
      <c r="N1041" s="185"/>
      <c r="O1041" s="181" t="s">
        <v>4773</v>
      </c>
    </row>
    <row r="1042" ht="14.25" customHeight="1">
      <c r="H1042" s="179" t="str">
        <f t="shared" si="1"/>
        <v>#REF!</v>
      </c>
      <c r="I1042" s="178" t="s">
        <v>4767</v>
      </c>
      <c r="J1042" s="182" t="s">
        <v>4787</v>
      </c>
      <c r="K1042" s="178" t="s">
        <v>4775</v>
      </c>
      <c r="L1042" s="178" t="s">
        <v>4809</v>
      </c>
      <c r="M1042" s="178" t="str">
        <f t="shared" si="47"/>
        <v>#REF!</v>
      </c>
      <c r="N1042" s="185"/>
      <c r="O1042" s="181" t="s">
        <v>4773</v>
      </c>
    </row>
    <row r="1043" ht="14.25" customHeight="1">
      <c r="H1043" s="179" t="str">
        <f t="shared" si="1"/>
        <v>#REF!</v>
      </c>
      <c r="I1043" s="178" t="s">
        <v>4767</v>
      </c>
      <c r="J1043" s="182" t="s">
        <v>4787</v>
      </c>
      <c r="K1043" s="178" t="s">
        <v>4780</v>
      </c>
      <c r="L1043" s="178" t="s">
        <v>4809</v>
      </c>
      <c r="M1043" s="178" t="str">
        <f t="shared" si="47"/>
        <v>#REF!</v>
      </c>
      <c r="N1043" s="185"/>
      <c r="O1043" s="181" t="s">
        <v>4773</v>
      </c>
    </row>
    <row r="1044" ht="14.25" customHeight="1">
      <c r="H1044" s="179" t="str">
        <f t="shared" si="1"/>
        <v>#REF!</v>
      </c>
      <c r="I1044" s="178" t="s">
        <v>4767</v>
      </c>
      <c r="J1044" s="182" t="s">
        <v>4774</v>
      </c>
      <c r="K1044" s="178" t="s">
        <v>4769</v>
      </c>
      <c r="L1044" s="178" t="s">
        <v>4809</v>
      </c>
      <c r="M1044" s="178" t="str">
        <f t="shared" si="47"/>
        <v>#REF!</v>
      </c>
      <c r="N1044" s="185"/>
      <c r="O1044" s="181" t="s">
        <v>4773</v>
      </c>
    </row>
    <row r="1045" ht="14.25" customHeight="1">
      <c r="H1045" s="179" t="str">
        <f t="shared" si="1"/>
        <v>#REF!</v>
      </c>
      <c r="I1045" s="178" t="s">
        <v>4767</v>
      </c>
      <c r="J1045" s="182" t="s">
        <v>4774</v>
      </c>
      <c r="K1045" s="178" t="s">
        <v>4775</v>
      </c>
      <c r="L1045" s="178" t="s">
        <v>4809</v>
      </c>
      <c r="M1045" s="178" t="str">
        <f t="shared" si="47"/>
        <v>#REF!</v>
      </c>
      <c r="N1045" s="185"/>
      <c r="O1045" s="181" t="s">
        <v>4773</v>
      </c>
    </row>
    <row r="1046" ht="14.25" customHeight="1">
      <c r="H1046" s="179" t="str">
        <f t="shared" si="1"/>
        <v>#REF!</v>
      </c>
      <c r="I1046" s="178" t="s">
        <v>4767</v>
      </c>
      <c r="J1046" s="182" t="s">
        <v>4774</v>
      </c>
      <c r="K1046" s="178" t="s">
        <v>4780</v>
      </c>
      <c r="L1046" s="178" t="s">
        <v>4809</v>
      </c>
      <c r="M1046" s="178" t="str">
        <f t="shared" si="47"/>
        <v>#REF!</v>
      </c>
      <c r="N1046" s="185"/>
      <c r="O1046" s="181" t="s">
        <v>4773</v>
      </c>
    </row>
    <row r="1047" ht="14.25" customHeight="1">
      <c r="H1047" s="179" t="str">
        <f t="shared" si="1"/>
        <v>#REF!</v>
      </c>
      <c r="I1047" s="178" t="s">
        <v>4767</v>
      </c>
      <c r="J1047" s="182" t="s">
        <v>4785</v>
      </c>
      <c r="K1047" s="178" t="s">
        <v>4769</v>
      </c>
      <c r="L1047" s="178" t="s">
        <v>4809</v>
      </c>
      <c r="M1047" s="178" t="str">
        <f t="shared" si="47"/>
        <v>#REF!</v>
      </c>
      <c r="N1047" s="185"/>
      <c r="O1047" s="181" t="s">
        <v>4773</v>
      </c>
    </row>
    <row r="1048" ht="14.25" customHeight="1">
      <c r="H1048" s="179" t="str">
        <f t="shared" si="1"/>
        <v>#REF!</v>
      </c>
      <c r="I1048" s="178" t="s">
        <v>4767</v>
      </c>
      <c r="J1048" s="182" t="s">
        <v>4785</v>
      </c>
      <c r="K1048" s="178" t="s">
        <v>4775</v>
      </c>
      <c r="L1048" s="178" t="s">
        <v>4809</v>
      </c>
      <c r="M1048" s="178" t="str">
        <f t="shared" si="47"/>
        <v>#REF!</v>
      </c>
      <c r="N1048" s="185"/>
      <c r="O1048" s="181" t="s">
        <v>4773</v>
      </c>
    </row>
    <row r="1049" ht="14.25" customHeight="1">
      <c r="H1049" s="179" t="str">
        <f t="shared" si="1"/>
        <v>#REF!</v>
      </c>
      <c r="I1049" s="178" t="s">
        <v>4767</v>
      </c>
      <c r="J1049" s="182" t="s">
        <v>4785</v>
      </c>
      <c r="K1049" s="178" t="s">
        <v>4780</v>
      </c>
      <c r="L1049" s="178" t="s">
        <v>4809</v>
      </c>
      <c r="M1049" s="178" t="str">
        <f t="shared" si="47"/>
        <v>#REF!</v>
      </c>
      <c r="N1049" s="185"/>
      <c r="O1049" s="181" t="s">
        <v>4773</v>
      </c>
    </row>
    <row r="1050" ht="14.25" customHeight="1">
      <c r="H1050" s="179" t="str">
        <f t="shared" si="1"/>
        <v>#REF!</v>
      </c>
      <c r="I1050" s="178" t="s">
        <v>4767</v>
      </c>
      <c r="J1050" s="182" t="s">
        <v>4783</v>
      </c>
      <c r="K1050" s="178" t="s">
        <v>4769</v>
      </c>
      <c r="L1050" s="178" t="s">
        <v>4809</v>
      </c>
      <c r="M1050" s="178" t="str">
        <f t="shared" si="47"/>
        <v>#REF!</v>
      </c>
      <c r="N1050" s="185"/>
      <c r="O1050" s="181" t="s">
        <v>4773</v>
      </c>
    </row>
    <row r="1051" ht="14.25" customHeight="1">
      <c r="H1051" s="179" t="str">
        <f t="shared" si="1"/>
        <v>#REF!</v>
      </c>
      <c r="I1051" s="178" t="s">
        <v>4767</v>
      </c>
      <c r="J1051" s="182" t="s">
        <v>4783</v>
      </c>
      <c r="K1051" s="178" t="s">
        <v>4775</v>
      </c>
      <c r="L1051" s="178" t="s">
        <v>4809</v>
      </c>
      <c r="M1051" s="178" t="str">
        <f t="shared" si="47"/>
        <v>#REF!</v>
      </c>
      <c r="N1051" s="185"/>
      <c r="O1051" s="181" t="s">
        <v>4773</v>
      </c>
    </row>
    <row r="1052" ht="14.25" customHeight="1">
      <c r="H1052" s="179" t="str">
        <f t="shared" si="1"/>
        <v>#REF!</v>
      </c>
      <c r="I1052" s="178" t="s">
        <v>4767</v>
      </c>
      <c r="J1052" s="182" t="s">
        <v>4783</v>
      </c>
      <c r="K1052" s="178" t="s">
        <v>4780</v>
      </c>
      <c r="L1052" s="178" t="s">
        <v>4809</v>
      </c>
      <c r="M1052" s="178" t="str">
        <f t="shared" si="47"/>
        <v>#REF!</v>
      </c>
      <c r="N1052" s="185"/>
      <c r="O1052" s="181" t="s">
        <v>4773</v>
      </c>
    </row>
    <row r="1053" ht="14.25" customHeight="1">
      <c r="H1053" s="179" t="str">
        <f t="shared" si="1"/>
        <v>#REF!</v>
      </c>
      <c r="I1053" s="178" t="s">
        <v>4767</v>
      </c>
      <c r="J1053" s="182" t="s">
        <v>4789</v>
      </c>
      <c r="K1053" s="178" t="s">
        <v>4769</v>
      </c>
      <c r="L1053" s="178" t="s">
        <v>4809</v>
      </c>
      <c r="M1053" s="178" t="str">
        <f t="shared" si="47"/>
        <v>#REF!</v>
      </c>
      <c r="N1053" s="185"/>
      <c r="O1053" s="181" t="s">
        <v>4773</v>
      </c>
    </row>
    <row r="1054" ht="14.25" customHeight="1">
      <c r="H1054" s="179" t="str">
        <f t="shared" si="1"/>
        <v>#REF!</v>
      </c>
      <c r="I1054" s="178" t="s">
        <v>4767</v>
      </c>
      <c r="J1054" s="182" t="s">
        <v>4789</v>
      </c>
      <c r="K1054" s="178" t="s">
        <v>4775</v>
      </c>
      <c r="L1054" s="178" t="s">
        <v>4809</v>
      </c>
      <c r="M1054" s="178" t="str">
        <f t="shared" si="47"/>
        <v>#REF!</v>
      </c>
      <c r="N1054" s="185"/>
      <c r="O1054" s="181" t="s">
        <v>4773</v>
      </c>
    </row>
    <row r="1055" ht="14.25" customHeight="1">
      <c r="H1055" s="179" t="str">
        <f t="shared" si="1"/>
        <v>#REF!</v>
      </c>
      <c r="I1055" s="178" t="s">
        <v>4767</v>
      </c>
      <c r="J1055" s="182" t="s">
        <v>4789</v>
      </c>
      <c r="K1055" s="178" t="s">
        <v>4780</v>
      </c>
      <c r="L1055" s="178" t="s">
        <v>4809</v>
      </c>
      <c r="M1055" s="178" t="str">
        <f t="shared" si="47"/>
        <v>#REF!</v>
      </c>
      <c r="N1055" s="185"/>
      <c r="O1055" s="181" t="s">
        <v>4773</v>
      </c>
    </row>
    <row r="1056" ht="14.25" customHeight="1">
      <c r="H1056" s="179" t="str">
        <f t="shared" si="1"/>
        <v>#REF!</v>
      </c>
      <c r="I1056" s="178" t="s">
        <v>4767</v>
      </c>
      <c r="J1056" s="178" t="s">
        <v>4768</v>
      </c>
      <c r="K1056" s="178" t="s">
        <v>4769</v>
      </c>
      <c r="L1056" s="178" t="s">
        <v>4809</v>
      </c>
      <c r="M1056" s="178" t="str">
        <f t="shared" si="47"/>
        <v>#REF!</v>
      </c>
      <c r="N1056" s="185"/>
      <c r="O1056" s="181" t="s">
        <v>4773</v>
      </c>
    </row>
    <row r="1057" ht="14.25" customHeight="1">
      <c r="H1057" s="179" t="str">
        <f t="shared" si="1"/>
        <v>#REF!</v>
      </c>
      <c r="I1057" s="178" t="s">
        <v>4767</v>
      </c>
      <c r="J1057" s="178" t="s">
        <v>4768</v>
      </c>
      <c r="K1057" s="178" t="s">
        <v>4775</v>
      </c>
      <c r="L1057" s="178" t="s">
        <v>4809</v>
      </c>
      <c r="M1057" s="178" t="str">
        <f t="shared" si="47"/>
        <v>#REF!</v>
      </c>
      <c r="N1057" s="185"/>
      <c r="O1057" s="181" t="s">
        <v>4773</v>
      </c>
    </row>
    <row r="1058" ht="14.25" customHeight="1">
      <c r="H1058" s="179" t="str">
        <f t="shared" si="1"/>
        <v>#REF!</v>
      </c>
      <c r="I1058" s="178" t="s">
        <v>4767</v>
      </c>
      <c r="J1058" s="178" t="s">
        <v>4768</v>
      </c>
      <c r="K1058" s="178" t="s">
        <v>4780</v>
      </c>
      <c r="L1058" s="178" t="s">
        <v>4809</v>
      </c>
      <c r="M1058" s="178" t="str">
        <f t="shared" si="47"/>
        <v>#REF!</v>
      </c>
      <c r="N1058" s="185"/>
      <c r="O1058" s="181" t="s">
        <v>4773</v>
      </c>
    </row>
    <row r="1059" ht="14.25" customHeight="1">
      <c r="H1059" s="179" t="str">
        <f t="shared" si="1"/>
        <v>#REF!</v>
      </c>
      <c r="I1059" s="178" t="s">
        <v>4767</v>
      </c>
      <c r="J1059" s="182" t="s">
        <v>4779</v>
      </c>
      <c r="K1059" s="178" t="s">
        <v>4769</v>
      </c>
      <c r="L1059" s="178" t="s">
        <v>4808</v>
      </c>
      <c r="M1059" s="178" t="str">
        <f t="shared" si="47"/>
        <v>#REF!</v>
      </c>
      <c r="N1059" s="185"/>
      <c r="O1059" s="181" t="s">
        <v>4773</v>
      </c>
    </row>
    <row r="1060" ht="14.25" customHeight="1">
      <c r="H1060" s="179" t="str">
        <f t="shared" si="1"/>
        <v>#REF!</v>
      </c>
      <c r="I1060" s="178" t="s">
        <v>4767</v>
      </c>
      <c r="J1060" s="182" t="s">
        <v>4779</v>
      </c>
      <c r="K1060" s="178" t="s">
        <v>4775</v>
      </c>
      <c r="L1060" s="178" t="s">
        <v>4808</v>
      </c>
      <c r="M1060" s="178" t="str">
        <f t="shared" si="47"/>
        <v>#REF!</v>
      </c>
      <c r="N1060" s="185"/>
      <c r="O1060" s="181" t="s">
        <v>4773</v>
      </c>
    </row>
    <row r="1061" ht="14.25" customHeight="1">
      <c r="H1061" s="179" t="str">
        <f t="shared" si="1"/>
        <v>#REF!</v>
      </c>
      <c r="I1061" s="178" t="s">
        <v>4767</v>
      </c>
      <c r="J1061" s="182" t="s">
        <v>4779</v>
      </c>
      <c r="K1061" s="178" t="s">
        <v>4780</v>
      </c>
      <c r="L1061" s="178" t="s">
        <v>4808</v>
      </c>
      <c r="M1061" s="178" t="str">
        <f t="shared" si="47"/>
        <v>#REF!</v>
      </c>
      <c r="N1061" s="185"/>
      <c r="O1061" s="181" t="s">
        <v>4773</v>
      </c>
    </row>
    <row r="1062" ht="14.25" customHeight="1">
      <c r="H1062" s="179" t="str">
        <f t="shared" si="1"/>
        <v>#REF!</v>
      </c>
      <c r="I1062" s="178" t="s">
        <v>4767</v>
      </c>
      <c r="J1062" s="182" t="s">
        <v>4787</v>
      </c>
      <c r="K1062" s="178" t="s">
        <v>4769</v>
      </c>
      <c r="L1062" s="178" t="s">
        <v>4808</v>
      </c>
      <c r="M1062" s="178" t="str">
        <f t="shared" si="47"/>
        <v>#REF!</v>
      </c>
      <c r="N1062" s="185"/>
      <c r="O1062" s="181" t="s">
        <v>4773</v>
      </c>
    </row>
    <row r="1063" ht="14.25" customHeight="1">
      <c r="H1063" s="179" t="str">
        <f t="shared" si="1"/>
        <v>#REF!</v>
      </c>
      <c r="I1063" s="178" t="s">
        <v>4767</v>
      </c>
      <c r="J1063" s="182" t="s">
        <v>4787</v>
      </c>
      <c r="K1063" s="178" t="s">
        <v>4775</v>
      </c>
      <c r="L1063" s="178" t="s">
        <v>4808</v>
      </c>
      <c r="M1063" s="178" t="str">
        <f t="shared" si="47"/>
        <v>#REF!</v>
      </c>
      <c r="N1063" s="185"/>
      <c r="O1063" s="181" t="s">
        <v>4773</v>
      </c>
    </row>
    <row r="1064" ht="14.25" customHeight="1">
      <c r="H1064" s="179" t="str">
        <f t="shared" si="1"/>
        <v>#REF!</v>
      </c>
      <c r="I1064" s="178" t="s">
        <v>4767</v>
      </c>
      <c r="J1064" s="182" t="s">
        <v>4787</v>
      </c>
      <c r="K1064" s="178" t="s">
        <v>4780</v>
      </c>
      <c r="L1064" s="178" t="s">
        <v>4808</v>
      </c>
      <c r="M1064" s="178" t="str">
        <f t="shared" si="47"/>
        <v>#REF!</v>
      </c>
      <c r="N1064" s="185"/>
      <c r="O1064" s="181" t="s">
        <v>4773</v>
      </c>
    </row>
    <row r="1065" ht="14.25" customHeight="1">
      <c r="H1065" s="179" t="str">
        <f t="shared" si="1"/>
        <v>#REF!</v>
      </c>
      <c r="I1065" s="178" t="s">
        <v>4767</v>
      </c>
      <c r="J1065" s="182" t="s">
        <v>4774</v>
      </c>
      <c r="K1065" s="178" t="s">
        <v>4769</v>
      </c>
      <c r="L1065" s="178" t="s">
        <v>4808</v>
      </c>
      <c r="M1065" s="178" t="str">
        <f t="shared" si="47"/>
        <v>#REF!</v>
      </c>
      <c r="N1065" s="185"/>
      <c r="O1065" s="181" t="s">
        <v>4773</v>
      </c>
    </row>
    <row r="1066" ht="14.25" customHeight="1">
      <c r="H1066" s="179" t="str">
        <f t="shared" si="1"/>
        <v>#REF!</v>
      </c>
      <c r="I1066" s="178" t="s">
        <v>4767</v>
      </c>
      <c r="J1066" s="182" t="s">
        <v>4774</v>
      </c>
      <c r="K1066" s="178" t="s">
        <v>4775</v>
      </c>
      <c r="L1066" s="178" t="s">
        <v>4808</v>
      </c>
      <c r="M1066" s="178" t="str">
        <f t="shared" si="47"/>
        <v>#REF!</v>
      </c>
      <c r="N1066" s="185"/>
      <c r="O1066" s="181" t="s">
        <v>4773</v>
      </c>
    </row>
    <row r="1067" ht="14.25" customHeight="1">
      <c r="H1067" s="179" t="str">
        <f t="shared" si="1"/>
        <v>#REF!</v>
      </c>
      <c r="I1067" s="178" t="s">
        <v>4767</v>
      </c>
      <c r="J1067" s="182" t="s">
        <v>4774</v>
      </c>
      <c r="K1067" s="178" t="s">
        <v>4780</v>
      </c>
      <c r="L1067" s="178" t="s">
        <v>4808</v>
      </c>
      <c r="M1067" s="178" t="str">
        <f t="shared" si="47"/>
        <v>#REF!</v>
      </c>
      <c r="N1067" s="185"/>
      <c r="O1067" s="181" t="s">
        <v>4773</v>
      </c>
    </row>
    <row r="1068" ht="14.25" customHeight="1">
      <c r="H1068" s="179" t="str">
        <f t="shared" si="1"/>
        <v>#REF!</v>
      </c>
      <c r="I1068" s="178" t="s">
        <v>4767</v>
      </c>
      <c r="J1068" s="182" t="s">
        <v>4785</v>
      </c>
      <c r="K1068" s="178" t="s">
        <v>4769</v>
      </c>
      <c r="L1068" s="178" t="s">
        <v>4808</v>
      </c>
      <c r="M1068" s="178" t="str">
        <f t="shared" si="47"/>
        <v>#REF!</v>
      </c>
      <c r="N1068" s="185"/>
      <c r="O1068" s="181" t="s">
        <v>4773</v>
      </c>
    </row>
    <row r="1069" ht="14.25" customHeight="1">
      <c r="H1069" s="179" t="str">
        <f t="shared" si="1"/>
        <v>#REF!</v>
      </c>
      <c r="I1069" s="178" t="s">
        <v>4767</v>
      </c>
      <c r="J1069" s="182" t="s">
        <v>4785</v>
      </c>
      <c r="K1069" s="178" t="s">
        <v>4775</v>
      </c>
      <c r="L1069" s="178" t="s">
        <v>4808</v>
      </c>
      <c r="M1069" s="178" t="str">
        <f t="shared" si="47"/>
        <v>#REF!</v>
      </c>
      <c r="N1069" s="185"/>
      <c r="O1069" s="181" t="s">
        <v>4773</v>
      </c>
    </row>
    <row r="1070" ht="14.25" customHeight="1">
      <c r="H1070" s="179" t="str">
        <f t="shared" si="1"/>
        <v>#REF!</v>
      </c>
      <c r="I1070" s="178" t="s">
        <v>4767</v>
      </c>
      <c r="J1070" s="182" t="s">
        <v>4785</v>
      </c>
      <c r="K1070" s="178" t="s">
        <v>4780</v>
      </c>
      <c r="L1070" s="178" t="s">
        <v>4808</v>
      </c>
      <c r="M1070" s="178" t="str">
        <f t="shared" si="47"/>
        <v>#REF!</v>
      </c>
      <c r="N1070" s="185"/>
      <c r="O1070" s="181" t="s">
        <v>4773</v>
      </c>
    </row>
    <row r="1071" ht="14.25" customHeight="1">
      <c r="H1071" s="179" t="str">
        <f t="shared" si="1"/>
        <v>#REF!</v>
      </c>
      <c r="I1071" s="178" t="s">
        <v>4767</v>
      </c>
      <c r="J1071" s="182" t="s">
        <v>4783</v>
      </c>
      <c r="K1071" s="178" t="s">
        <v>4769</v>
      </c>
      <c r="L1071" s="178" t="s">
        <v>4808</v>
      </c>
      <c r="M1071" s="178" t="str">
        <f t="shared" si="47"/>
        <v>#REF!</v>
      </c>
      <c r="N1071" s="185"/>
      <c r="O1071" s="181" t="s">
        <v>4773</v>
      </c>
    </row>
    <row r="1072" ht="14.25" customHeight="1">
      <c r="H1072" s="179" t="str">
        <f t="shared" si="1"/>
        <v>#REF!</v>
      </c>
      <c r="I1072" s="178" t="s">
        <v>4767</v>
      </c>
      <c r="J1072" s="182" t="s">
        <v>4783</v>
      </c>
      <c r="K1072" s="178" t="s">
        <v>4775</v>
      </c>
      <c r="L1072" s="178" t="s">
        <v>4808</v>
      </c>
      <c r="M1072" s="178" t="str">
        <f t="shared" si="47"/>
        <v>#REF!</v>
      </c>
      <c r="N1072" s="185"/>
      <c r="O1072" s="181" t="s">
        <v>4773</v>
      </c>
    </row>
    <row r="1073" ht="14.25" customHeight="1">
      <c r="H1073" s="179" t="str">
        <f t="shared" si="1"/>
        <v>#REF!</v>
      </c>
      <c r="I1073" s="178" t="s">
        <v>4767</v>
      </c>
      <c r="J1073" s="182" t="s">
        <v>4783</v>
      </c>
      <c r="K1073" s="178" t="s">
        <v>4780</v>
      </c>
      <c r="L1073" s="178" t="s">
        <v>4808</v>
      </c>
      <c r="M1073" s="178" t="str">
        <f t="shared" si="47"/>
        <v>#REF!</v>
      </c>
      <c r="N1073" s="185"/>
      <c r="O1073" s="181" t="s">
        <v>4773</v>
      </c>
    </row>
    <row r="1074" ht="14.25" customHeight="1">
      <c r="H1074" s="179" t="str">
        <f t="shared" si="1"/>
        <v>#REF!</v>
      </c>
      <c r="I1074" s="178" t="s">
        <v>4767</v>
      </c>
      <c r="J1074" s="182" t="s">
        <v>4789</v>
      </c>
      <c r="K1074" s="178" t="s">
        <v>4769</v>
      </c>
      <c r="L1074" s="178" t="s">
        <v>4808</v>
      </c>
      <c r="M1074" s="178" t="str">
        <f t="shared" si="47"/>
        <v>#REF!</v>
      </c>
      <c r="N1074" s="185"/>
      <c r="O1074" s="181" t="s">
        <v>4773</v>
      </c>
    </row>
    <row r="1075" ht="14.25" customHeight="1">
      <c r="H1075" s="179" t="str">
        <f t="shared" si="1"/>
        <v>#REF!</v>
      </c>
      <c r="I1075" s="178" t="s">
        <v>4767</v>
      </c>
      <c r="J1075" s="182" t="s">
        <v>4789</v>
      </c>
      <c r="K1075" s="178" t="s">
        <v>4775</v>
      </c>
      <c r="L1075" s="178" t="s">
        <v>4808</v>
      </c>
      <c r="M1075" s="178" t="str">
        <f t="shared" si="47"/>
        <v>#REF!</v>
      </c>
      <c r="N1075" s="185"/>
      <c r="O1075" s="181" t="s">
        <v>4773</v>
      </c>
    </row>
    <row r="1076" ht="14.25" customHeight="1">
      <c r="H1076" s="179" t="str">
        <f t="shared" si="1"/>
        <v>#REF!</v>
      </c>
      <c r="I1076" s="178" t="s">
        <v>4767</v>
      </c>
      <c r="J1076" s="182" t="s">
        <v>4789</v>
      </c>
      <c r="K1076" s="178" t="s">
        <v>4780</v>
      </c>
      <c r="L1076" s="178" t="s">
        <v>4808</v>
      </c>
      <c r="M1076" s="178" t="str">
        <f t="shared" si="47"/>
        <v>#REF!</v>
      </c>
      <c r="N1076" s="185"/>
      <c r="O1076" s="181" t="s">
        <v>4773</v>
      </c>
    </row>
    <row r="1077" ht="14.25" customHeight="1">
      <c r="H1077" s="179" t="str">
        <f t="shared" si="1"/>
        <v>#REF!</v>
      </c>
      <c r="I1077" s="178" t="s">
        <v>4767</v>
      </c>
      <c r="J1077" s="178" t="s">
        <v>4768</v>
      </c>
      <c r="K1077" s="178" t="s">
        <v>4769</v>
      </c>
      <c r="L1077" s="178" t="s">
        <v>4808</v>
      </c>
      <c r="M1077" s="178" t="str">
        <f t="shared" si="47"/>
        <v>#REF!</v>
      </c>
      <c r="N1077" s="185"/>
      <c r="O1077" s="181" t="s">
        <v>4773</v>
      </c>
    </row>
    <row r="1078" ht="14.25" customHeight="1">
      <c r="H1078" s="179" t="str">
        <f t="shared" si="1"/>
        <v>#REF!</v>
      </c>
      <c r="I1078" s="178" t="s">
        <v>4767</v>
      </c>
      <c r="J1078" s="178" t="s">
        <v>4768</v>
      </c>
      <c r="K1078" s="178" t="s">
        <v>4775</v>
      </c>
      <c r="L1078" s="178" t="s">
        <v>4808</v>
      </c>
      <c r="M1078" s="178" t="str">
        <f t="shared" si="47"/>
        <v>#REF!</v>
      </c>
      <c r="N1078" s="185"/>
      <c r="O1078" s="181" t="s">
        <v>4773</v>
      </c>
    </row>
    <row r="1079" ht="14.25" customHeight="1">
      <c r="H1079" s="179" t="str">
        <f t="shared" si="1"/>
        <v>#REF!</v>
      </c>
      <c r="I1079" s="178" t="s">
        <v>4767</v>
      </c>
      <c r="J1079" s="178" t="s">
        <v>4768</v>
      </c>
      <c r="K1079" s="178" t="s">
        <v>4780</v>
      </c>
      <c r="L1079" s="178" t="s">
        <v>4808</v>
      </c>
      <c r="M1079" s="178" t="str">
        <f t="shared" si="47"/>
        <v>#REF!</v>
      </c>
      <c r="N1079" s="185"/>
      <c r="O1079" s="181" t="s">
        <v>4773</v>
      </c>
    </row>
    <row r="1080" ht="14.25" customHeight="1">
      <c r="H1080" s="179" t="str">
        <f t="shared" si="1"/>
        <v>SíIon_litioEn el aparatoUna_sola_celda</v>
      </c>
      <c r="I1080" s="178" t="s">
        <v>4767</v>
      </c>
      <c r="J1080" s="182" t="s">
        <v>4779</v>
      </c>
      <c r="K1080" s="178" t="s">
        <v>4769</v>
      </c>
      <c r="L1080" s="178" t="s">
        <v>4808</v>
      </c>
      <c r="M1080" s="178"/>
      <c r="N1080" s="185"/>
      <c r="O1080" s="189" t="s">
        <v>4792</v>
      </c>
    </row>
    <row r="1081" ht="14.25" customHeight="1">
      <c r="H1081" s="179" t="str">
        <f t="shared" si="1"/>
        <v>SíIon_litioCon el equipoUna_sola_celda</v>
      </c>
      <c r="I1081" s="178" t="s">
        <v>4767</v>
      </c>
      <c r="J1081" s="182" t="s">
        <v>4779</v>
      </c>
      <c r="K1081" s="178" t="s">
        <v>4775</v>
      </c>
      <c r="L1081" s="178" t="s">
        <v>4808</v>
      </c>
      <c r="M1081" s="178"/>
      <c r="N1081" s="185"/>
      <c r="O1081" s="189" t="s">
        <v>4792</v>
      </c>
    </row>
    <row r="1082" ht="14.25" customHeight="1">
      <c r="H1082" s="179" t="str">
        <f t="shared" si="1"/>
        <v>SíIon_litioIndependienteUna_sola_celda</v>
      </c>
      <c r="I1082" s="178" t="s">
        <v>4767</v>
      </c>
      <c r="J1082" s="182" t="s">
        <v>4779</v>
      </c>
      <c r="K1082" s="178" t="s">
        <v>4780</v>
      </c>
      <c r="L1082" s="178" t="s">
        <v>4808</v>
      </c>
      <c r="M1082" s="178"/>
      <c r="N1082" s="185"/>
      <c r="O1082" s="189" t="s">
        <v>4792</v>
      </c>
    </row>
    <row r="1083" ht="14.25" customHeight="1">
      <c r="H1083" s="179" t="str">
        <f t="shared" si="1"/>
        <v>SíPolímero_de_litioEn el aparatoUna_sola_celda</v>
      </c>
      <c r="I1083" s="178" t="s">
        <v>4767</v>
      </c>
      <c r="J1083" s="182" t="s">
        <v>4787</v>
      </c>
      <c r="K1083" s="178" t="s">
        <v>4769</v>
      </c>
      <c r="L1083" s="178" t="s">
        <v>4808</v>
      </c>
      <c r="M1083" s="178"/>
      <c r="N1083" s="185"/>
      <c r="O1083" s="189" t="s">
        <v>4792</v>
      </c>
    </row>
    <row r="1084" ht="14.25" customHeight="1">
      <c r="H1084" s="179" t="str">
        <f t="shared" si="1"/>
        <v>SíPolímero_de_litioCon el equipoUna_sola_celda</v>
      </c>
      <c r="I1084" s="178" t="s">
        <v>4767</v>
      </c>
      <c r="J1084" s="182" t="s">
        <v>4787</v>
      </c>
      <c r="K1084" s="178" t="s">
        <v>4775</v>
      </c>
      <c r="L1084" s="178" t="s">
        <v>4808</v>
      </c>
      <c r="M1084" s="178"/>
      <c r="N1084" s="185"/>
      <c r="O1084" s="189" t="s">
        <v>4792</v>
      </c>
    </row>
    <row r="1085" ht="14.25" customHeight="1">
      <c r="H1085" s="179" t="str">
        <f t="shared" si="1"/>
        <v>SíPolímero_de_litioIndependienteUna_sola_celda</v>
      </c>
      <c r="I1085" s="178" t="s">
        <v>4767</v>
      </c>
      <c r="J1085" s="182" t="s">
        <v>4787</v>
      </c>
      <c r="K1085" s="178" t="s">
        <v>4780</v>
      </c>
      <c r="L1085" s="178" t="s">
        <v>4808</v>
      </c>
      <c r="M1085" s="178"/>
      <c r="N1085" s="185"/>
      <c r="O1085" s="189" t="s">
        <v>4792</v>
      </c>
    </row>
    <row r="1086" ht="14.25" customHeight="1">
      <c r="H1086" s="179" t="str">
        <f t="shared" si="1"/>
        <v>SíÓxido_cobalto_LitioEn el aparatoUna_sola_celda</v>
      </c>
      <c r="I1086" s="178" t="s">
        <v>4767</v>
      </c>
      <c r="J1086" s="182" t="s">
        <v>4774</v>
      </c>
      <c r="K1086" s="178" t="s">
        <v>4769</v>
      </c>
      <c r="L1086" s="178" t="s">
        <v>4808</v>
      </c>
      <c r="M1086" s="178"/>
      <c r="N1086" s="185"/>
      <c r="O1086" s="189" t="s">
        <v>4792</v>
      </c>
    </row>
    <row r="1087" ht="14.25" customHeight="1">
      <c r="H1087" s="179" t="str">
        <f t="shared" si="1"/>
        <v>SíÓxido_cobalto_LitioCon el equipoUna_sola_celda</v>
      </c>
      <c r="I1087" s="178" t="s">
        <v>4767</v>
      </c>
      <c r="J1087" s="182" t="s">
        <v>4774</v>
      </c>
      <c r="K1087" s="178" t="s">
        <v>4775</v>
      </c>
      <c r="L1087" s="178" t="s">
        <v>4808</v>
      </c>
      <c r="M1087" s="178"/>
      <c r="N1087" s="185"/>
      <c r="O1087" s="189" t="s">
        <v>4792</v>
      </c>
    </row>
    <row r="1088" ht="14.25" customHeight="1">
      <c r="H1088" s="179" t="str">
        <f t="shared" si="1"/>
        <v>SíÓxido_cobalto_LitioIndependienteUna_sola_celda</v>
      </c>
      <c r="I1088" s="178" t="s">
        <v>4767</v>
      </c>
      <c r="J1088" s="182" t="s">
        <v>4774</v>
      </c>
      <c r="K1088" s="178" t="s">
        <v>4780</v>
      </c>
      <c r="L1088" s="178" t="s">
        <v>4808</v>
      </c>
      <c r="M1088" s="178"/>
      <c r="N1088" s="185"/>
      <c r="O1088" s="189" t="s">
        <v>4792</v>
      </c>
    </row>
    <row r="1089" ht="14.25" customHeight="1">
      <c r="H1089" s="179" t="str">
        <f t="shared" si="1"/>
        <v>SíÓxido_de_cobalto_de_manganeso_y_litioEn el aparatoUna_sola_celda</v>
      </c>
      <c r="I1089" s="178" t="s">
        <v>4767</v>
      </c>
      <c r="J1089" s="182" t="s">
        <v>4785</v>
      </c>
      <c r="K1089" s="178" t="s">
        <v>4769</v>
      </c>
      <c r="L1089" s="178" t="s">
        <v>4808</v>
      </c>
      <c r="M1089" s="178"/>
      <c r="N1089" s="185"/>
      <c r="O1089" s="189" t="s">
        <v>4792</v>
      </c>
    </row>
    <row r="1090" ht="14.25" customHeight="1">
      <c r="H1090" s="179" t="str">
        <f t="shared" si="1"/>
        <v>SíÓxido_de_cobalto_de_manganeso_y_litioCon el equipoUna_sola_celda</v>
      </c>
      <c r="I1090" s="178" t="s">
        <v>4767</v>
      </c>
      <c r="J1090" s="182" t="s">
        <v>4785</v>
      </c>
      <c r="K1090" s="178" t="s">
        <v>4775</v>
      </c>
      <c r="L1090" s="178" t="s">
        <v>4808</v>
      </c>
      <c r="M1090" s="178"/>
      <c r="N1090" s="185"/>
      <c r="O1090" s="189" t="s">
        <v>4792</v>
      </c>
    </row>
    <row r="1091" ht="14.25" customHeight="1">
      <c r="H1091" s="179" t="str">
        <f t="shared" si="1"/>
        <v>SíÓxido_de_cobalto_de_manganeso_y_litioIndependienteUna_sola_celda</v>
      </c>
      <c r="I1091" s="178" t="s">
        <v>4767</v>
      </c>
      <c r="J1091" s="182" t="s">
        <v>4785</v>
      </c>
      <c r="K1091" s="178" t="s">
        <v>4780</v>
      </c>
      <c r="L1091" s="178" t="s">
        <v>4808</v>
      </c>
      <c r="M1091" s="178"/>
      <c r="N1091" s="185"/>
      <c r="O1091" s="189" t="s">
        <v>4792</v>
      </c>
    </row>
    <row r="1092" ht="14.25" customHeight="1">
      <c r="H1092" s="179" t="str">
        <f t="shared" si="1"/>
        <v>SíLitio_ferrofosfatoEn el aparatoUna_sola_celda</v>
      </c>
      <c r="I1092" s="178" t="s">
        <v>4767</v>
      </c>
      <c r="J1092" s="182" t="s">
        <v>4783</v>
      </c>
      <c r="K1092" s="178" t="s">
        <v>4769</v>
      </c>
      <c r="L1092" s="178" t="s">
        <v>4808</v>
      </c>
      <c r="M1092" s="178"/>
      <c r="N1092" s="185"/>
      <c r="O1092" s="189" t="s">
        <v>4792</v>
      </c>
    </row>
    <row r="1093" ht="14.25" customHeight="1">
      <c r="H1093" s="179" t="str">
        <f t="shared" si="1"/>
        <v>SíLitio_ferrofosfatoCon el equipoUna_sola_celda</v>
      </c>
      <c r="I1093" s="178" t="s">
        <v>4767</v>
      </c>
      <c r="J1093" s="182" t="s">
        <v>4783</v>
      </c>
      <c r="K1093" s="178" t="s">
        <v>4775</v>
      </c>
      <c r="L1093" s="178" t="s">
        <v>4808</v>
      </c>
      <c r="M1093" s="178"/>
      <c r="N1093" s="185"/>
      <c r="O1093" s="189" t="s">
        <v>4792</v>
      </c>
    </row>
    <row r="1094" ht="14.25" customHeight="1">
      <c r="H1094" s="179" t="str">
        <f t="shared" si="1"/>
        <v>SíLitio_ferrofosfatoIndependienteUna_sola_celda</v>
      </c>
      <c r="I1094" s="178" t="s">
        <v>4767</v>
      </c>
      <c r="J1094" s="182" t="s">
        <v>4783</v>
      </c>
      <c r="K1094" s="178" t="s">
        <v>4780</v>
      </c>
      <c r="L1094" s="178" t="s">
        <v>4808</v>
      </c>
      <c r="M1094" s="178"/>
      <c r="N1094" s="185"/>
      <c r="O1094" s="189" t="s">
        <v>4792</v>
      </c>
    </row>
    <row r="1095" ht="14.25" customHeight="1">
      <c r="H1095" s="179" t="str">
        <f t="shared" si="1"/>
        <v>SíTitanato_de_litioEn el aparatoUna_sola_celda</v>
      </c>
      <c r="I1095" s="178" t="s">
        <v>4767</v>
      </c>
      <c r="J1095" s="182" t="s">
        <v>4789</v>
      </c>
      <c r="K1095" s="178" t="s">
        <v>4769</v>
      </c>
      <c r="L1095" s="178" t="s">
        <v>4808</v>
      </c>
      <c r="M1095" s="178"/>
      <c r="N1095" s="185"/>
      <c r="O1095" s="189" t="s">
        <v>4792</v>
      </c>
    </row>
    <row r="1096" ht="14.25" customHeight="1">
      <c r="H1096" s="179" t="str">
        <f t="shared" si="1"/>
        <v>SíTitanato_de_litioCon el equipoUna_sola_celda</v>
      </c>
      <c r="I1096" s="178" t="s">
        <v>4767</v>
      </c>
      <c r="J1096" s="182" t="s">
        <v>4789</v>
      </c>
      <c r="K1096" s="178" t="s">
        <v>4775</v>
      </c>
      <c r="L1096" s="178" t="s">
        <v>4808</v>
      </c>
      <c r="M1096" s="178"/>
      <c r="N1096" s="185"/>
      <c r="O1096" s="189" t="s">
        <v>4792</v>
      </c>
    </row>
    <row r="1097" ht="14.25" customHeight="1">
      <c r="H1097" s="179" t="str">
        <f t="shared" si="1"/>
        <v>SíTitanato_de_litioIndependienteUna_sola_celda</v>
      </c>
      <c r="I1097" s="178" t="s">
        <v>4767</v>
      </c>
      <c r="J1097" s="182" t="s">
        <v>4789</v>
      </c>
      <c r="K1097" s="178" t="s">
        <v>4780</v>
      </c>
      <c r="L1097" s="178" t="s">
        <v>4808</v>
      </c>
      <c r="M1097" s="178"/>
      <c r="N1097" s="185"/>
      <c r="O1097" s="189" t="s">
        <v>4792</v>
      </c>
    </row>
    <row r="1098" ht="14.25" customHeight="1">
      <c r="H1098" s="179" t="str">
        <f t="shared" si="1"/>
        <v>Sí_18650_En el aparatoUna_sola_celda</v>
      </c>
      <c r="I1098" s="178" t="s">
        <v>4767</v>
      </c>
      <c r="J1098" s="178" t="s">
        <v>4768</v>
      </c>
      <c r="K1098" s="178" t="s">
        <v>4769</v>
      </c>
      <c r="L1098" s="178" t="s">
        <v>4808</v>
      </c>
      <c r="M1098" s="178"/>
      <c r="N1098" s="185"/>
      <c r="O1098" s="189" t="s">
        <v>4792</v>
      </c>
    </row>
    <row r="1099" ht="14.25" customHeight="1">
      <c r="H1099" s="179" t="str">
        <f t="shared" si="1"/>
        <v>Sí_18650_Con el equipoUna_sola_celda</v>
      </c>
      <c r="I1099" s="178" t="s">
        <v>4767</v>
      </c>
      <c r="J1099" s="178" t="s">
        <v>4768</v>
      </c>
      <c r="K1099" s="178" t="s">
        <v>4775</v>
      </c>
      <c r="L1099" s="178" t="s">
        <v>4808</v>
      </c>
      <c r="M1099" s="178"/>
      <c r="N1099" s="185"/>
      <c r="O1099" s="189" t="s">
        <v>4792</v>
      </c>
    </row>
    <row r="1100" ht="14.25" customHeight="1">
      <c r="H1100" s="179" t="str">
        <f t="shared" si="1"/>
        <v>Sí_18650_IndependienteUna_sola_celda</v>
      </c>
      <c r="I1100" s="178" t="s">
        <v>4767</v>
      </c>
      <c r="J1100" s="178" t="s">
        <v>4768</v>
      </c>
      <c r="K1100" s="178" t="s">
        <v>4780</v>
      </c>
      <c r="L1100" s="178" t="s">
        <v>4808</v>
      </c>
      <c r="M1100" s="178"/>
      <c r="N1100" s="185"/>
      <c r="O1100" s="189" t="s">
        <v>4792</v>
      </c>
    </row>
    <row r="1101" ht="14.25" customHeight="1">
      <c r="H1101" s="179" t="str">
        <f t="shared" si="1"/>
        <v>SíIon_litioEn el aparatoUna_sola_celda</v>
      </c>
      <c r="I1101" s="178" t="s">
        <v>4767</v>
      </c>
      <c r="J1101" s="182" t="s">
        <v>4779</v>
      </c>
      <c r="K1101" s="178" t="s">
        <v>4769</v>
      </c>
      <c r="L1101" s="178" t="s">
        <v>4808</v>
      </c>
      <c r="M1101" s="178"/>
      <c r="N1101" s="185"/>
      <c r="O1101" s="189" t="s">
        <v>4792</v>
      </c>
    </row>
    <row r="1102" ht="14.25" customHeight="1">
      <c r="H1102" s="179" t="str">
        <f t="shared" si="1"/>
        <v>SíIon_litioCon el equipoUna_sola_celda</v>
      </c>
      <c r="I1102" s="178" t="s">
        <v>4767</v>
      </c>
      <c r="J1102" s="182" t="s">
        <v>4779</v>
      </c>
      <c r="K1102" s="178" t="s">
        <v>4775</v>
      </c>
      <c r="L1102" s="178" t="s">
        <v>4808</v>
      </c>
      <c r="M1102" s="178"/>
      <c r="N1102" s="185"/>
      <c r="O1102" s="189" t="s">
        <v>4792</v>
      </c>
    </row>
    <row r="1103" ht="14.25" customHeight="1">
      <c r="H1103" s="179" t="str">
        <f t="shared" si="1"/>
        <v>SíIon_litioIndependienteUna_sola_celda</v>
      </c>
      <c r="I1103" s="178" t="s">
        <v>4767</v>
      </c>
      <c r="J1103" s="182" t="s">
        <v>4779</v>
      </c>
      <c r="K1103" s="178" t="s">
        <v>4780</v>
      </c>
      <c r="L1103" s="178" t="s">
        <v>4808</v>
      </c>
      <c r="M1103" s="178"/>
      <c r="N1103" s="185"/>
      <c r="O1103" s="189" t="s">
        <v>4792</v>
      </c>
    </row>
    <row r="1104" ht="14.25" customHeight="1">
      <c r="H1104" s="179" t="str">
        <f t="shared" si="1"/>
        <v>SíPolímero_de_litioEn el aparatoUna_sola_celda</v>
      </c>
      <c r="I1104" s="178" t="s">
        <v>4767</v>
      </c>
      <c r="J1104" s="182" t="s">
        <v>4787</v>
      </c>
      <c r="K1104" s="178" t="s">
        <v>4769</v>
      </c>
      <c r="L1104" s="178" t="s">
        <v>4808</v>
      </c>
      <c r="M1104" s="178"/>
      <c r="N1104" s="185"/>
      <c r="O1104" s="189" t="s">
        <v>4792</v>
      </c>
    </row>
    <row r="1105" ht="14.25" customHeight="1">
      <c r="H1105" s="179" t="str">
        <f t="shared" si="1"/>
        <v>SíPolímero_de_litioCon el equipoUna_sola_celda</v>
      </c>
      <c r="I1105" s="178" t="s">
        <v>4767</v>
      </c>
      <c r="J1105" s="182" t="s">
        <v>4787</v>
      </c>
      <c r="K1105" s="178" t="s">
        <v>4775</v>
      </c>
      <c r="L1105" s="178" t="s">
        <v>4808</v>
      </c>
      <c r="M1105" s="178"/>
      <c r="N1105" s="185"/>
      <c r="O1105" s="189" t="s">
        <v>4792</v>
      </c>
    </row>
    <row r="1106" ht="14.25" customHeight="1">
      <c r="H1106" s="179" t="str">
        <f t="shared" si="1"/>
        <v>SíPolímero_de_litioIndependienteUna_sola_celda</v>
      </c>
      <c r="I1106" s="178" t="s">
        <v>4767</v>
      </c>
      <c r="J1106" s="182" t="s">
        <v>4787</v>
      </c>
      <c r="K1106" s="178" t="s">
        <v>4780</v>
      </c>
      <c r="L1106" s="178" t="s">
        <v>4808</v>
      </c>
      <c r="M1106" s="178"/>
      <c r="N1106" s="185"/>
      <c r="O1106" s="189" t="s">
        <v>4792</v>
      </c>
    </row>
    <row r="1107" ht="14.25" customHeight="1">
      <c r="H1107" s="179" t="str">
        <f t="shared" si="1"/>
        <v>SíÓxido_cobalto_LitioEn el aparatoUna_sola_celda</v>
      </c>
      <c r="I1107" s="178" t="s">
        <v>4767</v>
      </c>
      <c r="J1107" s="182" t="s">
        <v>4774</v>
      </c>
      <c r="K1107" s="178" t="s">
        <v>4769</v>
      </c>
      <c r="L1107" s="178" t="s">
        <v>4808</v>
      </c>
      <c r="M1107" s="178"/>
      <c r="N1107" s="185"/>
      <c r="O1107" s="189" t="s">
        <v>4792</v>
      </c>
    </row>
    <row r="1108" ht="14.25" customHeight="1">
      <c r="H1108" s="179" t="str">
        <f t="shared" si="1"/>
        <v>SíÓxido_cobalto_LitioCon el equipoUna_sola_celda</v>
      </c>
      <c r="I1108" s="178" t="s">
        <v>4767</v>
      </c>
      <c r="J1108" s="182" t="s">
        <v>4774</v>
      </c>
      <c r="K1108" s="178" t="s">
        <v>4775</v>
      </c>
      <c r="L1108" s="178" t="s">
        <v>4808</v>
      </c>
      <c r="M1108" s="178"/>
      <c r="N1108" s="185"/>
      <c r="O1108" s="189" t="s">
        <v>4792</v>
      </c>
    </row>
    <row r="1109" ht="14.25" customHeight="1">
      <c r="H1109" s="179" t="str">
        <f t="shared" si="1"/>
        <v>SíÓxido_cobalto_LitioIndependienteUna_sola_celda</v>
      </c>
      <c r="I1109" s="178" t="s">
        <v>4767</v>
      </c>
      <c r="J1109" s="182" t="s">
        <v>4774</v>
      </c>
      <c r="K1109" s="178" t="s">
        <v>4780</v>
      </c>
      <c r="L1109" s="178" t="s">
        <v>4808</v>
      </c>
      <c r="M1109" s="178"/>
      <c r="N1109" s="185"/>
      <c r="O1109" s="189" t="s">
        <v>4792</v>
      </c>
    </row>
    <row r="1110" ht="14.25" customHeight="1">
      <c r="H1110" s="179" t="str">
        <f t="shared" si="1"/>
        <v>SíÓxido_de_cobalto_de_manganeso_y_litioEn el aparatoUna_sola_celda</v>
      </c>
      <c r="I1110" s="178" t="s">
        <v>4767</v>
      </c>
      <c r="J1110" s="182" t="s">
        <v>4785</v>
      </c>
      <c r="K1110" s="178" t="s">
        <v>4769</v>
      </c>
      <c r="L1110" s="178" t="s">
        <v>4808</v>
      </c>
      <c r="M1110" s="178"/>
      <c r="N1110" s="185"/>
      <c r="O1110" s="189" t="s">
        <v>4792</v>
      </c>
    </row>
    <row r="1111" ht="14.25" customHeight="1">
      <c r="H1111" s="179" t="str">
        <f t="shared" si="1"/>
        <v>SíÓxido_de_cobalto_de_manganeso_y_litioCon el equipoUna_sola_celda</v>
      </c>
      <c r="I1111" s="178" t="s">
        <v>4767</v>
      </c>
      <c r="J1111" s="182" t="s">
        <v>4785</v>
      </c>
      <c r="K1111" s="178" t="s">
        <v>4775</v>
      </c>
      <c r="L1111" s="178" t="s">
        <v>4808</v>
      </c>
      <c r="M1111" s="178"/>
      <c r="N1111" s="185"/>
      <c r="O1111" s="189" t="s">
        <v>4792</v>
      </c>
    </row>
    <row r="1112" ht="14.25" customHeight="1">
      <c r="H1112" s="179" t="str">
        <f t="shared" si="1"/>
        <v>SíÓxido_de_cobalto_de_manganeso_y_litioIndependienteUna_sola_celda</v>
      </c>
      <c r="I1112" s="178" t="s">
        <v>4767</v>
      </c>
      <c r="J1112" s="182" t="s">
        <v>4785</v>
      </c>
      <c r="K1112" s="178" t="s">
        <v>4780</v>
      </c>
      <c r="L1112" s="178" t="s">
        <v>4808</v>
      </c>
      <c r="M1112" s="178"/>
      <c r="N1112" s="185"/>
      <c r="O1112" s="189" t="s">
        <v>4792</v>
      </c>
    </row>
    <row r="1113" ht="14.25" customHeight="1">
      <c r="H1113" s="179" t="str">
        <f t="shared" si="1"/>
        <v>SíLitio_ferrofosfatoEn el aparatoUna_sola_celda</v>
      </c>
      <c r="I1113" s="178" t="s">
        <v>4767</v>
      </c>
      <c r="J1113" s="182" t="s">
        <v>4783</v>
      </c>
      <c r="K1113" s="178" t="s">
        <v>4769</v>
      </c>
      <c r="L1113" s="178" t="s">
        <v>4808</v>
      </c>
      <c r="M1113" s="178"/>
      <c r="N1113" s="185"/>
      <c r="O1113" s="189" t="s">
        <v>4792</v>
      </c>
    </row>
    <row r="1114" ht="14.25" customHeight="1">
      <c r="H1114" s="179" t="str">
        <f t="shared" si="1"/>
        <v>SíLitio_ferrofosfatoCon el equipoUna_sola_celda</v>
      </c>
      <c r="I1114" s="178" t="s">
        <v>4767</v>
      </c>
      <c r="J1114" s="182" t="s">
        <v>4783</v>
      </c>
      <c r="K1114" s="178" t="s">
        <v>4775</v>
      </c>
      <c r="L1114" s="178" t="s">
        <v>4808</v>
      </c>
      <c r="M1114" s="178"/>
      <c r="N1114" s="185"/>
      <c r="O1114" s="189" t="s">
        <v>4792</v>
      </c>
    </row>
    <row r="1115" ht="14.25" customHeight="1">
      <c r="H1115" s="179" t="str">
        <f t="shared" si="1"/>
        <v>SíLitio_ferrofosfatoIndependienteUna_sola_celda</v>
      </c>
      <c r="I1115" s="178" t="s">
        <v>4767</v>
      </c>
      <c r="J1115" s="182" t="s">
        <v>4783</v>
      </c>
      <c r="K1115" s="178" t="s">
        <v>4780</v>
      </c>
      <c r="L1115" s="178" t="s">
        <v>4808</v>
      </c>
      <c r="M1115" s="178"/>
      <c r="N1115" s="185"/>
      <c r="O1115" s="189" t="s">
        <v>4792</v>
      </c>
    </row>
    <row r="1116" ht="14.25" customHeight="1">
      <c r="H1116" s="179" t="str">
        <f t="shared" si="1"/>
        <v>SíTitanato_de_litioEn el aparatoUna_sola_celda</v>
      </c>
      <c r="I1116" s="178" t="s">
        <v>4767</v>
      </c>
      <c r="J1116" s="182" t="s">
        <v>4789</v>
      </c>
      <c r="K1116" s="178" t="s">
        <v>4769</v>
      </c>
      <c r="L1116" s="178" t="s">
        <v>4808</v>
      </c>
      <c r="M1116" s="178"/>
      <c r="N1116" s="185"/>
      <c r="O1116" s="189" t="s">
        <v>4792</v>
      </c>
    </row>
    <row r="1117" ht="14.25" customHeight="1">
      <c r="H1117" s="179" t="str">
        <f t="shared" si="1"/>
        <v>SíTitanato_de_litioCon el equipoUna_sola_celda</v>
      </c>
      <c r="I1117" s="178" t="s">
        <v>4767</v>
      </c>
      <c r="J1117" s="182" t="s">
        <v>4789</v>
      </c>
      <c r="K1117" s="178" t="s">
        <v>4775</v>
      </c>
      <c r="L1117" s="178" t="s">
        <v>4808</v>
      </c>
      <c r="M1117" s="178"/>
      <c r="N1117" s="185"/>
      <c r="O1117" s="189" t="s">
        <v>4792</v>
      </c>
    </row>
    <row r="1118" ht="14.25" customHeight="1">
      <c r="H1118" s="179" t="str">
        <f t="shared" si="1"/>
        <v>SíTitanato_de_litioIndependienteUna_sola_celda</v>
      </c>
      <c r="I1118" s="178" t="s">
        <v>4767</v>
      </c>
      <c r="J1118" s="182" t="s">
        <v>4789</v>
      </c>
      <c r="K1118" s="178" t="s">
        <v>4780</v>
      </c>
      <c r="L1118" s="178" t="s">
        <v>4808</v>
      </c>
      <c r="M1118" s="178"/>
      <c r="N1118" s="185"/>
      <c r="O1118" s="189" t="s">
        <v>4792</v>
      </c>
    </row>
    <row r="1119" ht="14.25" customHeight="1">
      <c r="H1119" s="179" t="str">
        <f t="shared" si="1"/>
        <v>Sí_18650_En el aparatoUna_sola_celda</v>
      </c>
      <c r="I1119" s="178" t="s">
        <v>4767</v>
      </c>
      <c r="J1119" s="178" t="s">
        <v>4768</v>
      </c>
      <c r="K1119" s="178" t="s">
        <v>4769</v>
      </c>
      <c r="L1119" s="178" t="s">
        <v>4808</v>
      </c>
      <c r="M1119" s="178"/>
      <c r="N1119" s="185"/>
      <c r="O1119" s="189" t="s">
        <v>4792</v>
      </c>
    </row>
    <row r="1120" ht="14.25" customHeight="1">
      <c r="H1120" s="179" t="str">
        <f t="shared" si="1"/>
        <v>Sí_18650_Con el equipoUna_sola_celda</v>
      </c>
      <c r="I1120" s="178" t="s">
        <v>4767</v>
      </c>
      <c r="J1120" s="178" t="s">
        <v>4768</v>
      </c>
      <c r="K1120" s="178" t="s">
        <v>4775</v>
      </c>
      <c r="L1120" s="178" t="s">
        <v>4808</v>
      </c>
      <c r="M1120" s="178"/>
      <c r="N1120" s="185"/>
      <c r="O1120" s="189" t="s">
        <v>4792</v>
      </c>
    </row>
    <row r="1121" ht="14.25" customHeight="1">
      <c r="H1121" s="179" t="str">
        <f t="shared" si="1"/>
        <v>Sí_18650_IndependienteUna_sola_celda</v>
      </c>
      <c r="I1121" s="178" t="s">
        <v>4767</v>
      </c>
      <c r="J1121" s="178" t="s">
        <v>4768</v>
      </c>
      <c r="K1121" s="178" t="s">
        <v>4780</v>
      </c>
      <c r="L1121" s="178" t="s">
        <v>4808</v>
      </c>
      <c r="M1121" s="178"/>
      <c r="N1121" s="185"/>
      <c r="O1121" s="189" t="s">
        <v>4792</v>
      </c>
    </row>
    <row r="1122" ht="14.25" customHeight="1">
      <c r="H1122" s="179" t="str">
        <f t="shared" si="1"/>
        <v>SíIon_litioEn el aparatoUna_sola_celda</v>
      </c>
      <c r="I1122" s="178" t="s">
        <v>4767</v>
      </c>
      <c r="J1122" s="182" t="s">
        <v>4779</v>
      </c>
      <c r="K1122" s="178" t="s">
        <v>4769</v>
      </c>
      <c r="L1122" s="178" t="s">
        <v>4808</v>
      </c>
      <c r="M1122" s="178"/>
      <c r="N1122" s="185"/>
      <c r="O1122" s="189" t="s">
        <v>4792</v>
      </c>
    </row>
    <row r="1123" ht="14.25" customHeight="1">
      <c r="H1123" s="179" t="str">
        <f t="shared" si="1"/>
        <v>SíIon_litioCon el equipoUna_sola_celda</v>
      </c>
      <c r="I1123" s="178" t="s">
        <v>4767</v>
      </c>
      <c r="J1123" s="182" t="s">
        <v>4779</v>
      </c>
      <c r="K1123" s="178" t="s">
        <v>4775</v>
      </c>
      <c r="L1123" s="178" t="s">
        <v>4808</v>
      </c>
      <c r="M1123" s="178"/>
      <c r="N1123" s="185"/>
      <c r="O1123" s="189" t="s">
        <v>4792</v>
      </c>
    </row>
    <row r="1124" ht="14.25" customHeight="1">
      <c r="H1124" s="179" t="str">
        <f t="shared" si="1"/>
        <v>SíIon_litioIndependienteUna_sola_celda</v>
      </c>
      <c r="I1124" s="178" t="s">
        <v>4767</v>
      </c>
      <c r="J1124" s="182" t="s">
        <v>4779</v>
      </c>
      <c r="K1124" s="178" t="s">
        <v>4780</v>
      </c>
      <c r="L1124" s="178" t="s">
        <v>4808</v>
      </c>
      <c r="M1124" s="178"/>
      <c r="N1124" s="185"/>
      <c r="O1124" s="189" t="s">
        <v>4792</v>
      </c>
    </row>
    <row r="1125" ht="14.25" customHeight="1">
      <c r="H1125" s="179" t="str">
        <f t="shared" si="1"/>
        <v>SíPolímero_de_litioEn el aparatoUna_sola_celda</v>
      </c>
      <c r="I1125" s="178" t="s">
        <v>4767</v>
      </c>
      <c r="J1125" s="182" t="s">
        <v>4787</v>
      </c>
      <c r="K1125" s="178" t="s">
        <v>4769</v>
      </c>
      <c r="L1125" s="178" t="s">
        <v>4808</v>
      </c>
      <c r="M1125" s="178"/>
      <c r="N1125" s="185"/>
      <c r="O1125" s="189" t="s">
        <v>4792</v>
      </c>
    </row>
    <row r="1126" ht="14.25" customHeight="1">
      <c r="H1126" s="179" t="str">
        <f t="shared" si="1"/>
        <v>SíPolímero_de_litioCon el equipoUna_sola_celda</v>
      </c>
      <c r="I1126" s="178" t="s">
        <v>4767</v>
      </c>
      <c r="J1126" s="182" t="s">
        <v>4787</v>
      </c>
      <c r="K1126" s="178" t="s">
        <v>4775</v>
      </c>
      <c r="L1126" s="178" t="s">
        <v>4808</v>
      </c>
      <c r="M1126" s="178"/>
      <c r="N1126" s="185"/>
      <c r="O1126" s="189" t="s">
        <v>4792</v>
      </c>
    </row>
    <row r="1127" ht="14.25" customHeight="1">
      <c r="H1127" s="179" t="str">
        <f t="shared" si="1"/>
        <v>SíPolímero_de_litioIndependienteUna_sola_celda</v>
      </c>
      <c r="I1127" s="178" t="s">
        <v>4767</v>
      </c>
      <c r="J1127" s="182" t="s">
        <v>4787</v>
      </c>
      <c r="K1127" s="178" t="s">
        <v>4780</v>
      </c>
      <c r="L1127" s="178" t="s">
        <v>4808</v>
      </c>
      <c r="M1127" s="178"/>
      <c r="N1127" s="185"/>
      <c r="O1127" s="189" t="s">
        <v>4792</v>
      </c>
    </row>
    <row r="1128" ht="14.25" customHeight="1">
      <c r="H1128" s="179" t="str">
        <f t="shared" si="1"/>
        <v>SíÓxido_cobalto_LitioEn el aparatoUna_sola_celda</v>
      </c>
      <c r="I1128" s="178" t="s">
        <v>4767</v>
      </c>
      <c r="J1128" s="182" t="s">
        <v>4774</v>
      </c>
      <c r="K1128" s="178" t="s">
        <v>4769</v>
      </c>
      <c r="L1128" s="178" t="s">
        <v>4808</v>
      </c>
      <c r="M1128" s="178"/>
      <c r="N1128" s="185"/>
      <c r="O1128" s="189" t="s">
        <v>4792</v>
      </c>
    </row>
    <row r="1129" ht="14.25" customHeight="1">
      <c r="H1129" s="179" t="str">
        <f t="shared" si="1"/>
        <v>SíÓxido_cobalto_LitioCon el equipoUna_sola_celda</v>
      </c>
      <c r="I1129" s="178" t="s">
        <v>4767</v>
      </c>
      <c r="J1129" s="182" t="s">
        <v>4774</v>
      </c>
      <c r="K1129" s="178" t="s">
        <v>4775</v>
      </c>
      <c r="L1129" s="178" t="s">
        <v>4808</v>
      </c>
      <c r="M1129" s="178"/>
      <c r="N1129" s="185"/>
      <c r="O1129" s="189" t="s">
        <v>4792</v>
      </c>
    </row>
    <row r="1130" ht="14.25" customHeight="1">
      <c r="H1130" s="179" t="str">
        <f t="shared" si="1"/>
        <v>SíÓxido_cobalto_LitioIndependienteUna_sola_celda</v>
      </c>
      <c r="I1130" s="178" t="s">
        <v>4767</v>
      </c>
      <c r="J1130" s="182" t="s">
        <v>4774</v>
      </c>
      <c r="K1130" s="178" t="s">
        <v>4780</v>
      </c>
      <c r="L1130" s="178" t="s">
        <v>4808</v>
      </c>
      <c r="M1130" s="178"/>
      <c r="N1130" s="185"/>
      <c r="O1130" s="189" t="s">
        <v>4792</v>
      </c>
    </row>
    <row r="1131" ht="14.25" customHeight="1">
      <c r="H1131" s="179" t="str">
        <f t="shared" si="1"/>
        <v>SíÓxido_de_cobalto_de_manganeso_y_litioEn el aparatoUna_sola_celda</v>
      </c>
      <c r="I1131" s="178" t="s">
        <v>4767</v>
      </c>
      <c r="J1131" s="182" t="s">
        <v>4785</v>
      </c>
      <c r="K1131" s="178" t="s">
        <v>4769</v>
      </c>
      <c r="L1131" s="178" t="s">
        <v>4808</v>
      </c>
      <c r="M1131" s="178"/>
      <c r="N1131" s="185"/>
      <c r="O1131" s="189" t="s">
        <v>4792</v>
      </c>
    </row>
    <row r="1132" ht="14.25" customHeight="1">
      <c r="H1132" s="179" t="str">
        <f t="shared" si="1"/>
        <v>SíÓxido_de_cobalto_de_manganeso_y_litioCon el equipoUna_sola_celda</v>
      </c>
      <c r="I1132" s="178" t="s">
        <v>4767</v>
      </c>
      <c r="J1132" s="182" t="s">
        <v>4785</v>
      </c>
      <c r="K1132" s="178" t="s">
        <v>4775</v>
      </c>
      <c r="L1132" s="178" t="s">
        <v>4808</v>
      </c>
      <c r="M1132" s="178"/>
      <c r="N1132" s="185"/>
      <c r="O1132" s="189" t="s">
        <v>4792</v>
      </c>
    </row>
    <row r="1133" ht="14.25" customHeight="1">
      <c r="H1133" s="179" t="str">
        <f t="shared" si="1"/>
        <v>SíÓxido_de_cobalto_de_manganeso_y_litioIndependienteUna_sola_celda</v>
      </c>
      <c r="I1133" s="178" t="s">
        <v>4767</v>
      </c>
      <c r="J1133" s="182" t="s">
        <v>4785</v>
      </c>
      <c r="K1133" s="178" t="s">
        <v>4780</v>
      </c>
      <c r="L1133" s="178" t="s">
        <v>4808</v>
      </c>
      <c r="M1133" s="178"/>
      <c r="N1133" s="185"/>
      <c r="O1133" s="189" t="s">
        <v>4792</v>
      </c>
    </row>
    <row r="1134" ht="14.25" customHeight="1">
      <c r="H1134" s="179" t="str">
        <f t="shared" si="1"/>
        <v>SíLitio_ferrofosfatoEn el aparatoUna_sola_celda</v>
      </c>
      <c r="I1134" s="178" t="s">
        <v>4767</v>
      </c>
      <c r="J1134" s="182" t="s">
        <v>4783</v>
      </c>
      <c r="K1134" s="178" t="s">
        <v>4769</v>
      </c>
      <c r="L1134" s="178" t="s">
        <v>4808</v>
      </c>
      <c r="M1134" s="178"/>
      <c r="N1134" s="185"/>
      <c r="O1134" s="189" t="s">
        <v>4792</v>
      </c>
    </row>
    <row r="1135" ht="14.25" customHeight="1">
      <c r="H1135" s="179" t="str">
        <f t="shared" si="1"/>
        <v>SíLitio_ferrofosfatoCon el equipoUna_sola_celda</v>
      </c>
      <c r="I1135" s="178" t="s">
        <v>4767</v>
      </c>
      <c r="J1135" s="182" t="s">
        <v>4783</v>
      </c>
      <c r="K1135" s="178" t="s">
        <v>4775</v>
      </c>
      <c r="L1135" s="178" t="s">
        <v>4808</v>
      </c>
      <c r="M1135" s="178"/>
      <c r="N1135" s="185"/>
      <c r="O1135" s="189" t="s">
        <v>4792</v>
      </c>
    </row>
    <row r="1136" ht="14.25" customHeight="1">
      <c r="H1136" s="179" t="str">
        <f t="shared" si="1"/>
        <v>SíLitio_ferrofosfatoIndependienteUna_sola_celda</v>
      </c>
      <c r="I1136" s="178" t="s">
        <v>4767</v>
      </c>
      <c r="J1136" s="182" t="s">
        <v>4783</v>
      </c>
      <c r="K1136" s="178" t="s">
        <v>4780</v>
      </c>
      <c r="L1136" s="178" t="s">
        <v>4808</v>
      </c>
      <c r="M1136" s="178"/>
      <c r="N1136" s="185"/>
      <c r="O1136" s="189" t="s">
        <v>4792</v>
      </c>
    </row>
    <row r="1137" ht="14.25" customHeight="1">
      <c r="H1137" s="179" t="str">
        <f t="shared" si="1"/>
        <v>SíTitanato_de_litioEn el aparatoUna_sola_celda</v>
      </c>
      <c r="I1137" s="178" t="s">
        <v>4767</v>
      </c>
      <c r="J1137" s="182" t="s">
        <v>4789</v>
      </c>
      <c r="K1137" s="178" t="s">
        <v>4769</v>
      </c>
      <c r="L1137" s="178" t="s">
        <v>4808</v>
      </c>
      <c r="M1137" s="178"/>
      <c r="N1137" s="185"/>
      <c r="O1137" s="189" t="s">
        <v>4792</v>
      </c>
    </row>
    <row r="1138" ht="14.25" customHeight="1">
      <c r="H1138" s="179" t="str">
        <f t="shared" si="1"/>
        <v>SíTitanato_de_litioCon el equipoUna_sola_celda</v>
      </c>
      <c r="I1138" s="178" t="s">
        <v>4767</v>
      </c>
      <c r="J1138" s="182" t="s">
        <v>4789</v>
      </c>
      <c r="K1138" s="178" t="s">
        <v>4775</v>
      </c>
      <c r="L1138" s="178" t="s">
        <v>4808</v>
      </c>
      <c r="M1138" s="178"/>
      <c r="N1138" s="185"/>
      <c r="O1138" s="189" t="s">
        <v>4792</v>
      </c>
    </row>
    <row r="1139" ht="14.25" customHeight="1">
      <c r="H1139" s="179" t="str">
        <f t="shared" si="1"/>
        <v>SíTitanato_de_litioIndependienteUna_sola_celda</v>
      </c>
      <c r="I1139" s="178" t="s">
        <v>4767</v>
      </c>
      <c r="J1139" s="182" t="s">
        <v>4789</v>
      </c>
      <c r="K1139" s="178" t="s">
        <v>4780</v>
      </c>
      <c r="L1139" s="178" t="s">
        <v>4808</v>
      </c>
      <c r="M1139" s="178"/>
      <c r="N1139" s="185"/>
      <c r="O1139" s="189" t="s">
        <v>4792</v>
      </c>
    </row>
    <row r="1140" ht="14.25" customHeight="1">
      <c r="H1140" s="179" t="str">
        <f t="shared" si="1"/>
        <v>Sí_18650_En el aparatoUna_sola_celda</v>
      </c>
      <c r="I1140" s="178" t="s">
        <v>4767</v>
      </c>
      <c r="J1140" s="178" t="s">
        <v>4768</v>
      </c>
      <c r="K1140" s="178" t="s">
        <v>4769</v>
      </c>
      <c r="L1140" s="178" t="s">
        <v>4808</v>
      </c>
      <c r="M1140" s="178"/>
      <c r="N1140" s="185"/>
      <c r="O1140" s="189" t="s">
        <v>4792</v>
      </c>
    </row>
    <row r="1141" ht="14.25" customHeight="1">
      <c r="H1141" s="179" t="str">
        <f t="shared" si="1"/>
        <v>Sí_18650_Con el equipoUna_sola_celda</v>
      </c>
      <c r="I1141" s="178" t="s">
        <v>4767</v>
      </c>
      <c r="J1141" s="178" t="s">
        <v>4768</v>
      </c>
      <c r="K1141" s="178" t="s">
        <v>4775</v>
      </c>
      <c r="L1141" s="178" t="s">
        <v>4808</v>
      </c>
      <c r="M1141" s="178"/>
      <c r="N1141" s="185"/>
      <c r="O1141" s="189" t="s">
        <v>4792</v>
      </c>
    </row>
    <row r="1142" ht="14.25" customHeight="1">
      <c r="H1142" s="179" t="str">
        <f t="shared" si="1"/>
        <v>Sí_18650_IndependienteUna_sola_celda</v>
      </c>
      <c r="I1142" s="178" t="s">
        <v>4767</v>
      </c>
      <c r="J1142" s="178" t="s">
        <v>4768</v>
      </c>
      <c r="K1142" s="178" t="s">
        <v>4780</v>
      </c>
      <c r="L1142" s="178" t="s">
        <v>4808</v>
      </c>
      <c r="M1142" s="178"/>
      <c r="N1142" s="185"/>
      <c r="O1142" s="189" t="s">
        <v>4792</v>
      </c>
    </row>
    <row r="1143" ht="14.25" customHeight="1">
      <c r="H1143" s="179" t="str">
        <f t="shared" si="1"/>
        <v>SíIon_litioEn el aparatoUna_sola_celda</v>
      </c>
      <c r="I1143" s="178" t="s">
        <v>4767</v>
      </c>
      <c r="J1143" s="182" t="s">
        <v>4779</v>
      </c>
      <c r="K1143" s="178" t="s">
        <v>4769</v>
      </c>
      <c r="L1143" s="178" t="s">
        <v>4808</v>
      </c>
      <c r="M1143" s="178"/>
      <c r="N1143" s="185"/>
      <c r="O1143" s="189" t="s">
        <v>4792</v>
      </c>
    </row>
    <row r="1144" ht="14.25" customHeight="1">
      <c r="H1144" s="179" t="str">
        <f t="shared" si="1"/>
        <v>SíIon_litioCon el equipoUna_sola_celda</v>
      </c>
      <c r="I1144" s="178" t="s">
        <v>4767</v>
      </c>
      <c r="J1144" s="182" t="s">
        <v>4779</v>
      </c>
      <c r="K1144" s="178" t="s">
        <v>4775</v>
      </c>
      <c r="L1144" s="178" t="s">
        <v>4808</v>
      </c>
      <c r="M1144" s="178"/>
      <c r="N1144" s="185"/>
      <c r="O1144" s="189" t="s">
        <v>4792</v>
      </c>
    </row>
    <row r="1145" ht="14.25" customHeight="1">
      <c r="H1145" s="179" t="str">
        <f t="shared" si="1"/>
        <v>SíIon_litioIndependienteUna_sola_celda</v>
      </c>
      <c r="I1145" s="178" t="s">
        <v>4767</v>
      </c>
      <c r="J1145" s="182" t="s">
        <v>4779</v>
      </c>
      <c r="K1145" s="178" t="s">
        <v>4780</v>
      </c>
      <c r="L1145" s="178" t="s">
        <v>4808</v>
      </c>
      <c r="M1145" s="178"/>
      <c r="N1145" s="185"/>
      <c r="O1145" s="189" t="s">
        <v>4792</v>
      </c>
    </row>
    <row r="1146" ht="14.25" customHeight="1">
      <c r="H1146" s="179" t="str">
        <f t="shared" si="1"/>
        <v>SíPolímero_de_litioEn el aparatoUna_sola_celda</v>
      </c>
      <c r="I1146" s="178" t="s">
        <v>4767</v>
      </c>
      <c r="J1146" s="182" t="s">
        <v>4787</v>
      </c>
      <c r="K1146" s="178" t="s">
        <v>4769</v>
      </c>
      <c r="L1146" s="178" t="s">
        <v>4808</v>
      </c>
      <c r="M1146" s="178"/>
      <c r="N1146" s="185"/>
      <c r="O1146" s="189" t="s">
        <v>4792</v>
      </c>
    </row>
    <row r="1147" ht="14.25" customHeight="1">
      <c r="H1147" s="179" t="str">
        <f t="shared" si="1"/>
        <v>SíPolímero_de_litioCon el equipoUna_sola_celda</v>
      </c>
      <c r="I1147" s="178" t="s">
        <v>4767</v>
      </c>
      <c r="J1147" s="182" t="s">
        <v>4787</v>
      </c>
      <c r="K1147" s="178" t="s">
        <v>4775</v>
      </c>
      <c r="L1147" s="178" t="s">
        <v>4808</v>
      </c>
      <c r="M1147" s="178"/>
      <c r="N1147" s="185"/>
      <c r="O1147" s="189" t="s">
        <v>4792</v>
      </c>
    </row>
    <row r="1148" ht="14.25" customHeight="1">
      <c r="H1148" s="179" t="str">
        <f t="shared" si="1"/>
        <v>SíPolímero_de_litioIndependienteUna_sola_celda</v>
      </c>
      <c r="I1148" s="178" t="s">
        <v>4767</v>
      </c>
      <c r="J1148" s="182" t="s">
        <v>4787</v>
      </c>
      <c r="K1148" s="178" t="s">
        <v>4780</v>
      </c>
      <c r="L1148" s="178" t="s">
        <v>4808</v>
      </c>
      <c r="M1148" s="178"/>
      <c r="N1148" s="185"/>
      <c r="O1148" s="189" t="s">
        <v>4792</v>
      </c>
    </row>
    <row r="1149" ht="14.25" customHeight="1">
      <c r="H1149" s="179" t="str">
        <f t="shared" si="1"/>
        <v>SíÓxido_cobalto_LitioEn el aparatoUna_sola_celda</v>
      </c>
      <c r="I1149" s="178" t="s">
        <v>4767</v>
      </c>
      <c r="J1149" s="182" t="s">
        <v>4774</v>
      </c>
      <c r="K1149" s="178" t="s">
        <v>4769</v>
      </c>
      <c r="L1149" s="178" t="s">
        <v>4808</v>
      </c>
      <c r="M1149" s="178"/>
      <c r="N1149" s="185"/>
      <c r="O1149" s="189" t="s">
        <v>4792</v>
      </c>
    </row>
    <row r="1150" ht="14.25" customHeight="1">
      <c r="H1150" s="179" t="str">
        <f t="shared" si="1"/>
        <v>SíÓxido_cobalto_LitioCon el equipoUna_sola_celda</v>
      </c>
      <c r="I1150" s="178" t="s">
        <v>4767</v>
      </c>
      <c r="J1150" s="182" t="s">
        <v>4774</v>
      </c>
      <c r="K1150" s="178" t="s">
        <v>4775</v>
      </c>
      <c r="L1150" s="178" t="s">
        <v>4808</v>
      </c>
      <c r="M1150" s="178"/>
      <c r="N1150" s="185"/>
      <c r="O1150" s="189" t="s">
        <v>4792</v>
      </c>
    </row>
    <row r="1151" ht="14.25" customHeight="1">
      <c r="H1151" s="179" t="str">
        <f t="shared" si="1"/>
        <v>SíÓxido_cobalto_LitioIndependienteUna_sola_celda</v>
      </c>
      <c r="I1151" s="178" t="s">
        <v>4767</v>
      </c>
      <c r="J1151" s="182" t="s">
        <v>4774</v>
      </c>
      <c r="K1151" s="178" t="s">
        <v>4780</v>
      </c>
      <c r="L1151" s="178" t="s">
        <v>4808</v>
      </c>
      <c r="M1151" s="178"/>
      <c r="N1151" s="185"/>
      <c r="O1151" s="189" t="s">
        <v>4792</v>
      </c>
    </row>
    <row r="1152" ht="14.25" customHeight="1">
      <c r="H1152" s="179" t="str">
        <f t="shared" si="1"/>
        <v>SíÓxido_de_cobalto_de_manganeso_y_litioEn el aparatoUna_sola_celda</v>
      </c>
      <c r="I1152" s="178" t="s">
        <v>4767</v>
      </c>
      <c r="J1152" s="182" t="s">
        <v>4785</v>
      </c>
      <c r="K1152" s="178" t="s">
        <v>4769</v>
      </c>
      <c r="L1152" s="178" t="s">
        <v>4808</v>
      </c>
      <c r="M1152" s="178"/>
      <c r="N1152" s="185"/>
      <c r="O1152" s="189" t="s">
        <v>4792</v>
      </c>
    </row>
    <row r="1153" ht="14.25" customHeight="1">
      <c r="H1153" s="179" t="str">
        <f t="shared" si="1"/>
        <v>SíÓxido_de_cobalto_de_manganeso_y_litioCon el equipoUna_sola_celda</v>
      </c>
      <c r="I1153" s="178" t="s">
        <v>4767</v>
      </c>
      <c r="J1153" s="182" t="s">
        <v>4785</v>
      </c>
      <c r="K1153" s="178" t="s">
        <v>4775</v>
      </c>
      <c r="L1153" s="178" t="s">
        <v>4808</v>
      </c>
      <c r="M1153" s="178"/>
      <c r="N1153" s="185"/>
      <c r="O1153" s="189" t="s">
        <v>4792</v>
      </c>
    </row>
    <row r="1154" ht="14.25" customHeight="1">
      <c r="H1154" s="179" t="str">
        <f t="shared" si="1"/>
        <v>SíÓxido_de_cobalto_de_manganeso_y_litioIndependienteUna_sola_celda</v>
      </c>
      <c r="I1154" s="178" t="s">
        <v>4767</v>
      </c>
      <c r="J1154" s="182" t="s">
        <v>4785</v>
      </c>
      <c r="K1154" s="178" t="s">
        <v>4780</v>
      </c>
      <c r="L1154" s="178" t="s">
        <v>4808</v>
      </c>
      <c r="M1154" s="178"/>
      <c r="N1154" s="185"/>
      <c r="O1154" s="189" t="s">
        <v>4792</v>
      </c>
    </row>
    <row r="1155" ht="14.25" customHeight="1">
      <c r="H1155" s="179" t="str">
        <f t="shared" si="1"/>
        <v>SíLitio_ferrofosfatoEn el aparatoUna_sola_celda</v>
      </c>
      <c r="I1155" s="178" t="s">
        <v>4767</v>
      </c>
      <c r="J1155" s="182" t="s">
        <v>4783</v>
      </c>
      <c r="K1155" s="178" t="s">
        <v>4769</v>
      </c>
      <c r="L1155" s="178" t="s">
        <v>4808</v>
      </c>
      <c r="M1155" s="178"/>
      <c r="N1155" s="185"/>
      <c r="O1155" s="189" t="s">
        <v>4792</v>
      </c>
    </row>
    <row r="1156" ht="14.25" customHeight="1">
      <c r="H1156" s="179" t="str">
        <f t="shared" si="1"/>
        <v>SíLitio_ferrofosfatoCon el equipoUna_sola_celda</v>
      </c>
      <c r="I1156" s="178" t="s">
        <v>4767</v>
      </c>
      <c r="J1156" s="182" t="s">
        <v>4783</v>
      </c>
      <c r="K1156" s="178" t="s">
        <v>4775</v>
      </c>
      <c r="L1156" s="178" t="s">
        <v>4808</v>
      </c>
      <c r="M1156" s="178"/>
      <c r="N1156" s="185"/>
      <c r="O1156" s="189" t="s">
        <v>4792</v>
      </c>
    </row>
    <row r="1157" ht="14.25" customHeight="1">
      <c r="H1157" s="179" t="str">
        <f t="shared" si="1"/>
        <v>SíLitio_ferrofosfatoIndependienteUna_sola_celda</v>
      </c>
      <c r="I1157" s="178" t="s">
        <v>4767</v>
      </c>
      <c r="J1157" s="182" t="s">
        <v>4783</v>
      </c>
      <c r="K1157" s="178" t="s">
        <v>4780</v>
      </c>
      <c r="L1157" s="178" t="s">
        <v>4808</v>
      </c>
      <c r="M1157" s="178"/>
      <c r="N1157" s="185"/>
      <c r="O1157" s="189" t="s">
        <v>4792</v>
      </c>
    </row>
    <row r="1158" ht="14.25" customHeight="1">
      <c r="H1158" s="179" t="str">
        <f t="shared" si="1"/>
        <v>SíTitanato_de_litioEn el aparatoUna_sola_celda</v>
      </c>
      <c r="I1158" s="178" t="s">
        <v>4767</v>
      </c>
      <c r="J1158" s="182" t="s">
        <v>4789</v>
      </c>
      <c r="K1158" s="178" t="s">
        <v>4769</v>
      </c>
      <c r="L1158" s="178" t="s">
        <v>4808</v>
      </c>
      <c r="M1158" s="178"/>
      <c r="N1158" s="185"/>
      <c r="O1158" s="189" t="s">
        <v>4792</v>
      </c>
    </row>
    <row r="1159" ht="14.25" customHeight="1">
      <c r="H1159" s="179" t="str">
        <f t="shared" si="1"/>
        <v>SíTitanato_de_litioCon el equipoUna_sola_celda</v>
      </c>
      <c r="I1159" s="178" t="s">
        <v>4767</v>
      </c>
      <c r="J1159" s="182" t="s">
        <v>4789</v>
      </c>
      <c r="K1159" s="178" t="s">
        <v>4775</v>
      </c>
      <c r="L1159" s="178" t="s">
        <v>4808</v>
      </c>
      <c r="M1159" s="178"/>
      <c r="N1159" s="185"/>
      <c r="O1159" s="189" t="s">
        <v>4792</v>
      </c>
    </row>
    <row r="1160" ht="14.25" customHeight="1">
      <c r="H1160" s="179" t="str">
        <f t="shared" si="1"/>
        <v>SíTitanato_de_litioIndependienteUna_sola_celda</v>
      </c>
      <c r="I1160" s="178" t="s">
        <v>4767</v>
      </c>
      <c r="J1160" s="182" t="s">
        <v>4789</v>
      </c>
      <c r="K1160" s="178" t="s">
        <v>4780</v>
      </c>
      <c r="L1160" s="178" t="s">
        <v>4808</v>
      </c>
      <c r="M1160" s="178"/>
      <c r="N1160" s="185"/>
      <c r="O1160" s="189" t="s">
        <v>4792</v>
      </c>
    </row>
    <row r="1161" ht="14.25" customHeight="1">
      <c r="H1161" s="179" t="str">
        <f t="shared" si="1"/>
        <v>Sí_18650_En el aparatoUna_sola_celda</v>
      </c>
      <c r="I1161" s="178" t="s">
        <v>4767</v>
      </c>
      <c r="J1161" s="178" t="s">
        <v>4768</v>
      </c>
      <c r="K1161" s="178" t="s">
        <v>4769</v>
      </c>
      <c r="L1161" s="178" t="s">
        <v>4808</v>
      </c>
      <c r="M1161" s="178"/>
      <c r="N1161" s="185"/>
      <c r="O1161" s="189" t="s">
        <v>4792</v>
      </c>
    </row>
    <row r="1162" ht="14.25" customHeight="1">
      <c r="H1162" s="179" t="str">
        <f t="shared" si="1"/>
        <v>Sí_18650_Con el equipoUna_sola_celda</v>
      </c>
      <c r="I1162" s="178" t="s">
        <v>4767</v>
      </c>
      <c r="J1162" s="178" t="s">
        <v>4768</v>
      </c>
      <c r="K1162" s="178" t="s">
        <v>4775</v>
      </c>
      <c r="L1162" s="178" t="s">
        <v>4808</v>
      </c>
      <c r="M1162" s="178"/>
      <c r="N1162" s="185"/>
      <c r="O1162" s="189" t="s">
        <v>4792</v>
      </c>
    </row>
    <row r="1163" ht="14.25" customHeight="1">
      <c r="H1163" s="179" t="str">
        <f t="shared" si="1"/>
        <v>Sí_18650_IndependienteUna_sola_celda</v>
      </c>
      <c r="I1163" s="178" t="s">
        <v>4767</v>
      </c>
      <c r="J1163" s="178" t="s">
        <v>4768</v>
      </c>
      <c r="K1163" s="178" t="s">
        <v>4780</v>
      </c>
      <c r="L1163" s="178" t="s">
        <v>4808</v>
      </c>
      <c r="M1163" s="178"/>
      <c r="N1163" s="185"/>
      <c r="O1163" s="189" t="s">
        <v>4792</v>
      </c>
    </row>
    <row r="1164" ht="14.25" customHeight="1">
      <c r="H1164" s="179" t="str">
        <f t="shared" si="1"/>
        <v>SíIon_litioEn el aparatoUna_sola_celda</v>
      </c>
      <c r="I1164" s="178" t="s">
        <v>4767</v>
      </c>
      <c r="J1164" s="182" t="s">
        <v>4779</v>
      </c>
      <c r="K1164" s="178" t="s">
        <v>4769</v>
      </c>
      <c r="L1164" s="178" t="s">
        <v>4808</v>
      </c>
      <c r="M1164" s="178"/>
      <c r="N1164" s="185"/>
      <c r="O1164" s="189" t="s">
        <v>4792</v>
      </c>
    </row>
    <row r="1165" ht="14.25" customHeight="1">
      <c r="H1165" s="179" t="str">
        <f t="shared" si="1"/>
        <v>SíIon_litioCon el equipoUna_sola_celda</v>
      </c>
      <c r="I1165" s="178" t="s">
        <v>4767</v>
      </c>
      <c r="J1165" s="182" t="s">
        <v>4779</v>
      </c>
      <c r="K1165" s="178" t="s">
        <v>4775</v>
      </c>
      <c r="L1165" s="178" t="s">
        <v>4808</v>
      </c>
      <c r="M1165" s="178"/>
      <c r="N1165" s="185"/>
      <c r="O1165" s="189" t="s">
        <v>4792</v>
      </c>
    </row>
    <row r="1166" ht="14.25" customHeight="1">
      <c r="H1166" s="179" t="str">
        <f t="shared" si="1"/>
        <v>SíIon_litioIndependienteUna_sola_celda</v>
      </c>
      <c r="I1166" s="178" t="s">
        <v>4767</v>
      </c>
      <c r="J1166" s="182" t="s">
        <v>4779</v>
      </c>
      <c r="K1166" s="178" t="s">
        <v>4780</v>
      </c>
      <c r="L1166" s="178" t="s">
        <v>4808</v>
      </c>
      <c r="M1166" s="178"/>
      <c r="N1166" s="185"/>
      <c r="O1166" s="189" t="s">
        <v>4792</v>
      </c>
    </row>
    <row r="1167" ht="14.25" customHeight="1">
      <c r="H1167" s="179" t="str">
        <f t="shared" si="1"/>
        <v>SíPolímero_de_litioEn el aparatoUna_sola_celda</v>
      </c>
      <c r="I1167" s="178" t="s">
        <v>4767</v>
      </c>
      <c r="J1167" s="182" t="s">
        <v>4787</v>
      </c>
      <c r="K1167" s="178" t="s">
        <v>4769</v>
      </c>
      <c r="L1167" s="178" t="s">
        <v>4808</v>
      </c>
      <c r="M1167" s="178"/>
      <c r="N1167" s="185"/>
      <c r="O1167" s="189" t="s">
        <v>4792</v>
      </c>
    </row>
    <row r="1168" ht="14.25" customHeight="1">
      <c r="H1168" s="179" t="str">
        <f t="shared" si="1"/>
        <v>SíPolímero_de_litioCon el equipoUna_sola_celda</v>
      </c>
      <c r="I1168" s="178" t="s">
        <v>4767</v>
      </c>
      <c r="J1168" s="182" t="s">
        <v>4787</v>
      </c>
      <c r="K1168" s="178" t="s">
        <v>4775</v>
      </c>
      <c r="L1168" s="178" t="s">
        <v>4808</v>
      </c>
      <c r="M1168" s="178"/>
      <c r="N1168" s="185"/>
      <c r="O1168" s="189" t="s">
        <v>4792</v>
      </c>
    </row>
    <row r="1169" ht="14.25" customHeight="1">
      <c r="H1169" s="179" t="str">
        <f t="shared" si="1"/>
        <v>SíPolímero_de_litioIndependienteUna_sola_celda</v>
      </c>
      <c r="I1169" s="178" t="s">
        <v>4767</v>
      </c>
      <c r="J1169" s="182" t="s">
        <v>4787</v>
      </c>
      <c r="K1169" s="178" t="s">
        <v>4780</v>
      </c>
      <c r="L1169" s="178" t="s">
        <v>4808</v>
      </c>
      <c r="M1169" s="178"/>
      <c r="N1169" s="185"/>
      <c r="O1169" s="189" t="s">
        <v>4792</v>
      </c>
    </row>
    <row r="1170" ht="14.25" customHeight="1">
      <c r="H1170" s="179" t="str">
        <f t="shared" si="1"/>
        <v>SíÓxido_cobalto_LitioEn el aparatoUna_sola_celda</v>
      </c>
      <c r="I1170" s="178" t="s">
        <v>4767</v>
      </c>
      <c r="J1170" s="182" t="s">
        <v>4774</v>
      </c>
      <c r="K1170" s="178" t="s">
        <v>4769</v>
      </c>
      <c r="L1170" s="178" t="s">
        <v>4808</v>
      </c>
      <c r="M1170" s="178"/>
      <c r="N1170" s="185"/>
      <c r="O1170" s="189" t="s">
        <v>4792</v>
      </c>
    </row>
    <row r="1171" ht="14.25" customHeight="1">
      <c r="H1171" s="179" t="str">
        <f t="shared" si="1"/>
        <v>SíÓxido_cobalto_LitioCon el equipoUna_sola_celda</v>
      </c>
      <c r="I1171" s="178" t="s">
        <v>4767</v>
      </c>
      <c r="J1171" s="182" t="s">
        <v>4774</v>
      </c>
      <c r="K1171" s="178" t="s">
        <v>4775</v>
      </c>
      <c r="L1171" s="178" t="s">
        <v>4808</v>
      </c>
      <c r="M1171" s="178"/>
      <c r="N1171" s="185"/>
      <c r="O1171" s="189" t="s">
        <v>4792</v>
      </c>
    </row>
    <row r="1172" ht="14.25" customHeight="1">
      <c r="H1172" s="179" t="str">
        <f t="shared" si="1"/>
        <v>SíÓxido_cobalto_LitioIndependienteUna_sola_celda</v>
      </c>
      <c r="I1172" s="178" t="s">
        <v>4767</v>
      </c>
      <c r="J1172" s="182" t="s">
        <v>4774</v>
      </c>
      <c r="K1172" s="178" t="s">
        <v>4780</v>
      </c>
      <c r="L1172" s="178" t="s">
        <v>4808</v>
      </c>
      <c r="M1172" s="178"/>
      <c r="N1172" s="185"/>
      <c r="O1172" s="189" t="s">
        <v>4792</v>
      </c>
    </row>
    <row r="1173" ht="14.25" customHeight="1">
      <c r="H1173" s="179" t="str">
        <f t="shared" si="1"/>
        <v>SíÓxido_de_cobalto_de_manganeso_y_litioEn el aparatoUna_sola_celda</v>
      </c>
      <c r="I1173" s="178" t="s">
        <v>4767</v>
      </c>
      <c r="J1173" s="182" t="s">
        <v>4785</v>
      </c>
      <c r="K1173" s="178" t="s">
        <v>4769</v>
      </c>
      <c r="L1173" s="178" t="s">
        <v>4808</v>
      </c>
      <c r="M1173" s="178"/>
      <c r="N1173" s="185"/>
      <c r="O1173" s="189" t="s">
        <v>4792</v>
      </c>
    </row>
    <row r="1174" ht="14.25" customHeight="1">
      <c r="H1174" s="179" t="str">
        <f t="shared" si="1"/>
        <v>SíÓxido_de_cobalto_de_manganeso_y_litioCon el equipoUna_sola_celda</v>
      </c>
      <c r="I1174" s="178" t="s">
        <v>4767</v>
      </c>
      <c r="J1174" s="182" t="s">
        <v>4785</v>
      </c>
      <c r="K1174" s="178" t="s">
        <v>4775</v>
      </c>
      <c r="L1174" s="178" t="s">
        <v>4808</v>
      </c>
      <c r="M1174" s="178"/>
      <c r="N1174" s="185"/>
      <c r="O1174" s="189" t="s">
        <v>4792</v>
      </c>
    </row>
    <row r="1175" ht="14.25" customHeight="1">
      <c r="H1175" s="179" t="str">
        <f t="shared" si="1"/>
        <v>SíÓxido_de_cobalto_de_manganeso_y_litioIndependienteUna_sola_celda</v>
      </c>
      <c r="I1175" s="178" t="s">
        <v>4767</v>
      </c>
      <c r="J1175" s="182" t="s">
        <v>4785</v>
      </c>
      <c r="K1175" s="178" t="s">
        <v>4780</v>
      </c>
      <c r="L1175" s="178" t="s">
        <v>4808</v>
      </c>
      <c r="M1175" s="178"/>
      <c r="N1175" s="185"/>
      <c r="O1175" s="189" t="s">
        <v>4792</v>
      </c>
    </row>
    <row r="1176" ht="14.25" customHeight="1">
      <c r="H1176" s="179" t="str">
        <f t="shared" si="1"/>
        <v>SíLitio_ferrofosfatoEn el aparatoUna_sola_celda</v>
      </c>
      <c r="I1176" s="178" t="s">
        <v>4767</v>
      </c>
      <c r="J1176" s="182" t="s">
        <v>4783</v>
      </c>
      <c r="K1176" s="178" t="s">
        <v>4769</v>
      </c>
      <c r="L1176" s="178" t="s">
        <v>4808</v>
      </c>
      <c r="M1176" s="178"/>
      <c r="N1176" s="185"/>
      <c r="O1176" s="189" t="s">
        <v>4792</v>
      </c>
    </row>
    <row r="1177" ht="14.25" customHeight="1">
      <c r="H1177" s="179" t="str">
        <f t="shared" si="1"/>
        <v>SíLitio_ferrofosfatoCon el equipoUna_sola_celda</v>
      </c>
      <c r="I1177" s="178" t="s">
        <v>4767</v>
      </c>
      <c r="J1177" s="182" t="s">
        <v>4783</v>
      </c>
      <c r="K1177" s="178" t="s">
        <v>4775</v>
      </c>
      <c r="L1177" s="178" t="s">
        <v>4808</v>
      </c>
      <c r="M1177" s="178"/>
      <c r="N1177" s="185"/>
      <c r="O1177" s="189" t="s">
        <v>4792</v>
      </c>
    </row>
    <row r="1178" ht="14.25" customHeight="1">
      <c r="H1178" s="179" t="str">
        <f t="shared" si="1"/>
        <v>SíLitio_ferrofosfatoIndependienteUna_sola_celda</v>
      </c>
      <c r="I1178" s="178" t="s">
        <v>4767</v>
      </c>
      <c r="J1178" s="182" t="s">
        <v>4783</v>
      </c>
      <c r="K1178" s="178" t="s">
        <v>4780</v>
      </c>
      <c r="L1178" s="178" t="s">
        <v>4808</v>
      </c>
      <c r="M1178" s="178"/>
      <c r="N1178" s="185"/>
      <c r="O1178" s="189" t="s">
        <v>4792</v>
      </c>
    </row>
    <row r="1179" ht="14.25" customHeight="1">
      <c r="H1179" s="179" t="str">
        <f t="shared" si="1"/>
        <v>SíTitanato_de_litioEn el aparatoUna_sola_celda</v>
      </c>
      <c r="I1179" s="178" t="s">
        <v>4767</v>
      </c>
      <c r="J1179" s="182" t="s">
        <v>4789</v>
      </c>
      <c r="K1179" s="178" t="s">
        <v>4769</v>
      </c>
      <c r="L1179" s="178" t="s">
        <v>4808</v>
      </c>
      <c r="M1179" s="178"/>
      <c r="N1179" s="185"/>
      <c r="O1179" s="189" t="s">
        <v>4792</v>
      </c>
    </row>
    <row r="1180" ht="14.25" customHeight="1">
      <c r="H1180" s="179" t="str">
        <f t="shared" si="1"/>
        <v>SíTitanato_de_litioCon el equipoUna_sola_celda</v>
      </c>
      <c r="I1180" s="178" t="s">
        <v>4767</v>
      </c>
      <c r="J1180" s="182" t="s">
        <v>4789</v>
      </c>
      <c r="K1180" s="178" t="s">
        <v>4775</v>
      </c>
      <c r="L1180" s="178" t="s">
        <v>4808</v>
      </c>
      <c r="M1180" s="178"/>
      <c r="N1180" s="185"/>
      <c r="O1180" s="189" t="s">
        <v>4792</v>
      </c>
    </row>
    <row r="1181" ht="14.25" customHeight="1">
      <c r="H1181" s="179" t="str">
        <f t="shared" si="1"/>
        <v>SíTitanato_de_litioIndependienteUna_sola_celda</v>
      </c>
      <c r="I1181" s="178" t="s">
        <v>4767</v>
      </c>
      <c r="J1181" s="182" t="s">
        <v>4789</v>
      </c>
      <c r="K1181" s="178" t="s">
        <v>4780</v>
      </c>
      <c r="L1181" s="178" t="s">
        <v>4808</v>
      </c>
      <c r="M1181" s="178"/>
      <c r="N1181" s="185"/>
      <c r="O1181" s="189" t="s">
        <v>4792</v>
      </c>
    </row>
    <row r="1182" ht="14.25" customHeight="1">
      <c r="H1182" s="179" t="str">
        <f t="shared" si="1"/>
        <v>Sí_18650_En el aparatoUna_sola_celda</v>
      </c>
      <c r="I1182" s="178" t="s">
        <v>4767</v>
      </c>
      <c r="J1182" s="178" t="s">
        <v>4768</v>
      </c>
      <c r="K1182" s="178" t="s">
        <v>4769</v>
      </c>
      <c r="L1182" s="178" t="s">
        <v>4808</v>
      </c>
      <c r="M1182" s="178"/>
      <c r="N1182" s="185"/>
      <c r="O1182" s="189" t="s">
        <v>4792</v>
      </c>
    </row>
    <row r="1183" ht="14.25" customHeight="1">
      <c r="H1183" s="179" t="str">
        <f t="shared" si="1"/>
        <v>Sí_18650_Con el equipoUna_sola_celda</v>
      </c>
      <c r="I1183" s="178" t="s">
        <v>4767</v>
      </c>
      <c r="J1183" s="178" t="s">
        <v>4768</v>
      </c>
      <c r="K1183" s="178" t="s">
        <v>4775</v>
      </c>
      <c r="L1183" s="178" t="s">
        <v>4808</v>
      </c>
      <c r="M1183" s="178"/>
      <c r="N1183" s="185"/>
      <c r="O1183" s="189" t="s">
        <v>4792</v>
      </c>
    </row>
    <row r="1184" ht="14.25" customHeight="1">
      <c r="H1184" s="179" t="str">
        <f t="shared" si="1"/>
        <v>Sí_18650_IndependienteUna_sola_celda</v>
      </c>
      <c r="I1184" s="178" t="s">
        <v>4767</v>
      </c>
      <c r="J1184" s="178" t="s">
        <v>4768</v>
      </c>
      <c r="K1184" s="178" t="s">
        <v>4780</v>
      </c>
      <c r="L1184" s="178" t="s">
        <v>4808</v>
      </c>
      <c r="M1184" s="178"/>
      <c r="N1184" s="185"/>
      <c r="O1184" s="189" t="s">
        <v>4792</v>
      </c>
    </row>
    <row r="1185" ht="14.25" customHeight="1">
      <c r="H1185" s="179" t="str">
        <f t="shared" si="1"/>
        <v>SíIon_litioEn el aparatoUna_sola_celda</v>
      </c>
      <c r="I1185" s="178" t="s">
        <v>4767</v>
      </c>
      <c r="J1185" s="182" t="s">
        <v>4779</v>
      </c>
      <c r="K1185" s="178" t="s">
        <v>4769</v>
      </c>
      <c r="L1185" s="178" t="s">
        <v>4808</v>
      </c>
      <c r="M1185" s="178"/>
      <c r="N1185" s="185"/>
      <c r="O1185" s="189" t="s">
        <v>4792</v>
      </c>
    </row>
    <row r="1186" ht="14.25" customHeight="1">
      <c r="H1186" s="179" t="str">
        <f t="shared" si="1"/>
        <v>SíIon_litioCon el equipoUna_sola_celda</v>
      </c>
      <c r="I1186" s="178" t="s">
        <v>4767</v>
      </c>
      <c r="J1186" s="182" t="s">
        <v>4779</v>
      </c>
      <c r="K1186" s="178" t="s">
        <v>4775</v>
      </c>
      <c r="L1186" s="178" t="s">
        <v>4808</v>
      </c>
      <c r="M1186" s="178"/>
      <c r="N1186" s="185"/>
      <c r="O1186" s="189" t="s">
        <v>4792</v>
      </c>
    </row>
    <row r="1187" ht="14.25" customHeight="1">
      <c r="H1187" s="179" t="str">
        <f t="shared" si="1"/>
        <v>SíIon_litioIndependienteUna_sola_celda</v>
      </c>
      <c r="I1187" s="178" t="s">
        <v>4767</v>
      </c>
      <c r="J1187" s="182" t="s">
        <v>4779</v>
      </c>
      <c r="K1187" s="178" t="s">
        <v>4780</v>
      </c>
      <c r="L1187" s="178" t="s">
        <v>4808</v>
      </c>
      <c r="M1187" s="178"/>
      <c r="N1187" s="185"/>
      <c r="O1187" s="189" t="s">
        <v>4792</v>
      </c>
    </row>
    <row r="1188" ht="14.25" customHeight="1">
      <c r="H1188" s="179" t="str">
        <f t="shared" si="1"/>
        <v>SíPolímero_de_litioEn el aparatoUna_sola_celda</v>
      </c>
      <c r="I1188" s="178" t="s">
        <v>4767</v>
      </c>
      <c r="J1188" s="182" t="s">
        <v>4787</v>
      </c>
      <c r="K1188" s="178" t="s">
        <v>4769</v>
      </c>
      <c r="L1188" s="178" t="s">
        <v>4808</v>
      </c>
      <c r="M1188" s="178"/>
      <c r="N1188" s="185"/>
      <c r="O1188" s="189" t="s">
        <v>4792</v>
      </c>
    </row>
    <row r="1189" ht="14.25" customHeight="1">
      <c r="H1189" s="179" t="str">
        <f t="shared" si="1"/>
        <v>SíPolímero_de_litioCon el equipoUna_sola_celda</v>
      </c>
      <c r="I1189" s="178" t="s">
        <v>4767</v>
      </c>
      <c r="J1189" s="182" t="s">
        <v>4787</v>
      </c>
      <c r="K1189" s="178" t="s">
        <v>4775</v>
      </c>
      <c r="L1189" s="178" t="s">
        <v>4808</v>
      </c>
      <c r="M1189" s="178"/>
      <c r="N1189" s="185"/>
      <c r="O1189" s="189" t="s">
        <v>4792</v>
      </c>
    </row>
    <row r="1190" ht="14.25" customHeight="1">
      <c r="H1190" s="179" t="str">
        <f t="shared" si="1"/>
        <v>SíPolímero_de_litioIndependienteUna_sola_celda</v>
      </c>
      <c r="I1190" s="178" t="s">
        <v>4767</v>
      </c>
      <c r="J1190" s="182" t="s">
        <v>4787</v>
      </c>
      <c r="K1190" s="178" t="s">
        <v>4780</v>
      </c>
      <c r="L1190" s="178" t="s">
        <v>4808</v>
      </c>
      <c r="M1190" s="178"/>
      <c r="N1190" s="185"/>
      <c r="O1190" s="189" t="s">
        <v>4792</v>
      </c>
    </row>
    <row r="1191" ht="14.25" customHeight="1">
      <c r="H1191" s="179" t="str">
        <f t="shared" si="1"/>
        <v>SíÓxido_cobalto_LitioEn el aparatoUna_sola_celda</v>
      </c>
      <c r="I1191" s="178" t="s">
        <v>4767</v>
      </c>
      <c r="J1191" s="182" t="s">
        <v>4774</v>
      </c>
      <c r="K1191" s="178" t="s">
        <v>4769</v>
      </c>
      <c r="L1191" s="178" t="s">
        <v>4808</v>
      </c>
      <c r="M1191" s="178"/>
      <c r="N1191" s="185"/>
      <c r="O1191" s="189" t="s">
        <v>4792</v>
      </c>
    </row>
    <row r="1192" ht="14.25" customHeight="1">
      <c r="H1192" s="179" t="str">
        <f t="shared" si="1"/>
        <v>SíÓxido_cobalto_LitioCon el equipoUna_sola_celda</v>
      </c>
      <c r="I1192" s="178" t="s">
        <v>4767</v>
      </c>
      <c r="J1192" s="182" t="s">
        <v>4774</v>
      </c>
      <c r="K1192" s="178" t="s">
        <v>4775</v>
      </c>
      <c r="L1192" s="178" t="s">
        <v>4808</v>
      </c>
      <c r="M1192" s="178"/>
      <c r="N1192" s="185"/>
      <c r="O1192" s="189" t="s">
        <v>4792</v>
      </c>
    </row>
    <row r="1193" ht="14.25" customHeight="1">
      <c r="H1193" s="179" t="str">
        <f t="shared" si="1"/>
        <v>SíÓxido_cobalto_LitioIndependienteUna_sola_celda</v>
      </c>
      <c r="I1193" s="178" t="s">
        <v>4767</v>
      </c>
      <c r="J1193" s="182" t="s">
        <v>4774</v>
      </c>
      <c r="K1193" s="178" t="s">
        <v>4780</v>
      </c>
      <c r="L1193" s="178" t="s">
        <v>4808</v>
      </c>
      <c r="M1193" s="178"/>
      <c r="N1193" s="185"/>
      <c r="O1193" s="189" t="s">
        <v>4792</v>
      </c>
    </row>
    <row r="1194" ht="14.25" customHeight="1">
      <c r="H1194" s="179" t="str">
        <f t="shared" si="1"/>
        <v>SíÓxido_de_cobalto_de_manganeso_y_litioEn el aparatoUna_sola_celda</v>
      </c>
      <c r="I1194" s="178" t="s">
        <v>4767</v>
      </c>
      <c r="J1194" s="182" t="s">
        <v>4785</v>
      </c>
      <c r="K1194" s="178" t="s">
        <v>4769</v>
      </c>
      <c r="L1194" s="178" t="s">
        <v>4808</v>
      </c>
      <c r="M1194" s="178"/>
      <c r="N1194" s="185"/>
      <c r="O1194" s="189" t="s">
        <v>4792</v>
      </c>
    </row>
    <row r="1195" ht="14.25" customHeight="1">
      <c r="H1195" s="179" t="str">
        <f t="shared" si="1"/>
        <v>SíÓxido_de_cobalto_de_manganeso_y_litioCon el equipoUna_sola_celda</v>
      </c>
      <c r="I1195" s="178" t="s">
        <v>4767</v>
      </c>
      <c r="J1195" s="182" t="s">
        <v>4785</v>
      </c>
      <c r="K1195" s="178" t="s">
        <v>4775</v>
      </c>
      <c r="L1195" s="178" t="s">
        <v>4808</v>
      </c>
      <c r="M1195" s="178"/>
      <c r="N1195" s="185"/>
      <c r="O1195" s="189" t="s">
        <v>4792</v>
      </c>
    </row>
    <row r="1196" ht="14.25" customHeight="1">
      <c r="H1196" s="179" t="str">
        <f t="shared" si="1"/>
        <v>SíÓxido_de_cobalto_de_manganeso_y_litioIndependienteUna_sola_celda</v>
      </c>
      <c r="I1196" s="178" t="s">
        <v>4767</v>
      </c>
      <c r="J1196" s="182" t="s">
        <v>4785</v>
      </c>
      <c r="K1196" s="178" t="s">
        <v>4780</v>
      </c>
      <c r="L1196" s="178" t="s">
        <v>4808</v>
      </c>
      <c r="M1196" s="178"/>
      <c r="N1196" s="185"/>
      <c r="O1196" s="189" t="s">
        <v>4792</v>
      </c>
    </row>
    <row r="1197" ht="14.25" customHeight="1">
      <c r="H1197" s="179" t="str">
        <f t="shared" si="1"/>
        <v>SíLitio_ferrofosfatoEn el aparatoUna_sola_celda</v>
      </c>
      <c r="I1197" s="178" t="s">
        <v>4767</v>
      </c>
      <c r="J1197" s="182" t="s">
        <v>4783</v>
      </c>
      <c r="K1197" s="178" t="s">
        <v>4769</v>
      </c>
      <c r="L1197" s="178" t="s">
        <v>4808</v>
      </c>
      <c r="M1197" s="178"/>
      <c r="N1197" s="185"/>
      <c r="O1197" s="189" t="s">
        <v>4792</v>
      </c>
    </row>
    <row r="1198" ht="14.25" customHeight="1">
      <c r="H1198" s="179" t="str">
        <f t="shared" si="1"/>
        <v>SíLitio_ferrofosfatoCon el equipoUna_sola_celda</v>
      </c>
      <c r="I1198" s="178" t="s">
        <v>4767</v>
      </c>
      <c r="J1198" s="182" t="s">
        <v>4783</v>
      </c>
      <c r="K1198" s="178" t="s">
        <v>4775</v>
      </c>
      <c r="L1198" s="178" t="s">
        <v>4808</v>
      </c>
      <c r="M1198" s="178"/>
      <c r="N1198" s="185"/>
      <c r="O1198" s="189" t="s">
        <v>4792</v>
      </c>
    </row>
    <row r="1199" ht="14.25" customHeight="1">
      <c r="H1199" s="179" t="str">
        <f t="shared" si="1"/>
        <v>SíLitio_ferrofosfatoIndependienteUna_sola_celda</v>
      </c>
      <c r="I1199" s="178" t="s">
        <v>4767</v>
      </c>
      <c r="J1199" s="182" t="s">
        <v>4783</v>
      </c>
      <c r="K1199" s="178" t="s">
        <v>4780</v>
      </c>
      <c r="L1199" s="178" t="s">
        <v>4808</v>
      </c>
      <c r="M1199" s="178"/>
      <c r="N1199" s="185"/>
      <c r="O1199" s="189" t="s">
        <v>4792</v>
      </c>
    </row>
    <row r="1200" ht="14.25" customHeight="1">
      <c r="H1200" s="179" t="str">
        <f t="shared" si="1"/>
        <v>SíTitanato_de_litioEn el aparatoUna_sola_celda</v>
      </c>
      <c r="I1200" s="178" t="s">
        <v>4767</v>
      </c>
      <c r="J1200" s="182" t="s">
        <v>4789</v>
      </c>
      <c r="K1200" s="178" t="s">
        <v>4769</v>
      </c>
      <c r="L1200" s="178" t="s">
        <v>4808</v>
      </c>
      <c r="M1200" s="178"/>
      <c r="N1200" s="185"/>
      <c r="O1200" s="189" t="s">
        <v>4792</v>
      </c>
    </row>
    <row r="1201" ht="14.25" customHeight="1">
      <c r="H1201" s="179" t="str">
        <f t="shared" si="1"/>
        <v>SíTitanato_de_litioCon el equipoUna_sola_celda</v>
      </c>
      <c r="I1201" s="178" t="s">
        <v>4767</v>
      </c>
      <c r="J1201" s="182" t="s">
        <v>4789</v>
      </c>
      <c r="K1201" s="178" t="s">
        <v>4775</v>
      </c>
      <c r="L1201" s="178" t="s">
        <v>4808</v>
      </c>
      <c r="M1201" s="178"/>
      <c r="N1201" s="185"/>
      <c r="O1201" s="189" t="s">
        <v>4792</v>
      </c>
    </row>
    <row r="1202" ht="14.25" customHeight="1">
      <c r="H1202" s="179" t="str">
        <f t="shared" si="1"/>
        <v>SíTitanato_de_litioIndependienteUna_sola_celda</v>
      </c>
      <c r="I1202" s="178" t="s">
        <v>4767</v>
      </c>
      <c r="J1202" s="182" t="s">
        <v>4789</v>
      </c>
      <c r="K1202" s="178" t="s">
        <v>4780</v>
      </c>
      <c r="L1202" s="178" t="s">
        <v>4808</v>
      </c>
      <c r="M1202" s="178"/>
      <c r="N1202" s="185"/>
      <c r="O1202" s="189" t="s">
        <v>4792</v>
      </c>
    </row>
    <row r="1203" ht="14.25" customHeight="1">
      <c r="H1203" s="179" t="str">
        <f t="shared" si="1"/>
        <v>Sí_18650_En el aparatoUna_sola_celda</v>
      </c>
      <c r="I1203" s="178" t="s">
        <v>4767</v>
      </c>
      <c r="J1203" s="178" t="s">
        <v>4768</v>
      </c>
      <c r="K1203" s="178" t="s">
        <v>4769</v>
      </c>
      <c r="L1203" s="178" t="s">
        <v>4808</v>
      </c>
      <c r="M1203" s="178"/>
      <c r="N1203" s="185"/>
      <c r="O1203" s="189" t="s">
        <v>4792</v>
      </c>
    </row>
    <row r="1204" ht="14.25" customHeight="1">
      <c r="H1204" s="179" t="str">
        <f t="shared" si="1"/>
        <v>Sí_18650_Con el equipoUna_sola_celda</v>
      </c>
      <c r="I1204" s="178" t="s">
        <v>4767</v>
      </c>
      <c r="J1204" s="178" t="s">
        <v>4768</v>
      </c>
      <c r="K1204" s="178" t="s">
        <v>4775</v>
      </c>
      <c r="L1204" s="178" t="s">
        <v>4808</v>
      </c>
      <c r="M1204" s="178"/>
      <c r="N1204" s="185"/>
      <c r="O1204" s="189" t="s">
        <v>4792</v>
      </c>
    </row>
    <row r="1205" ht="14.25" customHeight="1">
      <c r="H1205" s="179" t="str">
        <f t="shared" si="1"/>
        <v>Sí_18650_IndependienteUna_sola_celda</v>
      </c>
      <c r="I1205" s="178" t="s">
        <v>4767</v>
      </c>
      <c r="J1205" s="178" t="s">
        <v>4768</v>
      </c>
      <c r="K1205" s="178" t="s">
        <v>4780</v>
      </c>
      <c r="L1205" s="178" t="s">
        <v>4808</v>
      </c>
      <c r="M1205" s="178"/>
      <c r="N1205" s="185"/>
      <c r="O1205" s="189" t="s">
        <v>4792</v>
      </c>
    </row>
    <row r="1206" ht="14.25" customHeight="1">
      <c r="H1206" s="179" t="str">
        <f t="shared" si="1"/>
        <v>SíIon_litioEn el aparatoUna_sola_celda</v>
      </c>
      <c r="I1206" s="178" t="s">
        <v>4767</v>
      </c>
      <c r="J1206" s="182" t="s">
        <v>4779</v>
      </c>
      <c r="K1206" s="178" t="s">
        <v>4769</v>
      </c>
      <c r="L1206" s="178" t="s">
        <v>4808</v>
      </c>
      <c r="M1206" s="178"/>
      <c r="N1206" s="185"/>
      <c r="O1206" s="189" t="s">
        <v>4792</v>
      </c>
    </row>
    <row r="1207" ht="14.25" customHeight="1">
      <c r="H1207" s="179" t="str">
        <f t="shared" si="1"/>
        <v>SíIon_litioCon el equipoUna_sola_celda</v>
      </c>
      <c r="I1207" s="178" t="s">
        <v>4767</v>
      </c>
      <c r="J1207" s="182" t="s">
        <v>4779</v>
      </c>
      <c r="K1207" s="178" t="s">
        <v>4775</v>
      </c>
      <c r="L1207" s="178" t="s">
        <v>4808</v>
      </c>
      <c r="M1207" s="178"/>
      <c r="N1207" s="185"/>
      <c r="O1207" s="189" t="s">
        <v>4792</v>
      </c>
    </row>
    <row r="1208" ht="14.25" customHeight="1">
      <c r="H1208" s="179" t="str">
        <f t="shared" si="1"/>
        <v>SíIon_litioIndependienteUna_sola_celda</v>
      </c>
      <c r="I1208" s="178" t="s">
        <v>4767</v>
      </c>
      <c r="J1208" s="182" t="s">
        <v>4779</v>
      </c>
      <c r="K1208" s="178" t="s">
        <v>4780</v>
      </c>
      <c r="L1208" s="178" t="s">
        <v>4808</v>
      </c>
      <c r="M1208" s="178"/>
      <c r="N1208" s="185"/>
      <c r="O1208" s="189" t="s">
        <v>4792</v>
      </c>
    </row>
    <row r="1209" ht="14.25" customHeight="1">
      <c r="H1209" s="179" t="str">
        <f t="shared" si="1"/>
        <v>SíPolímero_de_litioEn el aparatoUna_sola_celda</v>
      </c>
      <c r="I1209" s="178" t="s">
        <v>4767</v>
      </c>
      <c r="J1209" s="182" t="s">
        <v>4787</v>
      </c>
      <c r="K1209" s="178" t="s">
        <v>4769</v>
      </c>
      <c r="L1209" s="178" t="s">
        <v>4808</v>
      </c>
      <c r="M1209" s="178"/>
      <c r="N1209" s="185"/>
      <c r="O1209" s="189" t="s">
        <v>4792</v>
      </c>
    </row>
    <row r="1210" ht="14.25" customHeight="1">
      <c r="H1210" s="179" t="str">
        <f t="shared" si="1"/>
        <v>SíPolímero_de_litioCon el equipoUna_sola_celda</v>
      </c>
      <c r="I1210" s="178" t="s">
        <v>4767</v>
      </c>
      <c r="J1210" s="182" t="s">
        <v>4787</v>
      </c>
      <c r="K1210" s="178" t="s">
        <v>4775</v>
      </c>
      <c r="L1210" s="178" t="s">
        <v>4808</v>
      </c>
      <c r="M1210" s="178"/>
      <c r="N1210" s="185"/>
      <c r="O1210" s="189" t="s">
        <v>4792</v>
      </c>
    </row>
    <row r="1211" ht="14.25" customHeight="1">
      <c r="H1211" s="179" t="str">
        <f t="shared" si="1"/>
        <v>SíPolímero_de_litioIndependienteUna_sola_celda</v>
      </c>
      <c r="I1211" s="178" t="s">
        <v>4767</v>
      </c>
      <c r="J1211" s="182" t="s">
        <v>4787</v>
      </c>
      <c r="K1211" s="178" t="s">
        <v>4780</v>
      </c>
      <c r="L1211" s="178" t="s">
        <v>4808</v>
      </c>
      <c r="M1211" s="178"/>
      <c r="N1211" s="185"/>
      <c r="O1211" s="189" t="s">
        <v>4792</v>
      </c>
    </row>
    <row r="1212" ht="14.25" customHeight="1">
      <c r="H1212" s="179" t="str">
        <f t="shared" si="1"/>
        <v>SíÓxido_cobalto_LitioEn el aparatoUna_sola_celda</v>
      </c>
      <c r="I1212" s="178" t="s">
        <v>4767</v>
      </c>
      <c r="J1212" s="182" t="s">
        <v>4774</v>
      </c>
      <c r="K1212" s="178" t="s">
        <v>4769</v>
      </c>
      <c r="L1212" s="178" t="s">
        <v>4808</v>
      </c>
      <c r="M1212" s="178"/>
      <c r="N1212" s="185"/>
      <c r="O1212" s="189" t="s">
        <v>4792</v>
      </c>
    </row>
    <row r="1213" ht="14.25" customHeight="1">
      <c r="H1213" s="179" t="str">
        <f t="shared" si="1"/>
        <v>SíÓxido_cobalto_LitioCon el equipoUna_sola_celda</v>
      </c>
      <c r="I1213" s="178" t="s">
        <v>4767</v>
      </c>
      <c r="J1213" s="182" t="s">
        <v>4774</v>
      </c>
      <c r="K1213" s="178" t="s">
        <v>4775</v>
      </c>
      <c r="L1213" s="178" t="s">
        <v>4808</v>
      </c>
      <c r="M1213" s="178"/>
      <c r="N1213" s="185"/>
      <c r="O1213" s="189" t="s">
        <v>4792</v>
      </c>
    </row>
    <row r="1214" ht="14.25" customHeight="1">
      <c r="H1214" s="179" t="str">
        <f t="shared" si="1"/>
        <v>SíÓxido_cobalto_LitioIndependienteUna_sola_celda</v>
      </c>
      <c r="I1214" s="178" t="s">
        <v>4767</v>
      </c>
      <c r="J1214" s="182" t="s">
        <v>4774</v>
      </c>
      <c r="K1214" s="178" t="s">
        <v>4780</v>
      </c>
      <c r="L1214" s="178" t="s">
        <v>4808</v>
      </c>
      <c r="M1214" s="178"/>
      <c r="N1214" s="185"/>
      <c r="O1214" s="189" t="s">
        <v>4792</v>
      </c>
    </row>
    <row r="1215" ht="14.25" customHeight="1">
      <c r="H1215" s="179" t="str">
        <f t="shared" si="1"/>
        <v>SíÓxido_de_cobalto_de_manganeso_y_litioEn el aparatoUna_sola_celda</v>
      </c>
      <c r="I1215" s="178" t="s">
        <v>4767</v>
      </c>
      <c r="J1215" s="182" t="s">
        <v>4785</v>
      </c>
      <c r="K1215" s="178" t="s">
        <v>4769</v>
      </c>
      <c r="L1215" s="178" t="s">
        <v>4808</v>
      </c>
      <c r="M1215" s="178"/>
      <c r="N1215" s="185"/>
      <c r="O1215" s="189" t="s">
        <v>4792</v>
      </c>
    </row>
    <row r="1216" ht="14.25" customHeight="1">
      <c r="H1216" s="179" t="str">
        <f t="shared" si="1"/>
        <v>SíÓxido_de_cobalto_de_manganeso_y_litioCon el equipoUna_sola_celda</v>
      </c>
      <c r="I1216" s="178" t="s">
        <v>4767</v>
      </c>
      <c r="J1216" s="182" t="s">
        <v>4785</v>
      </c>
      <c r="K1216" s="178" t="s">
        <v>4775</v>
      </c>
      <c r="L1216" s="178" t="s">
        <v>4808</v>
      </c>
      <c r="M1216" s="178"/>
      <c r="N1216" s="185"/>
      <c r="O1216" s="189" t="s">
        <v>4792</v>
      </c>
    </row>
    <row r="1217" ht="14.25" customHeight="1">
      <c r="H1217" s="179" t="str">
        <f t="shared" si="1"/>
        <v>SíÓxido_de_cobalto_de_manganeso_y_litioIndependienteUna_sola_celda</v>
      </c>
      <c r="I1217" s="178" t="s">
        <v>4767</v>
      </c>
      <c r="J1217" s="182" t="s">
        <v>4785</v>
      </c>
      <c r="K1217" s="178" t="s">
        <v>4780</v>
      </c>
      <c r="L1217" s="178" t="s">
        <v>4808</v>
      </c>
      <c r="M1217" s="178"/>
      <c r="N1217" s="185"/>
      <c r="O1217" s="189" t="s">
        <v>4792</v>
      </c>
    </row>
    <row r="1218" ht="14.25" customHeight="1">
      <c r="H1218" s="179" t="str">
        <f t="shared" si="1"/>
        <v>SíLitio_ferrofosfatoEn el aparatoUna_sola_celda</v>
      </c>
      <c r="I1218" s="178" t="s">
        <v>4767</v>
      </c>
      <c r="J1218" s="182" t="s">
        <v>4783</v>
      </c>
      <c r="K1218" s="178" t="s">
        <v>4769</v>
      </c>
      <c r="L1218" s="178" t="s">
        <v>4808</v>
      </c>
      <c r="M1218" s="178"/>
      <c r="N1218" s="185"/>
      <c r="O1218" s="189" t="s">
        <v>4792</v>
      </c>
    </row>
    <row r="1219" ht="14.25" customHeight="1">
      <c r="H1219" s="179" t="str">
        <f t="shared" si="1"/>
        <v>SíLitio_ferrofosfatoCon el equipoUna_sola_celda</v>
      </c>
      <c r="I1219" s="178" t="s">
        <v>4767</v>
      </c>
      <c r="J1219" s="182" t="s">
        <v>4783</v>
      </c>
      <c r="K1219" s="178" t="s">
        <v>4775</v>
      </c>
      <c r="L1219" s="178" t="s">
        <v>4808</v>
      </c>
      <c r="M1219" s="178"/>
      <c r="N1219" s="185"/>
      <c r="O1219" s="189" t="s">
        <v>4792</v>
      </c>
    </row>
    <row r="1220" ht="14.25" customHeight="1">
      <c r="H1220" s="179" t="str">
        <f t="shared" si="1"/>
        <v>SíLitio_ferrofosfatoIndependienteUna_sola_celda</v>
      </c>
      <c r="I1220" s="178" t="s">
        <v>4767</v>
      </c>
      <c r="J1220" s="182" t="s">
        <v>4783</v>
      </c>
      <c r="K1220" s="178" t="s">
        <v>4780</v>
      </c>
      <c r="L1220" s="178" t="s">
        <v>4808</v>
      </c>
      <c r="M1220" s="178"/>
      <c r="N1220" s="185"/>
      <c r="O1220" s="189" t="s">
        <v>4792</v>
      </c>
    </row>
    <row r="1221" ht="14.25" customHeight="1">
      <c r="H1221" s="179" t="str">
        <f t="shared" si="1"/>
        <v>SíTitanato_de_litioEn el aparatoUna_sola_celda</v>
      </c>
      <c r="I1221" s="178" t="s">
        <v>4767</v>
      </c>
      <c r="J1221" s="182" t="s">
        <v>4789</v>
      </c>
      <c r="K1221" s="178" t="s">
        <v>4769</v>
      </c>
      <c r="L1221" s="178" t="s">
        <v>4808</v>
      </c>
      <c r="M1221" s="178"/>
      <c r="N1221" s="185"/>
      <c r="O1221" s="189" t="s">
        <v>4792</v>
      </c>
    </row>
    <row r="1222" ht="14.25" customHeight="1">
      <c r="H1222" s="179" t="str">
        <f t="shared" si="1"/>
        <v>SíTitanato_de_litioCon el equipoUna_sola_celda</v>
      </c>
      <c r="I1222" s="178" t="s">
        <v>4767</v>
      </c>
      <c r="J1222" s="182" t="s">
        <v>4789</v>
      </c>
      <c r="K1222" s="178" t="s">
        <v>4775</v>
      </c>
      <c r="L1222" s="178" t="s">
        <v>4808</v>
      </c>
      <c r="M1222" s="178"/>
      <c r="N1222" s="185"/>
      <c r="O1222" s="189" t="s">
        <v>4792</v>
      </c>
    </row>
    <row r="1223" ht="14.25" customHeight="1">
      <c r="H1223" s="179" t="str">
        <f t="shared" si="1"/>
        <v>SíTitanato_de_litioIndependienteUna_sola_celda</v>
      </c>
      <c r="I1223" s="178" t="s">
        <v>4767</v>
      </c>
      <c r="J1223" s="182" t="s">
        <v>4789</v>
      </c>
      <c r="K1223" s="178" t="s">
        <v>4780</v>
      </c>
      <c r="L1223" s="178" t="s">
        <v>4808</v>
      </c>
      <c r="M1223" s="178"/>
      <c r="N1223" s="185"/>
      <c r="O1223" s="189" t="s">
        <v>4792</v>
      </c>
    </row>
    <row r="1224" ht="14.25" customHeight="1">
      <c r="H1224" s="179" t="str">
        <f t="shared" si="1"/>
        <v>Sí_18650_En el aparatoUna_sola_celda</v>
      </c>
      <c r="I1224" s="178" t="s">
        <v>4767</v>
      </c>
      <c r="J1224" s="178" t="s">
        <v>4768</v>
      </c>
      <c r="K1224" s="178" t="s">
        <v>4769</v>
      </c>
      <c r="L1224" s="178" t="s">
        <v>4808</v>
      </c>
      <c r="M1224" s="178"/>
      <c r="N1224" s="185"/>
      <c r="O1224" s="189" t="s">
        <v>4792</v>
      </c>
    </row>
    <row r="1225" ht="14.25" customHeight="1">
      <c r="H1225" s="179" t="str">
        <f t="shared" si="1"/>
        <v>Sí_18650_Con el equipoUna_sola_celda</v>
      </c>
      <c r="I1225" s="178" t="s">
        <v>4767</v>
      </c>
      <c r="J1225" s="178" t="s">
        <v>4768</v>
      </c>
      <c r="K1225" s="178" t="s">
        <v>4775</v>
      </c>
      <c r="L1225" s="178" t="s">
        <v>4808</v>
      </c>
      <c r="M1225" s="178"/>
      <c r="N1225" s="185"/>
      <c r="O1225" s="189" t="s">
        <v>4792</v>
      </c>
    </row>
    <row r="1226" ht="14.25" customHeight="1">
      <c r="H1226" s="179" t="str">
        <f t="shared" si="1"/>
        <v>Sí_18650_IndependienteUna_sola_celda</v>
      </c>
      <c r="I1226" s="178" t="s">
        <v>4767</v>
      </c>
      <c r="J1226" s="178" t="s">
        <v>4768</v>
      </c>
      <c r="K1226" s="178" t="s">
        <v>4780</v>
      </c>
      <c r="L1226" s="178" t="s">
        <v>4808</v>
      </c>
      <c r="M1226" s="178"/>
      <c r="N1226" s="185"/>
      <c r="O1226" s="189" t="s">
        <v>4792</v>
      </c>
    </row>
    <row r="1227" ht="14.25" customHeight="1">
      <c r="H1227" s="179" t="str">
        <f t="shared" si="1"/>
        <v>SíIon_litioEn el aparatoUna_sola_celda</v>
      </c>
      <c r="I1227" s="178" t="s">
        <v>4767</v>
      </c>
      <c r="J1227" s="182" t="s">
        <v>4779</v>
      </c>
      <c r="K1227" s="178" t="s">
        <v>4769</v>
      </c>
      <c r="L1227" s="178" t="s">
        <v>4808</v>
      </c>
      <c r="M1227" s="178"/>
      <c r="N1227" s="185"/>
      <c r="O1227" s="189" t="s">
        <v>4792</v>
      </c>
    </row>
    <row r="1228" ht="14.25" customHeight="1">
      <c r="H1228" s="179" t="str">
        <f t="shared" si="1"/>
        <v>SíIon_litioCon el equipoUna_sola_celda</v>
      </c>
      <c r="I1228" s="178" t="s">
        <v>4767</v>
      </c>
      <c r="J1228" s="182" t="s">
        <v>4779</v>
      </c>
      <c r="K1228" s="178" t="s">
        <v>4775</v>
      </c>
      <c r="L1228" s="178" t="s">
        <v>4808</v>
      </c>
      <c r="M1228" s="178"/>
      <c r="N1228" s="185"/>
      <c r="O1228" s="189" t="s">
        <v>4792</v>
      </c>
    </row>
    <row r="1229" ht="14.25" customHeight="1">
      <c r="H1229" s="179" t="str">
        <f t="shared" si="1"/>
        <v>SíIon_litioIndependienteUna_sola_celda</v>
      </c>
      <c r="I1229" s="178" t="s">
        <v>4767</v>
      </c>
      <c r="J1229" s="182" t="s">
        <v>4779</v>
      </c>
      <c r="K1229" s="178" t="s">
        <v>4780</v>
      </c>
      <c r="L1229" s="178" t="s">
        <v>4808</v>
      </c>
      <c r="M1229" s="178"/>
      <c r="N1229" s="185"/>
      <c r="O1229" s="189" t="s">
        <v>4792</v>
      </c>
    </row>
    <row r="1230" ht="14.25" customHeight="1">
      <c r="H1230" s="179" t="str">
        <f t="shared" si="1"/>
        <v>SíPolímero_de_litioEn el aparatoUna_sola_celda</v>
      </c>
      <c r="I1230" s="178" t="s">
        <v>4767</v>
      </c>
      <c r="J1230" s="182" t="s">
        <v>4787</v>
      </c>
      <c r="K1230" s="178" t="s">
        <v>4769</v>
      </c>
      <c r="L1230" s="178" t="s">
        <v>4808</v>
      </c>
      <c r="M1230" s="178"/>
      <c r="N1230" s="185"/>
      <c r="O1230" s="189" t="s">
        <v>4792</v>
      </c>
    </row>
    <row r="1231" ht="14.25" customHeight="1">
      <c r="H1231" s="179" t="str">
        <f t="shared" si="1"/>
        <v>SíPolímero_de_litioCon el equipoUna_sola_celda</v>
      </c>
      <c r="I1231" s="178" t="s">
        <v>4767</v>
      </c>
      <c r="J1231" s="182" t="s">
        <v>4787</v>
      </c>
      <c r="K1231" s="178" t="s">
        <v>4775</v>
      </c>
      <c r="L1231" s="178" t="s">
        <v>4808</v>
      </c>
      <c r="M1231" s="178"/>
      <c r="N1231" s="185"/>
      <c r="O1231" s="189" t="s">
        <v>4792</v>
      </c>
    </row>
    <row r="1232" ht="14.25" customHeight="1">
      <c r="H1232" s="179" t="str">
        <f t="shared" si="1"/>
        <v>SíPolímero_de_litioIndependienteUna_sola_celda</v>
      </c>
      <c r="I1232" s="178" t="s">
        <v>4767</v>
      </c>
      <c r="J1232" s="182" t="s">
        <v>4787</v>
      </c>
      <c r="K1232" s="178" t="s">
        <v>4780</v>
      </c>
      <c r="L1232" s="178" t="s">
        <v>4808</v>
      </c>
      <c r="M1232" s="178"/>
      <c r="N1232" s="185"/>
      <c r="O1232" s="189" t="s">
        <v>4792</v>
      </c>
    </row>
    <row r="1233" ht="14.25" customHeight="1">
      <c r="H1233" s="179" t="str">
        <f t="shared" si="1"/>
        <v>SíÓxido_cobalto_LitioEn el aparatoUna_sola_celda</v>
      </c>
      <c r="I1233" s="178" t="s">
        <v>4767</v>
      </c>
      <c r="J1233" s="182" t="s">
        <v>4774</v>
      </c>
      <c r="K1233" s="178" t="s">
        <v>4769</v>
      </c>
      <c r="L1233" s="178" t="s">
        <v>4808</v>
      </c>
      <c r="M1233" s="178"/>
      <c r="N1233" s="185"/>
      <c r="O1233" s="189" t="s">
        <v>4792</v>
      </c>
    </row>
    <row r="1234" ht="14.25" customHeight="1">
      <c r="H1234" s="179" t="str">
        <f t="shared" si="1"/>
        <v>SíÓxido_cobalto_LitioCon el equipoUna_sola_celda</v>
      </c>
      <c r="I1234" s="178" t="s">
        <v>4767</v>
      </c>
      <c r="J1234" s="182" t="s">
        <v>4774</v>
      </c>
      <c r="K1234" s="178" t="s">
        <v>4775</v>
      </c>
      <c r="L1234" s="178" t="s">
        <v>4808</v>
      </c>
      <c r="M1234" s="178"/>
      <c r="N1234" s="185"/>
      <c r="O1234" s="189" t="s">
        <v>4792</v>
      </c>
    </row>
    <row r="1235" ht="14.25" customHeight="1">
      <c r="H1235" s="179" t="str">
        <f t="shared" si="1"/>
        <v>SíÓxido_cobalto_LitioIndependienteUna_sola_celda</v>
      </c>
      <c r="I1235" s="178" t="s">
        <v>4767</v>
      </c>
      <c r="J1235" s="182" t="s">
        <v>4774</v>
      </c>
      <c r="K1235" s="178" t="s">
        <v>4780</v>
      </c>
      <c r="L1235" s="178" t="s">
        <v>4808</v>
      </c>
      <c r="M1235" s="178"/>
      <c r="N1235" s="185"/>
      <c r="O1235" s="189" t="s">
        <v>4792</v>
      </c>
    </row>
    <row r="1236" ht="14.25" customHeight="1">
      <c r="H1236" s="179" t="str">
        <f t="shared" si="1"/>
        <v>SíÓxido_de_cobalto_de_manganeso_y_litioEn el aparatoUna_sola_celda</v>
      </c>
      <c r="I1236" s="178" t="s">
        <v>4767</v>
      </c>
      <c r="J1236" s="182" t="s">
        <v>4785</v>
      </c>
      <c r="K1236" s="178" t="s">
        <v>4769</v>
      </c>
      <c r="L1236" s="178" t="s">
        <v>4808</v>
      </c>
      <c r="M1236" s="178"/>
      <c r="N1236" s="185"/>
      <c r="O1236" s="189" t="s">
        <v>4792</v>
      </c>
    </row>
    <row r="1237" ht="14.25" customHeight="1">
      <c r="H1237" s="179" t="str">
        <f t="shared" si="1"/>
        <v>SíÓxido_de_cobalto_de_manganeso_y_litioCon el equipoUna_sola_celda</v>
      </c>
      <c r="I1237" s="178" t="s">
        <v>4767</v>
      </c>
      <c r="J1237" s="182" t="s">
        <v>4785</v>
      </c>
      <c r="K1237" s="178" t="s">
        <v>4775</v>
      </c>
      <c r="L1237" s="178" t="s">
        <v>4808</v>
      </c>
      <c r="M1237" s="178"/>
      <c r="N1237" s="185"/>
      <c r="O1237" s="189" t="s">
        <v>4792</v>
      </c>
    </row>
    <row r="1238" ht="14.25" customHeight="1">
      <c r="H1238" s="179" t="str">
        <f t="shared" si="1"/>
        <v>SíÓxido_de_cobalto_de_manganeso_y_litioIndependienteUna_sola_celda</v>
      </c>
      <c r="I1238" s="178" t="s">
        <v>4767</v>
      </c>
      <c r="J1238" s="182" t="s">
        <v>4785</v>
      </c>
      <c r="K1238" s="178" t="s">
        <v>4780</v>
      </c>
      <c r="L1238" s="178" t="s">
        <v>4808</v>
      </c>
      <c r="M1238" s="178"/>
      <c r="N1238" s="185"/>
      <c r="O1238" s="189" t="s">
        <v>4792</v>
      </c>
    </row>
    <row r="1239" ht="14.25" customHeight="1">
      <c r="H1239" s="179" t="str">
        <f t="shared" si="1"/>
        <v>SíLitio_ferrofosfatoEn el aparatoUna_sola_celda</v>
      </c>
      <c r="I1239" s="178" t="s">
        <v>4767</v>
      </c>
      <c r="J1239" s="182" t="s">
        <v>4783</v>
      </c>
      <c r="K1239" s="178" t="s">
        <v>4769</v>
      </c>
      <c r="L1239" s="178" t="s">
        <v>4808</v>
      </c>
      <c r="M1239" s="178"/>
      <c r="N1239" s="185"/>
      <c r="O1239" s="189" t="s">
        <v>4792</v>
      </c>
    </row>
    <row r="1240" ht="14.25" customHeight="1">
      <c r="H1240" s="179" t="str">
        <f t="shared" si="1"/>
        <v>SíLitio_ferrofosfatoCon el equipoUna_sola_celda</v>
      </c>
      <c r="I1240" s="178" t="s">
        <v>4767</v>
      </c>
      <c r="J1240" s="182" t="s">
        <v>4783</v>
      </c>
      <c r="K1240" s="178" t="s">
        <v>4775</v>
      </c>
      <c r="L1240" s="178" t="s">
        <v>4808</v>
      </c>
      <c r="M1240" s="178"/>
      <c r="N1240" s="185"/>
      <c r="O1240" s="189" t="s">
        <v>4792</v>
      </c>
    </row>
    <row r="1241" ht="14.25" customHeight="1">
      <c r="H1241" s="179" t="str">
        <f t="shared" si="1"/>
        <v>SíLitio_ferrofosfatoIndependienteUna_sola_celda</v>
      </c>
      <c r="I1241" s="178" t="s">
        <v>4767</v>
      </c>
      <c r="J1241" s="182" t="s">
        <v>4783</v>
      </c>
      <c r="K1241" s="178" t="s">
        <v>4780</v>
      </c>
      <c r="L1241" s="178" t="s">
        <v>4808</v>
      </c>
      <c r="M1241" s="178"/>
      <c r="N1241" s="185"/>
      <c r="O1241" s="189" t="s">
        <v>4792</v>
      </c>
    </row>
    <row r="1242" ht="14.25" customHeight="1">
      <c r="H1242" s="179" t="str">
        <f t="shared" si="1"/>
        <v>SíTitanato_de_litioEn el aparatoUna_sola_celda</v>
      </c>
      <c r="I1242" s="178" t="s">
        <v>4767</v>
      </c>
      <c r="J1242" s="182" t="s">
        <v>4789</v>
      </c>
      <c r="K1242" s="178" t="s">
        <v>4769</v>
      </c>
      <c r="L1242" s="178" t="s">
        <v>4808</v>
      </c>
      <c r="M1242" s="178"/>
      <c r="N1242" s="185"/>
      <c r="O1242" s="189" t="s">
        <v>4792</v>
      </c>
    </row>
    <row r="1243" ht="14.25" customHeight="1">
      <c r="H1243" s="179" t="str">
        <f t="shared" si="1"/>
        <v>SíTitanato_de_litioCon el equipoUna_sola_celda</v>
      </c>
      <c r="I1243" s="178" t="s">
        <v>4767</v>
      </c>
      <c r="J1243" s="182" t="s">
        <v>4789</v>
      </c>
      <c r="K1243" s="178" t="s">
        <v>4775</v>
      </c>
      <c r="L1243" s="178" t="s">
        <v>4808</v>
      </c>
      <c r="M1243" s="178"/>
      <c r="N1243" s="185"/>
      <c r="O1243" s="189" t="s">
        <v>4792</v>
      </c>
    </row>
    <row r="1244" ht="14.25" customHeight="1">
      <c r="H1244" s="179" t="str">
        <f t="shared" si="1"/>
        <v>SíTitanato_de_litioIndependienteUna_sola_celda</v>
      </c>
      <c r="I1244" s="178" t="s">
        <v>4767</v>
      </c>
      <c r="J1244" s="182" t="s">
        <v>4789</v>
      </c>
      <c r="K1244" s="178" t="s">
        <v>4780</v>
      </c>
      <c r="L1244" s="178" t="s">
        <v>4808</v>
      </c>
      <c r="M1244" s="178"/>
      <c r="N1244" s="185"/>
      <c r="O1244" s="189" t="s">
        <v>4792</v>
      </c>
    </row>
    <row r="1245" ht="14.25" customHeight="1">
      <c r="H1245" s="179" t="str">
        <f t="shared" si="1"/>
        <v>Sí_18650_En el aparatoUna_sola_celda</v>
      </c>
      <c r="I1245" s="178" t="s">
        <v>4767</v>
      </c>
      <c r="J1245" s="178" t="s">
        <v>4768</v>
      </c>
      <c r="K1245" s="178" t="s">
        <v>4769</v>
      </c>
      <c r="L1245" s="178" t="s">
        <v>4808</v>
      </c>
      <c r="M1245" s="178"/>
      <c r="N1245" s="185"/>
      <c r="O1245" s="189" t="s">
        <v>4792</v>
      </c>
    </row>
    <row r="1246" ht="14.25" customHeight="1">
      <c r="H1246" s="179" t="str">
        <f t="shared" si="1"/>
        <v>Sí_18650_Con el equipoUna_sola_celda</v>
      </c>
      <c r="I1246" s="178" t="s">
        <v>4767</v>
      </c>
      <c r="J1246" s="178" t="s">
        <v>4768</v>
      </c>
      <c r="K1246" s="178" t="s">
        <v>4775</v>
      </c>
      <c r="L1246" s="178" t="s">
        <v>4808</v>
      </c>
      <c r="M1246" s="178"/>
      <c r="N1246" s="185"/>
      <c r="O1246" s="189" t="s">
        <v>4792</v>
      </c>
    </row>
    <row r="1247" ht="14.25" customHeight="1">
      <c r="H1247" s="179" t="str">
        <f t="shared" si="1"/>
        <v>Sí_18650_IndependienteUna_sola_celda</v>
      </c>
      <c r="I1247" s="178" t="s">
        <v>4767</v>
      </c>
      <c r="J1247" s="178" t="s">
        <v>4768</v>
      </c>
      <c r="K1247" s="178" t="s">
        <v>4780</v>
      </c>
      <c r="L1247" s="178" t="s">
        <v>4808</v>
      </c>
      <c r="M1247" s="178"/>
      <c r="N1247" s="185"/>
      <c r="O1247" s="189" t="s">
        <v>4792</v>
      </c>
    </row>
    <row r="1248" ht="14.25" customHeight="1">
      <c r="H1248" s="179" t="str">
        <f t="shared" si="1"/>
        <v>SíIon_litioEn el aparatoUna_sola_celda</v>
      </c>
      <c r="I1248" s="178" t="s">
        <v>4767</v>
      </c>
      <c r="J1248" s="182" t="s">
        <v>4779</v>
      </c>
      <c r="K1248" s="178" t="s">
        <v>4769</v>
      </c>
      <c r="L1248" s="178" t="s">
        <v>4808</v>
      </c>
      <c r="M1248" s="178"/>
      <c r="N1248" s="185"/>
      <c r="O1248" s="189" t="s">
        <v>4792</v>
      </c>
    </row>
    <row r="1249" ht="14.25" customHeight="1">
      <c r="H1249" s="179" t="str">
        <f t="shared" si="1"/>
        <v>SíIon_litioCon el equipoUna_sola_celda</v>
      </c>
      <c r="I1249" s="178" t="s">
        <v>4767</v>
      </c>
      <c r="J1249" s="182" t="s">
        <v>4779</v>
      </c>
      <c r="K1249" s="178" t="s">
        <v>4775</v>
      </c>
      <c r="L1249" s="178" t="s">
        <v>4808</v>
      </c>
      <c r="M1249" s="178"/>
      <c r="N1249" s="185"/>
      <c r="O1249" s="189" t="s">
        <v>4792</v>
      </c>
    </row>
    <row r="1250" ht="14.25" customHeight="1">
      <c r="H1250" s="179" t="str">
        <f t="shared" si="1"/>
        <v>SíIon_litioIndependienteUna_sola_celda</v>
      </c>
      <c r="I1250" s="178" t="s">
        <v>4767</v>
      </c>
      <c r="J1250" s="182" t="s">
        <v>4779</v>
      </c>
      <c r="K1250" s="178" t="s">
        <v>4780</v>
      </c>
      <c r="L1250" s="178" t="s">
        <v>4808</v>
      </c>
      <c r="M1250" s="178"/>
      <c r="N1250" s="185"/>
      <c r="O1250" s="189" t="s">
        <v>4792</v>
      </c>
    </row>
    <row r="1251" ht="14.25" customHeight="1">
      <c r="H1251" s="179" t="str">
        <f t="shared" si="1"/>
        <v>SíPolímero_de_litioEn el aparatoUna_sola_celda</v>
      </c>
      <c r="I1251" s="178" t="s">
        <v>4767</v>
      </c>
      <c r="J1251" s="182" t="s">
        <v>4787</v>
      </c>
      <c r="K1251" s="178" t="s">
        <v>4769</v>
      </c>
      <c r="L1251" s="178" t="s">
        <v>4808</v>
      </c>
      <c r="M1251" s="178"/>
      <c r="N1251" s="185"/>
      <c r="O1251" s="189" t="s">
        <v>4792</v>
      </c>
    </row>
    <row r="1252" ht="14.25" customHeight="1">
      <c r="H1252" s="179" t="str">
        <f t="shared" si="1"/>
        <v>SíPolímero_de_litioCon el equipoUna_sola_celda</v>
      </c>
      <c r="I1252" s="178" t="s">
        <v>4767</v>
      </c>
      <c r="J1252" s="182" t="s">
        <v>4787</v>
      </c>
      <c r="K1252" s="178" t="s">
        <v>4775</v>
      </c>
      <c r="L1252" s="178" t="s">
        <v>4808</v>
      </c>
      <c r="M1252" s="178"/>
      <c r="N1252" s="185"/>
      <c r="O1252" s="189" t="s">
        <v>4792</v>
      </c>
    </row>
    <row r="1253" ht="14.25" customHeight="1">
      <c r="H1253" s="179" t="str">
        <f t="shared" si="1"/>
        <v>SíPolímero_de_litioIndependienteUna_sola_celda</v>
      </c>
      <c r="I1253" s="178" t="s">
        <v>4767</v>
      </c>
      <c r="J1253" s="182" t="s">
        <v>4787</v>
      </c>
      <c r="K1253" s="178" t="s">
        <v>4780</v>
      </c>
      <c r="L1253" s="178" t="s">
        <v>4808</v>
      </c>
      <c r="M1253" s="178"/>
      <c r="N1253" s="185"/>
      <c r="O1253" s="189" t="s">
        <v>4792</v>
      </c>
    </row>
    <row r="1254" ht="14.25" customHeight="1">
      <c r="H1254" s="179" t="str">
        <f t="shared" si="1"/>
        <v>SíÓxido_cobalto_LitioEn el aparatoUna_sola_celda</v>
      </c>
      <c r="I1254" s="178" t="s">
        <v>4767</v>
      </c>
      <c r="J1254" s="182" t="s">
        <v>4774</v>
      </c>
      <c r="K1254" s="178" t="s">
        <v>4769</v>
      </c>
      <c r="L1254" s="178" t="s">
        <v>4808</v>
      </c>
      <c r="M1254" s="178"/>
      <c r="N1254" s="185"/>
      <c r="O1254" s="189" t="s">
        <v>4792</v>
      </c>
    </row>
    <row r="1255" ht="14.25" customHeight="1">
      <c r="H1255" s="179" t="str">
        <f t="shared" si="1"/>
        <v>SíÓxido_cobalto_LitioCon el equipoUna_sola_celda</v>
      </c>
      <c r="I1255" s="178" t="s">
        <v>4767</v>
      </c>
      <c r="J1255" s="182" t="s">
        <v>4774</v>
      </c>
      <c r="K1255" s="178" t="s">
        <v>4775</v>
      </c>
      <c r="L1255" s="178" t="s">
        <v>4808</v>
      </c>
      <c r="M1255" s="178"/>
      <c r="N1255" s="185"/>
      <c r="O1255" s="189" t="s">
        <v>4792</v>
      </c>
    </row>
    <row r="1256" ht="14.25" customHeight="1">
      <c r="H1256" s="179" t="str">
        <f t="shared" si="1"/>
        <v>SíÓxido_cobalto_LitioIndependienteUna_sola_celda</v>
      </c>
      <c r="I1256" s="178" t="s">
        <v>4767</v>
      </c>
      <c r="J1256" s="182" t="s">
        <v>4774</v>
      </c>
      <c r="K1256" s="178" t="s">
        <v>4780</v>
      </c>
      <c r="L1256" s="178" t="s">
        <v>4808</v>
      </c>
      <c r="M1256" s="178"/>
      <c r="N1256" s="185"/>
      <c r="O1256" s="189" t="s">
        <v>4792</v>
      </c>
    </row>
    <row r="1257" ht="14.25" customHeight="1">
      <c r="H1257" s="179" t="str">
        <f t="shared" si="1"/>
        <v>SíÓxido_de_cobalto_de_manganeso_y_litioEn el aparatoUna_sola_celda</v>
      </c>
      <c r="I1257" s="178" t="s">
        <v>4767</v>
      </c>
      <c r="J1257" s="182" t="s">
        <v>4785</v>
      </c>
      <c r="K1257" s="178" t="s">
        <v>4769</v>
      </c>
      <c r="L1257" s="178" t="s">
        <v>4808</v>
      </c>
      <c r="M1257" s="178"/>
      <c r="N1257" s="185"/>
      <c r="O1257" s="189" t="s">
        <v>4792</v>
      </c>
    </row>
    <row r="1258" ht="14.25" customHeight="1">
      <c r="H1258" s="179" t="str">
        <f t="shared" si="1"/>
        <v>SíÓxido_de_cobalto_de_manganeso_y_litioCon el equipoUna_sola_celda</v>
      </c>
      <c r="I1258" s="178" t="s">
        <v>4767</v>
      </c>
      <c r="J1258" s="182" t="s">
        <v>4785</v>
      </c>
      <c r="K1258" s="178" t="s">
        <v>4775</v>
      </c>
      <c r="L1258" s="178" t="s">
        <v>4808</v>
      </c>
      <c r="M1258" s="178"/>
      <c r="N1258" s="185"/>
      <c r="O1258" s="189" t="s">
        <v>4792</v>
      </c>
    </row>
    <row r="1259" ht="14.25" customHeight="1">
      <c r="H1259" s="179" t="str">
        <f t="shared" si="1"/>
        <v>SíÓxido_de_cobalto_de_manganeso_y_litioIndependienteUna_sola_celda</v>
      </c>
      <c r="I1259" s="178" t="s">
        <v>4767</v>
      </c>
      <c r="J1259" s="182" t="s">
        <v>4785</v>
      </c>
      <c r="K1259" s="178" t="s">
        <v>4780</v>
      </c>
      <c r="L1259" s="178" t="s">
        <v>4808</v>
      </c>
      <c r="M1259" s="178"/>
      <c r="N1259" s="185"/>
      <c r="O1259" s="189" t="s">
        <v>4792</v>
      </c>
    </row>
    <row r="1260" ht="14.25" customHeight="1">
      <c r="H1260" s="179" t="str">
        <f t="shared" si="1"/>
        <v>SíLitio_ferrofosfatoEn el aparatoUna_sola_celda</v>
      </c>
      <c r="I1260" s="178" t="s">
        <v>4767</v>
      </c>
      <c r="J1260" s="182" t="s">
        <v>4783</v>
      </c>
      <c r="K1260" s="178" t="s">
        <v>4769</v>
      </c>
      <c r="L1260" s="178" t="s">
        <v>4808</v>
      </c>
      <c r="M1260" s="178"/>
      <c r="N1260" s="185"/>
      <c r="O1260" s="189" t="s">
        <v>4792</v>
      </c>
    </row>
    <row r="1261" ht="14.25" customHeight="1">
      <c r="H1261" s="179" t="str">
        <f t="shared" si="1"/>
        <v>SíLitio_ferrofosfatoCon el equipoUna_sola_celda</v>
      </c>
      <c r="I1261" s="178" t="s">
        <v>4767</v>
      </c>
      <c r="J1261" s="182" t="s">
        <v>4783</v>
      </c>
      <c r="K1261" s="178" t="s">
        <v>4775</v>
      </c>
      <c r="L1261" s="178" t="s">
        <v>4808</v>
      </c>
      <c r="M1261" s="178"/>
      <c r="N1261" s="185"/>
      <c r="O1261" s="189" t="s">
        <v>4792</v>
      </c>
    </row>
    <row r="1262" ht="14.25" customHeight="1">
      <c r="H1262" s="179" t="str">
        <f t="shared" si="1"/>
        <v>SíLitio_ferrofosfatoIndependienteUna_sola_celda</v>
      </c>
      <c r="I1262" s="178" t="s">
        <v>4767</v>
      </c>
      <c r="J1262" s="182" t="s">
        <v>4783</v>
      </c>
      <c r="K1262" s="178" t="s">
        <v>4780</v>
      </c>
      <c r="L1262" s="178" t="s">
        <v>4808</v>
      </c>
      <c r="M1262" s="178"/>
      <c r="N1262" s="185"/>
      <c r="O1262" s="189" t="s">
        <v>4792</v>
      </c>
    </row>
    <row r="1263" ht="14.25" customHeight="1">
      <c r="H1263" s="179" t="str">
        <f t="shared" si="1"/>
        <v>SíTitanato_de_litioEn el aparatoUna_sola_celda</v>
      </c>
      <c r="I1263" s="178" t="s">
        <v>4767</v>
      </c>
      <c r="J1263" s="182" t="s">
        <v>4789</v>
      </c>
      <c r="K1263" s="178" t="s">
        <v>4769</v>
      </c>
      <c r="L1263" s="178" t="s">
        <v>4808</v>
      </c>
      <c r="M1263" s="178"/>
      <c r="N1263" s="185"/>
      <c r="O1263" s="189" t="s">
        <v>4792</v>
      </c>
    </row>
    <row r="1264" ht="14.25" customHeight="1">
      <c r="H1264" s="179" t="str">
        <f t="shared" si="1"/>
        <v>SíTitanato_de_litioCon el equipoUna_sola_celda</v>
      </c>
      <c r="I1264" s="178" t="s">
        <v>4767</v>
      </c>
      <c r="J1264" s="182" t="s">
        <v>4789</v>
      </c>
      <c r="K1264" s="178" t="s">
        <v>4775</v>
      </c>
      <c r="L1264" s="178" t="s">
        <v>4808</v>
      </c>
      <c r="M1264" s="178"/>
      <c r="N1264" s="185"/>
      <c r="O1264" s="189" t="s">
        <v>4792</v>
      </c>
    </row>
    <row r="1265" ht="14.25" customHeight="1">
      <c r="H1265" s="179" t="str">
        <f t="shared" si="1"/>
        <v>SíTitanato_de_litioIndependienteUna_sola_celda</v>
      </c>
      <c r="I1265" s="178" t="s">
        <v>4767</v>
      </c>
      <c r="J1265" s="182" t="s">
        <v>4789</v>
      </c>
      <c r="K1265" s="178" t="s">
        <v>4780</v>
      </c>
      <c r="L1265" s="178" t="s">
        <v>4808</v>
      </c>
      <c r="M1265" s="178"/>
      <c r="N1265" s="185"/>
      <c r="O1265" s="189" t="s">
        <v>4792</v>
      </c>
    </row>
    <row r="1266" ht="14.25" customHeight="1">
      <c r="H1266" s="179" t="str">
        <f t="shared" si="1"/>
        <v>Sí_18650_En el aparatoUna_sola_celda</v>
      </c>
      <c r="I1266" s="178" t="s">
        <v>4767</v>
      </c>
      <c r="J1266" s="178" t="s">
        <v>4768</v>
      </c>
      <c r="K1266" s="178" t="s">
        <v>4769</v>
      </c>
      <c r="L1266" s="178" t="s">
        <v>4808</v>
      </c>
      <c r="M1266" s="178"/>
      <c r="N1266" s="185"/>
      <c r="O1266" s="189" t="s">
        <v>4792</v>
      </c>
    </row>
    <row r="1267" ht="14.25" customHeight="1">
      <c r="H1267" s="179" t="str">
        <f t="shared" si="1"/>
        <v>Sí_18650_Con el equipoUna_sola_celda</v>
      </c>
      <c r="I1267" s="178" t="s">
        <v>4767</v>
      </c>
      <c r="J1267" s="178" t="s">
        <v>4768</v>
      </c>
      <c r="K1267" s="178" t="s">
        <v>4775</v>
      </c>
      <c r="L1267" s="178" t="s">
        <v>4808</v>
      </c>
      <c r="M1267" s="178"/>
      <c r="N1267" s="185"/>
      <c r="O1267" s="189" t="s">
        <v>4792</v>
      </c>
    </row>
    <row r="1268" ht="14.25" customHeight="1">
      <c r="H1268" s="179" t="str">
        <f t="shared" si="1"/>
        <v>Sí_18650_IndependienteUna_sola_celda</v>
      </c>
      <c r="I1268" s="178" t="s">
        <v>4767</v>
      </c>
      <c r="J1268" s="178" t="s">
        <v>4768</v>
      </c>
      <c r="K1268" s="178" t="s">
        <v>4780</v>
      </c>
      <c r="L1268" s="178" t="s">
        <v>4808</v>
      </c>
      <c r="M1268" s="178"/>
      <c r="N1268" s="185"/>
      <c r="O1268" s="189" t="s">
        <v>4792</v>
      </c>
    </row>
    <row r="1269" ht="14.25" customHeight="1">
      <c r="H1269" s="179" t="str">
        <f t="shared" si="1"/>
        <v>SíIon_litioEn el aparatoUna_sola_celda</v>
      </c>
      <c r="I1269" s="178" t="s">
        <v>4767</v>
      </c>
      <c r="J1269" s="182" t="s">
        <v>4779</v>
      </c>
      <c r="K1269" s="178" t="s">
        <v>4769</v>
      </c>
      <c r="L1269" s="178" t="s">
        <v>4808</v>
      </c>
      <c r="M1269" s="178"/>
      <c r="N1269" s="185"/>
      <c r="O1269" s="189" t="s">
        <v>4792</v>
      </c>
    </row>
    <row r="1270" ht="14.25" customHeight="1">
      <c r="H1270" s="179" t="str">
        <f t="shared" si="1"/>
        <v>SíIon_litioCon el equipoUna_sola_celda</v>
      </c>
      <c r="I1270" s="178" t="s">
        <v>4767</v>
      </c>
      <c r="J1270" s="182" t="s">
        <v>4779</v>
      </c>
      <c r="K1270" s="178" t="s">
        <v>4775</v>
      </c>
      <c r="L1270" s="178" t="s">
        <v>4808</v>
      </c>
      <c r="M1270" s="178"/>
      <c r="N1270" s="185"/>
      <c r="O1270" s="189" t="s">
        <v>4792</v>
      </c>
    </row>
    <row r="1271" ht="14.25" customHeight="1">
      <c r="H1271" s="179" t="str">
        <f t="shared" si="1"/>
        <v>SíIon_litioIndependienteUna_sola_celda</v>
      </c>
      <c r="I1271" s="178" t="s">
        <v>4767</v>
      </c>
      <c r="J1271" s="182" t="s">
        <v>4779</v>
      </c>
      <c r="K1271" s="178" t="s">
        <v>4780</v>
      </c>
      <c r="L1271" s="178" t="s">
        <v>4808</v>
      </c>
      <c r="M1271" s="178"/>
      <c r="N1271" s="185"/>
      <c r="O1271" s="189" t="s">
        <v>4792</v>
      </c>
    </row>
    <row r="1272" ht="14.25" customHeight="1">
      <c r="H1272" s="179" t="str">
        <f t="shared" si="1"/>
        <v>SíPolímero_de_litioEn el aparatoUna_sola_celda</v>
      </c>
      <c r="I1272" s="178" t="s">
        <v>4767</v>
      </c>
      <c r="J1272" s="182" t="s">
        <v>4787</v>
      </c>
      <c r="K1272" s="178" t="s">
        <v>4769</v>
      </c>
      <c r="L1272" s="178" t="s">
        <v>4808</v>
      </c>
      <c r="M1272" s="178"/>
      <c r="N1272" s="185"/>
      <c r="O1272" s="189" t="s">
        <v>4792</v>
      </c>
    </row>
    <row r="1273" ht="14.25" customHeight="1">
      <c r="H1273" s="179" t="str">
        <f t="shared" si="1"/>
        <v>SíPolímero_de_litioCon el equipoUna_sola_celda</v>
      </c>
      <c r="I1273" s="178" t="s">
        <v>4767</v>
      </c>
      <c r="J1273" s="182" t="s">
        <v>4787</v>
      </c>
      <c r="K1273" s="178" t="s">
        <v>4775</v>
      </c>
      <c r="L1273" s="178" t="s">
        <v>4808</v>
      </c>
      <c r="M1273" s="178"/>
      <c r="N1273" s="185"/>
      <c r="O1273" s="189" t="s">
        <v>4792</v>
      </c>
    </row>
    <row r="1274" ht="14.25" customHeight="1">
      <c r="H1274" s="179" t="str">
        <f t="shared" si="1"/>
        <v>SíPolímero_de_litioIndependienteUna_sola_celda</v>
      </c>
      <c r="I1274" s="178" t="s">
        <v>4767</v>
      </c>
      <c r="J1274" s="182" t="s">
        <v>4787</v>
      </c>
      <c r="K1274" s="178" t="s">
        <v>4780</v>
      </c>
      <c r="L1274" s="178" t="s">
        <v>4808</v>
      </c>
      <c r="M1274" s="178"/>
      <c r="N1274" s="185"/>
      <c r="O1274" s="189" t="s">
        <v>4792</v>
      </c>
    </row>
    <row r="1275" ht="14.25" customHeight="1">
      <c r="H1275" s="179" t="str">
        <f t="shared" si="1"/>
        <v>SíÓxido_cobalto_LitioEn el aparatoUna_sola_celda</v>
      </c>
      <c r="I1275" s="178" t="s">
        <v>4767</v>
      </c>
      <c r="J1275" s="182" t="s">
        <v>4774</v>
      </c>
      <c r="K1275" s="178" t="s">
        <v>4769</v>
      </c>
      <c r="L1275" s="178" t="s">
        <v>4808</v>
      </c>
      <c r="M1275" s="178"/>
      <c r="N1275" s="185"/>
      <c r="O1275" s="189" t="s">
        <v>4792</v>
      </c>
    </row>
    <row r="1276" ht="14.25" customHeight="1">
      <c r="H1276" s="179" t="str">
        <f t="shared" si="1"/>
        <v>SíÓxido_cobalto_LitioCon el equipoUna_sola_celda</v>
      </c>
      <c r="I1276" s="178" t="s">
        <v>4767</v>
      </c>
      <c r="J1276" s="182" t="s">
        <v>4774</v>
      </c>
      <c r="K1276" s="178" t="s">
        <v>4775</v>
      </c>
      <c r="L1276" s="178" t="s">
        <v>4808</v>
      </c>
      <c r="M1276" s="178"/>
      <c r="N1276" s="185"/>
      <c r="O1276" s="189" t="s">
        <v>4792</v>
      </c>
    </row>
    <row r="1277" ht="14.25" customHeight="1">
      <c r="H1277" s="179" t="str">
        <f t="shared" si="1"/>
        <v>SíÓxido_cobalto_LitioIndependienteUna_sola_celda</v>
      </c>
      <c r="I1277" s="178" t="s">
        <v>4767</v>
      </c>
      <c r="J1277" s="182" t="s">
        <v>4774</v>
      </c>
      <c r="K1277" s="178" t="s">
        <v>4780</v>
      </c>
      <c r="L1277" s="178" t="s">
        <v>4808</v>
      </c>
      <c r="M1277" s="178"/>
      <c r="N1277" s="185"/>
      <c r="O1277" s="189" t="s">
        <v>4792</v>
      </c>
    </row>
    <row r="1278" ht="14.25" customHeight="1">
      <c r="H1278" s="179" t="str">
        <f t="shared" si="1"/>
        <v>SíÓxido_de_cobalto_de_manganeso_y_litioEn el aparatoUna_sola_celda</v>
      </c>
      <c r="I1278" s="178" t="s">
        <v>4767</v>
      </c>
      <c r="J1278" s="182" t="s">
        <v>4785</v>
      </c>
      <c r="K1278" s="178" t="s">
        <v>4769</v>
      </c>
      <c r="L1278" s="178" t="s">
        <v>4808</v>
      </c>
      <c r="M1278" s="178"/>
      <c r="N1278" s="185"/>
      <c r="O1278" s="189" t="s">
        <v>4792</v>
      </c>
    </row>
    <row r="1279" ht="14.25" customHeight="1">
      <c r="H1279" s="179" t="str">
        <f t="shared" si="1"/>
        <v>SíÓxido_de_cobalto_de_manganeso_y_litioCon el equipoUna_sola_celda</v>
      </c>
      <c r="I1279" s="178" t="s">
        <v>4767</v>
      </c>
      <c r="J1279" s="182" t="s">
        <v>4785</v>
      </c>
      <c r="K1279" s="178" t="s">
        <v>4775</v>
      </c>
      <c r="L1279" s="178" t="s">
        <v>4808</v>
      </c>
      <c r="M1279" s="178"/>
      <c r="N1279" s="185"/>
      <c r="O1279" s="189" t="s">
        <v>4792</v>
      </c>
    </row>
    <row r="1280" ht="14.25" customHeight="1">
      <c r="H1280" s="179" t="str">
        <f t="shared" si="1"/>
        <v>SíÓxido_de_cobalto_de_manganeso_y_litioIndependienteUna_sola_celda</v>
      </c>
      <c r="I1280" s="178" t="s">
        <v>4767</v>
      </c>
      <c r="J1280" s="182" t="s">
        <v>4785</v>
      </c>
      <c r="K1280" s="178" t="s">
        <v>4780</v>
      </c>
      <c r="L1280" s="178" t="s">
        <v>4808</v>
      </c>
      <c r="M1280" s="178"/>
      <c r="N1280" s="185"/>
      <c r="O1280" s="189" t="s">
        <v>4792</v>
      </c>
    </row>
    <row r="1281" ht="14.25" customHeight="1">
      <c r="H1281" s="179" t="str">
        <f t="shared" si="1"/>
        <v>SíLitio_ferrofosfatoEn el aparatoUna_sola_celda</v>
      </c>
      <c r="I1281" s="178" t="s">
        <v>4767</v>
      </c>
      <c r="J1281" s="182" t="s">
        <v>4783</v>
      </c>
      <c r="K1281" s="178" t="s">
        <v>4769</v>
      </c>
      <c r="L1281" s="178" t="s">
        <v>4808</v>
      </c>
      <c r="M1281" s="178"/>
      <c r="N1281" s="185"/>
      <c r="O1281" s="189" t="s">
        <v>4792</v>
      </c>
    </row>
    <row r="1282" ht="14.25" customHeight="1">
      <c r="H1282" s="179" t="str">
        <f t="shared" si="1"/>
        <v>SíLitio_ferrofosfatoCon el equipoUna_sola_celda</v>
      </c>
      <c r="I1282" s="178" t="s">
        <v>4767</v>
      </c>
      <c r="J1282" s="182" t="s">
        <v>4783</v>
      </c>
      <c r="K1282" s="178" t="s">
        <v>4775</v>
      </c>
      <c r="L1282" s="178" t="s">
        <v>4808</v>
      </c>
      <c r="M1282" s="178"/>
      <c r="N1282" s="185"/>
      <c r="O1282" s="189" t="s">
        <v>4792</v>
      </c>
    </row>
    <row r="1283" ht="14.25" customHeight="1">
      <c r="H1283" s="179" t="str">
        <f t="shared" si="1"/>
        <v>SíLitio_ferrofosfatoIndependienteUna_sola_celda</v>
      </c>
      <c r="I1283" s="178" t="s">
        <v>4767</v>
      </c>
      <c r="J1283" s="182" t="s">
        <v>4783</v>
      </c>
      <c r="K1283" s="178" t="s">
        <v>4780</v>
      </c>
      <c r="L1283" s="178" t="s">
        <v>4808</v>
      </c>
      <c r="M1283" s="178"/>
      <c r="N1283" s="185"/>
      <c r="O1283" s="189" t="s">
        <v>4792</v>
      </c>
    </row>
    <row r="1284" ht="14.25" customHeight="1">
      <c r="H1284" s="179" t="str">
        <f t="shared" si="1"/>
        <v>SíTitanato_de_litioEn el aparatoUna_sola_celda</v>
      </c>
      <c r="I1284" s="178" t="s">
        <v>4767</v>
      </c>
      <c r="J1284" s="182" t="s">
        <v>4789</v>
      </c>
      <c r="K1284" s="178" t="s">
        <v>4769</v>
      </c>
      <c r="L1284" s="178" t="s">
        <v>4808</v>
      </c>
      <c r="M1284" s="178"/>
      <c r="N1284" s="185"/>
      <c r="O1284" s="189" t="s">
        <v>4792</v>
      </c>
    </row>
    <row r="1285" ht="14.25" customHeight="1">
      <c r="H1285" s="179" t="str">
        <f t="shared" si="1"/>
        <v>SíTitanato_de_litioCon el equipoUna_sola_celda</v>
      </c>
      <c r="I1285" s="178" t="s">
        <v>4767</v>
      </c>
      <c r="J1285" s="182" t="s">
        <v>4789</v>
      </c>
      <c r="K1285" s="178" t="s">
        <v>4775</v>
      </c>
      <c r="L1285" s="178" t="s">
        <v>4808</v>
      </c>
      <c r="M1285" s="178"/>
      <c r="N1285" s="185"/>
      <c r="O1285" s="189" t="s">
        <v>4792</v>
      </c>
    </row>
    <row r="1286" ht="14.25" customHeight="1">
      <c r="H1286" s="179" t="str">
        <f t="shared" si="1"/>
        <v>SíTitanato_de_litioIndependienteUna_sola_celda</v>
      </c>
      <c r="I1286" s="178" t="s">
        <v>4767</v>
      </c>
      <c r="J1286" s="182" t="s">
        <v>4789</v>
      </c>
      <c r="K1286" s="178" t="s">
        <v>4780</v>
      </c>
      <c r="L1286" s="178" t="s">
        <v>4808</v>
      </c>
      <c r="M1286" s="178"/>
      <c r="N1286" s="185"/>
      <c r="O1286" s="189" t="s">
        <v>4792</v>
      </c>
    </row>
    <row r="1287" ht="14.25" customHeight="1">
      <c r="H1287" s="179" t="str">
        <f t="shared" si="1"/>
        <v>Sí_18650_En el aparatoUna_sola_celda</v>
      </c>
      <c r="I1287" s="178" t="s">
        <v>4767</v>
      </c>
      <c r="J1287" s="178" t="s">
        <v>4768</v>
      </c>
      <c r="K1287" s="178" t="s">
        <v>4769</v>
      </c>
      <c r="L1287" s="178" t="s">
        <v>4808</v>
      </c>
      <c r="M1287" s="178"/>
      <c r="N1287" s="185"/>
      <c r="O1287" s="189" t="s">
        <v>4792</v>
      </c>
    </row>
    <row r="1288" ht="14.25" customHeight="1">
      <c r="H1288" s="179" t="str">
        <f t="shared" si="1"/>
        <v>Sí_18650_Con el equipoUna_sola_celda</v>
      </c>
      <c r="I1288" s="178" t="s">
        <v>4767</v>
      </c>
      <c r="J1288" s="178" t="s">
        <v>4768</v>
      </c>
      <c r="K1288" s="178" t="s">
        <v>4775</v>
      </c>
      <c r="L1288" s="178" t="s">
        <v>4808</v>
      </c>
      <c r="M1288" s="178"/>
      <c r="N1288" s="185"/>
      <c r="O1288" s="189" t="s">
        <v>4792</v>
      </c>
    </row>
    <row r="1289" ht="14.25" customHeight="1">
      <c r="H1289" s="179" t="str">
        <f t="shared" si="1"/>
        <v>Sí_18650_IndependienteUna_sola_celda</v>
      </c>
      <c r="I1289" s="178" t="s">
        <v>4767</v>
      </c>
      <c r="J1289" s="178" t="s">
        <v>4768</v>
      </c>
      <c r="K1289" s="178" t="s">
        <v>4780</v>
      </c>
      <c r="L1289" s="178" t="s">
        <v>4808</v>
      </c>
      <c r="M1289" s="178"/>
      <c r="N1289" s="185"/>
      <c r="O1289" s="189" t="s">
        <v>4792</v>
      </c>
    </row>
    <row r="1290" ht="14.25" customHeight="1">
      <c r="H1290" s="179" t="str">
        <f t="shared" si="1"/>
        <v>SíIon_litioEn el aparatoUna_sola_celda</v>
      </c>
      <c r="I1290" s="178" t="s">
        <v>4767</v>
      </c>
      <c r="J1290" s="182" t="s">
        <v>4779</v>
      </c>
      <c r="K1290" s="178" t="s">
        <v>4769</v>
      </c>
      <c r="L1290" s="178" t="s">
        <v>4808</v>
      </c>
      <c r="M1290" s="178"/>
      <c r="N1290" s="185"/>
      <c r="O1290" s="189" t="s">
        <v>4792</v>
      </c>
    </row>
    <row r="1291" ht="14.25" customHeight="1">
      <c r="H1291" s="179" t="str">
        <f t="shared" si="1"/>
        <v>SíIon_litioCon el equipoUna_sola_celda</v>
      </c>
      <c r="I1291" s="178" t="s">
        <v>4767</v>
      </c>
      <c r="J1291" s="182" t="s">
        <v>4779</v>
      </c>
      <c r="K1291" s="178" t="s">
        <v>4775</v>
      </c>
      <c r="L1291" s="178" t="s">
        <v>4808</v>
      </c>
      <c r="M1291" s="178"/>
      <c r="N1291" s="185"/>
      <c r="O1291" s="189" t="s">
        <v>4792</v>
      </c>
    </row>
    <row r="1292" ht="14.25" customHeight="1">
      <c r="H1292" s="179" t="str">
        <f t="shared" si="1"/>
        <v>SíIon_litioIndependienteUna_sola_celda</v>
      </c>
      <c r="I1292" s="178" t="s">
        <v>4767</v>
      </c>
      <c r="J1292" s="182" t="s">
        <v>4779</v>
      </c>
      <c r="K1292" s="178" t="s">
        <v>4780</v>
      </c>
      <c r="L1292" s="178" t="s">
        <v>4808</v>
      </c>
      <c r="M1292" s="178"/>
      <c r="N1292" s="185"/>
      <c r="O1292" s="189" t="s">
        <v>4792</v>
      </c>
    </row>
    <row r="1293" ht="14.25" customHeight="1">
      <c r="H1293" s="179" t="str">
        <f t="shared" si="1"/>
        <v>SíPolímero_de_litioEn el aparatoUna_sola_celda</v>
      </c>
      <c r="I1293" s="178" t="s">
        <v>4767</v>
      </c>
      <c r="J1293" s="182" t="s">
        <v>4787</v>
      </c>
      <c r="K1293" s="178" t="s">
        <v>4769</v>
      </c>
      <c r="L1293" s="178" t="s">
        <v>4808</v>
      </c>
      <c r="M1293" s="178"/>
      <c r="N1293" s="185"/>
      <c r="O1293" s="189" t="s">
        <v>4792</v>
      </c>
    </row>
    <row r="1294" ht="14.25" customHeight="1">
      <c r="H1294" s="179" t="str">
        <f t="shared" si="1"/>
        <v>SíPolímero_de_litioCon el equipoUna_sola_celda</v>
      </c>
      <c r="I1294" s="178" t="s">
        <v>4767</v>
      </c>
      <c r="J1294" s="182" t="s">
        <v>4787</v>
      </c>
      <c r="K1294" s="178" t="s">
        <v>4775</v>
      </c>
      <c r="L1294" s="178" t="s">
        <v>4808</v>
      </c>
      <c r="M1294" s="178"/>
      <c r="N1294" s="185"/>
      <c r="O1294" s="189" t="s">
        <v>4792</v>
      </c>
    </row>
    <row r="1295" ht="14.25" customHeight="1">
      <c r="H1295" s="179" t="str">
        <f t="shared" si="1"/>
        <v>SíPolímero_de_litioIndependienteUna_sola_celda</v>
      </c>
      <c r="I1295" s="178" t="s">
        <v>4767</v>
      </c>
      <c r="J1295" s="182" t="s">
        <v>4787</v>
      </c>
      <c r="K1295" s="178" t="s">
        <v>4780</v>
      </c>
      <c r="L1295" s="178" t="s">
        <v>4808</v>
      </c>
      <c r="M1295" s="178"/>
      <c r="N1295" s="185"/>
      <c r="O1295" s="189" t="s">
        <v>4792</v>
      </c>
    </row>
    <row r="1296" ht="14.25" customHeight="1">
      <c r="H1296" s="179" t="str">
        <f t="shared" si="1"/>
        <v>SíÓxido_cobalto_LitioEn el aparatoUna_sola_celda</v>
      </c>
      <c r="I1296" s="178" t="s">
        <v>4767</v>
      </c>
      <c r="J1296" s="182" t="s">
        <v>4774</v>
      </c>
      <c r="K1296" s="178" t="s">
        <v>4769</v>
      </c>
      <c r="L1296" s="178" t="s">
        <v>4808</v>
      </c>
      <c r="M1296" s="178"/>
      <c r="N1296" s="185"/>
      <c r="O1296" s="189" t="s">
        <v>4792</v>
      </c>
    </row>
    <row r="1297" ht="14.25" customHeight="1">
      <c r="H1297" s="179" t="str">
        <f t="shared" si="1"/>
        <v>SíÓxido_cobalto_LitioCon el equipoUna_sola_celda</v>
      </c>
      <c r="I1297" s="178" t="s">
        <v>4767</v>
      </c>
      <c r="J1297" s="182" t="s">
        <v>4774</v>
      </c>
      <c r="K1297" s="178" t="s">
        <v>4775</v>
      </c>
      <c r="L1297" s="178" t="s">
        <v>4808</v>
      </c>
      <c r="M1297" s="178"/>
      <c r="N1297" s="185"/>
      <c r="O1297" s="189" t="s">
        <v>4792</v>
      </c>
    </row>
    <row r="1298" ht="14.25" customHeight="1">
      <c r="H1298" s="179" t="str">
        <f t="shared" si="1"/>
        <v>SíÓxido_cobalto_LitioIndependienteUna_sola_celda</v>
      </c>
      <c r="I1298" s="178" t="s">
        <v>4767</v>
      </c>
      <c r="J1298" s="182" t="s">
        <v>4774</v>
      </c>
      <c r="K1298" s="178" t="s">
        <v>4780</v>
      </c>
      <c r="L1298" s="178" t="s">
        <v>4808</v>
      </c>
      <c r="M1298" s="178"/>
      <c r="N1298" s="185"/>
      <c r="O1298" s="189" t="s">
        <v>4792</v>
      </c>
    </row>
    <row r="1299" ht="14.25" customHeight="1">
      <c r="H1299" s="179" t="str">
        <f t="shared" si="1"/>
        <v>SíÓxido_de_cobalto_de_manganeso_y_litioEn el aparatoUna_sola_celda</v>
      </c>
      <c r="I1299" s="178" t="s">
        <v>4767</v>
      </c>
      <c r="J1299" s="182" t="s">
        <v>4785</v>
      </c>
      <c r="K1299" s="178" t="s">
        <v>4769</v>
      </c>
      <c r="L1299" s="178" t="s">
        <v>4808</v>
      </c>
      <c r="M1299" s="178"/>
      <c r="N1299" s="185"/>
      <c r="O1299" s="189" t="s">
        <v>4792</v>
      </c>
    </row>
    <row r="1300" ht="14.25" customHeight="1">
      <c r="H1300" s="179" t="str">
        <f t="shared" si="1"/>
        <v>SíÓxido_de_cobalto_de_manganeso_y_litioCon el equipoUna_sola_celda</v>
      </c>
      <c r="I1300" s="178" t="s">
        <v>4767</v>
      </c>
      <c r="J1300" s="182" t="s">
        <v>4785</v>
      </c>
      <c r="K1300" s="178" t="s">
        <v>4775</v>
      </c>
      <c r="L1300" s="178" t="s">
        <v>4808</v>
      </c>
      <c r="M1300" s="178"/>
      <c r="N1300" s="185"/>
      <c r="O1300" s="189" t="s">
        <v>4792</v>
      </c>
    </row>
    <row r="1301" ht="14.25" customHeight="1">
      <c r="H1301" s="179" t="str">
        <f t="shared" si="1"/>
        <v>SíÓxido_de_cobalto_de_manganeso_y_litioIndependienteUna_sola_celda</v>
      </c>
      <c r="I1301" s="178" t="s">
        <v>4767</v>
      </c>
      <c r="J1301" s="182" t="s">
        <v>4785</v>
      </c>
      <c r="K1301" s="178" t="s">
        <v>4780</v>
      </c>
      <c r="L1301" s="178" t="s">
        <v>4808</v>
      </c>
      <c r="M1301" s="178"/>
      <c r="N1301" s="185"/>
      <c r="O1301" s="189" t="s">
        <v>4792</v>
      </c>
    </row>
    <row r="1302" ht="14.25" customHeight="1">
      <c r="H1302" s="179" t="str">
        <f t="shared" si="1"/>
        <v>SíLitio_ferrofosfatoEn el aparatoUna_sola_celda</v>
      </c>
      <c r="I1302" s="178" t="s">
        <v>4767</v>
      </c>
      <c r="J1302" s="182" t="s">
        <v>4783</v>
      </c>
      <c r="K1302" s="178" t="s">
        <v>4769</v>
      </c>
      <c r="L1302" s="178" t="s">
        <v>4808</v>
      </c>
      <c r="M1302" s="178"/>
      <c r="N1302" s="185"/>
      <c r="O1302" s="189" t="s">
        <v>4792</v>
      </c>
    </row>
    <row r="1303" ht="14.25" customHeight="1">
      <c r="H1303" s="179" t="str">
        <f t="shared" si="1"/>
        <v>SíLitio_ferrofosfatoCon el equipoUna_sola_celda</v>
      </c>
      <c r="I1303" s="178" t="s">
        <v>4767</v>
      </c>
      <c r="J1303" s="182" t="s">
        <v>4783</v>
      </c>
      <c r="K1303" s="178" t="s">
        <v>4775</v>
      </c>
      <c r="L1303" s="178" t="s">
        <v>4808</v>
      </c>
      <c r="M1303" s="178"/>
      <c r="N1303" s="185"/>
      <c r="O1303" s="189" t="s">
        <v>4792</v>
      </c>
    </row>
    <row r="1304" ht="14.25" customHeight="1">
      <c r="H1304" s="179" t="str">
        <f t="shared" si="1"/>
        <v>SíLitio_ferrofosfatoIndependienteUna_sola_celda</v>
      </c>
      <c r="I1304" s="178" t="s">
        <v>4767</v>
      </c>
      <c r="J1304" s="182" t="s">
        <v>4783</v>
      </c>
      <c r="K1304" s="178" t="s">
        <v>4780</v>
      </c>
      <c r="L1304" s="178" t="s">
        <v>4808</v>
      </c>
      <c r="M1304" s="178"/>
      <c r="N1304" s="185"/>
      <c r="O1304" s="189" t="s">
        <v>4792</v>
      </c>
    </row>
    <row r="1305" ht="14.25" customHeight="1">
      <c r="H1305" s="179" t="str">
        <f t="shared" si="1"/>
        <v>SíTitanato_de_litioEn el aparatoUna_sola_celda</v>
      </c>
      <c r="I1305" s="178" t="s">
        <v>4767</v>
      </c>
      <c r="J1305" s="182" t="s">
        <v>4789</v>
      </c>
      <c r="K1305" s="178" t="s">
        <v>4769</v>
      </c>
      <c r="L1305" s="178" t="s">
        <v>4808</v>
      </c>
      <c r="M1305" s="178"/>
      <c r="N1305" s="185"/>
      <c r="O1305" s="189" t="s">
        <v>4792</v>
      </c>
    </row>
    <row r="1306" ht="14.25" customHeight="1">
      <c r="H1306" s="179" t="str">
        <f t="shared" si="1"/>
        <v>SíTitanato_de_litioCon el equipoUna_sola_celda</v>
      </c>
      <c r="I1306" s="178" t="s">
        <v>4767</v>
      </c>
      <c r="J1306" s="182" t="s">
        <v>4789</v>
      </c>
      <c r="K1306" s="178" t="s">
        <v>4775</v>
      </c>
      <c r="L1306" s="178" t="s">
        <v>4808</v>
      </c>
      <c r="M1306" s="178"/>
      <c r="N1306" s="185"/>
      <c r="O1306" s="189" t="s">
        <v>4792</v>
      </c>
    </row>
    <row r="1307" ht="14.25" customHeight="1">
      <c r="H1307" s="179" t="str">
        <f t="shared" si="1"/>
        <v>SíTitanato_de_litioIndependienteUna_sola_celda</v>
      </c>
      <c r="I1307" s="178" t="s">
        <v>4767</v>
      </c>
      <c r="J1307" s="182" t="s">
        <v>4789</v>
      </c>
      <c r="K1307" s="178" t="s">
        <v>4780</v>
      </c>
      <c r="L1307" s="178" t="s">
        <v>4808</v>
      </c>
      <c r="M1307" s="178"/>
      <c r="N1307" s="185"/>
      <c r="O1307" s="189" t="s">
        <v>4792</v>
      </c>
    </row>
    <row r="1308" ht="14.25" customHeight="1">
      <c r="H1308" s="179" t="str">
        <f t="shared" si="1"/>
        <v>Sí_18650_En el aparatoUna_sola_celda</v>
      </c>
      <c r="I1308" s="178" t="s">
        <v>4767</v>
      </c>
      <c r="J1308" s="178" t="s">
        <v>4768</v>
      </c>
      <c r="K1308" s="178" t="s">
        <v>4769</v>
      </c>
      <c r="L1308" s="178" t="s">
        <v>4808</v>
      </c>
      <c r="M1308" s="178"/>
      <c r="N1308" s="185"/>
      <c r="O1308" s="189" t="s">
        <v>4792</v>
      </c>
    </row>
    <row r="1309" ht="14.25" customHeight="1">
      <c r="H1309" s="179" t="str">
        <f t="shared" si="1"/>
        <v>Sí_18650_Con el equipoUna_sola_celda</v>
      </c>
      <c r="I1309" s="178" t="s">
        <v>4767</v>
      </c>
      <c r="J1309" s="178" t="s">
        <v>4768</v>
      </c>
      <c r="K1309" s="178" t="s">
        <v>4775</v>
      </c>
      <c r="L1309" s="178" t="s">
        <v>4808</v>
      </c>
      <c r="M1309" s="178"/>
      <c r="N1309" s="185"/>
      <c r="O1309" s="189" t="s">
        <v>4792</v>
      </c>
    </row>
    <row r="1310" ht="14.25" customHeight="1">
      <c r="H1310" s="179" t="str">
        <f t="shared" si="1"/>
        <v>Sí_18650_IndependienteUna_sola_celda</v>
      </c>
      <c r="I1310" s="178" t="s">
        <v>4767</v>
      </c>
      <c r="J1310" s="178" t="s">
        <v>4768</v>
      </c>
      <c r="K1310" s="178" t="s">
        <v>4780</v>
      </c>
      <c r="L1310" s="178" t="s">
        <v>4808</v>
      </c>
      <c r="M1310" s="178"/>
      <c r="N1310" s="185"/>
      <c r="O1310" s="189" t="s">
        <v>4792</v>
      </c>
    </row>
    <row r="1311" ht="14.25" customHeight="1">
      <c r="H1311" s="179" t="str">
        <f t="shared" si="1"/>
        <v>SíIon_litioEn el aparatoUna_sola_celda</v>
      </c>
      <c r="I1311" s="178" t="s">
        <v>4767</v>
      </c>
      <c r="J1311" s="182" t="s">
        <v>4779</v>
      </c>
      <c r="K1311" s="178" t="s">
        <v>4769</v>
      </c>
      <c r="L1311" s="178" t="s">
        <v>4808</v>
      </c>
      <c r="M1311" s="178"/>
      <c r="N1311" s="185"/>
      <c r="O1311" s="189" t="s">
        <v>4792</v>
      </c>
    </row>
    <row r="1312" ht="14.25" customHeight="1">
      <c r="H1312" s="179" t="str">
        <f t="shared" si="1"/>
        <v>SíIon_litioCon el equipoUna_sola_celda</v>
      </c>
      <c r="I1312" s="178" t="s">
        <v>4767</v>
      </c>
      <c r="J1312" s="182" t="s">
        <v>4779</v>
      </c>
      <c r="K1312" s="178" t="s">
        <v>4775</v>
      </c>
      <c r="L1312" s="178" t="s">
        <v>4808</v>
      </c>
      <c r="M1312" s="178"/>
      <c r="N1312" s="185"/>
      <c r="O1312" s="189" t="s">
        <v>4792</v>
      </c>
    </row>
    <row r="1313" ht="14.25" customHeight="1">
      <c r="H1313" s="179" t="str">
        <f t="shared" si="1"/>
        <v>SíIon_litioIndependienteUna_sola_celda</v>
      </c>
      <c r="I1313" s="178" t="s">
        <v>4767</v>
      </c>
      <c r="J1313" s="182" t="s">
        <v>4779</v>
      </c>
      <c r="K1313" s="178" t="s">
        <v>4780</v>
      </c>
      <c r="L1313" s="178" t="s">
        <v>4808</v>
      </c>
      <c r="M1313" s="178"/>
      <c r="N1313" s="185"/>
      <c r="O1313" s="189" t="s">
        <v>4792</v>
      </c>
    </row>
    <row r="1314" ht="14.25" customHeight="1">
      <c r="H1314" s="179" t="str">
        <f t="shared" si="1"/>
        <v>SíPolímero_de_litioEn el aparatoUna_sola_celda</v>
      </c>
      <c r="I1314" s="178" t="s">
        <v>4767</v>
      </c>
      <c r="J1314" s="182" t="s">
        <v>4787</v>
      </c>
      <c r="K1314" s="178" t="s">
        <v>4769</v>
      </c>
      <c r="L1314" s="178" t="s">
        <v>4808</v>
      </c>
      <c r="M1314" s="178"/>
      <c r="N1314" s="185"/>
      <c r="O1314" s="189" t="s">
        <v>4792</v>
      </c>
    </row>
    <row r="1315" ht="14.25" customHeight="1">
      <c r="H1315" s="179" t="str">
        <f t="shared" si="1"/>
        <v>SíPolímero_de_litioCon el equipoUna_sola_celda</v>
      </c>
      <c r="I1315" s="178" t="s">
        <v>4767</v>
      </c>
      <c r="J1315" s="182" t="s">
        <v>4787</v>
      </c>
      <c r="K1315" s="178" t="s">
        <v>4775</v>
      </c>
      <c r="L1315" s="178" t="s">
        <v>4808</v>
      </c>
      <c r="M1315" s="178"/>
      <c r="N1315" s="185"/>
      <c r="O1315" s="189" t="s">
        <v>4792</v>
      </c>
    </row>
    <row r="1316" ht="14.25" customHeight="1">
      <c r="H1316" s="179" t="str">
        <f t="shared" si="1"/>
        <v>SíPolímero_de_litioIndependienteUna_sola_celda</v>
      </c>
      <c r="I1316" s="178" t="s">
        <v>4767</v>
      </c>
      <c r="J1316" s="182" t="s">
        <v>4787</v>
      </c>
      <c r="K1316" s="178" t="s">
        <v>4780</v>
      </c>
      <c r="L1316" s="178" t="s">
        <v>4808</v>
      </c>
      <c r="M1316" s="178"/>
      <c r="N1316" s="185"/>
      <c r="O1316" s="189" t="s">
        <v>4792</v>
      </c>
    </row>
    <row r="1317" ht="14.25" customHeight="1">
      <c r="H1317" s="179" t="str">
        <f t="shared" si="1"/>
        <v>SíÓxido_cobalto_LitioEn el aparatoUna_sola_celda</v>
      </c>
      <c r="I1317" s="178" t="s">
        <v>4767</v>
      </c>
      <c r="J1317" s="182" t="s">
        <v>4774</v>
      </c>
      <c r="K1317" s="178" t="s">
        <v>4769</v>
      </c>
      <c r="L1317" s="178" t="s">
        <v>4808</v>
      </c>
      <c r="M1317" s="178"/>
      <c r="N1317" s="185"/>
      <c r="O1317" s="189" t="s">
        <v>4792</v>
      </c>
    </row>
    <row r="1318" ht="14.25" customHeight="1">
      <c r="H1318" s="179" t="str">
        <f t="shared" si="1"/>
        <v>SíÓxido_cobalto_LitioCon el equipoUna_sola_celda</v>
      </c>
      <c r="I1318" s="178" t="s">
        <v>4767</v>
      </c>
      <c r="J1318" s="182" t="s">
        <v>4774</v>
      </c>
      <c r="K1318" s="178" t="s">
        <v>4775</v>
      </c>
      <c r="L1318" s="178" t="s">
        <v>4808</v>
      </c>
      <c r="M1318" s="178"/>
      <c r="N1318" s="185"/>
      <c r="O1318" s="189" t="s">
        <v>4792</v>
      </c>
    </row>
    <row r="1319" ht="14.25" customHeight="1">
      <c r="H1319" s="179" t="str">
        <f t="shared" si="1"/>
        <v>SíÓxido_cobalto_LitioIndependienteUna_sola_celda</v>
      </c>
      <c r="I1319" s="178" t="s">
        <v>4767</v>
      </c>
      <c r="J1319" s="182" t="s">
        <v>4774</v>
      </c>
      <c r="K1319" s="178" t="s">
        <v>4780</v>
      </c>
      <c r="L1319" s="178" t="s">
        <v>4808</v>
      </c>
      <c r="M1319" s="178"/>
      <c r="N1319" s="185"/>
      <c r="O1319" s="189" t="s">
        <v>4792</v>
      </c>
    </row>
    <row r="1320" ht="14.25" customHeight="1">
      <c r="H1320" s="179" t="str">
        <f t="shared" si="1"/>
        <v>SíÓxido_de_cobalto_de_manganeso_y_litioEn el aparatoUna_sola_celda</v>
      </c>
      <c r="I1320" s="178" t="s">
        <v>4767</v>
      </c>
      <c r="J1320" s="182" t="s">
        <v>4785</v>
      </c>
      <c r="K1320" s="178" t="s">
        <v>4769</v>
      </c>
      <c r="L1320" s="178" t="s">
        <v>4808</v>
      </c>
      <c r="M1320" s="178"/>
      <c r="N1320" s="185"/>
      <c r="O1320" s="189" t="s">
        <v>4792</v>
      </c>
    </row>
    <row r="1321" ht="14.25" customHeight="1">
      <c r="H1321" s="179" t="str">
        <f t="shared" si="1"/>
        <v>SíÓxido_de_cobalto_de_manganeso_y_litioCon el equipoUna_sola_celda</v>
      </c>
      <c r="I1321" s="178" t="s">
        <v>4767</v>
      </c>
      <c r="J1321" s="182" t="s">
        <v>4785</v>
      </c>
      <c r="K1321" s="178" t="s">
        <v>4775</v>
      </c>
      <c r="L1321" s="178" t="s">
        <v>4808</v>
      </c>
      <c r="M1321" s="178"/>
      <c r="N1321" s="185"/>
      <c r="O1321" s="189" t="s">
        <v>4792</v>
      </c>
    </row>
    <row r="1322" ht="14.25" customHeight="1">
      <c r="H1322" s="179" t="str">
        <f t="shared" si="1"/>
        <v>SíÓxido_de_cobalto_de_manganeso_y_litioIndependienteUna_sola_celda</v>
      </c>
      <c r="I1322" s="178" t="s">
        <v>4767</v>
      </c>
      <c r="J1322" s="182" t="s">
        <v>4785</v>
      </c>
      <c r="K1322" s="178" t="s">
        <v>4780</v>
      </c>
      <c r="L1322" s="178" t="s">
        <v>4808</v>
      </c>
      <c r="M1322" s="178"/>
      <c r="N1322" s="185"/>
      <c r="O1322" s="189" t="s">
        <v>4792</v>
      </c>
    </row>
    <row r="1323" ht="14.25" customHeight="1">
      <c r="H1323" s="179" t="str">
        <f t="shared" si="1"/>
        <v>SíLitio_ferrofosfatoEn el aparatoUna_sola_celda</v>
      </c>
      <c r="I1323" s="178" t="s">
        <v>4767</v>
      </c>
      <c r="J1323" s="182" t="s">
        <v>4783</v>
      </c>
      <c r="K1323" s="178" t="s">
        <v>4769</v>
      </c>
      <c r="L1323" s="178" t="s">
        <v>4808</v>
      </c>
      <c r="M1323" s="178"/>
      <c r="N1323" s="185"/>
      <c r="O1323" s="189" t="s">
        <v>4792</v>
      </c>
    </row>
    <row r="1324" ht="14.25" customHeight="1">
      <c r="H1324" s="179" t="str">
        <f t="shared" si="1"/>
        <v>SíLitio_ferrofosfatoCon el equipoUna_sola_celda</v>
      </c>
      <c r="I1324" s="178" t="s">
        <v>4767</v>
      </c>
      <c r="J1324" s="182" t="s">
        <v>4783</v>
      </c>
      <c r="K1324" s="178" t="s">
        <v>4775</v>
      </c>
      <c r="L1324" s="178" t="s">
        <v>4808</v>
      </c>
      <c r="M1324" s="178"/>
      <c r="N1324" s="185"/>
      <c r="O1324" s="189" t="s">
        <v>4792</v>
      </c>
    </row>
    <row r="1325" ht="14.25" customHeight="1">
      <c r="H1325" s="179" t="str">
        <f t="shared" si="1"/>
        <v>SíLitio_ferrofosfatoIndependienteUna_sola_celda</v>
      </c>
      <c r="I1325" s="178" t="s">
        <v>4767</v>
      </c>
      <c r="J1325" s="182" t="s">
        <v>4783</v>
      </c>
      <c r="K1325" s="178" t="s">
        <v>4780</v>
      </c>
      <c r="L1325" s="178" t="s">
        <v>4808</v>
      </c>
      <c r="M1325" s="178"/>
      <c r="N1325" s="185"/>
      <c r="O1325" s="189" t="s">
        <v>4792</v>
      </c>
    </row>
    <row r="1326" ht="14.25" customHeight="1">
      <c r="H1326" s="179" t="str">
        <f t="shared" si="1"/>
        <v>SíTitanato_de_litioEn el aparatoUna_sola_celda</v>
      </c>
      <c r="I1326" s="178" t="s">
        <v>4767</v>
      </c>
      <c r="J1326" s="182" t="s">
        <v>4789</v>
      </c>
      <c r="K1326" s="178" t="s">
        <v>4769</v>
      </c>
      <c r="L1326" s="178" t="s">
        <v>4808</v>
      </c>
      <c r="M1326" s="178"/>
      <c r="N1326" s="185"/>
      <c r="O1326" s="189" t="s">
        <v>4792</v>
      </c>
    </row>
    <row r="1327" ht="14.25" customHeight="1">
      <c r="H1327" s="179" t="str">
        <f t="shared" si="1"/>
        <v>SíTitanato_de_litioCon el equipoUna_sola_celda</v>
      </c>
      <c r="I1327" s="178" t="s">
        <v>4767</v>
      </c>
      <c r="J1327" s="182" t="s">
        <v>4789</v>
      </c>
      <c r="K1327" s="178" t="s">
        <v>4775</v>
      </c>
      <c r="L1327" s="178" t="s">
        <v>4808</v>
      </c>
      <c r="M1327" s="178"/>
      <c r="N1327" s="185"/>
      <c r="O1327" s="189" t="s">
        <v>4792</v>
      </c>
    </row>
    <row r="1328" ht="14.25" customHeight="1">
      <c r="H1328" s="179" t="str">
        <f t="shared" si="1"/>
        <v>SíTitanato_de_litioIndependienteUna_sola_celda</v>
      </c>
      <c r="I1328" s="178" t="s">
        <v>4767</v>
      </c>
      <c r="J1328" s="182" t="s">
        <v>4789</v>
      </c>
      <c r="K1328" s="178" t="s">
        <v>4780</v>
      </c>
      <c r="L1328" s="178" t="s">
        <v>4808</v>
      </c>
      <c r="M1328" s="178"/>
      <c r="N1328" s="185"/>
      <c r="O1328" s="189" t="s">
        <v>4792</v>
      </c>
    </row>
    <row r="1329" ht="14.25" customHeight="1">
      <c r="H1329" s="179" t="str">
        <f t="shared" si="1"/>
        <v>Sí_18650_En el aparatoUna_sola_celda</v>
      </c>
      <c r="I1329" s="178" t="s">
        <v>4767</v>
      </c>
      <c r="J1329" s="178" t="s">
        <v>4768</v>
      </c>
      <c r="K1329" s="178" t="s">
        <v>4769</v>
      </c>
      <c r="L1329" s="178" t="s">
        <v>4808</v>
      </c>
      <c r="M1329" s="178"/>
      <c r="N1329" s="185"/>
      <c r="O1329" s="189" t="s">
        <v>4792</v>
      </c>
    </row>
    <row r="1330" ht="14.25" customHeight="1">
      <c r="H1330" s="179" t="str">
        <f t="shared" si="1"/>
        <v>Sí_18650_Con el equipoUna_sola_celda</v>
      </c>
      <c r="I1330" s="178" t="s">
        <v>4767</v>
      </c>
      <c r="J1330" s="178" t="s">
        <v>4768</v>
      </c>
      <c r="K1330" s="178" t="s">
        <v>4775</v>
      </c>
      <c r="L1330" s="178" t="s">
        <v>4808</v>
      </c>
      <c r="M1330" s="178"/>
      <c r="N1330" s="185"/>
      <c r="O1330" s="189" t="s">
        <v>4792</v>
      </c>
    </row>
    <row r="1331" ht="14.25" customHeight="1">
      <c r="H1331" s="179" t="str">
        <f t="shared" si="1"/>
        <v>Sí_18650_IndependienteUna_sola_celda</v>
      </c>
      <c r="I1331" s="178" t="s">
        <v>4767</v>
      </c>
      <c r="J1331" s="178" t="s">
        <v>4768</v>
      </c>
      <c r="K1331" s="178" t="s">
        <v>4780</v>
      </c>
      <c r="L1331" s="178" t="s">
        <v>4808</v>
      </c>
      <c r="M1331" s="178"/>
      <c r="N1331" s="185"/>
      <c r="O1331" s="189" t="s">
        <v>4792</v>
      </c>
    </row>
    <row r="1332" ht="14.25" customHeight="1">
      <c r="H1332" s="179" t="str">
        <f t="shared" si="1"/>
        <v>SíIon_litioEn el aparatoUna_sola_celda</v>
      </c>
      <c r="I1332" s="178" t="s">
        <v>4767</v>
      </c>
      <c r="J1332" s="182" t="s">
        <v>4779</v>
      </c>
      <c r="K1332" s="178" t="s">
        <v>4769</v>
      </c>
      <c r="L1332" s="178" t="s">
        <v>4808</v>
      </c>
      <c r="M1332" s="178"/>
      <c r="N1332" s="185"/>
      <c r="O1332" s="189" t="s">
        <v>4792</v>
      </c>
    </row>
    <row r="1333" ht="14.25" customHeight="1">
      <c r="H1333" s="179" t="str">
        <f t="shared" si="1"/>
        <v>SíIon_litioCon el equipoUna_sola_celda</v>
      </c>
      <c r="I1333" s="178" t="s">
        <v>4767</v>
      </c>
      <c r="J1333" s="182" t="s">
        <v>4779</v>
      </c>
      <c r="K1333" s="178" t="s">
        <v>4775</v>
      </c>
      <c r="L1333" s="178" t="s">
        <v>4808</v>
      </c>
      <c r="M1333" s="178"/>
      <c r="N1333" s="185"/>
      <c r="O1333" s="189" t="s">
        <v>4792</v>
      </c>
    </row>
    <row r="1334" ht="14.25" customHeight="1">
      <c r="H1334" s="179" t="str">
        <f t="shared" si="1"/>
        <v>SíIon_litioIndependienteUna_sola_celda</v>
      </c>
      <c r="I1334" s="178" t="s">
        <v>4767</v>
      </c>
      <c r="J1334" s="182" t="s">
        <v>4779</v>
      </c>
      <c r="K1334" s="178" t="s">
        <v>4780</v>
      </c>
      <c r="L1334" s="178" t="s">
        <v>4808</v>
      </c>
      <c r="M1334" s="178"/>
      <c r="N1334" s="185"/>
      <c r="O1334" s="189" t="s">
        <v>4792</v>
      </c>
    </row>
    <row r="1335" ht="14.25" customHeight="1">
      <c r="H1335" s="179" t="str">
        <f t="shared" si="1"/>
        <v>SíPolímero_de_litioEn el aparatoUna_sola_celda</v>
      </c>
      <c r="I1335" s="178" t="s">
        <v>4767</v>
      </c>
      <c r="J1335" s="182" t="s">
        <v>4787</v>
      </c>
      <c r="K1335" s="178" t="s">
        <v>4769</v>
      </c>
      <c r="L1335" s="178" t="s">
        <v>4808</v>
      </c>
      <c r="M1335" s="178"/>
      <c r="N1335" s="185"/>
      <c r="O1335" s="189" t="s">
        <v>4792</v>
      </c>
    </row>
    <row r="1336" ht="14.25" customHeight="1">
      <c r="H1336" s="179" t="str">
        <f t="shared" si="1"/>
        <v>SíPolímero_de_litioCon el equipoUna_sola_celda</v>
      </c>
      <c r="I1336" s="178" t="s">
        <v>4767</v>
      </c>
      <c r="J1336" s="182" t="s">
        <v>4787</v>
      </c>
      <c r="K1336" s="178" t="s">
        <v>4775</v>
      </c>
      <c r="L1336" s="178" t="s">
        <v>4808</v>
      </c>
      <c r="M1336" s="178"/>
      <c r="N1336" s="185"/>
      <c r="O1336" s="189" t="s">
        <v>4792</v>
      </c>
    </row>
    <row r="1337" ht="14.25" customHeight="1">
      <c r="H1337" s="179" t="str">
        <f t="shared" si="1"/>
        <v>SíPolímero_de_litioIndependienteUna_sola_celda</v>
      </c>
      <c r="I1337" s="178" t="s">
        <v>4767</v>
      </c>
      <c r="J1337" s="182" t="s">
        <v>4787</v>
      </c>
      <c r="K1337" s="178" t="s">
        <v>4780</v>
      </c>
      <c r="L1337" s="178" t="s">
        <v>4808</v>
      </c>
      <c r="M1337" s="178"/>
      <c r="N1337" s="185"/>
      <c r="O1337" s="189" t="s">
        <v>4792</v>
      </c>
    </row>
    <row r="1338" ht="14.25" customHeight="1">
      <c r="H1338" s="179" t="str">
        <f t="shared" si="1"/>
        <v>SíÓxido_cobalto_LitioEn el aparatoUna_sola_celda</v>
      </c>
      <c r="I1338" s="178" t="s">
        <v>4767</v>
      </c>
      <c r="J1338" s="182" t="s">
        <v>4774</v>
      </c>
      <c r="K1338" s="178" t="s">
        <v>4769</v>
      </c>
      <c r="L1338" s="178" t="s">
        <v>4808</v>
      </c>
      <c r="M1338" s="178"/>
      <c r="N1338" s="185"/>
      <c r="O1338" s="189" t="s">
        <v>4792</v>
      </c>
    </row>
    <row r="1339" ht="14.25" customHeight="1">
      <c r="H1339" s="179" t="str">
        <f t="shared" si="1"/>
        <v>SíÓxido_cobalto_LitioCon el equipoUna_sola_celda</v>
      </c>
      <c r="I1339" s="178" t="s">
        <v>4767</v>
      </c>
      <c r="J1339" s="182" t="s">
        <v>4774</v>
      </c>
      <c r="K1339" s="178" t="s">
        <v>4775</v>
      </c>
      <c r="L1339" s="178" t="s">
        <v>4808</v>
      </c>
      <c r="M1339" s="178"/>
      <c r="N1339" s="185"/>
      <c r="O1339" s="189" t="s">
        <v>4792</v>
      </c>
    </row>
    <row r="1340" ht="14.25" customHeight="1">
      <c r="H1340" s="179" t="str">
        <f t="shared" si="1"/>
        <v>SíÓxido_cobalto_LitioIndependienteUna_sola_celda</v>
      </c>
      <c r="I1340" s="178" t="s">
        <v>4767</v>
      </c>
      <c r="J1340" s="182" t="s">
        <v>4774</v>
      </c>
      <c r="K1340" s="178" t="s">
        <v>4780</v>
      </c>
      <c r="L1340" s="178" t="s">
        <v>4808</v>
      </c>
      <c r="M1340" s="178"/>
      <c r="N1340" s="185"/>
      <c r="O1340" s="189" t="s">
        <v>4792</v>
      </c>
    </row>
    <row r="1341" ht="14.25" customHeight="1">
      <c r="H1341" s="179" t="str">
        <f t="shared" si="1"/>
        <v>SíÓxido_de_cobalto_de_manganeso_y_litioEn el aparatoUna_sola_celda</v>
      </c>
      <c r="I1341" s="178" t="s">
        <v>4767</v>
      </c>
      <c r="J1341" s="182" t="s">
        <v>4785</v>
      </c>
      <c r="K1341" s="178" t="s">
        <v>4769</v>
      </c>
      <c r="L1341" s="178" t="s">
        <v>4808</v>
      </c>
      <c r="M1341" s="178"/>
      <c r="N1341" s="185"/>
      <c r="O1341" s="189" t="s">
        <v>4792</v>
      </c>
    </row>
    <row r="1342" ht="14.25" customHeight="1">
      <c r="H1342" s="179" t="str">
        <f t="shared" si="1"/>
        <v>SíÓxido_de_cobalto_de_manganeso_y_litioCon el equipoUna_sola_celda</v>
      </c>
      <c r="I1342" s="178" t="s">
        <v>4767</v>
      </c>
      <c r="J1342" s="182" t="s">
        <v>4785</v>
      </c>
      <c r="K1342" s="178" t="s">
        <v>4775</v>
      </c>
      <c r="L1342" s="178" t="s">
        <v>4808</v>
      </c>
      <c r="M1342" s="178"/>
      <c r="N1342" s="185"/>
      <c r="O1342" s="189" t="s">
        <v>4792</v>
      </c>
    </row>
    <row r="1343" ht="14.25" customHeight="1">
      <c r="H1343" s="179" t="str">
        <f t="shared" si="1"/>
        <v>SíÓxido_de_cobalto_de_manganeso_y_litioIndependienteUna_sola_celda</v>
      </c>
      <c r="I1343" s="178" t="s">
        <v>4767</v>
      </c>
      <c r="J1343" s="182" t="s">
        <v>4785</v>
      </c>
      <c r="K1343" s="178" t="s">
        <v>4780</v>
      </c>
      <c r="L1343" s="178" t="s">
        <v>4808</v>
      </c>
      <c r="M1343" s="178"/>
      <c r="N1343" s="185"/>
      <c r="O1343" s="189" t="s">
        <v>4792</v>
      </c>
    </row>
    <row r="1344" ht="14.25" customHeight="1">
      <c r="H1344" s="179" t="str">
        <f t="shared" si="1"/>
        <v>SíLitio_ferrofosfatoEn el aparatoUna_sola_celda</v>
      </c>
      <c r="I1344" s="178" t="s">
        <v>4767</v>
      </c>
      <c r="J1344" s="182" t="s">
        <v>4783</v>
      </c>
      <c r="K1344" s="178" t="s">
        <v>4769</v>
      </c>
      <c r="L1344" s="178" t="s">
        <v>4808</v>
      </c>
      <c r="M1344" s="178"/>
      <c r="N1344" s="185"/>
      <c r="O1344" s="189" t="s">
        <v>4792</v>
      </c>
    </row>
    <row r="1345" ht="14.25" customHeight="1">
      <c r="H1345" s="179" t="str">
        <f t="shared" si="1"/>
        <v>SíLitio_ferrofosfatoCon el equipoUna_sola_celda</v>
      </c>
      <c r="I1345" s="178" t="s">
        <v>4767</v>
      </c>
      <c r="J1345" s="182" t="s">
        <v>4783</v>
      </c>
      <c r="K1345" s="178" t="s">
        <v>4775</v>
      </c>
      <c r="L1345" s="178" t="s">
        <v>4808</v>
      </c>
      <c r="M1345" s="178"/>
      <c r="N1345" s="185"/>
      <c r="O1345" s="189" t="s">
        <v>4792</v>
      </c>
    </row>
    <row r="1346" ht="14.25" customHeight="1">
      <c r="H1346" s="179" t="str">
        <f t="shared" si="1"/>
        <v>SíLitio_ferrofosfatoIndependienteUna_sola_celda</v>
      </c>
      <c r="I1346" s="178" t="s">
        <v>4767</v>
      </c>
      <c r="J1346" s="182" t="s">
        <v>4783</v>
      </c>
      <c r="K1346" s="178" t="s">
        <v>4780</v>
      </c>
      <c r="L1346" s="178" t="s">
        <v>4808</v>
      </c>
      <c r="M1346" s="178"/>
      <c r="N1346" s="185"/>
      <c r="O1346" s="189" t="s">
        <v>4792</v>
      </c>
    </row>
    <row r="1347" ht="14.25" customHeight="1">
      <c r="H1347" s="179" t="str">
        <f t="shared" si="1"/>
        <v>SíTitanato_de_litioEn el aparatoUna_sola_celda</v>
      </c>
      <c r="I1347" s="178" t="s">
        <v>4767</v>
      </c>
      <c r="J1347" s="182" t="s">
        <v>4789</v>
      </c>
      <c r="K1347" s="178" t="s">
        <v>4769</v>
      </c>
      <c r="L1347" s="178" t="s">
        <v>4808</v>
      </c>
      <c r="M1347" s="178"/>
      <c r="N1347" s="185"/>
      <c r="O1347" s="189" t="s">
        <v>4792</v>
      </c>
    </row>
    <row r="1348" ht="14.25" customHeight="1">
      <c r="H1348" s="179" t="str">
        <f t="shared" si="1"/>
        <v>SíTitanato_de_litioCon el equipoUna_sola_celda</v>
      </c>
      <c r="I1348" s="178" t="s">
        <v>4767</v>
      </c>
      <c r="J1348" s="182" t="s">
        <v>4789</v>
      </c>
      <c r="K1348" s="178" t="s">
        <v>4775</v>
      </c>
      <c r="L1348" s="178" t="s">
        <v>4808</v>
      </c>
      <c r="M1348" s="178"/>
      <c r="N1348" s="185"/>
      <c r="O1348" s="189" t="s">
        <v>4792</v>
      </c>
    </row>
    <row r="1349" ht="14.25" customHeight="1">
      <c r="H1349" s="179" t="str">
        <f t="shared" si="1"/>
        <v>SíTitanato_de_litioIndependienteUna_sola_celda</v>
      </c>
      <c r="I1349" s="178" t="s">
        <v>4767</v>
      </c>
      <c r="J1349" s="182" t="s">
        <v>4789</v>
      </c>
      <c r="K1349" s="178" t="s">
        <v>4780</v>
      </c>
      <c r="L1349" s="178" t="s">
        <v>4808</v>
      </c>
      <c r="M1349" s="178"/>
      <c r="N1349" s="185"/>
      <c r="O1349" s="189" t="s">
        <v>4792</v>
      </c>
    </row>
    <row r="1350" ht="14.25" customHeight="1">
      <c r="H1350" s="179" t="str">
        <f t="shared" si="1"/>
        <v>Sí_18650_En el aparatoUna_sola_celda</v>
      </c>
      <c r="I1350" s="178" t="s">
        <v>4767</v>
      </c>
      <c r="J1350" s="178" t="s">
        <v>4768</v>
      </c>
      <c r="K1350" s="178" t="s">
        <v>4769</v>
      </c>
      <c r="L1350" s="178" t="s">
        <v>4808</v>
      </c>
      <c r="M1350" s="178"/>
      <c r="N1350" s="185"/>
      <c r="O1350" s="189" t="s">
        <v>4792</v>
      </c>
    </row>
    <row r="1351" ht="14.25" customHeight="1">
      <c r="H1351" s="179" t="str">
        <f t="shared" si="1"/>
        <v>Sí_18650_Con el equipoUna_sola_celda</v>
      </c>
      <c r="I1351" s="178" t="s">
        <v>4767</v>
      </c>
      <c r="J1351" s="178" t="s">
        <v>4768</v>
      </c>
      <c r="K1351" s="178" t="s">
        <v>4775</v>
      </c>
      <c r="L1351" s="178" t="s">
        <v>4808</v>
      </c>
      <c r="M1351" s="178"/>
      <c r="N1351" s="185"/>
      <c r="O1351" s="189" t="s">
        <v>4792</v>
      </c>
    </row>
    <row r="1352" ht="14.25" customHeight="1">
      <c r="H1352" s="179" t="str">
        <f t="shared" si="1"/>
        <v>Sí_18650_IndependienteUna_sola_celda</v>
      </c>
      <c r="I1352" s="178" t="s">
        <v>4767</v>
      </c>
      <c r="J1352" s="178" t="s">
        <v>4768</v>
      </c>
      <c r="K1352" s="178" t="s">
        <v>4780</v>
      </c>
      <c r="L1352" s="178" t="s">
        <v>4808</v>
      </c>
      <c r="M1352" s="178"/>
      <c r="N1352" s="185"/>
      <c r="O1352" s="189" t="s">
        <v>4792</v>
      </c>
    </row>
    <row r="1353" ht="14.25" customHeight="1">
      <c r="H1353" s="179" t="str">
        <f t="shared" si="1"/>
        <v>SíIon_litioEn el aparatoUna_sola_celda</v>
      </c>
      <c r="I1353" s="178" t="s">
        <v>4767</v>
      </c>
      <c r="J1353" s="182" t="s">
        <v>4779</v>
      </c>
      <c r="K1353" s="178" t="s">
        <v>4769</v>
      </c>
      <c r="L1353" s="178" t="s">
        <v>4808</v>
      </c>
      <c r="M1353" s="178"/>
      <c r="N1353" s="185"/>
      <c r="O1353" s="189" t="s">
        <v>4792</v>
      </c>
    </row>
    <row r="1354" ht="14.25" customHeight="1">
      <c r="H1354" s="179" t="str">
        <f t="shared" si="1"/>
        <v>SíIon_litioCon el equipoUna_sola_celda</v>
      </c>
      <c r="I1354" s="178" t="s">
        <v>4767</v>
      </c>
      <c r="J1354" s="182" t="s">
        <v>4779</v>
      </c>
      <c r="K1354" s="178" t="s">
        <v>4775</v>
      </c>
      <c r="L1354" s="178" t="s">
        <v>4808</v>
      </c>
      <c r="M1354" s="178"/>
      <c r="N1354" s="185"/>
      <c r="O1354" s="189" t="s">
        <v>4792</v>
      </c>
    </row>
    <row r="1355" ht="14.25" customHeight="1">
      <c r="H1355" s="179" t="str">
        <f t="shared" si="1"/>
        <v>SíIon_litioIndependienteUna_sola_celda</v>
      </c>
      <c r="I1355" s="178" t="s">
        <v>4767</v>
      </c>
      <c r="J1355" s="182" t="s">
        <v>4779</v>
      </c>
      <c r="K1355" s="178" t="s">
        <v>4780</v>
      </c>
      <c r="L1355" s="178" t="s">
        <v>4808</v>
      </c>
      <c r="M1355" s="178"/>
      <c r="N1355" s="185"/>
      <c r="O1355" s="189" t="s">
        <v>4792</v>
      </c>
    </row>
    <row r="1356" ht="14.25" customHeight="1">
      <c r="H1356" s="179" t="str">
        <f t="shared" si="1"/>
        <v>SíPolímero_de_litioEn el aparatoUna_sola_celda</v>
      </c>
      <c r="I1356" s="178" t="s">
        <v>4767</v>
      </c>
      <c r="J1356" s="182" t="s">
        <v>4787</v>
      </c>
      <c r="K1356" s="178" t="s">
        <v>4769</v>
      </c>
      <c r="L1356" s="178" t="s">
        <v>4808</v>
      </c>
      <c r="M1356" s="178"/>
      <c r="N1356" s="185"/>
      <c r="O1356" s="189" t="s">
        <v>4792</v>
      </c>
    </row>
    <row r="1357" ht="14.25" customHeight="1">
      <c r="H1357" s="179" t="str">
        <f t="shared" si="1"/>
        <v>SíPolímero_de_litioCon el equipoUna_sola_celda</v>
      </c>
      <c r="I1357" s="178" t="s">
        <v>4767</v>
      </c>
      <c r="J1357" s="182" t="s">
        <v>4787</v>
      </c>
      <c r="K1357" s="178" t="s">
        <v>4775</v>
      </c>
      <c r="L1357" s="178" t="s">
        <v>4808</v>
      </c>
      <c r="M1357" s="178"/>
      <c r="N1357" s="185"/>
      <c r="O1357" s="189" t="s">
        <v>4792</v>
      </c>
    </row>
    <row r="1358" ht="14.25" customHeight="1">
      <c r="H1358" s="179" t="str">
        <f t="shared" si="1"/>
        <v>SíPolímero_de_litioIndependienteUna_sola_celda</v>
      </c>
      <c r="I1358" s="178" t="s">
        <v>4767</v>
      </c>
      <c r="J1358" s="182" t="s">
        <v>4787</v>
      </c>
      <c r="K1358" s="178" t="s">
        <v>4780</v>
      </c>
      <c r="L1358" s="178" t="s">
        <v>4808</v>
      </c>
      <c r="M1358" s="178"/>
      <c r="N1358" s="185"/>
      <c r="O1358" s="189" t="s">
        <v>4792</v>
      </c>
    </row>
    <row r="1359" ht="14.25" customHeight="1">
      <c r="H1359" s="179" t="str">
        <f t="shared" si="1"/>
        <v>SíÓxido_cobalto_LitioEn el aparatoUna_sola_celda</v>
      </c>
      <c r="I1359" s="178" t="s">
        <v>4767</v>
      </c>
      <c r="J1359" s="182" t="s">
        <v>4774</v>
      </c>
      <c r="K1359" s="178" t="s">
        <v>4769</v>
      </c>
      <c r="L1359" s="178" t="s">
        <v>4808</v>
      </c>
      <c r="M1359" s="178"/>
      <c r="N1359" s="185"/>
      <c r="O1359" s="189" t="s">
        <v>4792</v>
      </c>
    </row>
    <row r="1360" ht="14.25" customHeight="1">
      <c r="H1360" s="179" t="str">
        <f t="shared" si="1"/>
        <v>SíÓxido_cobalto_LitioCon el equipoUna_sola_celda</v>
      </c>
      <c r="I1360" s="178" t="s">
        <v>4767</v>
      </c>
      <c r="J1360" s="182" t="s">
        <v>4774</v>
      </c>
      <c r="K1360" s="178" t="s">
        <v>4775</v>
      </c>
      <c r="L1360" s="178" t="s">
        <v>4808</v>
      </c>
      <c r="M1360" s="178"/>
      <c r="N1360" s="185"/>
      <c r="O1360" s="189" t="s">
        <v>4792</v>
      </c>
    </row>
    <row r="1361" ht="14.25" customHeight="1">
      <c r="H1361" s="179" t="str">
        <f t="shared" si="1"/>
        <v>SíÓxido_cobalto_LitioIndependienteUna_sola_celda</v>
      </c>
      <c r="I1361" s="178" t="s">
        <v>4767</v>
      </c>
      <c r="J1361" s="182" t="s">
        <v>4774</v>
      </c>
      <c r="K1361" s="178" t="s">
        <v>4780</v>
      </c>
      <c r="L1361" s="178" t="s">
        <v>4808</v>
      </c>
      <c r="M1361" s="178"/>
      <c r="N1361" s="185"/>
      <c r="O1361" s="189" t="s">
        <v>4792</v>
      </c>
    </row>
    <row r="1362" ht="14.25" customHeight="1">
      <c r="H1362" s="179" t="str">
        <f t="shared" si="1"/>
        <v>SíÓxido_de_cobalto_de_manganeso_y_litioEn el aparatoUna_sola_celda</v>
      </c>
      <c r="I1362" s="178" t="s">
        <v>4767</v>
      </c>
      <c r="J1362" s="182" t="s">
        <v>4785</v>
      </c>
      <c r="K1362" s="178" t="s">
        <v>4769</v>
      </c>
      <c r="L1362" s="178" t="s">
        <v>4808</v>
      </c>
      <c r="M1362" s="178"/>
      <c r="N1362" s="185"/>
      <c r="O1362" s="189" t="s">
        <v>4792</v>
      </c>
    </row>
    <row r="1363" ht="14.25" customHeight="1">
      <c r="H1363" s="179" t="str">
        <f t="shared" si="1"/>
        <v>SíÓxido_de_cobalto_de_manganeso_y_litioCon el equipoUna_sola_celda</v>
      </c>
      <c r="I1363" s="178" t="s">
        <v>4767</v>
      </c>
      <c r="J1363" s="182" t="s">
        <v>4785</v>
      </c>
      <c r="K1363" s="178" t="s">
        <v>4775</v>
      </c>
      <c r="L1363" s="178" t="s">
        <v>4808</v>
      </c>
      <c r="M1363" s="178"/>
      <c r="N1363" s="185"/>
      <c r="O1363" s="189" t="s">
        <v>4792</v>
      </c>
    </row>
    <row r="1364" ht="14.25" customHeight="1">
      <c r="H1364" s="179" t="str">
        <f t="shared" si="1"/>
        <v>SíÓxido_de_cobalto_de_manganeso_y_litioIndependienteUna_sola_celda</v>
      </c>
      <c r="I1364" s="178" t="s">
        <v>4767</v>
      </c>
      <c r="J1364" s="182" t="s">
        <v>4785</v>
      </c>
      <c r="K1364" s="178" t="s">
        <v>4780</v>
      </c>
      <c r="L1364" s="178" t="s">
        <v>4808</v>
      </c>
      <c r="M1364" s="178"/>
      <c r="N1364" s="185"/>
      <c r="O1364" s="189" t="s">
        <v>4792</v>
      </c>
    </row>
    <row r="1365" ht="14.25" customHeight="1">
      <c r="H1365" s="179" t="str">
        <f t="shared" si="1"/>
        <v>SíLitio_ferrofosfatoEn el aparatoUna_sola_celda</v>
      </c>
      <c r="I1365" s="178" t="s">
        <v>4767</v>
      </c>
      <c r="J1365" s="182" t="s">
        <v>4783</v>
      </c>
      <c r="K1365" s="178" t="s">
        <v>4769</v>
      </c>
      <c r="L1365" s="178" t="s">
        <v>4808</v>
      </c>
      <c r="M1365" s="178"/>
      <c r="N1365" s="185"/>
      <c r="O1365" s="189" t="s">
        <v>4792</v>
      </c>
    </row>
    <row r="1366" ht="14.25" customHeight="1">
      <c r="H1366" s="179" t="str">
        <f t="shared" si="1"/>
        <v>SíLitio_ferrofosfatoCon el equipoUna_sola_celda</v>
      </c>
      <c r="I1366" s="178" t="s">
        <v>4767</v>
      </c>
      <c r="J1366" s="182" t="s">
        <v>4783</v>
      </c>
      <c r="K1366" s="178" t="s">
        <v>4775</v>
      </c>
      <c r="L1366" s="178" t="s">
        <v>4808</v>
      </c>
      <c r="M1366" s="178"/>
      <c r="N1366" s="185"/>
      <c r="O1366" s="189" t="s">
        <v>4792</v>
      </c>
    </row>
    <row r="1367" ht="14.25" customHeight="1">
      <c r="H1367" s="179" t="str">
        <f t="shared" si="1"/>
        <v>SíLitio_ferrofosfatoIndependienteUna_sola_celda</v>
      </c>
      <c r="I1367" s="178" t="s">
        <v>4767</v>
      </c>
      <c r="J1367" s="182" t="s">
        <v>4783</v>
      </c>
      <c r="K1367" s="178" t="s">
        <v>4780</v>
      </c>
      <c r="L1367" s="178" t="s">
        <v>4808</v>
      </c>
      <c r="M1367" s="178"/>
      <c r="N1367" s="185"/>
      <c r="O1367" s="189" t="s">
        <v>4792</v>
      </c>
    </row>
    <row r="1368" ht="14.25" customHeight="1">
      <c r="H1368" s="179" t="str">
        <f t="shared" si="1"/>
        <v>SíTitanato_de_litioEn el aparatoUna_sola_celda</v>
      </c>
      <c r="I1368" s="178" t="s">
        <v>4767</v>
      </c>
      <c r="J1368" s="182" t="s">
        <v>4789</v>
      </c>
      <c r="K1368" s="178" t="s">
        <v>4769</v>
      </c>
      <c r="L1368" s="178" t="s">
        <v>4808</v>
      </c>
      <c r="M1368" s="178"/>
      <c r="N1368" s="185"/>
      <c r="O1368" s="189" t="s">
        <v>4792</v>
      </c>
    </row>
    <row r="1369" ht="14.25" customHeight="1">
      <c r="H1369" s="179" t="str">
        <f t="shared" si="1"/>
        <v>SíTitanato_de_litioCon el equipoUna_sola_celda</v>
      </c>
      <c r="I1369" s="178" t="s">
        <v>4767</v>
      </c>
      <c r="J1369" s="182" t="s">
        <v>4789</v>
      </c>
      <c r="K1369" s="178" t="s">
        <v>4775</v>
      </c>
      <c r="L1369" s="178" t="s">
        <v>4808</v>
      </c>
      <c r="M1369" s="178"/>
      <c r="N1369" s="185"/>
      <c r="O1369" s="189" t="s">
        <v>4792</v>
      </c>
    </row>
    <row r="1370" ht="14.25" customHeight="1">
      <c r="H1370" s="179" t="str">
        <f t="shared" si="1"/>
        <v>SíTitanato_de_litioIndependienteUna_sola_celda</v>
      </c>
      <c r="I1370" s="178" t="s">
        <v>4767</v>
      </c>
      <c r="J1370" s="182" t="s">
        <v>4789</v>
      </c>
      <c r="K1370" s="178" t="s">
        <v>4780</v>
      </c>
      <c r="L1370" s="178" t="s">
        <v>4808</v>
      </c>
      <c r="M1370" s="178"/>
      <c r="N1370" s="185"/>
      <c r="O1370" s="189" t="s">
        <v>4792</v>
      </c>
    </row>
    <row r="1371" ht="14.25" customHeight="1">
      <c r="H1371" s="179" t="str">
        <f t="shared" si="1"/>
        <v>Sí_18650_En el aparatoUna_sola_celda</v>
      </c>
      <c r="I1371" s="178" t="s">
        <v>4767</v>
      </c>
      <c r="J1371" s="178" t="s">
        <v>4768</v>
      </c>
      <c r="K1371" s="178" t="s">
        <v>4769</v>
      </c>
      <c r="L1371" s="178" t="s">
        <v>4808</v>
      </c>
      <c r="M1371" s="178"/>
      <c r="N1371" s="185"/>
      <c r="O1371" s="189" t="s">
        <v>4792</v>
      </c>
    </row>
    <row r="1372" ht="14.25" customHeight="1">
      <c r="H1372" s="179" t="str">
        <f t="shared" si="1"/>
        <v>Sí_18650_Con el equipoUna_sola_celda</v>
      </c>
      <c r="I1372" s="178" t="s">
        <v>4767</v>
      </c>
      <c r="J1372" s="178" t="s">
        <v>4768</v>
      </c>
      <c r="K1372" s="178" t="s">
        <v>4775</v>
      </c>
      <c r="L1372" s="178" t="s">
        <v>4808</v>
      </c>
      <c r="M1372" s="178"/>
      <c r="N1372" s="185"/>
      <c r="O1372" s="189" t="s">
        <v>4792</v>
      </c>
    </row>
    <row r="1373" ht="14.25" customHeight="1">
      <c r="H1373" s="179" t="str">
        <f t="shared" si="1"/>
        <v>Sí_18650_IndependienteUna_sola_celda</v>
      </c>
      <c r="I1373" s="178" t="s">
        <v>4767</v>
      </c>
      <c r="J1373" s="178" t="s">
        <v>4768</v>
      </c>
      <c r="K1373" s="178" t="s">
        <v>4780</v>
      </c>
      <c r="L1373" s="178" t="s">
        <v>4808</v>
      </c>
      <c r="M1373" s="178"/>
      <c r="N1373" s="185"/>
      <c r="O1373" s="189" t="s">
        <v>4792</v>
      </c>
    </row>
    <row r="1374" ht="14.25" customHeight="1">
      <c r="H1374" s="179" t="str">
        <f t="shared" si="1"/>
        <v>SíIon_litioEn el aparatoUna_sola_celda</v>
      </c>
      <c r="I1374" s="178" t="s">
        <v>4767</v>
      </c>
      <c r="J1374" s="182" t="s">
        <v>4779</v>
      </c>
      <c r="K1374" s="178" t="s">
        <v>4769</v>
      </c>
      <c r="L1374" s="178" t="s">
        <v>4808</v>
      </c>
      <c r="M1374" s="178"/>
      <c r="N1374" s="185"/>
      <c r="O1374" s="189" t="s">
        <v>4792</v>
      </c>
    </row>
    <row r="1375" ht="14.25" customHeight="1">
      <c r="H1375" s="179" t="str">
        <f t="shared" si="1"/>
        <v>SíIon_litioCon el equipoUna_sola_celda</v>
      </c>
      <c r="I1375" s="178" t="s">
        <v>4767</v>
      </c>
      <c r="J1375" s="182" t="s">
        <v>4779</v>
      </c>
      <c r="K1375" s="178" t="s">
        <v>4775</v>
      </c>
      <c r="L1375" s="178" t="s">
        <v>4808</v>
      </c>
      <c r="M1375" s="178"/>
      <c r="N1375" s="185"/>
      <c r="O1375" s="189" t="s">
        <v>4792</v>
      </c>
    </row>
    <row r="1376" ht="14.25" customHeight="1">
      <c r="H1376" s="179" t="str">
        <f t="shared" si="1"/>
        <v>SíIon_litioIndependienteUna_sola_celda</v>
      </c>
      <c r="I1376" s="178" t="s">
        <v>4767</v>
      </c>
      <c r="J1376" s="182" t="s">
        <v>4779</v>
      </c>
      <c r="K1376" s="178" t="s">
        <v>4780</v>
      </c>
      <c r="L1376" s="178" t="s">
        <v>4808</v>
      </c>
      <c r="M1376" s="178"/>
      <c r="N1376" s="185"/>
      <c r="O1376" s="189" t="s">
        <v>4792</v>
      </c>
    </row>
    <row r="1377" ht="14.25" customHeight="1">
      <c r="H1377" s="179" t="str">
        <f t="shared" si="1"/>
        <v>SíPolímero_de_litioEn el aparatoUna_sola_celda</v>
      </c>
      <c r="I1377" s="178" t="s">
        <v>4767</v>
      </c>
      <c r="J1377" s="182" t="s">
        <v>4787</v>
      </c>
      <c r="K1377" s="178" t="s">
        <v>4769</v>
      </c>
      <c r="L1377" s="178" t="s">
        <v>4808</v>
      </c>
      <c r="M1377" s="178"/>
      <c r="N1377" s="185"/>
      <c r="O1377" s="189" t="s">
        <v>4792</v>
      </c>
    </row>
    <row r="1378" ht="14.25" customHeight="1">
      <c r="H1378" s="179" t="str">
        <f t="shared" si="1"/>
        <v>SíPolímero_de_litioCon el equipoUna_sola_celda</v>
      </c>
      <c r="I1378" s="178" t="s">
        <v>4767</v>
      </c>
      <c r="J1378" s="182" t="s">
        <v>4787</v>
      </c>
      <c r="K1378" s="178" t="s">
        <v>4775</v>
      </c>
      <c r="L1378" s="178" t="s">
        <v>4808</v>
      </c>
      <c r="M1378" s="178"/>
      <c r="N1378" s="185"/>
      <c r="O1378" s="189" t="s">
        <v>4792</v>
      </c>
    </row>
    <row r="1379" ht="14.25" customHeight="1">
      <c r="H1379" s="179" t="str">
        <f t="shared" si="1"/>
        <v>SíPolímero_de_litioIndependienteUna_sola_celda</v>
      </c>
      <c r="I1379" s="178" t="s">
        <v>4767</v>
      </c>
      <c r="J1379" s="182" t="s">
        <v>4787</v>
      </c>
      <c r="K1379" s="178" t="s">
        <v>4780</v>
      </c>
      <c r="L1379" s="178" t="s">
        <v>4808</v>
      </c>
      <c r="M1379" s="178"/>
      <c r="N1379" s="185"/>
      <c r="O1379" s="189" t="s">
        <v>4792</v>
      </c>
    </row>
    <row r="1380" ht="14.25" customHeight="1">
      <c r="H1380" s="179" t="str">
        <f t="shared" si="1"/>
        <v>SíÓxido_cobalto_LitioEn el aparatoUna_sola_celda</v>
      </c>
      <c r="I1380" s="178" t="s">
        <v>4767</v>
      </c>
      <c r="J1380" s="182" t="s">
        <v>4774</v>
      </c>
      <c r="K1380" s="178" t="s">
        <v>4769</v>
      </c>
      <c r="L1380" s="178" t="s">
        <v>4808</v>
      </c>
      <c r="M1380" s="178"/>
      <c r="N1380" s="185"/>
      <c r="O1380" s="189" t="s">
        <v>4792</v>
      </c>
    </row>
    <row r="1381" ht="14.25" customHeight="1">
      <c r="H1381" s="179" t="str">
        <f t="shared" si="1"/>
        <v>SíÓxido_cobalto_LitioCon el equipoUna_sola_celda</v>
      </c>
      <c r="I1381" s="178" t="s">
        <v>4767</v>
      </c>
      <c r="J1381" s="182" t="s">
        <v>4774</v>
      </c>
      <c r="K1381" s="178" t="s">
        <v>4775</v>
      </c>
      <c r="L1381" s="178" t="s">
        <v>4808</v>
      </c>
      <c r="M1381" s="178"/>
      <c r="N1381" s="185"/>
      <c r="O1381" s="189" t="s">
        <v>4792</v>
      </c>
    </row>
    <row r="1382" ht="14.25" customHeight="1">
      <c r="H1382" s="179" t="str">
        <f t="shared" si="1"/>
        <v>SíÓxido_cobalto_LitioIndependienteUna_sola_celda</v>
      </c>
      <c r="I1382" s="178" t="s">
        <v>4767</v>
      </c>
      <c r="J1382" s="182" t="s">
        <v>4774</v>
      </c>
      <c r="K1382" s="178" t="s">
        <v>4780</v>
      </c>
      <c r="L1382" s="178" t="s">
        <v>4808</v>
      </c>
      <c r="M1382" s="178"/>
      <c r="N1382" s="185"/>
      <c r="O1382" s="189" t="s">
        <v>4792</v>
      </c>
    </row>
    <row r="1383" ht="14.25" customHeight="1">
      <c r="H1383" s="179" t="str">
        <f t="shared" si="1"/>
        <v>SíÓxido_de_cobalto_de_manganeso_y_litioEn el aparatoUna_sola_celda</v>
      </c>
      <c r="I1383" s="178" t="s">
        <v>4767</v>
      </c>
      <c r="J1383" s="182" t="s">
        <v>4785</v>
      </c>
      <c r="K1383" s="178" t="s">
        <v>4769</v>
      </c>
      <c r="L1383" s="178" t="s">
        <v>4808</v>
      </c>
      <c r="M1383" s="178"/>
      <c r="N1383" s="185"/>
      <c r="O1383" s="189" t="s">
        <v>4792</v>
      </c>
    </row>
    <row r="1384" ht="14.25" customHeight="1">
      <c r="H1384" s="179" t="str">
        <f t="shared" si="1"/>
        <v>SíÓxido_de_cobalto_de_manganeso_y_litioCon el equipoUna_sola_celda</v>
      </c>
      <c r="I1384" s="178" t="s">
        <v>4767</v>
      </c>
      <c r="J1384" s="182" t="s">
        <v>4785</v>
      </c>
      <c r="K1384" s="178" t="s">
        <v>4775</v>
      </c>
      <c r="L1384" s="178" t="s">
        <v>4808</v>
      </c>
      <c r="M1384" s="178"/>
      <c r="N1384" s="185"/>
      <c r="O1384" s="189" t="s">
        <v>4792</v>
      </c>
    </row>
    <row r="1385" ht="14.25" customHeight="1">
      <c r="H1385" s="179" t="str">
        <f t="shared" si="1"/>
        <v>SíÓxido_de_cobalto_de_manganeso_y_litioIndependienteUna_sola_celda</v>
      </c>
      <c r="I1385" s="178" t="s">
        <v>4767</v>
      </c>
      <c r="J1385" s="182" t="s">
        <v>4785</v>
      </c>
      <c r="K1385" s="178" t="s">
        <v>4780</v>
      </c>
      <c r="L1385" s="178" t="s">
        <v>4808</v>
      </c>
      <c r="M1385" s="178"/>
      <c r="N1385" s="185"/>
      <c r="O1385" s="189" t="s">
        <v>4792</v>
      </c>
    </row>
    <row r="1386" ht="14.25" customHeight="1">
      <c r="H1386" s="179" t="str">
        <f t="shared" si="1"/>
        <v>SíLitio_ferrofosfatoEn el aparatoUna_sola_celda</v>
      </c>
      <c r="I1386" s="178" t="s">
        <v>4767</v>
      </c>
      <c r="J1386" s="182" t="s">
        <v>4783</v>
      </c>
      <c r="K1386" s="178" t="s">
        <v>4769</v>
      </c>
      <c r="L1386" s="178" t="s">
        <v>4808</v>
      </c>
      <c r="M1386" s="178"/>
      <c r="N1386" s="185"/>
      <c r="O1386" s="189" t="s">
        <v>4792</v>
      </c>
    </row>
    <row r="1387" ht="14.25" customHeight="1">
      <c r="H1387" s="179" t="str">
        <f t="shared" si="1"/>
        <v>SíLitio_ferrofosfatoCon el equipoUna_sola_celda</v>
      </c>
      <c r="I1387" s="178" t="s">
        <v>4767</v>
      </c>
      <c r="J1387" s="182" t="s">
        <v>4783</v>
      </c>
      <c r="K1387" s="178" t="s">
        <v>4775</v>
      </c>
      <c r="L1387" s="178" t="s">
        <v>4808</v>
      </c>
      <c r="M1387" s="178"/>
      <c r="N1387" s="185"/>
      <c r="O1387" s="189" t="s">
        <v>4792</v>
      </c>
    </row>
    <row r="1388" ht="14.25" customHeight="1">
      <c r="H1388" s="179" t="str">
        <f t="shared" si="1"/>
        <v>SíLitio_ferrofosfatoIndependienteUna_sola_celda</v>
      </c>
      <c r="I1388" s="178" t="s">
        <v>4767</v>
      </c>
      <c r="J1388" s="182" t="s">
        <v>4783</v>
      </c>
      <c r="K1388" s="178" t="s">
        <v>4780</v>
      </c>
      <c r="L1388" s="178" t="s">
        <v>4808</v>
      </c>
      <c r="M1388" s="178"/>
      <c r="N1388" s="185"/>
      <c r="O1388" s="189" t="s">
        <v>4792</v>
      </c>
    </row>
    <row r="1389" ht="14.25" customHeight="1">
      <c r="H1389" s="179" t="str">
        <f t="shared" si="1"/>
        <v>SíTitanato_de_litioEn el aparatoUna_sola_celda</v>
      </c>
      <c r="I1389" s="178" t="s">
        <v>4767</v>
      </c>
      <c r="J1389" s="182" t="s">
        <v>4789</v>
      </c>
      <c r="K1389" s="178" t="s">
        <v>4769</v>
      </c>
      <c r="L1389" s="178" t="s">
        <v>4808</v>
      </c>
      <c r="M1389" s="178"/>
      <c r="N1389" s="185"/>
      <c r="O1389" s="189" t="s">
        <v>4792</v>
      </c>
    </row>
    <row r="1390" ht="14.25" customHeight="1">
      <c r="H1390" s="179" t="str">
        <f t="shared" si="1"/>
        <v>SíTitanato_de_litioCon el equipoUna_sola_celda</v>
      </c>
      <c r="I1390" s="178" t="s">
        <v>4767</v>
      </c>
      <c r="J1390" s="182" t="s">
        <v>4789</v>
      </c>
      <c r="K1390" s="178" t="s">
        <v>4775</v>
      </c>
      <c r="L1390" s="178" t="s">
        <v>4808</v>
      </c>
      <c r="M1390" s="178"/>
      <c r="N1390" s="185"/>
      <c r="O1390" s="189" t="s">
        <v>4792</v>
      </c>
    </row>
    <row r="1391" ht="14.25" customHeight="1">
      <c r="H1391" s="179" t="str">
        <f t="shared" si="1"/>
        <v>SíTitanato_de_litioIndependienteUna_sola_celda</v>
      </c>
      <c r="I1391" s="178" t="s">
        <v>4767</v>
      </c>
      <c r="J1391" s="182" t="s">
        <v>4789</v>
      </c>
      <c r="K1391" s="178" t="s">
        <v>4780</v>
      </c>
      <c r="L1391" s="178" t="s">
        <v>4808</v>
      </c>
      <c r="M1391" s="178"/>
      <c r="N1391" s="185"/>
      <c r="O1391" s="189" t="s">
        <v>4792</v>
      </c>
    </row>
    <row r="1392" ht="14.25" customHeight="1">
      <c r="H1392" s="179" t="str">
        <f t="shared" si="1"/>
        <v>Sí_18650_En el aparatoUna_sola_celda</v>
      </c>
      <c r="I1392" s="178" t="s">
        <v>4767</v>
      </c>
      <c r="J1392" s="178" t="s">
        <v>4768</v>
      </c>
      <c r="K1392" s="178" t="s">
        <v>4769</v>
      </c>
      <c r="L1392" s="178" t="s">
        <v>4808</v>
      </c>
      <c r="M1392" s="178"/>
      <c r="N1392" s="185"/>
      <c r="O1392" s="189" t="s">
        <v>4792</v>
      </c>
    </row>
    <row r="1393" ht="14.25" customHeight="1">
      <c r="H1393" s="179" t="str">
        <f t="shared" si="1"/>
        <v>Sí_18650_Con el equipoUna_sola_celda</v>
      </c>
      <c r="I1393" s="178" t="s">
        <v>4767</v>
      </c>
      <c r="J1393" s="178" t="s">
        <v>4768</v>
      </c>
      <c r="K1393" s="178" t="s">
        <v>4775</v>
      </c>
      <c r="L1393" s="178" t="s">
        <v>4808</v>
      </c>
      <c r="M1393" s="178"/>
      <c r="N1393" s="185"/>
      <c r="O1393" s="189" t="s">
        <v>4792</v>
      </c>
    </row>
    <row r="1394" ht="14.25" customHeight="1">
      <c r="H1394" s="179" t="str">
        <f t="shared" si="1"/>
        <v>Sí_18650_IndependienteUna_sola_celda</v>
      </c>
      <c r="I1394" s="178" t="s">
        <v>4767</v>
      </c>
      <c r="J1394" s="178" t="s">
        <v>4768</v>
      </c>
      <c r="K1394" s="178" t="s">
        <v>4780</v>
      </c>
      <c r="L1394" s="178" t="s">
        <v>4808</v>
      </c>
      <c r="M1394" s="178"/>
      <c r="N1394" s="185"/>
      <c r="O1394" s="189" t="s">
        <v>4792</v>
      </c>
    </row>
    <row r="1395" ht="14.25" customHeight="1">
      <c r="H1395" s="179" t="str">
        <f t="shared" si="1"/>
        <v>SíIon_litioEn el aparatoUna_sola_celda</v>
      </c>
      <c r="I1395" s="178" t="s">
        <v>4767</v>
      </c>
      <c r="J1395" s="182" t="s">
        <v>4779</v>
      </c>
      <c r="K1395" s="178" t="s">
        <v>4769</v>
      </c>
      <c r="L1395" s="178" t="s">
        <v>4808</v>
      </c>
      <c r="M1395" s="178"/>
      <c r="N1395" s="185"/>
      <c r="O1395" s="189" t="s">
        <v>4792</v>
      </c>
    </row>
    <row r="1396" ht="14.25" customHeight="1">
      <c r="H1396" s="179" t="str">
        <f t="shared" si="1"/>
        <v>SíIon_litioCon el equipoUna_sola_celda</v>
      </c>
      <c r="I1396" s="178" t="s">
        <v>4767</v>
      </c>
      <c r="J1396" s="182" t="s">
        <v>4779</v>
      </c>
      <c r="K1396" s="178" t="s">
        <v>4775</v>
      </c>
      <c r="L1396" s="178" t="s">
        <v>4808</v>
      </c>
      <c r="M1396" s="178"/>
      <c r="N1396" s="185"/>
      <c r="O1396" s="189" t="s">
        <v>4792</v>
      </c>
    </row>
    <row r="1397" ht="14.25" customHeight="1">
      <c r="H1397" s="179" t="str">
        <f t="shared" si="1"/>
        <v>SíIon_litioIndependienteUna_sola_celda</v>
      </c>
      <c r="I1397" s="178" t="s">
        <v>4767</v>
      </c>
      <c r="J1397" s="182" t="s">
        <v>4779</v>
      </c>
      <c r="K1397" s="178" t="s">
        <v>4780</v>
      </c>
      <c r="L1397" s="178" t="s">
        <v>4808</v>
      </c>
      <c r="M1397" s="178"/>
      <c r="N1397" s="185"/>
      <c r="O1397" s="189" t="s">
        <v>4792</v>
      </c>
    </row>
    <row r="1398" ht="14.25" customHeight="1">
      <c r="H1398" s="179" t="str">
        <f t="shared" si="1"/>
        <v>SíPolímero_de_litioEn el aparatoUna_sola_celda</v>
      </c>
      <c r="I1398" s="178" t="s">
        <v>4767</v>
      </c>
      <c r="J1398" s="182" t="s">
        <v>4787</v>
      </c>
      <c r="K1398" s="178" t="s">
        <v>4769</v>
      </c>
      <c r="L1398" s="178" t="s">
        <v>4808</v>
      </c>
      <c r="M1398" s="178"/>
      <c r="N1398" s="185"/>
      <c r="O1398" s="189" t="s">
        <v>4792</v>
      </c>
    </row>
    <row r="1399" ht="14.25" customHeight="1">
      <c r="H1399" s="179" t="str">
        <f t="shared" si="1"/>
        <v>SíPolímero_de_litioCon el equipoUna_sola_celda</v>
      </c>
      <c r="I1399" s="178" t="s">
        <v>4767</v>
      </c>
      <c r="J1399" s="182" t="s">
        <v>4787</v>
      </c>
      <c r="K1399" s="178" t="s">
        <v>4775</v>
      </c>
      <c r="L1399" s="178" t="s">
        <v>4808</v>
      </c>
      <c r="M1399" s="178"/>
      <c r="N1399" s="185"/>
      <c r="O1399" s="189" t="s">
        <v>4792</v>
      </c>
    </row>
    <row r="1400" ht="14.25" customHeight="1">
      <c r="H1400" s="179" t="str">
        <f t="shared" si="1"/>
        <v>SíPolímero_de_litioIndependienteUna_sola_celda</v>
      </c>
      <c r="I1400" s="178" t="s">
        <v>4767</v>
      </c>
      <c r="J1400" s="182" t="s">
        <v>4787</v>
      </c>
      <c r="K1400" s="178" t="s">
        <v>4780</v>
      </c>
      <c r="L1400" s="178" t="s">
        <v>4808</v>
      </c>
      <c r="M1400" s="178"/>
      <c r="N1400" s="185"/>
      <c r="O1400" s="189" t="s">
        <v>4792</v>
      </c>
    </row>
    <row r="1401" ht="14.25" customHeight="1">
      <c r="H1401" s="179" t="str">
        <f t="shared" si="1"/>
        <v>SíÓxido_cobalto_LitioEn el aparatoUna_sola_celda</v>
      </c>
      <c r="I1401" s="178" t="s">
        <v>4767</v>
      </c>
      <c r="J1401" s="182" t="s">
        <v>4774</v>
      </c>
      <c r="K1401" s="178" t="s">
        <v>4769</v>
      </c>
      <c r="L1401" s="178" t="s">
        <v>4808</v>
      </c>
      <c r="M1401" s="178"/>
      <c r="N1401" s="185"/>
      <c r="O1401" s="189" t="s">
        <v>4792</v>
      </c>
    </row>
    <row r="1402" ht="14.25" customHeight="1">
      <c r="H1402" s="179" t="str">
        <f t="shared" si="1"/>
        <v>SíÓxido_cobalto_LitioCon el equipoUna_sola_celda</v>
      </c>
      <c r="I1402" s="178" t="s">
        <v>4767</v>
      </c>
      <c r="J1402" s="182" t="s">
        <v>4774</v>
      </c>
      <c r="K1402" s="178" t="s">
        <v>4775</v>
      </c>
      <c r="L1402" s="178" t="s">
        <v>4808</v>
      </c>
      <c r="M1402" s="178"/>
      <c r="N1402" s="185"/>
      <c r="O1402" s="189" t="s">
        <v>4792</v>
      </c>
    </row>
    <row r="1403" ht="14.25" customHeight="1">
      <c r="H1403" s="179" t="str">
        <f t="shared" si="1"/>
        <v>SíÓxido_cobalto_LitioIndependienteUna_sola_celda</v>
      </c>
      <c r="I1403" s="178" t="s">
        <v>4767</v>
      </c>
      <c r="J1403" s="182" t="s">
        <v>4774</v>
      </c>
      <c r="K1403" s="178" t="s">
        <v>4780</v>
      </c>
      <c r="L1403" s="178" t="s">
        <v>4808</v>
      </c>
      <c r="M1403" s="178"/>
      <c r="N1403" s="185"/>
      <c r="O1403" s="189" t="s">
        <v>4792</v>
      </c>
    </row>
    <row r="1404" ht="14.25" customHeight="1">
      <c r="H1404" s="179" t="str">
        <f t="shared" si="1"/>
        <v>SíÓxido_de_cobalto_de_manganeso_y_litioEn el aparatoUna_sola_celda</v>
      </c>
      <c r="I1404" s="178" t="s">
        <v>4767</v>
      </c>
      <c r="J1404" s="182" t="s">
        <v>4785</v>
      </c>
      <c r="K1404" s="178" t="s">
        <v>4769</v>
      </c>
      <c r="L1404" s="178" t="s">
        <v>4808</v>
      </c>
      <c r="M1404" s="178"/>
      <c r="N1404" s="185"/>
      <c r="O1404" s="189" t="s">
        <v>4792</v>
      </c>
    </row>
    <row r="1405" ht="14.25" customHeight="1">
      <c r="H1405" s="179" t="str">
        <f t="shared" si="1"/>
        <v>SíÓxido_de_cobalto_de_manganeso_y_litioCon el equipoUna_sola_celda</v>
      </c>
      <c r="I1405" s="178" t="s">
        <v>4767</v>
      </c>
      <c r="J1405" s="182" t="s">
        <v>4785</v>
      </c>
      <c r="K1405" s="178" t="s">
        <v>4775</v>
      </c>
      <c r="L1405" s="178" t="s">
        <v>4808</v>
      </c>
      <c r="M1405" s="178"/>
      <c r="N1405" s="185"/>
      <c r="O1405" s="189" t="s">
        <v>4792</v>
      </c>
    </row>
    <row r="1406" ht="14.25" customHeight="1">
      <c r="H1406" s="179" t="str">
        <f t="shared" si="1"/>
        <v>SíÓxido_de_cobalto_de_manganeso_y_litioIndependienteUna_sola_celda</v>
      </c>
      <c r="I1406" s="178" t="s">
        <v>4767</v>
      </c>
      <c r="J1406" s="182" t="s">
        <v>4785</v>
      </c>
      <c r="K1406" s="178" t="s">
        <v>4780</v>
      </c>
      <c r="L1406" s="178" t="s">
        <v>4808</v>
      </c>
      <c r="M1406" s="178"/>
      <c r="N1406" s="185"/>
      <c r="O1406" s="189" t="s">
        <v>4792</v>
      </c>
    </row>
    <row r="1407" ht="14.25" customHeight="1">
      <c r="H1407" s="179" t="str">
        <f t="shared" si="1"/>
        <v>SíLitio_ferrofosfatoEn el aparatoUna_sola_celda</v>
      </c>
      <c r="I1407" s="178" t="s">
        <v>4767</v>
      </c>
      <c r="J1407" s="182" t="s">
        <v>4783</v>
      </c>
      <c r="K1407" s="178" t="s">
        <v>4769</v>
      </c>
      <c r="L1407" s="178" t="s">
        <v>4808</v>
      </c>
      <c r="M1407" s="178"/>
      <c r="N1407" s="185"/>
      <c r="O1407" s="189" t="s">
        <v>4792</v>
      </c>
    </row>
    <row r="1408" ht="14.25" customHeight="1">
      <c r="H1408" s="179" t="str">
        <f t="shared" si="1"/>
        <v>SíLitio_ferrofosfatoCon el equipoUna_sola_celda</v>
      </c>
      <c r="I1408" s="178" t="s">
        <v>4767</v>
      </c>
      <c r="J1408" s="182" t="s">
        <v>4783</v>
      </c>
      <c r="K1408" s="178" t="s">
        <v>4775</v>
      </c>
      <c r="L1408" s="178" t="s">
        <v>4808</v>
      </c>
      <c r="M1408" s="178"/>
      <c r="N1408" s="185"/>
      <c r="O1408" s="189" t="s">
        <v>4792</v>
      </c>
    </row>
    <row r="1409" ht="14.25" customHeight="1">
      <c r="H1409" s="179" t="str">
        <f t="shared" si="1"/>
        <v>SíLitio_ferrofosfatoIndependienteUna_sola_celda</v>
      </c>
      <c r="I1409" s="178" t="s">
        <v>4767</v>
      </c>
      <c r="J1409" s="182" t="s">
        <v>4783</v>
      </c>
      <c r="K1409" s="178" t="s">
        <v>4780</v>
      </c>
      <c r="L1409" s="178" t="s">
        <v>4808</v>
      </c>
      <c r="M1409" s="178"/>
      <c r="N1409" s="185"/>
      <c r="O1409" s="189" t="s">
        <v>4792</v>
      </c>
    </row>
    <row r="1410" ht="14.25" customHeight="1">
      <c r="H1410" s="179" t="str">
        <f t="shared" si="1"/>
        <v>SíTitanato_de_litioEn el aparatoUna_sola_celda</v>
      </c>
      <c r="I1410" s="178" t="s">
        <v>4767</v>
      </c>
      <c r="J1410" s="182" t="s">
        <v>4789</v>
      </c>
      <c r="K1410" s="178" t="s">
        <v>4769</v>
      </c>
      <c r="L1410" s="178" t="s">
        <v>4808</v>
      </c>
      <c r="M1410" s="178"/>
      <c r="N1410" s="185"/>
      <c r="O1410" s="189" t="s">
        <v>4792</v>
      </c>
    </row>
    <row r="1411" ht="14.25" customHeight="1">
      <c r="H1411" s="179" t="str">
        <f t="shared" si="1"/>
        <v>SíTitanato_de_litioCon el equipoUna_sola_celda</v>
      </c>
      <c r="I1411" s="178" t="s">
        <v>4767</v>
      </c>
      <c r="J1411" s="182" t="s">
        <v>4789</v>
      </c>
      <c r="K1411" s="178" t="s">
        <v>4775</v>
      </c>
      <c r="L1411" s="178" t="s">
        <v>4808</v>
      </c>
      <c r="M1411" s="178"/>
      <c r="N1411" s="185"/>
      <c r="O1411" s="189" t="s">
        <v>4792</v>
      </c>
    </row>
    <row r="1412" ht="14.25" customHeight="1">
      <c r="H1412" s="179" t="str">
        <f t="shared" si="1"/>
        <v>SíTitanato_de_litioIndependienteUna_sola_celda</v>
      </c>
      <c r="I1412" s="178" t="s">
        <v>4767</v>
      </c>
      <c r="J1412" s="182" t="s">
        <v>4789</v>
      </c>
      <c r="K1412" s="178" t="s">
        <v>4780</v>
      </c>
      <c r="L1412" s="178" t="s">
        <v>4808</v>
      </c>
      <c r="M1412" s="178"/>
      <c r="N1412" s="185"/>
      <c r="O1412" s="189" t="s">
        <v>4792</v>
      </c>
    </row>
    <row r="1413" ht="14.25" customHeight="1">
      <c r="H1413" s="179" t="str">
        <f t="shared" si="1"/>
        <v>Sí_18650_En el aparatoUna_sola_celda</v>
      </c>
      <c r="I1413" s="178" t="s">
        <v>4767</v>
      </c>
      <c r="J1413" s="178" t="s">
        <v>4768</v>
      </c>
      <c r="K1413" s="178" t="s">
        <v>4769</v>
      </c>
      <c r="L1413" s="178" t="s">
        <v>4808</v>
      </c>
      <c r="M1413" s="178"/>
      <c r="N1413" s="185"/>
      <c r="O1413" s="189" t="s">
        <v>4792</v>
      </c>
    </row>
    <row r="1414" ht="14.25" customHeight="1">
      <c r="H1414" s="179" t="str">
        <f t="shared" si="1"/>
        <v>Sí_18650_Con el equipoUna_sola_celda</v>
      </c>
      <c r="I1414" s="178" t="s">
        <v>4767</v>
      </c>
      <c r="J1414" s="178" t="s">
        <v>4768</v>
      </c>
      <c r="K1414" s="178" t="s">
        <v>4775</v>
      </c>
      <c r="L1414" s="178" t="s">
        <v>4808</v>
      </c>
      <c r="M1414" s="178"/>
      <c r="N1414" s="185"/>
      <c r="O1414" s="189" t="s">
        <v>4792</v>
      </c>
    </row>
    <row r="1415" ht="14.25" customHeight="1">
      <c r="H1415" s="179" t="str">
        <f t="shared" si="1"/>
        <v>Sí_18650_IndependienteUna_sola_celda</v>
      </c>
      <c r="I1415" s="178" t="s">
        <v>4767</v>
      </c>
      <c r="J1415" s="178" t="s">
        <v>4768</v>
      </c>
      <c r="K1415" s="178" t="s">
        <v>4780</v>
      </c>
      <c r="L1415" s="178" t="s">
        <v>4808</v>
      </c>
      <c r="M1415" s="178"/>
      <c r="N1415" s="185"/>
      <c r="O1415" s="189" t="s">
        <v>4792</v>
      </c>
    </row>
    <row r="1416" ht="14.25" customHeight="1">
      <c r="H1416" s="179" t="str">
        <f t="shared" si="1"/>
        <v>SíIon_litioEn el aparatoUna_sola_celda</v>
      </c>
      <c r="I1416" s="178" t="s">
        <v>4767</v>
      </c>
      <c r="J1416" s="182" t="s">
        <v>4779</v>
      </c>
      <c r="K1416" s="178" t="s">
        <v>4769</v>
      </c>
      <c r="L1416" s="178" t="s">
        <v>4808</v>
      </c>
      <c r="M1416" s="178"/>
      <c r="N1416" s="185"/>
      <c r="O1416" s="189" t="s">
        <v>4792</v>
      </c>
    </row>
    <row r="1417" ht="14.25" customHeight="1">
      <c r="H1417" s="179" t="str">
        <f t="shared" si="1"/>
        <v>SíIon_litioCon el equipoUna_sola_celda</v>
      </c>
      <c r="I1417" s="178" t="s">
        <v>4767</v>
      </c>
      <c r="J1417" s="182" t="s">
        <v>4779</v>
      </c>
      <c r="K1417" s="178" t="s">
        <v>4775</v>
      </c>
      <c r="L1417" s="178" t="s">
        <v>4808</v>
      </c>
      <c r="M1417" s="178"/>
      <c r="N1417" s="185"/>
      <c r="O1417" s="189" t="s">
        <v>4792</v>
      </c>
    </row>
    <row r="1418" ht="14.25" customHeight="1">
      <c r="H1418" s="179" t="str">
        <f t="shared" si="1"/>
        <v>SíIon_litioIndependienteUna_sola_celda</v>
      </c>
      <c r="I1418" s="178" t="s">
        <v>4767</v>
      </c>
      <c r="J1418" s="182" t="s">
        <v>4779</v>
      </c>
      <c r="K1418" s="178" t="s">
        <v>4780</v>
      </c>
      <c r="L1418" s="178" t="s">
        <v>4808</v>
      </c>
      <c r="M1418" s="178"/>
      <c r="N1418" s="185"/>
      <c r="O1418" s="189" t="s">
        <v>4792</v>
      </c>
    </row>
    <row r="1419" ht="14.25" customHeight="1">
      <c r="H1419" s="179" t="str">
        <f t="shared" si="1"/>
        <v>SíPolímero_de_litioEn el aparatoUna_sola_celda</v>
      </c>
      <c r="I1419" s="178" t="s">
        <v>4767</v>
      </c>
      <c r="J1419" s="182" t="s">
        <v>4787</v>
      </c>
      <c r="K1419" s="178" t="s">
        <v>4769</v>
      </c>
      <c r="L1419" s="178" t="s">
        <v>4808</v>
      </c>
      <c r="M1419" s="178"/>
      <c r="N1419" s="185"/>
      <c r="O1419" s="189" t="s">
        <v>4792</v>
      </c>
    </row>
    <row r="1420" ht="14.25" customHeight="1">
      <c r="H1420" s="179" t="str">
        <f t="shared" si="1"/>
        <v>SíPolímero_de_litioCon el equipoUna_sola_celda</v>
      </c>
      <c r="I1420" s="178" t="s">
        <v>4767</v>
      </c>
      <c r="J1420" s="182" t="s">
        <v>4787</v>
      </c>
      <c r="K1420" s="178" t="s">
        <v>4775</v>
      </c>
      <c r="L1420" s="178" t="s">
        <v>4808</v>
      </c>
      <c r="M1420" s="178"/>
      <c r="N1420" s="185"/>
      <c r="O1420" s="189" t="s">
        <v>4792</v>
      </c>
    </row>
    <row r="1421" ht="14.25" customHeight="1">
      <c r="H1421" s="179" t="str">
        <f t="shared" si="1"/>
        <v>SíPolímero_de_litioIndependienteUna_sola_celda</v>
      </c>
      <c r="I1421" s="178" t="s">
        <v>4767</v>
      </c>
      <c r="J1421" s="182" t="s">
        <v>4787</v>
      </c>
      <c r="K1421" s="178" t="s">
        <v>4780</v>
      </c>
      <c r="L1421" s="178" t="s">
        <v>4808</v>
      </c>
      <c r="M1421" s="178"/>
      <c r="N1421" s="185"/>
      <c r="O1421" s="189" t="s">
        <v>4792</v>
      </c>
    </row>
    <row r="1422" ht="14.25" customHeight="1">
      <c r="H1422" s="179" t="str">
        <f t="shared" si="1"/>
        <v>SíÓxido_cobalto_LitioEn el aparatoUna_sola_celda</v>
      </c>
      <c r="I1422" s="178" t="s">
        <v>4767</v>
      </c>
      <c r="J1422" s="182" t="s">
        <v>4774</v>
      </c>
      <c r="K1422" s="178" t="s">
        <v>4769</v>
      </c>
      <c r="L1422" s="178" t="s">
        <v>4808</v>
      </c>
      <c r="M1422" s="178"/>
      <c r="N1422" s="185"/>
      <c r="O1422" s="189" t="s">
        <v>4792</v>
      </c>
    </row>
    <row r="1423" ht="14.25" customHeight="1">
      <c r="H1423" s="179" t="str">
        <f t="shared" si="1"/>
        <v>SíÓxido_cobalto_LitioCon el equipoUna_sola_celda</v>
      </c>
      <c r="I1423" s="178" t="s">
        <v>4767</v>
      </c>
      <c r="J1423" s="182" t="s">
        <v>4774</v>
      </c>
      <c r="K1423" s="178" t="s">
        <v>4775</v>
      </c>
      <c r="L1423" s="178" t="s">
        <v>4808</v>
      </c>
      <c r="M1423" s="178"/>
      <c r="N1423" s="185"/>
      <c r="O1423" s="189" t="s">
        <v>4792</v>
      </c>
    </row>
    <row r="1424" ht="14.25" customHeight="1">
      <c r="H1424" s="179" t="str">
        <f t="shared" si="1"/>
        <v>SíÓxido_cobalto_LitioIndependienteUna_sola_celda</v>
      </c>
      <c r="I1424" s="178" t="s">
        <v>4767</v>
      </c>
      <c r="J1424" s="182" t="s">
        <v>4774</v>
      </c>
      <c r="K1424" s="178" t="s">
        <v>4780</v>
      </c>
      <c r="L1424" s="178" t="s">
        <v>4808</v>
      </c>
      <c r="M1424" s="178"/>
      <c r="N1424" s="185"/>
      <c r="O1424" s="189" t="s">
        <v>4792</v>
      </c>
    </row>
    <row r="1425" ht="14.25" customHeight="1">
      <c r="H1425" s="179" t="str">
        <f t="shared" si="1"/>
        <v>SíÓxido_de_cobalto_de_manganeso_y_litioEn el aparatoUna_sola_celda</v>
      </c>
      <c r="I1425" s="178" t="s">
        <v>4767</v>
      </c>
      <c r="J1425" s="182" t="s">
        <v>4785</v>
      </c>
      <c r="K1425" s="178" t="s">
        <v>4769</v>
      </c>
      <c r="L1425" s="178" t="s">
        <v>4808</v>
      </c>
      <c r="M1425" s="178"/>
      <c r="N1425" s="185"/>
      <c r="O1425" s="189" t="s">
        <v>4792</v>
      </c>
    </row>
    <row r="1426" ht="14.25" customHeight="1">
      <c r="H1426" s="179" t="str">
        <f t="shared" si="1"/>
        <v>SíÓxido_de_cobalto_de_manganeso_y_litioCon el equipoUna_sola_celda</v>
      </c>
      <c r="I1426" s="178" t="s">
        <v>4767</v>
      </c>
      <c r="J1426" s="182" t="s">
        <v>4785</v>
      </c>
      <c r="K1426" s="178" t="s">
        <v>4775</v>
      </c>
      <c r="L1426" s="178" t="s">
        <v>4808</v>
      </c>
      <c r="M1426" s="178"/>
      <c r="N1426" s="185"/>
      <c r="O1426" s="189" t="s">
        <v>4792</v>
      </c>
    </row>
    <row r="1427" ht="14.25" customHeight="1">
      <c r="H1427" s="179" t="str">
        <f t="shared" si="1"/>
        <v>SíÓxido_de_cobalto_de_manganeso_y_litioIndependienteUna_sola_celda</v>
      </c>
      <c r="I1427" s="178" t="s">
        <v>4767</v>
      </c>
      <c r="J1427" s="182" t="s">
        <v>4785</v>
      </c>
      <c r="K1427" s="178" t="s">
        <v>4780</v>
      </c>
      <c r="L1427" s="178" t="s">
        <v>4808</v>
      </c>
      <c r="M1427" s="178"/>
      <c r="N1427" s="185"/>
      <c r="O1427" s="189" t="s">
        <v>4792</v>
      </c>
    </row>
    <row r="1428" ht="14.25" customHeight="1">
      <c r="H1428" s="179" t="str">
        <f t="shared" si="1"/>
        <v>SíLitio_ferrofosfatoEn el aparatoUna_sola_celda</v>
      </c>
      <c r="I1428" s="178" t="s">
        <v>4767</v>
      </c>
      <c r="J1428" s="182" t="s">
        <v>4783</v>
      </c>
      <c r="K1428" s="178" t="s">
        <v>4769</v>
      </c>
      <c r="L1428" s="178" t="s">
        <v>4808</v>
      </c>
      <c r="M1428" s="178"/>
      <c r="N1428" s="185"/>
      <c r="O1428" s="189" t="s">
        <v>4792</v>
      </c>
    </row>
    <row r="1429" ht="14.25" customHeight="1">
      <c r="H1429" s="179" t="str">
        <f t="shared" si="1"/>
        <v>SíLitio_ferrofosfatoCon el equipoUna_sola_celda</v>
      </c>
      <c r="I1429" s="178" t="s">
        <v>4767</v>
      </c>
      <c r="J1429" s="182" t="s">
        <v>4783</v>
      </c>
      <c r="K1429" s="178" t="s">
        <v>4775</v>
      </c>
      <c r="L1429" s="178" t="s">
        <v>4808</v>
      </c>
      <c r="M1429" s="178"/>
      <c r="N1429" s="185"/>
      <c r="O1429" s="189" t="s">
        <v>4792</v>
      </c>
    </row>
    <row r="1430" ht="14.25" customHeight="1">
      <c r="H1430" s="179" t="str">
        <f t="shared" si="1"/>
        <v>SíLitio_ferrofosfatoIndependienteUna_sola_celda</v>
      </c>
      <c r="I1430" s="178" t="s">
        <v>4767</v>
      </c>
      <c r="J1430" s="182" t="s">
        <v>4783</v>
      </c>
      <c r="K1430" s="178" t="s">
        <v>4780</v>
      </c>
      <c r="L1430" s="178" t="s">
        <v>4808</v>
      </c>
      <c r="M1430" s="178"/>
      <c r="N1430" s="185"/>
      <c r="O1430" s="189" t="s">
        <v>4792</v>
      </c>
    </row>
    <row r="1431" ht="14.25" customHeight="1">
      <c r="H1431" s="179" t="str">
        <f t="shared" si="1"/>
        <v>SíTitanato_de_litioEn el aparatoUna_sola_celda</v>
      </c>
      <c r="I1431" s="178" t="s">
        <v>4767</v>
      </c>
      <c r="J1431" s="182" t="s">
        <v>4789</v>
      </c>
      <c r="K1431" s="178" t="s">
        <v>4769</v>
      </c>
      <c r="L1431" s="178" t="s">
        <v>4808</v>
      </c>
      <c r="M1431" s="178"/>
      <c r="N1431" s="185"/>
      <c r="O1431" s="189" t="s">
        <v>4792</v>
      </c>
    </row>
    <row r="1432" ht="14.25" customHeight="1">
      <c r="H1432" s="179" t="str">
        <f t="shared" si="1"/>
        <v>SíTitanato_de_litioCon el equipoUna_sola_celda</v>
      </c>
      <c r="I1432" s="178" t="s">
        <v>4767</v>
      </c>
      <c r="J1432" s="182" t="s">
        <v>4789</v>
      </c>
      <c r="K1432" s="178" t="s">
        <v>4775</v>
      </c>
      <c r="L1432" s="178" t="s">
        <v>4808</v>
      </c>
      <c r="M1432" s="178"/>
      <c r="N1432" s="185"/>
      <c r="O1432" s="189" t="s">
        <v>4792</v>
      </c>
    </row>
    <row r="1433" ht="14.25" customHeight="1">
      <c r="H1433" s="179" t="str">
        <f t="shared" si="1"/>
        <v>SíTitanato_de_litioIndependienteUna_sola_celda</v>
      </c>
      <c r="I1433" s="178" t="s">
        <v>4767</v>
      </c>
      <c r="J1433" s="182" t="s">
        <v>4789</v>
      </c>
      <c r="K1433" s="178" t="s">
        <v>4780</v>
      </c>
      <c r="L1433" s="178" t="s">
        <v>4808</v>
      </c>
      <c r="M1433" s="178"/>
      <c r="N1433" s="185"/>
      <c r="O1433" s="189" t="s">
        <v>4792</v>
      </c>
    </row>
    <row r="1434" ht="14.25" customHeight="1">
      <c r="H1434" s="179" t="str">
        <f t="shared" si="1"/>
        <v>Sí_18650_En el aparatoUna_sola_celda</v>
      </c>
      <c r="I1434" s="178" t="s">
        <v>4767</v>
      </c>
      <c r="J1434" s="178" t="s">
        <v>4768</v>
      </c>
      <c r="K1434" s="178" t="s">
        <v>4769</v>
      </c>
      <c r="L1434" s="178" t="s">
        <v>4808</v>
      </c>
      <c r="M1434" s="178"/>
      <c r="N1434" s="185"/>
      <c r="O1434" s="189" t="s">
        <v>4792</v>
      </c>
    </row>
    <row r="1435" ht="14.25" customHeight="1">
      <c r="H1435" s="179" t="str">
        <f t="shared" si="1"/>
        <v>Sí_18650_Con el equipoUna_sola_celda</v>
      </c>
      <c r="I1435" s="178" t="s">
        <v>4767</v>
      </c>
      <c r="J1435" s="178" t="s">
        <v>4768</v>
      </c>
      <c r="K1435" s="178" t="s">
        <v>4775</v>
      </c>
      <c r="L1435" s="178" t="s">
        <v>4808</v>
      </c>
      <c r="M1435" s="178"/>
      <c r="N1435" s="185"/>
      <c r="O1435" s="189" t="s">
        <v>4792</v>
      </c>
    </row>
    <row r="1436" ht="14.25" customHeight="1">
      <c r="H1436" s="179" t="str">
        <f t="shared" si="1"/>
        <v>Sí_18650_IndependienteUna_sola_celda</v>
      </c>
      <c r="I1436" s="178" t="s">
        <v>4767</v>
      </c>
      <c r="J1436" s="178" t="s">
        <v>4768</v>
      </c>
      <c r="K1436" s="178" t="s">
        <v>4780</v>
      </c>
      <c r="L1436" s="178" t="s">
        <v>4808</v>
      </c>
      <c r="M1436" s="178"/>
      <c r="N1436" s="185"/>
      <c r="O1436" s="189" t="s">
        <v>4792</v>
      </c>
    </row>
    <row r="1437" ht="14.25" customHeight="1">
      <c r="H1437" s="179" t="str">
        <f t="shared" si="1"/>
        <v>SíIon_litioEn el aparatoUna_sola_celda</v>
      </c>
      <c r="I1437" s="178" t="s">
        <v>4767</v>
      </c>
      <c r="J1437" s="182" t="s">
        <v>4779</v>
      </c>
      <c r="K1437" s="178" t="s">
        <v>4769</v>
      </c>
      <c r="L1437" s="178" t="s">
        <v>4808</v>
      </c>
      <c r="M1437" s="178"/>
      <c r="N1437" s="185"/>
      <c r="O1437" s="189" t="s">
        <v>4792</v>
      </c>
    </row>
    <row r="1438" ht="14.25" customHeight="1">
      <c r="H1438" s="179" t="str">
        <f t="shared" si="1"/>
        <v>SíIon_litioCon el equipoUna_sola_celda</v>
      </c>
      <c r="I1438" s="178" t="s">
        <v>4767</v>
      </c>
      <c r="J1438" s="182" t="s">
        <v>4779</v>
      </c>
      <c r="K1438" s="178" t="s">
        <v>4775</v>
      </c>
      <c r="L1438" s="178" t="s">
        <v>4808</v>
      </c>
      <c r="M1438" s="178"/>
      <c r="N1438" s="185"/>
      <c r="O1438" s="189" t="s">
        <v>4792</v>
      </c>
    </row>
    <row r="1439" ht="14.25" customHeight="1">
      <c r="H1439" s="179" t="str">
        <f t="shared" si="1"/>
        <v>SíIon_litioIndependienteUna_sola_celda</v>
      </c>
      <c r="I1439" s="178" t="s">
        <v>4767</v>
      </c>
      <c r="J1439" s="182" t="s">
        <v>4779</v>
      </c>
      <c r="K1439" s="178" t="s">
        <v>4780</v>
      </c>
      <c r="L1439" s="178" t="s">
        <v>4808</v>
      </c>
      <c r="M1439" s="178"/>
      <c r="N1439" s="185"/>
      <c r="O1439" s="189" t="s">
        <v>4792</v>
      </c>
    </row>
    <row r="1440" ht="14.25" customHeight="1">
      <c r="H1440" s="179" t="str">
        <f t="shared" si="1"/>
        <v>SíPolímero_de_litioEn el aparatoUna_sola_celda</v>
      </c>
      <c r="I1440" s="178" t="s">
        <v>4767</v>
      </c>
      <c r="J1440" s="182" t="s">
        <v>4787</v>
      </c>
      <c r="K1440" s="178" t="s">
        <v>4769</v>
      </c>
      <c r="L1440" s="178" t="s">
        <v>4808</v>
      </c>
      <c r="M1440" s="178"/>
      <c r="N1440" s="185"/>
      <c r="O1440" s="189" t="s">
        <v>4792</v>
      </c>
    </row>
    <row r="1441" ht="14.25" customHeight="1">
      <c r="H1441" s="179" t="str">
        <f t="shared" si="1"/>
        <v>SíPolímero_de_litioCon el equipoUna_sola_celda</v>
      </c>
      <c r="I1441" s="178" t="s">
        <v>4767</v>
      </c>
      <c r="J1441" s="182" t="s">
        <v>4787</v>
      </c>
      <c r="K1441" s="178" t="s">
        <v>4775</v>
      </c>
      <c r="L1441" s="178" t="s">
        <v>4808</v>
      </c>
      <c r="M1441" s="178"/>
      <c r="N1441" s="185"/>
      <c r="O1441" s="189" t="s">
        <v>4792</v>
      </c>
    </row>
    <row r="1442" ht="14.25" customHeight="1">
      <c r="H1442" s="179" t="str">
        <f t="shared" si="1"/>
        <v>SíPolímero_de_litioIndependienteUna_sola_celda</v>
      </c>
      <c r="I1442" s="178" t="s">
        <v>4767</v>
      </c>
      <c r="J1442" s="182" t="s">
        <v>4787</v>
      </c>
      <c r="K1442" s="178" t="s">
        <v>4780</v>
      </c>
      <c r="L1442" s="178" t="s">
        <v>4808</v>
      </c>
      <c r="M1442" s="178"/>
      <c r="N1442" s="185"/>
      <c r="O1442" s="189" t="s">
        <v>4792</v>
      </c>
    </row>
    <row r="1443" ht="14.25" customHeight="1">
      <c r="H1443" s="179" t="str">
        <f t="shared" si="1"/>
        <v>SíÓxido_cobalto_LitioEn el aparatoUna_sola_celda</v>
      </c>
      <c r="I1443" s="178" t="s">
        <v>4767</v>
      </c>
      <c r="J1443" s="182" t="s">
        <v>4774</v>
      </c>
      <c r="K1443" s="178" t="s">
        <v>4769</v>
      </c>
      <c r="L1443" s="178" t="s">
        <v>4808</v>
      </c>
      <c r="M1443" s="178"/>
      <c r="N1443" s="185"/>
      <c r="O1443" s="189" t="s">
        <v>4792</v>
      </c>
    </row>
    <row r="1444" ht="14.25" customHeight="1">
      <c r="H1444" s="179" t="str">
        <f t="shared" si="1"/>
        <v>SíÓxido_cobalto_LitioCon el equipoUna_sola_celda</v>
      </c>
      <c r="I1444" s="178" t="s">
        <v>4767</v>
      </c>
      <c r="J1444" s="182" t="s">
        <v>4774</v>
      </c>
      <c r="K1444" s="178" t="s">
        <v>4775</v>
      </c>
      <c r="L1444" s="178" t="s">
        <v>4808</v>
      </c>
      <c r="M1444" s="178"/>
      <c r="N1444" s="185"/>
      <c r="O1444" s="189" t="s">
        <v>4792</v>
      </c>
    </row>
    <row r="1445" ht="14.25" customHeight="1">
      <c r="H1445" s="179" t="str">
        <f t="shared" si="1"/>
        <v>SíÓxido_cobalto_LitioIndependienteUna_sola_celda</v>
      </c>
      <c r="I1445" s="178" t="s">
        <v>4767</v>
      </c>
      <c r="J1445" s="182" t="s">
        <v>4774</v>
      </c>
      <c r="K1445" s="178" t="s">
        <v>4780</v>
      </c>
      <c r="L1445" s="178" t="s">
        <v>4808</v>
      </c>
      <c r="M1445" s="178"/>
      <c r="N1445" s="185"/>
      <c r="O1445" s="189" t="s">
        <v>4792</v>
      </c>
    </row>
    <row r="1446" ht="14.25" customHeight="1">
      <c r="H1446" s="179" t="str">
        <f t="shared" si="1"/>
        <v>SíÓxido_de_cobalto_de_manganeso_y_litioEn el aparatoUna_sola_celda</v>
      </c>
      <c r="I1446" s="178" t="s">
        <v>4767</v>
      </c>
      <c r="J1446" s="182" t="s">
        <v>4785</v>
      </c>
      <c r="K1446" s="178" t="s">
        <v>4769</v>
      </c>
      <c r="L1446" s="178" t="s">
        <v>4808</v>
      </c>
      <c r="M1446" s="178"/>
      <c r="N1446" s="185"/>
      <c r="O1446" s="189" t="s">
        <v>4792</v>
      </c>
    </row>
    <row r="1447" ht="14.25" customHeight="1">
      <c r="H1447" s="179" t="str">
        <f t="shared" si="1"/>
        <v>SíÓxido_de_cobalto_de_manganeso_y_litioCon el equipoUna_sola_celda</v>
      </c>
      <c r="I1447" s="178" t="s">
        <v>4767</v>
      </c>
      <c r="J1447" s="182" t="s">
        <v>4785</v>
      </c>
      <c r="K1447" s="178" t="s">
        <v>4775</v>
      </c>
      <c r="L1447" s="178" t="s">
        <v>4808</v>
      </c>
      <c r="M1447" s="178"/>
      <c r="N1447" s="185"/>
      <c r="O1447" s="189" t="s">
        <v>4792</v>
      </c>
    </row>
    <row r="1448" ht="14.25" customHeight="1">
      <c r="H1448" s="179" t="str">
        <f t="shared" si="1"/>
        <v>SíÓxido_de_cobalto_de_manganeso_y_litioIndependienteUna_sola_celda</v>
      </c>
      <c r="I1448" s="178" t="s">
        <v>4767</v>
      </c>
      <c r="J1448" s="182" t="s">
        <v>4785</v>
      </c>
      <c r="K1448" s="178" t="s">
        <v>4780</v>
      </c>
      <c r="L1448" s="178" t="s">
        <v>4808</v>
      </c>
      <c r="M1448" s="178"/>
      <c r="N1448" s="185"/>
      <c r="O1448" s="189" t="s">
        <v>4792</v>
      </c>
    </row>
    <row r="1449" ht="14.25" customHeight="1">
      <c r="H1449" s="179" t="str">
        <f t="shared" si="1"/>
        <v>SíLitio_ferrofosfatoEn el aparatoUna_sola_celda</v>
      </c>
      <c r="I1449" s="178" t="s">
        <v>4767</v>
      </c>
      <c r="J1449" s="182" t="s">
        <v>4783</v>
      </c>
      <c r="K1449" s="178" t="s">
        <v>4769</v>
      </c>
      <c r="L1449" s="178" t="s">
        <v>4808</v>
      </c>
      <c r="M1449" s="178"/>
      <c r="N1449" s="185"/>
      <c r="O1449" s="189" t="s">
        <v>4792</v>
      </c>
    </row>
    <row r="1450" ht="14.25" customHeight="1">
      <c r="H1450" s="179" t="str">
        <f t="shared" si="1"/>
        <v>SíLitio_ferrofosfatoCon el equipoUna_sola_celda</v>
      </c>
      <c r="I1450" s="178" t="s">
        <v>4767</v>
      </c>
      <c r="J1450" s="182" t="s">
        <v>4783</v>
      </c>
      <c r="K1450" s="178" t="s">
        <v>4775</v>
      </c>
      <c r="L1450" s="178" t="s">
        <v>4808</v>
      </c>
      <c r="M1450" s="178"/>
      <c r="N1450" s="185"/>
      <c r="O1450" s="189" t="s">
        <v>4792</v>
      </c>
    </row>
    <row r="1451" ht="14.25" customHeight="1">
      <c r="H1451" s="179" t="str">
        <f t="shared" si="1"/>
        <v>SíLitio_ferrofosfatoIndependienteUna_sola_celda</v>
      </c>
      <c r="I1451" s="178" t="s">
        <v>4767</v>
      </c>
      <c r="J1451" s="182" t="s">
        <v>4783</v>
      </c>
      <c r="K1451" s="178" t="s">
        <v>4780</v>
      </c>
      <c r="L1451" s="178" t="s">
        <v>4808</v>
      </c>
      <c r="M1451" s="178"/>
      <c r="N1451" s="185"/>
      <c r="O1451" s="189" t="s">
        <v>4792</v>
      </c>
    </row>
    <row r="1452" ht="14.25" customHeight="1">
      <c r="H1452" s="179" t="str">
        <f t="shared" si="1"/>
        <v>SíTitanato_de_litioEn el aparatoUna_sola_celda</v>
      </c>
      <c r="I1452" s="178" t="s">
        <v>4767</v>
      </c>
      <c r="J1452" s="182" t="s">
        <v>4789</v>
      </c>
      <c r="K1452" s="178" t="s">
        <v>4769</v>
      </c>
      <c r="L1452" s="178" t="s">
        <v>4808</v>
      </c>
      <c r="M1452" s="178"/>
      <c r="N1452" s="185"/>
      <c r="O1452" s="189" t="s">
        <v>4792</v>
      </c>
    </row>
    <row r="1453" ht="14.25" customHeight="1">
      <c r="H1453" s="179" t="str">
        <f t="shared" si="1"/>
        <v>SíTitanato_de_litioCon el equipoUna_sola_celda</v>
      </c>
      <c r="I1453" s="178" t="s">
        <v>4767</v>
      </c>
      <c r="J1453" s="182" t="s">
        <v>4789</v>
      </c>
      <c r="K1453" s="178" t="s">
        <v>4775</v>
      </c>
      <c r="L1453" s="178" t="s">
        <v>4808</v>
      </c>
      <c r="M1453" s="178"/>
      <c r="N1453" s="185"/>
      <c r="O1453" s="189" t="s">
        <v>4792</v>
      </c>
    </row>
    <row r="1454" ht="14.25" customHeight="1">
      <c r="H1454" s="179" t="str">
        <f t="shared" si="1"/>
        <v>SíTitanato_de_litioIndependienteUna_sola_celda</v>
      </c>
      <c r="I1454" s="178" t="s">
        <v>4767</v>
      </c>
      <c r="J1454" s="182" t="s">
        <v>4789</v>
      </c>
      <c r="K1454" s="178" t="s">
        <v>4780</v>
      </c>
      <c r="L1454" s="178" t="s">
        <v>4808</v>
      </c>
      <c r="M1454" s="178"/>
      <c r="N1454" s="185"/>
      <c r="O1454" s="189" t="s">
        <v>4792</v>
      </c>
    </row>
    <row r="1455" ht="14.25" customHeight="1">
      <c r="H1455" s="179" t="str">
        <f t="shared" si="1"/>
        <v>Sí_18650_En el aparatoUna_sola_celda</v>
      </c>
      <c r="I1455" s="178" t="s">
        <v>4767</v>
      </c>
      <c r="J1455" s="178" t="s">
        <v>4768</v>
      </c>
      <c r="K1455" s="178" t="s">
        <v>4769</v>
      </c>
      <c r="L1455" s="178" t="s">
        <v>4808</v>
      </c>
      <c r="M1455" s="178"/>
      <c r="N1455" s="185"/>
      <c r="O1455" s="189" t="s">
        <v>4792</v>
      </c>
    </row>
    <row r="1456" ht="14.25" customHeight="1">
      <c r="H1456" s="179" t="str">
        <f t="shared" si="1"/>
        <v>Sí_18650_Con el equipoUna_sola_celda</v>
      </c>
      <c r="I1456" s="178" t="s">
        <v>4767</v>
      </c>
      <c r="J1456" s="178" t="s">
        <v>4768</v>
      </c>
      <c r="K1456" s="178" t="s">
        <v>4775</v>
      </c>
      <c r="L1456" s="178" t="s">
        <v>4808</v>
      </c>
      <c r="M1456" s="178"/>
      <c r="N1456" s="185"/>
      <c r="O1456" s="189" t="s">
        <v>4792</v>
      </c>
    </row>
    <row r="1457" ht="14.25" customHeight="1">
      <c r="H1457" s="179" t="str">
        <f t="shared" si="1"/>
        <v>Sí_18650_IndependienteUna_sola_celda</v>
      </c>
      <c r="I1457" s="178" t="s">
        <v>4767</v>
      </c>
      <c r="J1457" s="178" t="s">
        <v>4768</v>
      </c>
      <c r="K1457" s="178" t="s">
        <v>4780</v>
      </c>
      <c r="L1457" s="178" t="s">
        <v>4808</v>
      </c>
      <c r="M1457" s="178"/>
      <c r="N1457" s="185"/>
      <c r="O1457" s="189" t="s">
        <v>4792</v>
      </c>
    </row>
    <row r="1458" ht="14.25" customHeight="1">
      <c r="H1458" s="179" t="str">
        <f t="shared" si="1"/>
        <v>SíIon_litioEn el aparatoUna_sola_celda</v>
      </c>
      <c r="I1458" s="178" t="s">
        <v>4767</v>
      </c>
      <c r="J1458" s="182" t="s">
        <v>4779</v>
      </c>
      <c r="K1458" s="178" t="s">
        <v>4769</v>
      </c>
      <c r="L1458" s="178" t="s">
        <v>4808</v>
      </c>
      <c r="M1458" s="178"/>
      <c r="N1458" s="185"/>
      <c r="O1458" s="189" t="s">
        <v>4792</v>
      </c>
    </row>
    <row r="1459" ht="14.25" customHeight="1">
      <c r="H1459" s="179" t="str">
        <f t="shared" si="1"/>
        <v>SíIon_litioCon el equipoUna_sola_celda</v>
      </c>
      <c r="I1459" s="178" t="s">
        <v>4767</v>
      </c>
      <c r="J1459" s="182" t="s">
        <v>4779</v>
      </c>
      <c r="K1459" s="178" t="s">
        <v>4775</v>
      </c>
      <c r="L1459" s="178" t="s">
        <v>4808</v>
      </c>
      <c r="M1459" s="178"/>
      <c r="N1459" s="185"/>
      <c r="O1459" s="189" t="s">
        <v>4792</v>
      </c>
    </row>
    <row r="1460" ht="14.25" customHeight="1">
      <c r="H1460" s="179" t="str">
        <f t="shared" si="1"/>
        <v>SíIon_litioIndependienteUna_sola_celda</v>
      </c>
      <c r="I1460" s="178" t="s">
        <v>4767</v>
      </c>
      <c r="J1460" s="182" t="s">
        <v>4779</v>
      </c>
      <c r="K1460" s="178" t="s">
        <v>4780</v>
      </c>
      <c r="L1460" s="178" t="s">
        <v>4808</v>
      </c>
      <c r="M1460" s="178"/>
      <c r="N1460" s="185"/>
      <c r="O1460" s="189" t="s">
        <v>4792</v>
      </c>
    </row>
    <row r="1461" ht="14.25" customHeight="1">
      <c r="H1461" s="179" t="str">
        <f t="shared" si="1"/>
        <v>SíPolímero_de_litioEn el aparatoUna_sola_celda</v>
      </c>
      <c r="I1461" s="178" t="s">
        <v>4767</v>
      </c>
      <c r="J1461" s="182" t="s">
        <v>4787</v>
      </c>
      <c r="K1461" s="178" t="s">
        <v>4769</v>
      </c>
      <c r="L1461" s="178" t="s">
        <v>4808</v>
      </c>
      <c r="M1461" s="178"/>
      <c r="N1461" s="185"/>
      <c r="O1461" s="189" t="s">
        <v>4792</v>
      </c>
    </row>
    <row r="1462" ht="14.25" customHeight="1">
      <c r="H1462" s="179" t="str">
        <f t="shared" si="1"/>
        <v>SíPolímero_de_litioCon el equipoUna_sola_celda</v>
      </c>
      <c r="I1462" s="178" t="s">
        <v>4767</v>
      </c>
      <c r="J1462" s="182" t="s">
        <v>4787</v>
      </c>
      <c r="K1462" s="178" t="s">
        <v>4775</v>
      </c>
      <c r="L1462" s="178" t="s">
        <v>4808</v>
      </c>
      <c r="M1462" s="178"/>
      <c r="N1462" s="185"/>
      <c r="O1462" s="189" t="s">
        <v>4792</v>
      </c>
    </row>
    <row r="1463" ht="14.25" customHeight="1">
      <c r="H1463" s="179" t="str">
        <f t="shared" si="1"/>
        <v>SíPolímero_de_litioIndependienteUna_sola_celda</v>
      </c>
      <c r="I1463" s="178" t="s">
        <v>4767</v>
      </c>
      <c r="J1463" s="182" t="s">
        <v>4787</v>
      </c>
      <c r="K1463" s="178" t="s">
        <v>4780</v>
      </c>
      <c r="L1463" s="178" t="s">
        <v>4808</v>
      </c>
      <c r="M1463" s="178"/>
      <c r="N1463" s="185"/>
      <c r="O1463" s="189" t="s">
        <v>4792</v>
      </c>
    </row>
    <row r="1464" ht="14.25" customHeight="1">
      <c r="H1464" s="179" t="str">
        <f t="shared" si="1"/>
        <v>SíÓxido_cobalto_LitioEn el aparatoUna_sola_celda</v>
      </c>
      <c r="I1464" s="178" t="s">
        <v>4767</v>
      </c>
      <c r="J1464" s="182" t="s">
        <v>4774</v>
      </c>
      <c r="K1464" s="178" t="s">
        <v>4769</v>
      </c>
      <c r="L1464" s="178" t="s">
        <v>4808</v>
      </c>
      <c r="M1464" s="178"/>
      <c r="N1464" s="185"/>
      <c r="O1464" s="189" t="s">
        <v>4792</v>
      </c>
    </row>
    <row r="1465" ht="14.25" customHeight="1">
      <c r="H1465" s="179" t="str">
        <f t="shared" si="1"/>
        <v>SíÓxido_cobalto_LitioCon el equipoUna_sola_celda</v>
      </c>
      <c r="I1465" s="178" t="s">
        <v>4767</v>
      </c>
      <c r="J1465" s="182" t="s">
        <v>4774</v>
      </c>
      <c r="K1465" s="178" t="s">
        <v>4775</v>
      </c>
      <c r="L1465" s="178" t="s">
        <v>4808</v>
      </c>
      <c r="M1465" s="178"/>
      <c r="N1465" s="185"/>
      <c r="O1465" s="189" t="s">
        <v>4792</v>
      </c>
    </row>
    <row r="1466" ht="14.25" customHeight="1">
      <c r="H1466" s="179" t="str">
        <f t="shared" si="1"/>
        <v>SíÓxido_cobalto_LitioIndependienteUna_sola_celda</v>
      </c>
      <c r="I1466" s="178" t="s">
        <v>4767</v>
      </c>
      <c r="J1466" s="182" t="s">
        <v>4774</v>
      </c>
      <c r="K1466" s="178" t="s">
        <v>4780</v>
      </c>
      <c r="L1466" s="178" t="s">
        <v>4808</v>
      </c>
      <c r="M1466" s="178"/>
      <c r="N1466" s="185"/>
      <c r="O1466" s="189" t="s">
        <v>4792</v>
      </c>
    </row>
    <row r="1467" ht="14.25" customHeight="1">
      <c r="H1467" s="179" t="str">
        <f t="shared" si="1"/>
        <v>SíÓxido_de_cobalto_de_manganeso_y_litioEn el aparatoUna_sola_celda</v>
      </c>
      <c r="I1467" s="178" t="s">
        <v>4767</v>
      </c>
      <c r="J1467" s="182" t="s">
        <v>4785</v>
      </c>
      <c r="K1467" s="178" t="s">
        <v>4769</v>
      </c>
      <c r="L1467" s="178" t="s">
        <v>4808</v>
      </c>
      <c r="M1467" s="178"/>
      <c r="N1467" s="185"/>
      <c r="O1467" s="189" t="s">
        <v>4792</v>
      </c>
    </row>
    <row r="1468" ht="14.25" customHeight="1">
      <c r="H1468" s="179" t="str">
        <f t="shared" si="1"/>
        <v>SíÓxido_de_cobalto_de_manganeso_y_litioCon el equipoUna_sola_celda</v>
      </c>
      <c r="I1468" s="178" t="s">
        <v>4767</v>
      </c>
      <c r="J1468" s="182" t="s">
        <v>4785</v>
      </c>
      <c r="K1468" s="178" t="s">
        <v>4775</v>
      </c>
      <c r="L1468" s="178" t="s">
        <v>4808</v>
      </c>
      <c r="M1468" s="178"/>
      <c r="N1468" s="185"/>
      <c r="O1468" s="189" t="s">
        <v>4792</v>
      </c>
    </row>
    <row r="1469" ht="14.25" customHeight="1">
      <c r="H1469" s="179" t="str">
        <f t="shared" si="1"/>
        <v>SíÓxido_de_cobalto_de_manganeso_y_litioIndependienteUna_sola_celda</v>
      </c>
      <c r="I1469" s="178" t="s">
        <v>4767</v>
      </c>
      <c r="J1469" s="182" t="s">
        <v>4785</v>
      </c>
      <c r="K1469" s="178" t="s">
        <v>4780</v>
      </c>
      <c r="L1469" s="178" t="s">
        <v>4808</v>
      </c>
      <c r="M1469" s="178"/>
      <c r="N1469" s="185"/>
      <c r="O1469" s="189" t="s">
        <v>4792</v>
      </c>
    </row>
    <row r="1470" ht="14.25" customHeight="1">
      <c r="H1470" s="179" t="str">
        <f t="shared" si="1"/>
        <v>SíLitio_ferrofosfatoEn el aparatoUna_sola_celda</v>
      </c>
      <c r="I1470" s="178" t="s">
        <v>4767</v>
      </c>
      <c r="J1470" s="182" t="s">
        <v>4783</v>
      </c>
      <c r="K1470" s="178" t="s">
        <v>4769</v>
      </c>
      <c r="L1470" s="178" t="s">
        <v>4808</v>
      </c>
      <c r="M1470" s="178"/>
      <c r="N1470" s="185"/>
      <c r="O1470" s="189" t="s">
        <v>4792</v>
      </c>
    </row>
    <row r="1471" ht="14.25" customHeight="1">
      <c r="H1471" s="179" t="str">
        <f t="shared" si="1"/>
        <v>SíLitio_ferrofosfatoCon el equipoUna_sola_celda</v>
      </c>
      <c r="I1471" s="178" t="s">
        <v>4767</v>
      </c>
      <c r="J1471" s="182" t="s">
        <v>4783</v>
      </c>
      <c r="K1471" s="178" t="s">
        <v>4775</v>
      </c>
      <c r="L1471" s="178" t="s">
        <v>4808</v>
      </c>
      <c r="M1471" s="178"/>
      <c r="N1471" s="185"/>
      <c r="O1471" s="189" t="s">
        <v>4792</v>
      </c>
    </row>
    <row r="1472" ht="14.25" customHeight="1">
      <c r="H1472" s="179" t="str">
        <f t="shared" si="1"/>
        <v>SíLitio_ferrofosfatoIndependienteUna_sola_celda</v>
      </c>
      <c r="I1472" s="178" t="s">
        <v>4767</v>
      </c>
      <c r="J1472" s="182" t="s">
        <v>4783</v>
      </c>
      <c r="K1472" s="178" t="s">
        <v>4780</v>
      </c>
      <c r="L1472" s="178" t="s">
        <v>4808</v>
      </c>
      <c r="M1472" s="178"/>
      <c r="N1472" s="185"/>
      <c r="O1472" s="189" t="s">
        <v>4792</v>
      </c>
    </row>
    <row r="1473" ht="14.25" customHeight="1">
      <c r="H1473" s="179" t="str">
        <f t="shared" si="1"/>
        <v>SíTitanato_de_litioEn el aparatoUna_sola_celda</v>
      </c>
      <c r="I1473" s="178" t="s">
        <v>4767</v>
      </c>
      <c r="J1473" s="182" t="s">
        <v>4789</v>
      </c>
      <c r="K1473" s="178" t="s">
        <v>4769</v>
      </c>
      <c r="L1473" s="178" t="s">
        <v>4808</v>
      </c>
      <c r="M1473" s="178"/>
      <c r="N1473" s="185"/>
      <c r="O1473" s="189" t="s">
        <v>4792</v>
      </c>
    </row>
    <row r="1474" ht="14.25" customHeight="1">
      <c r="H1474" s="179" t="str">
        <f t="shared" si="1"/>
        <v>SíTitanato_de_litioCon el equipoUna_sola_celda</v>
      </c>
      <c r="I1474" s="178" t="s">
        <v>4767</v>
      </c>
      <c r="J1474" s="182" t="s">
        <v>4789</v>
      </c>
      <c r="K1474" s="178" t="s">
        <v>4775</v>
      </c>
      <c r="L1474" s="178" t="s">
        <v>4808</v>
      </c>
      <c r="M1474" s="178"/>
      <c r="N1474" s="185"/>
      <c r="O1474" s="189" t="s">
        <v>4792</v>
      </c>
    </row>
    <row r="1475" ht="14.25" customHeight="1">
      <c r="H1475" s="179" t="str">
        <f t="shared" si="1"/>
        <v>SíTitanato_de_litioIndependienteUna_sola_celda</v>
      </c>
      <c r="I1475" s="178" t="s">
        <v>4767</v>
      </c>
      <c r="J1475" s="182" t="s">
        <v>4789</v>
      </c>
      <c r="K1475" s="178" t="s">
        <v>4780</v>
      </c>
      <c r="L1475" s="178" t="s">
        <v>4808</v>
      </c>
      <c r="M1475" s="178"/>
      <c r="N1475" s="185"/>
      <c r="O1475" s="189" t="s">
        <v>4792</v>
      </c>
    </row>
    <row r="1476" ht="14.25" customHeight="1">
      <c r="H1476" s="179" t="str">
        <f t="shared" si="1"/>
        <v>Sí_18650_En el aparatoUna_sola_celda</v>
      </c>
      <c r="I1476" s="178" t="s">
        <v>4767</v>
      </c>
      <c r="J1476" s="178" t="s">
        <v>4768</v>
      </c>
      <c r="K1476" s="178" t="s">
        <v>4769</v>
      </c>
      <c r="L1476" s="178" t="s">
        <v>4808</v>
      </c>
      <c r="M1476" s="178"/>
      <c r="N1476" s="185"/>
      <c r="O1476" s="189" t="s">
        <v>4792</v>
      </c>
    </row>
    <row r="1477" ht="14.25" customHeight="1">
      <c r="H1477" s="179" t="str">
        <f t="shared" si="1"/>
        <v>Sí_18650_Con el equipoUna_sola_celda</v>
      </c>
      <c r="I1477" s="178" t="s">
        <v>4767</v>
      </c>
      <c r="J1477" s="178" t="s">
        <v>4768</v>
      </c>
      <c r="K1477" s="178" t="s">
        <v>4775</v>
      </c>
      <c r="L1477" s="178" t="s">
        <v>4808</v>
      </c>
      <c r="M1477" s="178"/>
      <c r="N1477" s="185"/>
      <c r="O1477" s="189" t="s">
        <v>4792</v>
      </c>
    </row>
    <row r="1478" ht="14.25" customHeight="1">
      <c r="H1478" s="179" t="str">
        <f t="shared" si="1"/>
        <v>Sí_18650_IndependienteUna_sola_celda</v>
      </c>
      <c r="I1478" s="178" t="s">
        <v>4767</v>
      </c>
      <c r="J1478" s="178" t="s">
        <v>4768</v>
      </c>
      <c r="K1478" s="178" t="s">
        <v>4780</v>
      </c>
      <c r="L1478" s="178" t="s">
        <v>4808</v>
      </c>
      <c r="M1478" s="178"/>
      <c r="N1478" s="185"/>
      <c r="O1478" s="189" t="s">
        <v>4792</v>
      </c>
    </row>
    <row r="1479" ht="14.25" customHeight="1">
      <c r="H1479" s="179" t="str">
        <f t="shared" si="1"/>
        <v>SíIon_litioEn el aparatoVarias_celdas</v>
      </c>
      <c r="I1479" s="178" t="s">
        <v>4767</v>
      </c>
      <c r="J1479" s="182" t="s">
        <v>4779</v>
      </c>
      <c r="K1479" s="178" t="s">
        <v>4769</v>
      </c>
      <c r="L1479" s="178" t="s">
        <v>4809</v>
      </c>
      <c r="M1479" s="178"/>
      <c r="N1479" s="185"/>
      <c r="O1479" s="189" t="s">
        <v>4792</v>
      </c>
    </row>
    <row r="1480" ht="14.25" customHeight="1">
      <c r="H1480" s="179" t="str">
        <f t="shared" si="1"/>
        <v>SíIon_litioCon el equipoVarias_celdas</v>
      </c>
      <c r="I1480" s="178" t="s">
        <v>4767</v>
      </c>
      <c r="J1480" s="182" t="s">
        <v>4779</v>
      </c>
      <c r="K1480" s="178" t="s">
        <v>4775</v>
      </c>
      <c r="L1480" s="178" t="s">
        <v>4809</v>
      </c>
      <c r="M1480" s="178"/>
      <c r="N1480" s="185"/>
      <c r="O1480" s="189" t="s">
        <v>4792</v>
      </c>
    </row>
    <row r="1481" ht="14.25" customHeight="1">
      <c r="H1481" s="179" t="str">
        <f t="shared" si="1"/>
        <v>SíIon_litioIndependienteVarias_celdas</v>
      </c>
      <c r="I1481" s="178" t="s">
        <v>4767</v>
      </c>
      <c r="J1481" s="182" t="s">
        <v>4779</v>
      </c>
      <c r="K1481" s="178" t="s">
        <v>4780</v>
      </c>
      <c r="L1481" s="178" t="s">
        <v>4809</v>
      </c>
      <c r="M1481" s="178"/>
      <c r="N1481" s="185"/>
      <c r="O1481" s="189" t="s">
        <v>4792</v>
      </c>
    </row>
    <row r="1482" ht="14.25" customHeight="1">
      <c r="H1482" s="179" t="str">
        <f t="shared" si="1"/>
        <v>SíPolímero_de_litioEn el aparatoVarias_celdas</v>
      </c>
      <c r="I1482" s="178" t="s">
        <v>4767</v>
      </c>
      <c r="J1482" s="182" t="s">
        <v>4787</v>
      </c>
      <c r="K1482" s="178" t="s">
        <v>4769</v>
      </c>
      <c r="L1482" s="178" t="s">
        <v>4809</v>
      </c>
      <c r="M1482" s="178"/>
      <c r="N1482" s="185"/>
      <c r="O1482" s="189" t="s">
        <v>4792</v>
      </c>
    </row>
    <row r="1483" ht="14.25" customHeight="1">
      <c r="H1483" s="179" t="str">
        <f t="shared" si="1"/>
        <v>SíPolímero_de_litioCon el equipoVarias_celdas</v>
      </c>
      <c r="I1483" s="178" t="s">
        <v>4767</v>
      </c>
      <c r="J1483" s="182" t="s">
        <v>4787</v>
      </c>
      <c r="K1483" s="178" t="s">
        <v>4775</v>
      </c>
      <c r="L1483" s="178" t="s">
        <v>4809</v>
      </c>
      <c r="M1483" s="178"/>
      <c r="N1483" s="185"/>
      <c r="O1483" s="189" t="s">
        <v>4792</v>
      </c>
    </row>
    <row r="1484" ht="14.25" customHeight="1">
      <c r="H1484" s="179" t="str">
        <f t="shared" si="1"/>
        <v>SíPolímero_de_litioIndependienteVarias_celdas</v>
      </c>
      <c r="I1484" s="178" t="s">
        <v>4767</v>
      </c>
      <c r="J1484" s="182" t="s">
        <v>4787</v>
      </c>
      <c r="K1484" s="178" t="s">
        <v>4780</v>
      </c>
      <c r="L1484" s="178" t="s">
        <v>4809</v>
      </c>
      <c r="M1484" s="178"/>
      <c r="N1484" s="185"/>
      <c r="O1484" s="189" t="s">
        <v>4792</v>
      </c>
    </row>
    <row r="1485" ht="14.25" customHeight="1">
      <c r="H1485" s="179" t="str">
        <f t="shared" si="1"/>
        <v>SíÓxido_cobalto_LitioEn el aparatoVarias_celdas</v>
      </c>
      <c r="I1485" s="178" t="s">
        <v>4767</v>
      </c>
      <c r="J1485" s="182" t="s">
        <v>4774</v>
      </c>
      <c r="K1485" s="178" t="s">
        <v>4769</v>
      </c>
      <c r="L1485" s="178" t="s">
        <v>4809</v>
      </c>
      <c r="M1485" s="178"/>
      <c r="N1485" s="185"/>
      <c r="O1485" s="189" t="s">
        <v>4792</v>
      </c>
    </row>
    <row r="1486" ht="14.25" customHeight="1">
      <c r="H1486" s="179" t="str">
        <f t="shared" si="1"/>
        <v>SíÓxido_cobalto_LitioCon el equipoVarias_celdas</v>
      </c>
      <c r="I1486" s="178" t="s">
        <v>4767</v>
      </c>
      <c r="J1486" s="182" t="s">
        <v>4774</v>
      </c>
      <c r="K1486" s="178" t="s">
        <v>4775</v>
      </c>
      <c r="L1486" s="178" t="s">
        <v>4809</v>
      </c>
      <c r="M1486" s="178"/>
      <c r="N1486" s="185"/>
      <c r="O1486" s="189" t="s">
        <v>4792</v>
      </c>
    </row>
    <row r="1487" ht="14.25" customHeight="1">
      <c r="H1487" s="179" t="str">
        <f t="shared" si="1"/>
        <v>SíÓxido_cobalto_LitioIndependienteVarias_celdas</v>
      </c>
      <c r="I1487" s="178" t="s">
        <v>4767</v>
      </c>
      <c r="J1487" s="182" t="s">
        <v>4774</v>
      </c>
      <c r="K1487" s="178" t="s">
        <v>4780</v>
      </c>
      <c r="L1487" s="178" t="s">
        <v>4809</v>
      </c>
      <c r="M1487" s="178"/>
      <c r="N1487" s="185"/>
      <c r="O1487" s="189" t="s">
        <v>4792</v>
      </c>
    </row>
    <row r="1488" ht="14.25" customHeight="1">
      <c r="H1488" s="179" t="str">
        <f t="shared" si="1"/>
        <v>SíÓxido_de_cobalto_de_manganeso_y_litioEn el aparatoVarias_celdas</v>
      </c>
      <c r="I1488" s="178" t="s">
        <v>4767</v>
      </c>
      <c r="J1488" s="182" t="s">
        <v>4785</v>
      </c>
      <c r="K1488" s="178" t="s">
        <v>4769</v>
      </c>
      <c r="L1488" s="178" t="s">
        <v>4809</v>
      </c>
      <c r="M1488" s="178"/>
      <c r="N1488" s="185"/>
      <c r="O1488" s="189" t="s">
        <v>4792</v>
      </c>
    </row>
    <row r="1489" ht="14.25" customHeight="1">
      <c r="H1489" s="179" t="str">
        <f t="shared" si="1"/>
        <v>SíÓxido_de_cobalto_de_manganeso_y_litioCon el equipoVarias_celdas</v>
      </c>
      <c r="I1489" s="178" t="s">
        <v>4767</v>
      </c>
      <c r="J1489" s="182" t="s">
        <v>4785</v>
      </c>
      <c r="K1489" s="178" t="s">
        <v>4775</v>
      </c>
      <c r="L1489" s="178" t="s">
        <v>4809</v>
      </c>
      <c r="M1489" s="178"/>
      <c r="N1489" s="185"/>
      <c r="O1489" s="189" t="s">
        <v>4792</v>
      </c>
    </row>
    <row r="1490" ht="14.25" customHeight="1">
      <c r="H1490" s="179" t="str">
        <f t="shared" si="1"/>
        <v>SíÓxido_de_cobalto_de_manganeso_y_litioIndependienteVarias_celdas</v>
      </c>
      <c r="I1490" s="178" t="s">
        <v>4767</v>
      </c>
      <c r="J1490" s="182" t="s">
        <v>4785</v>
      </c>
      <c r="K1490" s="178" t="s">
        <v>4780</v>
      </c>
      <c r="L1490" s="178" t="s">
        <v>4809</v>
      </c>
      <c r="M1490" s="178"/>
      <c r="N1490" s="185"/>
      <c r="O1490" s="189" t="s">
        <v>4792</v>
      </c>
    </row>
    <row r="1491" ht="14.25" customHeight="1">
      <c r="H1491" s="179" t="str">
        <f t="shared" si="1"/>
        <v>SíLitio_ferrofosfatoEn el aparatoVarias_celdas</v>
      </c>
      <c r="I1491" s="178" t="s">
        <v>4767</v>
      </c>
      <c r="J1491" s="182" t="s">
        <v>4783</v>
      </c>
      <c r="K1491" s="178" t="s">
        <v>4769</v>
      </c>
      <c r="L1491" s="178" t="s">
        <v>4809</v>
      </c>
      <c r="M1491" s="178"/>
      <c r="N1491" s="185"/>
      <c r="O1491" s="189" t="s">
        <v>4792</v>
      </c>
    </row>
    <row r="1492" ht="14.25" customHeight="1">
      <c r="H1492" s="179" t="str">
        <f t="shared" si="1"/>
        <v>SíLitio_ferrofosfatoCon el equipoVarias_celdas</v>
      </c>
      <c r="I1492" s="178" t="s">
        <v>4767</v>
      </c>
      <c r="J1492" s="182" t="s">
        <v>4783</v>
      </c>
      <c r="K1492" s="178" t="s">
        <v>4775</v>
      </c>
      <c r="L1492" s="178" t="s">
        <v>4809</v>
      </c>
      <c r="M1492" s="178"/>
      <c r="N1492" s="185"/>
      <c r="O1492" s="189" t="s">
        <v>4792</v>
      </c>
    </row>
    <row r="1493" ht="14.25" customHeight="1">
      <c r="H1493" s="179" t="str">
        <f t="shared" si="1"/>
        <v>SíLitio_ferrofosfatoIndependienteVarias_celdas</v>
      </c>
      <c r="I1493" s="178" t="s">
        <v>4767</v>
      </c>
      <c r="J1493" s="182" t="s">
        <v>4783</v>
      </c>
      <c r="K1493" s="178" t="s">
        <v>4780</v>
      </c>
      <c r="L1493" s="178" t="s">
        <v>4809</v>
      </c>
      <c r="M1493" s="178"/>
      <c r="N1493" s="185"/>
      <c r="O1493" s="189" t="s">
        <v>4792</v>
      </c>
    </row>
    <row r="1494" ht="14.25" customHeight="1">
      <c r="H1494" s="179" t="str">
        <f t="shared" si="1"/>
        <v>SíTitanato_de_litioEn el aparatoVarias_celdas</v>
      </c>
      <c r="I1494" s="178" t="s">
        <v>4767</v>
      </c>
      <c r="J1494" s="182" t="s">
        <v>4789</v>
      </c>
      <c r="K1494" s="178" t="s">
        <v>4769</v>
      </c>
      <c r="L1494" s="178" t="s">
        <v>4809</v>
      </c>
      <c r="M1494" s="178"/>
      <c r="N1494" s="185"/>
      <c r="O1494" s="189" t="s">
        <v>4792</v>
      </c>
    </row>
    <row r="1495" ht="14.25" customHeight="1">
      <c r="H1495" s="179" t="str">
        <f t="shared" si="1"/>
        <v>SíTitanato_de_litioCon el equipoVarias_celdas</v>
      </c>
      <c r="I1495" s="178" t="s">
        <v>4767</v>
      </c>
      <c r="J1495" s="182" t="s">
        <v>4789</v>
      </c>
      <c r="K1495" s="178" t="s">
        <v>4775</v>
      </c>
      <c r="L1495" s="178" t="s">
        <v>4809</v>
      </c>
      <c r="M1495" s="178"/>
      <c r="N1495" s="185"/>
      <c r="O1495" s="189" t="s">
        <v>4792</v>
      </c>
    </row>
    <row r="1496" ht="14.25" customHeight="1">
      <c r="H1496" s="179" t="str">
        <f t="shared" si="1"/>
        <v>SíTitanato_de_litioIndependienteVarias_celdas</v>
      </c>
      <c r="I1496" s="178" t="s">
        <v>4767</v>
      </c>
      <c r="J1496" s="182" t="s">
        <v>4789</v>
      </c>
      <c r="K1496" s="178" t="s">
        <v>4780</v>
      </c>
      <c r="L1496" s="178" t="s">
        <v>4809</v>
      </c>
      <c r="M1496" s="178"/>
      <c r="N1496" s="185"/>
      <c r="O1496" s="189" t="s">
        <v>4792</v>
      </c>
    </row>
    <row r="1497" ht="14.25" customHeight="1">
      <c r="H1497" s="179" t="str">
        <f t="shared" si="1"/>
        <v>Sí_18650_En el aparatoVarias_celdas</v>
      </c>
      <c r="I1497" s="178" t="s">
        <v>4767</v>
      </c>
      <c r="J1497" s="178" t="s">
        <v>4768</v>
      </c>
      <c r="K1497" s="178" t="s">
        <v>4769</v>
      </c>
      <c r="L1497" s="178" t="s">
        <v>4809</v>
      </c>
      <c r="M1497" s="178"/>
      <c r="N1497" s="185"/>
      <c r="O1497" s="189" t="s">
        <v>4792</v>
      </c>
    </row>
    <row r="1498" ht="14.25" customHeight="1">
      <c r="H1498" s="179" t="str">
        <f t="shared" si="1"/>
        <v>Sí_18650_Con el equipoVarias_celdas</v>
      </c>
      <c r="I1498" s="178" t="s">
        <v>4767</v>
      </c>
      <c r="J1498" s="178" t="s">
        <v>4768</v>
      </c>
      <c r="K1498" s="178" t="s">
        <v>4775</v>
      </c>
      <c r="L1498" s="178" t="s">
        <v>4809</v>
      </c>
      <c r="M1498" s="178"/>
      <c r="N1498" s="185"/>
      <c r="O1498" s="189" t="s">
        <v>4792</v>
      </c>
    </row>
    <row r="1499" ht="14.25" customHeight="1">
      <c r="H1499" s="179" t="str">
        <f t="shared" si="1"/>
        <v>Sí_18650_IndependienteVarias_celdas</v>
      </c>
      <c r="I1499" s="178" t="s">
        <v>4767</v>
      </c>
      <c r="J1499" s="178" t="s">
        <v>4768</v>
      </c>
      <c r="K1499" s="178" t="s">
        <v>4780</v>
      </c>
      <c r="L1499" s="178" t="s">
        <v>4809</v>
      </c>
      <c r="M1499" s="178"/>
      <c r="N1499" s="185"/>
      <c r="O1499" s="189" t="s">
        <v>4792</v>
      </c>
    </row>
    <row r="1500" ht="14.25" customHeight="1">
      <c r="H1500" s="179" t="str">
        <f t="shared" si="1"/>
        <v>SíIon_litioEn el aparatoVarias_celdas</v>
      </c>
      <c r="I1500" s="178" t="s">
        <v>4767</v>
      </c>
      <c r="J1500" s="182" t="s">
        <v>4779</v>
      </c>
      <c r="K1500" s="178" t="s">
        <v>4769</v>
      </c>
      <c r="L1500" s="178" t="s">
        <v>4809</v>
      </c>
      <c r="M1500" s="178"/>
      <c r="N1500" s="185"/>
      <c r="O1500" s="189" t="s">
        <v>4792</v>
      </c>
    </row>
    <row r="1501" ht="14.25" customHeight="1">
      <c r="H1501" s="179" t="str">
        <f t="shared" si="1"/>
        <v>SíIon_litioCon el equipoVarias_celdas</v>
      </c>
      <c r="I1501" s="178" t="s">
        <v>4767</v>
      </c>
      <c r="J1501" s="182" t="s">
        <v>4779</v>
      </c>
      <c r="K1501" s="178" t="s">
        <v>4775</v>
      </c>
      <c r="L1501" s="178" t="s">
        <v>4809</v>
      </c>
      <c r="M1501" s="178"/>
      <c r="N1501" s="185"/>
      <c r="O1501" s="189" t="s">
        <v>4792</v>
      </c>
    </row>
    <row r="1502" ht="14.25" customHeight="1">
      <c r="H1502" s="179" t="str">
        <f t="shared" si="1"/>
        <v>SíIon_litioIndependienteVarias_celdas</v>
      </c>
      <c r="I1502" s="178" t="s">
        <v>4767</v>
      </c>
      <c r="J1502" s="182" t="s">
        <v>4779</v>
      </c>
      <c r="K1502" s="178" t="s">
        <v>4780</v>
      </c>
      <c r="L1502" s="178" t="s">
        <v>4809</v>
      </c>
      <c r="M1502" s="178"/>
      <c r="N1502" s="185"/>
      <c r="O1502" s="189" t="s">
        <v>4792</v>
      </c>
    </row>
    <row r="1503" ht="14.25" customHeight="1">
      <c r="H1503" s="179" t="str">
        <f t="shared" si="1"/>
        <v>SíPolímero_de_litioEn el aparatoVarias_celdas</v>
      </c>
      <c r="I1503" s="178" t="s">
        <v>4767</v>
      </c>
      <c r="J1503" s="182" t="s">
        <v>4787</v>
      </c>
      <c r="K1503" s="178" t="s">
        <v>4769</v>
      </c>
      <c r="L1503" s="178" t="s">
        <v>4809</v>
      </c>
      <c r="M1503" s="178"/>
      <c r="N1503" s="185"/>
      <c r="O1503" s="189" t="s">
        <v>4792</v>
      </c>
    </row>
    <row r="1504" ht="14.25" customHeight="1">
      <c r="H1504" s="179" t="str">
        <f t="shared" si="1"/>
        <v>SíPolímero_de_litioCon el equipoVarias_celdas</v>
      </c>
      <c r="I1504" s="178" t="s">
        <v>4767</v>
      </c>
      <c r="J1504" s="182" t="s">
        <v>4787</v>
      </c>
      <c r="K1504" s="178" t="s">
        <v>4775</v>
      </c>
      <c r="L1504" s="178" t="s">
        <v>4809</v>
      </c>
      <c r="M1504" s="178"/>
      <c r="N1504" s="185"/>
      <c r="O1504" s="189" t="s">
        <v>4792</v>
      </c>
    </row>
    <row r="1505" ht="14.25" customHeight="1">
      <c r="H1505" s="179" t="str">
        <f t="shared" si="1"/>
        <v>SíPolímero_de_litioIndependienteVarias_celdas</v>
      </c>
      <c r="I1505" s="178" t="s">
        <v>4767</v>
      </c>
      <c r="J1505" s="182" t="s">
        <v>4787</v>
      </c>
      <c r="K1505" s="178" t="s">
        <v>4780</v>
      </c>
      <c r="L1505" s="178" t="s">
        <v>4809</v>
      </c>
      <c r="M1505" s="178"/>
      <c r="N1505" s="185"/>
      <c r="O1505" s="189" t="s">
        <v>4792</v>
      </c>
    </row>
    <row r="1506" ht="14.25" customHeight="1">
      <c r="H1506" s="179" t="str">
        <f t="shared" si="1"/>
        <v>SíÓxido_cobalto_LitioEn el aparatoVarias_celdas</v>
      </c>
      <c r="I1506" s="178" t="s">
        <v>4767</v>
      </c>
      <c r="J1506" s="182" t="s">
        <v>4774</v>
      </c>
      <c r="K1506" s="178" t="s">
        <v>4769</v>
      </c>
      <c r="L1506" s="178" t="s">
        <v>4809</v>
      </c>
      <c r="M1506" s="178"/>
      <c r="N1506" s="185"/>
      <c r="O1506" s="189" t="s">
        <v>4792</v>
      </c>
    </row>
    <row r="1507" ht="14.25" customHeight="1">
      <c r="H1507" s="179" t="str">
        <f t="shared" si="1"/>
        <v>SíÓxido_cobalto_LitioCon el equipoVarias_celdas</v>
      </c>
      <c r="I1507" s="178" t="s">
        <v>4767</v>
      </c>
      <c r="J1507" s="182" t="s">
        <v>4774</v>
      </c>
      <c r="K1507" s="178" t="s">
        <v>4775</v>
      </c>
      <c r="L1507" s="178" t="s">
        <v>4809</v>
      </c>
      <c r="M1507" s="178"/>
      <c r="N1507" s="185"/>
      <c r="O1507" s="189" t="s">
        <v>4792</v>
      </c>
    </row>
    <row r="1508" ht="14.25" customHeight="1">
      <c r="H1508" s="179" t="str">
        <f t="shared" si="1"/>
        <v>SíÓxido_cobalto_LitioIndependienteVarias_celdas</v>
      </c>
      <c r="I1508" s="178" t="s">
        <v>4767</v>
      </c>
      <c r="J1508" s="182" t="s">
        <v>4774</v>
      </c>
      <c r="K1508" s="178" t="s">
        <v>4780</v>
      </c>
      <c r="L1508" s="178" t="s">
        <v>4809</v>
      </c>
      <c r="M1508" s="178"/>
      <c r="N1508" s="185"/>
      <c r="O1508" s="189" t="s">
        <v>4792</v>
      </c>
    </row>
    <row r="1509" ht="14.25" customHeight="1">
      <c r="H1509" s="179" t="str">
        <f t="shared" si="1"/>
        <v>SíÓxido_de_cobalto_de_manganeso_y_litioEn el aparatoVarias_celdas</v>
      </c>
      <c r="I1509" s="178" t="s">
        <v>4767</v>
      </c>
      <c r="J1509" s="182" t="s">
        <v>4785</v>
      </c>
      <c r="K1509" s="178" t="s">
        <v>4769</v>
      </c>
      <c r="L1509" s="178" t="s">
        <v>4809</v>
      </c>
      <c r="M1509" s="178"/>
      <c r="N1509" s="185"/>
      <c r="O1509" s="189" t="s">
        <v>4792</v>
      </c>
    </row>
    <row r="1510" ht="14.25" customHeight="1">
      <c r="H1510" s="179" t="str">
        <f t="shared" si="1"/>
        <v>SíÓxido_de_cobalto_de_manganeso_y_litioCon el equipoVarias_celdas</v>
      </c>
      <c r="I1510" s="178" t="s">
        <v>4767</v>
      </c>
      <c r="J1510" s="182" t="s">
        <v>4785</v>
      </c>
      <c r="K1510" s="178" t="s">
        <v>4775</v>
      </c>
      <c r="L1510" s="178" t="s">
        <v>4809</v>
      </c>
      <c r="M1510" s="178"/>
      <c r="N1510" s="185"/>
      <c r="O1510" s="189" t="s">
        <v>4792</v>
      </c>
    </row>
    <row r="1511" ht="14.25" customHeight="1">
      <c r="H1511" s="179" t="str">
        <f t="shared" si="1"/>
        <v>SíÓxido_de_cobalto_de_manganeso_y_litioIndependienteVarias_celdas</v>
      </c>
      <c r="I1511" s="178" t="s">
        <v>4767</v>
      </c>
      <c r="J1511" s="182" t="s">
        <v>4785</v>
      </c>
      <c r="K1511" s="178" t="s">
        <v>4780</v>
      </c>
      <c r="L1511" s="178" t="s">
        <v>4809</v>
      </c>
      <c r="M1511" s="178"/>
      <c r="N1511" s="185"/>
      <c r="O1511" s="189" t="s">
        <v>4792</v>
      </c>
    </row>
    <row r="1512" ht="14.25" customHeight="1">
      <c r="H1512" s="179" t="str">
        <f t="shared" si="1"/>
        <v>SíLitio_ferrofosfatoEn el aparatoVarias_celdas</v>
      </c>
      <c r="I1512" s="178" t="s">
        <v>4767</v>
      </c>
      <c r="J1512" s="182" t="s">
        <v>4783</v>
      </c>
      <c r="K1512" s="178" t="s">
        <v>4769</v>
      </c>
      <c r="L1512" s="178" t="s">
        <v>4809</v>
      </c>
      <c r="M1512" s="178"/>
      <c r="N1512" s="185"/>
      <c r="O1512" s="189" t="s">
        <v>4792</v>
      </c>
    </row>
    <row r="1513" ht="14.25" customHeight="1">
      <c r="H1513" s="179" t="str">
        <f t="shared" si="1"/>
        <v>SíLitio_ferrofosfatoCon el equipoVarias_celdas</v>
      </c>
      <c r="I1513" s="178" t="s">
        <v>4767</v>
      </c>
      <c r="J1513" s="182" t="s">
        <v>4783</v>
      </c>
      <c r="K1513" s="178" t="s">
        <v>4775</v>
      </c>
      <c r="L1513" s="178" t="s">
        <v>4809</v>
      </c>
      <c r="M1513" s="178"/>
      <c r="N1513" s="185"/>
      <c r="O1513" s="189" t="s">
        <v>4792</v>
      </c>
    </row>
    <row r="1514" ht="14.25" customHeight="1">
      <c r="H1514" s="179" t="str">
        <f t="shared" si="1"/>
        <v>SíLitio_ferrofosfatoIndependienteVarias_celdas</v>
      </c>
      <c r="I1514" s="178" t="s">
        <v>4767</v>
      </c>
      <c r="J1514" s="182" t="s">
        <v>4783</v>
      </c>
      <c r="K1514" s="178" t="s">
        <v>4780</v>
      </c>
      <c r="L1514" s="178" t="s">
        <v>4809</v>
      </c>
      <c r="M1514" s="178"/>
      <c r="N1514" s="185"/>
      <c r="O1514" s="189" t="s">
        <v>4792</v>
      </c>
    </row>
    <row r="1515" ht="14.25" customHeight="1">
      <c r="H1515" s="179" t="str">
        <f t="shared" si="1"/>
        <v>SíTitanato_de_litioEn el aparatoVarias_celdas</v>
      </c>
      <c r="I1515" s="178" t="s">
        <v>4767</v>
      </c>
      <c r="J1515" s="182" t="s">
        <v>4789</v>
      </c>
      <c r="K1515" s="178" t="s">
        <v>4769</v>
      </c>
      <c r="L1515" s="178" t="s">
        <v>4809</v>
      </c>
      <c r="M1515" s="178"/>
      <c r="N1515" s="185"/>
      <c r="O1515" s="189" t="s">
        <v>4792</v>
      </c>
    </row>
    <row r="1516" ht="14.25" customHeight="1">
      <c r="H1516" s="179" t="str">
        <f t="shared" si="1"/>
        <v>SíTitanato_de_litioCon el equipoVarias_celdas</v>
      </c>
      <c r="I1516" s="178" t="s">
        <v>4767</v>
      </c>
      <c r="J1516" s="182" t="s">
        <v>4789</v>
      </c>
      <c r="K1516" s="178" t="s">
        <v>4775</v>
      </c>
      <c r="L1516" s="178" t="s">
        <v>4809</v>
      </c>
      <c r="M1516" s="178"/>
      <c r="N1516" s="185"/>
      <c r="O1516" s="189" t="s">
        <v>4792</v>
      </c>
    </row>
    <row r="1517" ht="14.25" customHeight="1">
      <c r="H1517" s="179" t="str">
        <f t="shared" si="1"/>
        <v>SíTitanato_de_litioIndependienteVarias_celdas</v>
      </c>
      <c r="I1517" s="178" t="s">
        <v>4767</v>
      </c>
      <c r="J1517" s="182" t="s">
        <v>4789</v>
      </c>
      <c r="K1517" s="178" t="s">
        <v>4780</v>
      </c>
      <c r="L1517" s="178" t="s">
        <v>4809</v>
      </c>
      <c r="M1517" s="178"/>
      <c r="N1517" s="185"/>
      <c r="O1517" s="189" t="s">
        <v>4792</v>
      </c>
    </row>
    <row r="1518" ht="14.25" customHeight="1">
      <c r="H1518" s="179" t="str">
        <f t="shared" si="1"/>
        <v>Sí_18650_En el aparatoVarias_celdas</v>
      </c>
      <c r="I1518" s="178" t="s">
        <v>4767</v>
      </c>
      <c r="J1518" s="178" t="s">
        <v>4768</v>
      </c>
      <c r="K1518" s="178" t="s">
        <v>4769</v>
      </c>
      <c r="L1518" s="178" t="s">
        <v>4809</v>
      </c>
      <c r="M1518" s="178"/>
      <c r="N1518" s="185"/>
      <c r="O1518" s="189" t="s">
        <v>4792</v>
      </c>
    </row>
    <row r="1519" ht="14.25" customHeight="1">
      <c r="H1519" s="179" t="str">
        <f t="shared" si="1"/>
        <v>Sí_18650_Con el equipoVarias_celdas</v>
      </c>
      <c r="I1519" s="178" t="s">
        <v>4767</v>
      </c>
      <c r="J1519" s="178" t="s">
        <v>4768</v>
      </c>
      <c r="K1519" s="178" t="s">
        <v>4775</v>
      </c>
      <c r="L1519" s="178" t="s">
        <v>4809</v>
      </c>
      <c r="M1519" s="178"/>
      <c r="N1519" s="185"/>
      <c r="O1519" s="189" t="s">
        <v>4792</v>
      </c>
    </row>
    <row r="1520" ht="14.25" customHeight="1">
      <c r="H1520" s="179" t="str">
        <f t="shared" si="1"/>
        <v>Sí_18650_IndependienteVarias_celdas</v>
      </c>
      <c r="I1520" s="178" t="s">
        <v>4767</v>
      </c>
      <c r="J1520" s="178" t="s">
        <v>4768</v>
      </c>
      <c r="K1520" s="178" t="s">
        <v>4780</v>
      </c>
      <c r="L1520" s="178" t="s">
        <v>4809</v>
      </c>
      <c r="M1520" s="178"/>
      <c r="N1520" s="185"/>
      <c r="O1520" s="189" t="s">
        <v>4792</v>
      </c>
    </row>
    <row r="1521" ht="14.25" customHeight="1">
      <c r="H1521" s="179" t="str">
        <f t="shared" si="1"/>
        <v>SíIon_litioEn el aparatoVarias_celdas</v>
      </c>
      <c r="I1521" s="178" t="s">
        <v>4767</v>
      </c>
      <c r="J1521" s="182" t="s">
        <v>4779</v>
      </c>
      <c r="K1521" s="178" t="s">
        <v>4769</v>
      </c>
      <c r="L1521" s="178" t="s">
        <v>4809</v>
      </c>
      <c r="M1521" s="178"/>
      <c r="N1521" s="185"/>
      <c r="O1521" s="189" t="s">
        <v>4792</v>
      </c>
    </row>
    <row r="1522" ht="14.25" customHeight="1">
      <c r="H1522" s="179" t="str">
        <f t="shared" si="1"/>
        <v>SíIon_litioCon el equipoVarias_celdas</v>
      </c>
      <c r="I1522" s="178" t="s">
        <v>4767</v>
      </c>
      <c r="J1522" s="182" t="s">
        <v>4779</v>
      </c>
      <c r="K1522" s="178" t="s">
        <v>4775</v>
      </c>
      <c r="L1522" s="178" t="s">
        <v>4809</v>
      </c>
      <c r="M1522" s="178"/>
      <c r="N1522" s="185"/>
      <c r="O1522" s="189" t="s">
        <v>4792</v>
      </c>
    </row>
    <row r="1523" ht="14.25" customHeight="1">
      <c r="H1523" s="179" t="str">
        <f t="shared" si="1"/>
        <v>SíIon_litioIndependienteVarias_celdas</v>
      </c>
      <c r="I1523" s="178" t="s">
        <v>4767</v>
      </c>
      <c r="J1523" s="182" t="s">
        <v>4779</v>
      </c>
      <c r="K1523" s="178" t="s">
        <v>4780</v>
      </c>
      <c r="L1523" s="178" t="s">
        <v>4809</v>
      </c>
      <c r="M1523" s="178"/>
      <c r="N1523" s="185"/>
      <c r="O1523" s="189" t="s">
        <v>4792</v>
      </c>
    </row>
    <row r="1524" ht="14.25" customHeight="1">
      <c r="H1524" s="179" t="str">
        <f t="shared" si="1"/>
        <v>SíPolímero_de_litioEn el aparatoVarias_celdas</v>
      </c>
      <c r="I1524" s="178" t="s">
        <v>4767</v>
      </c>
      <c r="J1524" s="182" t="s">
        <v>4787</v>
      </c>
      <c r="K1524" s="178" t="s">
        <v>4769</v>
      </c>
      <c r="L1524" s="178" t="s">
        <v>4809</v>
      </c>
      <c r="M1524" s="178"/>
      <c r="N1524" s="185"/>
      <c r="O1524" s="189" t="s">
        <v>4792</v>
      </c>
    </row>
    <row r="1525" ht="14.25" customHeight="1">
      <c r="H1525" s="179" t="str">
        <f t="shared" si="1"/>
        <v>SíPolímero_de_litioCon el equipoVarias_celdas</v>
      </c>
      <c r="I1525" s="178" t="s">
        <v>4767</v>
      </c>
      <c r="J1525" s="182" t="s">
        <v>4787</v>
      </c>
      <c r="K1525" s="178" t="s">
        <v>4775</v>
      </c>
      <c r="L1525" s="178" t="s">
        <v>4809</v>
      </c>
      <c r="M1525" s="178"/>
      <c r="N1525" s="185"/>
      <c r="O1525" s="189" t="s">
        <v>4792</v>
      </c>
    </row>
    <row r="1526" ht="14.25" customHeight="1">
      <c r="H1526" s="179" t="str">
        <f t="shared" si="1"/>
        <v>SíPolímero_de_litioIndependienteVarias_celdas</v>
      </c>
      <c r="I1526" s="178" t="s">
        <v>4767</v>
      </c>
      <c r="J1526" s="182" t="s">
        <v>4787</v>
      </c>
      <c r="K1526" s="178" t="s">
        <v>4780</v>
      </c>
      <c r="L1526" s="178" t="s">
        <v>4809</v>
      </c>
      <c r="M1526" s="178"/>
      <c r="N1526" s="185"/>
      <c r="O1526" s="189" t="s">
        <v>4792</v>
      </c>
    </row>
    <row r="1527" ht="14.25" customHeight="1">
      <c r="H1527" s="179" t="str">
        <f t="shared" si="1"/>
        <v>SíÓxido_cobalto_LitioEn el aparatoVarias_celdas</v>
      </c>
      <c r="I1527" s="178" t="s">
        <v>4767</v>
      </c>
      <c r="J1527" s="182" t="s">
        <v>4774</v>
      </c>
      <c r="K1527" s="178" t="s">
        <v>4769</v>
      </c>
      <c r="L1527" s="178" t="s">
        <v>4809</v>
      </c>
      <c r="M1527" s="178"/>
      <c r="N1527" s="185"/>
      <c r="O1527" s="189" t="s">
        <v>4792</v>
      </c>
    </row>
    <row r="1528" ht="14.25" customHeight="1">
      <c r="H1528" s="179" t="str">
        <f t="shared" si="1"/>
        <v>SíÓxido_cobalto_LitioCon el equipoVarias_celdas</v>
      </c>
      <c r="I1528" s="178" t="s">
        <v>4767</v>
      </c>
      <c r="J1528" s="182" t="s">
        <v>4774</v>
      </c>
      <c r="K1528" s="178" t="s">
        <v>4775</v>
      </c>
      <c r="L1528" s="178" t="s">
        <v>4809</v>
      </c>
      <c r="M1528" s="178"/>
      <c r="N1528" s="185"/>
      <c r="O1528" s="189" t="s">
        <v>4792</v>
      </c>
    </row>
    <row r="1529" ht="14.25" customHeight="1">
      <c r="H1529" s="179" t="str">
        <f t="shared" si="1"/>
        <v>SíÓxido_cobalto_LitioIndependienteVarias_celdas</v>
      </c>
      <c r="I1529" s="178" t="s">
        <v>4767</v>
      </c>
      <c r="J1529" s="182" t="s">
        <v>4774</v>
      </c>
      <c r="K1529" s="178" t="s">
        <v>4780</v>
      </c>
      <c r="L1529" s="178" t="s">
        <v>4809</v>
      </c>
      <c r="M1529" s="178"/>
      <c r="N1529" s="185"/>
      <c r="O1529" s="189" t="s">
        <v>4792</v>
      </c>
    </row>
    <row r="1530" ht="14.25" customHeight="1">
      <c r="H1530" s="179" t="str">
        <f t="shared" si="1"/>
        <v>SíÓxido_de_cobalto_de_manganeso_y_litioEn el aparatoVarias_celdas</v>
      </c>
      <c r="I1530" s="178" t="s">
        <v>4767</v>
      </c>
      <c r="J1530" s="182" t="s">
        <v>4785</v>
      </c>
      <c r="K1530" s="178" t="s">
        <v>4769</v>
      </c>
      <c r="L1530" s="178" t="s">
        <v>4809</v>
      </c>
      <c r="M1530" s="178"/>
      <c r="N1530" s="185"/>
      <c r="O1530" s="189" t="s">
        <v>4792</v>
      </c>
    </row>
    <row r="1531" ht="14.25" customHeight="1">
      <c r="H1531" s="179" t="str">
        <f t="shared" si="1"/>
        <v>SíÓxido_de_cobalto_de_manganeso_y_litioCon el equipoVarias_celdas</v>
      </c>
      <c r="I1531" s="178" t="s">
        <v>4767</v>
      </c>
      <c r="J1531" s="182" t="s">
        <v>4785</v>
      </c>
      <c r="K1531" s="178" t="s">
        <v>4775</v>
      </c>
      <c r="L1531" s="178" t="s">
        <v>4809</v>
      </c>
      <c r="M1531" s="178"/>
      <c r="N1531" s="185"/>
      <c r="O1531" s="189" t="s">
        <v>4792</v>
      </c>
    </row>
    <row r="1532" ht="14.25" customHeight="1">
      <c r="H1532" s="179" t="str">
        <f t="shared" si="1"/>
        <v>SíÓxido_de_cobalto_de_manganeso_y_litioIndependienteVarias_celdas</v>
      </c>
      <c r="I1532" s="178" t="s">
        <v>4767</v>
      </c>
      <c r="J1532" s="182" t="s">
        <v>4785</v>
      </c>
      <c r="K1532" s="178" t="s">
        <v>4780</v>
      </c>
      <c r="L1532" s="178" t="s">
        <v>4809</v>
      </c>
      <c r="M1532" s="178"/>
      <c r="N1532" s="185"/>
      <c r="O1532" s="189" t="s">
        <v>4792</v>
      </c>
    </row>
    <row r="1533" ht="14.25" customHeight="1">
      <c r="H1533" s="179" t="str">
        <f t="shared" si="1"/>
        <v>SíLitio_ferrofosfatoEn el aparatoVarias_celdas</v>
      </c>
      <c r="I1533" s="178" t="s">
        <v>4767</v>
      </c>
      <c r="J1533" s="182" t="s">
        <v>4783</v>
      </c>
      <c r="K1533" s="178" t="s">
        <v>4769</v>
      </c>
      <c r="L1533" s="178" t="s">
        <v>4809</v>
      </c>
      <c r="M1533" s="178"/>
      <c r="N1533" s="185"/>
      <c r="O1533" s="189" t="s">
        <v>4792</v>
      </c>
    </row>
    <row r="1534" ht="14.25" customHeight="1">
      <c r="H1534" s="179" t="str">
        <f t="shared" si="1"/>
        <v>SíLitio_ferrofosfatoCon el equipoVarias_celdas</v>
      </c>
      <c r="I1534" s="178" t="s">
        <v>4767</v>
      </c>
      <c r="J1534" s="182" t="s">
        <v>4783</v>
      </c>
      <c r="K1534" s="178" t="s">
        <v>4775</v>
      </c>
      <c r="L1534" s="178" t="s">
        <v>4809</v>
      </c>
      <c r="M1534" s="178"/>
      <c r="N1534" s="185"/>
      <c r="O1534" s="189" t="s">
        <v>4792</v>
      </c>
    </row>
    <row r="1535" ht="14.25" customHeight="1">
      <c r="H1535" s="179" t="str">
        <f t="shared" si="1"/>
        <v>SíLitio_ferrofosfatoIndependienteVarias_celdas</v>
      </c>
      <c r="I1535" s="178" t="s">
        <v>4767</v>
      </c>
      <c r="J1535" s="182" t="s">
        <v>4783</v>
      </c>
      <c r="K1535" s="178" t="s">
        <v>4780</v>
      </c>
      <c r="L1535" s="178" t="s">
        <v>4809</v>
      </c>
      <c r="M1535" s="178"/>
      <c r="N1535" s="185"/>
      <c r="O1535" s="189" t="s">
        <v>4792</v>
      </c>
    </row>
    <row r="1536" ht="14.25" customHeight="1">
      <c r="H1536" s="179" t="str">
        <f t="shared" si="1"/>
        <v>SíTitanato_de_litioEn el aparatoVarias_celdas</v>
      </c>
      <c r="I1536" s="178" t="s">
        <v>4767</v>
      </c>
      <c r="J1536" s="182" t="s">
        <v>4789</v>
      </c>
      <c r="K1536" s="178" t="s">
        <v>4769</v>
      </c>
      <c r="L1536" s="178" t="s">
        <v>4809</v>
      </c>
      <c r="M1536" s="178"/>
      <c r="N1536" s="185"/>
      <c r="O1536" s="189" t="s">
        <v>4792</v>
      </c>
    </row>
    <row r="1537" ht="14.25" customHeight="1">
      <c r="H1537" s="179" t="str">
        <f t="shared" si="1"/>
        <v>SíTitanato_de_litioCon el equipoVarias_celdas</v>
      </c>
      <c r="I1537" s="178" t="s">
        <v>4767</v>
      </c>
      <c r="J1537" s="182" t="s">
        <v>4789</v>
      </c>
      <c r="K1537" s="178" t="s">
        <v>4775</v>
      </c>
      <c r="L1537" s="178" t="s">
        <v>4809</v>
      </c>
      <c r="M1537" s="178"/>
      <c r="N1537" s="185"/>
      <c r="O1537" s="189" t="s">
        <v>4792</v>
      </c>
    </row>
    <row r="1538" ht="14.25" customHeight="1">
      <c r="H1538" s="179" t="str">
        <f t="shared" si="1"/>
        <v>SíTitanato_de_litioIndependienteVarias_celdas</v>
      </c>
      <c r="I1538" s="178" t="s">
        <v>4767</v>
      </c>
      <c r="J1538" s="182" t="s">
        <v>4789</v>
      </c>
      <c r="K1538" s="178" t="s">
        <v>4780</v>
      </c>
      <c r="L1538" s="178" t="s">
        <v>4809</v>
      </c>
      <c r="M1538" s="178"/>
      <c r="N1538" s="185"/>
      <c r="O1538" s="189" t="s">
        <v>4792</v>
      </c>
    </row>
    <row r="1539" ht="14.25" customHeight="1">
      <c r="H1539" s="179" t="str">
        <f t="shared" si="1"/>
        <v>Sí_18650_En el aparatoVarias_celdas</v>
      </c>
      <c r="I1539" s="178" t="s">
        <v>4767</v>
      </c>
      <c r="J1539" s="178" t="s">
        <v>4768</v>
      </c>
      <c r="K1539" s="178" t="s">
        <v>4769</v>
      </c>
      <c r="L1539" s="178" t="s">
        <v>4809</v>
      </c>
      <c r="M1539" s="178"/>
      <c r="N1539" s="185"/>
      <c r="O1539" s="189" t="s">
        <v>4792</v>
      </c>
    </row>
    <row r="1540" ht="14.25" customHeight="1">
      <c r="H1540" s="179" t="str">
        <f t="shared" si="1"/>
        <v>Sí_18650_Con el equipoVarias_celdas</v>
      </c>
      <c r="I1540" s="178" t="s">
        <v>4767</v>
      </c>
      <c r="J1540" s="178" t="s">
        <v>4768</v>
      </c>
      <c r="K1540" s="178" t="s">
        <v>4775</v>
      </c>
      <c r="L1540" s="178" t="s">
        <v>4809</v>
      </c>
      <c r="M1540" s="178"/>
      <c r="N1540" s="185"/>
      <c r="O1540" s="189" t="s">
        <v>4792</v>
      </c>
    </row>
    <row r="1541" ht="14.25" customHeight="1">
      <c r="H1541" s="179" t="str">
        <f t="shared" si="1"/>
        <v>Sí_18650_IndependienteVarias_celdas</v>
      </c>
      <c r="I1541" s="178" t="s">
        <v>4767</v>
      </c>
      <c r="J1541" s="178" t="s">
        <v>4768</v>
      </c>
      <c r="K1541" s="178" t="s">
        <v>4780</v>
      </c>
      <c r="L1541" s="178" t="s">
        <v>4809</v>
      </c>
      <c r="M1541" s="178"/>
      <c r="N1541" s="185"/>
      <c r="O1541" s="189" t="s">
        <v>4792</v>
      </c>
    </row>
    <row r="1542" ht="14.25" customHeight="1">
      <c r="H1542" s="179" t="str">
        <f t="shared" si="1"/>
        <v>SíIon_litioEn el aparatoVarias_celdas</v>
      </c>
      <c r="I1542" s="178" t="s">
        <v>4767</v>
      </c>
      <c r="J1542" s="182" t="s">
        <v>4779</v>
      </c>
      <c r="K1542" s="178" t="s">
        <v>4769</v>
      </c>
      <c r="L1542" s="178" t="s">
        <v>4809</v>
      </c>
      <c r="M1542" s="178"/>
      <c r="N1542" s="185"/>
      <c r="O1542" s="189" t="s">
        <v>4792</v>
      </c>
    </row>
    <row r="1543" ht="14.25" customHeight="1">
      <c r="H1543" s="179" t="str">
        <f t="shared" si="1"/>
        <v>SíIon_litioCon el equipoVarias_celdas</v>
      </c>
      <c r="I1543" s="178" t="s">
        <v>4767</v>
      </c>
      <c r="J1543" s="182" t="s">
        <v>4779</v>
      </c>
      <c r="K1543" s="178" t="s">
        <v>4775</v>
      </c>
      <c r="L1543" s="178" t="s">
        <v>4809</v>
      </c>
      <c r="M1543" s="178"/>
      <c r="N1543" s="185"/>
      <c r="O1543" s="189" t="s">
        <v>4792</v>
      </c>
    </row>
    <row r="1544" ht="14.25" customHeight="1">
      <c r="H1544" s="179" t="str">
        <f t="shared" si="1"/>
        <v>SíIon_litioIndependienteVarias_celdas</v>
      </c>
      <c r="I1544" s="178" t="s">
        <v>4767</v>
      </c>
      <c r="J1544" s="182" t="s">
        <v>4779</v>
      </c>
      <c r="K1544" s="178" t="s">
        <v>4780</v>
      </c>
      <c r="L1544" s="178" t="s">
        <v>4809</v>
      </c>
      <c r="M1544" s="178"/>
      <c r="N1544" s="185"/>
      <c r="O1544" s="189" t="s">
        <v>4792</v>
      </c>
    </row>
    <row r="1545" ht="14.25" customHeight="1">
      <c r="H1545" s="179" t="str">
        <f t="shared" si="1"/>
        <v>SíPolímero_de_litioEn el aparatoVarias_celdas</v>
      </c>
      <c r="I1545" s="178" t="s">
        <v>4767</v>
      </c>
      <c r="J1545" s="182" t="s">
        <v>4787</v>
      </c>
      <c r="K1545" s="178" t="s">
        <v>4769</v>
      </c>
      <c r="L1545" s="178" t="s">
        <v>4809</v>
      </c>
      <c r="M1545" s="178"/>
      <c r="N1545" s="185"/>
      <c r="O1545" s="189" t="s">
        <v>4792</v>
      </c>
    </row>
    <row r="1546" ht="14.25" customHeight="1">
      <c r="H1546" s="179" t="str">
        <f t="shared" si="1"/>
        <v>SíPolímero_de_litioCon el equipoVarias_celdas</v>
      </c>
      <c r="I1546" s="178" t="s">
        <v>4767</v>
      </c>
      <c r="J1546" s="182" t="s">
        <v>4787</v>
      </c>
      <c r="K1546" s="178" t="s">
        <v>4775</v>
      </c>
      <c r="L1546" s="178" t="s">
        <v>4809</v>
      </c>
      <c r="M1546" s="178"/>
      <c r="N1546" s="185"/>
      <c r="O1546" s="189" t="s">
        <v>4792</v>
      </c>
    </row>
    <row r="1547" ht="14.25" customHeight="1">
      <c r="H1547" s="179" t="str">
        <f t="shared" si="1"/>
        <v>SíPolímero_de_litioIndependienteVarias_celdas</v>
      </c>
      <c r="I1547" s="178" t="s">
        <v>4767</v>
      </c>
      <c r="J1547" s="182" t="s">
        <v>4787</v>
      </c>
      <c r="K1547" s="178" t="s">
        <v>4780</v>
      </c>
      <c r="L1547" s="178" t="s">
        <v>4809</v>
      </c>
      <c r="M1547" s="178"/>
      <c r="N1547" s="185"/>
      <c r="O1547" s="189" t="s">
        <v>4792</v>
      </c>
    </row>
    <row r="1548" ht="14.25" customHeight="1">
      <c r="H1548" s="179" t="str">
        <f t="shared" si="1"/>
        <v>SíÓxido_cobalto_LitioEn el aparatoVarias_celdas</v>
      </c>
      <c r="I1548" s="178" t="s">
        <v>4767</v>
      </c>
      <c r="J1548" s="182" t="s">
        <v>4774</v>
      </c>
      <c r="K1548" s="178" t="s">
        <v>4769</v>
      </c>
      <c r="L1548" s="178" t="s">
        <v>4809</v>
      </c>
      <c r="M1548" s="178"/>
      <c r="N1548" s="185"/>
      <c r="O1548" s="189" t="s">
        <v>4792</v>
      </c>
    </row>
    <row r="1549" ht="14.25" customHeight="1">
      <c r="H1549" s="179" t="str">
        <f t="shared" si="1"/>
        <v>SíÓxido_cobalto_LitioCon el equipoVarias_celdas</v>
      </c>
      <c r="I1549" s="178" t="s">
        <v>4767</v>
      </c>
      <c r="J1549" s="182" t="s">
        <v>4774</v>
      </c>
      <c r="K1549" s="178" t="s">
        <v>4775</v>
      </c>
      <c r="L1549" s="178" t="s">
        <v>4809</v>
      </c>
      <c r="M1549" s="178"/>
      <c r="N1549" s="185"/>
      <c r="O1549" s="189" t="s">
        <v>4792</v>
      </c>
    </row>
    <row r="1550" ht="14.25" customHeight="1">
      <c r="H1550" s="179" t="str">
        <f t="shared" si="1"/>
        <v>SíÓxido_cobalto_LitioIndependienteVarias_celdas</v>
      </c>
      <c r="I1550" s="178" t="s">
        <v>4767</v>
      </c>
      <c r="J1550" s="182" t="s">
        <v>4774</v>
      </c>
      <c r="K1550" s="178" t="s">
        <v>4780</v>
      </c>
      <c r="L1550" s="178" t="s">
        <v>4809</v>
      </c>
      <c r="M1550" s="178"/>
      <c r="N1550" s="185"/>
      <c r="O1550" s="189" t="s">
        <v>4792</v>
      </c>
    </row>
    <row r="1551" ht="14.25" customHeight="1">
      <c r="H1551" s="179" t="str">
        <f t="shared" si="1"/>
        <v>SíÓxido_de_cobalto_de_manganeso_y_litioEn el aparatoVarias_celdas</v>
      </c>
      <c r="I1551" s="178" t="s">
        <v>4767</v>
      </c>
      <c r="J1551" s="182" t="s">
        <v>4785</v>
      </c>
      <c r="K1551" s="178" t="s">
        <v>4769</v>
      </c>
      <c r="L1551" s="178" t="s">
        <v>4809</v>
      </c>
      <c r="M1551" s="178"/>
      <c r="N1551" s="185"/>
      <c r="O1551" s="189" t="s">
        <v>4792</v>
      </c>
    </row>
    <row r="1552" ht="14.25" customHeight="1">
      <c r="H1552" s="179" t="str">
        <f t="shared" si="1"/>
        <v>SíÓxido_de_cobalto_de_manganeso_y_litioCon el equipoVarias_celdas</v>
      </c>
      <c r="I1552" s="178" t="s">
        <v>4767</v>
      </c>
      <c r="J1552" s="182" t="s">
        <v>4785</v>
      </c>
      <c r="K1552" s="178" t="s">
        <v>4775</v>
      </c>
      <c r="L1552" s="178" t="s">
        <v>4809</v>
      </c>
      <c r="M1552" s="178"/>
      <c r="N1552" s="185"/>
      <c r="O1552" s="189" t="s">
        <v>4792</v>
      </c>
    </row>
    <row r="1553" ht="14.25" customHeight="1">
      <c r="H1553" s="179" t="str">
        <f t="shared" si="1"/>
        <v>SíÓxido_de_cobalto_de_manganeso_y_litioIndependienteVarias_celdas</v>
      </c>
      <c r="I1553" s="178" t="s">
        <v>4767</v>
      </c>
      <c r="J1553" s="182" t="s">
        <v>4785</v>
      </c>
      <c r="K1553" s="178" t="s">
        <v>4780</v>
      </c>
      <c r="L1553" s="178" t="s">
        <v>4809</v>
      </c>
      <c r="M1553" s="178"/>
      <c r="N1553" s="185"/>
      <c r="O1553" s="189" t="s">
        <v>4792</v>
      </c>
    </row>
    <row r="1554" ht="14.25" customHeight="1">
      <c r="H1554" s="179" t="str">
        <f t="shared" si="1"/>
        <v>SíLitio_ferrofosfatoEn el aparatoVarias_celdas</v>
      </c>
      <c r="I1554" s="178" t="s">
        <v>4767</v>
      </c>
      <c r="J1554" s="182" t="s">
        <v>4783</v>
      </c>
      <c r="K1554" s="178" t="s">
        <v>4769</v>
      </c>
      <c r="L1554" s="178" t="s">
        <v>4809</v>
      </c>
      <c r="M1554" s="178"/>
      <c r="N1554" s="185"/>
      <c r="O1554" s="189" t="s">
        <v>4792</v>
      </c>
    </row>
    <row r="1555" ht="14.25" customHeight="1">
      <c r="H1555" s="179" t="str">
        <f t="shared" si="1"/>
        <v>SíLitio_ferrofosfatoCon el equipoVarias_celdas</v>
      </c>
      <c r="I1555" s="178" t="s">
        <v>4767</v>
      </c>
      <c r="J1555" s="182" t="s">
        <v>4783</v>
      </c>
      <c r="K1555" s="178" t="s">
        <v>4775</v>
      </c>
      <c r="L1555" s="178" t="s">
        <v>4809</v>
      </c>
      <c r="M1555" s="178"/>
      <c r="N1555" s="185"/>
      <c r="O1555" s="189" t="s">
        <v>4792</v>
      </c>
    </row>
    <row r="1556" ht="14.25" customHeight="1">
      <c r="H1556" s="179" t="str">
        <f t="shared" si="1"/>
        <v>SíLitio_ferrofosfatoIndependienteVarias_celdas</v>
      </c>
      <c r="I1556" s="178" t="s">
        <v>4767</v>
      </c>
      <c r="J1556" s="182" t="s">
        <v>4783</v>
      </c>
      <c r="K1556" s="178" t="s">
        <v>4780</v>
      </c>
      <c r="L1556" s="178" t="s">
        <v>4809</v>
      </c>
      <c r="M1556" s="178"/>
      <c r="N1556" s="185"/>
      <c r="O1556" s="189" t="s">
        <v>4792</v>
      </c>
    </row>
    <row r="1557" ht="14.25" customHeight="1">
      <c r="H1557" s="179" t="str">
        <f t="shared" si="1"/>
        <v>SíTitanato_de_litioEn el aparatoVarias_celdas</v>
      </c>
      <c r="I1557" s="178" t="s">
        <v>4767</v>
      </c>
      <c r="J1557" s="182" t="s">
        <v>4789</v>
      </c>
      <c r="K1557" s="178" t="s">
        <v>4769</v>
      </c>
      <c r="L1557" s="178" t="s">
        <v>4809</v>
      </c>
      <c r="M1557" s="178"/>
      <c r="N1557" s="185"/>
      <c r="O1557" s="189" t="s">
        <v>4792</v>
      </c>
    </row>
    <row r="1558" ht="14.25" customHeight="1">
      <c r="H1558" s="179" t="str">
        <f t="shared" si="1"/>
        <v>SíTitanato_de_litioCon el equipoVarias_celdas</v>
      </c>
      <c r="I1558" s="178" t="s">
        <v>4767</v>
      </c>
      <c r="J1558" s="182" t="s">
        <v>4789</v>
      </c>
      <c r="K1558" s="178" t="s">
        <v>4775</v>
      </c>
      <c r="L1558" s="178" t="s">
        <v>4809</v>
      </c>
      <c r="M1558" s="178"/>
      <c r="N1558" s="185"/>
      <c r="O1558" s="189" t="s">
        <v>4792</v>
      </c>
    </row>
    <row r="1559" ht="14.25" customHeight="1">
      <c r="H1559" s="179" t="str">
        <f t="shared" si="1"/>
        <v>SíTitanato_de_litioIndependienteVarias_celdas</v>
      </c>
      <c r="I1559" s="178" t="s">
        <v>4767</v>
      </c>
      <c r="J1559" s="182" t="s">
        <v>4789</v>
      </c>
      <c r="K1559" s="178" t="s">
        <v>4780</v>
      </c>
      <c r="L1559" s="178" t="s">
        <v>4809</v>
      </c>
      <c r="M1559" s="178"/>
      <c r="N1559" s="185"/>
      <c r="O1559" s="189" t="s">
        <v>4792</v>
      </c>
    </row>
    <row r="1560" ht="14.25" customHeight="1">
      <c r="H1560" s="179" t="str">
        <f t="shared" si="1"/>
        <v>Sí_18650_En el aparatoVarias_celdas</v>
      </c>
      <c r="I1560" s="178" t="s">
        <v>4767</v>
      </c>
      <c r="J1560" s="178" t="s">
        <v>4768</v>
      </c>
      <c r="K1560" s="178" t="s">
        <v>4769</v>
      </c>
      <c r="L1560" s="178" t="s">
        <v>4809</v>
      </c>
      <c r="M1560" s="178"/>
      <c r="N1560" s="185"/>
      <c r="O1560" s="189" t="s">
        <v>4792</v>
      </c>
    </row>
    <row r="1561" ht="14.25" customHeight="1">
      <c r="H1561" s="179" t="str">
        <f t="shared" si="1"/>
        <v>Sí_18650_Con el equipoVarias_celdas</v>
      </c>
      <c r="I1561" s="178" t="s">
        <v>4767</v>
      </c>
      <c r="J1561" s="178" t="s">
        <v>4768</v>
      </c>
      <c r="K1561" s="178" t="s">
        <v>4775</v>
      </c>
      <c r="L1561" s="178" t="s">
        <v>4809</v>
      </c>
      <c r="M1561" s="178"/>
      <c r="N1561" s="185"/>
      <c r="O1561" s="189" t="s">
        <v>4792</v>
      </c>
    </row>
    <row r="1562" ht="14.25" customHeight="1">
      <c r="H1562" s="179" t="str">
        <f t="shared" si="1"/>
        <v>Sí_18650_IndependienteVarias_celdas</v>
      </c>
      <c r="I1562" s="178" t="s">
        <v>4767</v>
      </c>
      <c r="J1562" s="178" t="s">
        <v>4768</v>
      </c>
      <c r="K1562" s="178" t="s">
        <v>4780</v>
      </c>
      <c r="L1562" s="178" t="s">
        <v>4809</v>
      </c>
      <c r="M1562" s="178"/>
      <c r="N1562" s="185"/>
      <c r="O1562" s="189" t="s">
        <v>4792</v>
      </c>
    </row>
    <row r="1563" ht="14.25" customHeight="1">
      <c r="H1563" s="179" t="str">
        <f t="shared" si="1"/>
        <v>SíIon_litioEn el aparatoVarias_celdas</v>
      </c>
      <c r="I1563" s="178" t="s">
        <v>4767</v>
      </c>
      <c r="J1563" s="182" t="s">
        <v>4779</v>
      </c>
      <c r="K1563" s="178" t="s">
        <v>4769</v>
      </c>
      <c r="L1563" s="178" t="s">
        <v>4809</v>
      </c>
      <c r="M1563" s="178"/>
      <c r="N1563" s="185"/>
      <c r="O1563" s="189" t="s">
        <v>4792</v>
      </c>
    </row>
    <row r="1564" ht="14.25" customHeight="1">
      <c r="H1564" s="179" t="str">
        <f t="shared" si="1"/>
        <v>SíIon_litioCon el equipoVarias_celdas</v>
      </c>
      <c r="I1564" s="178" t="s">
        <v>4767</v>
      </c>
      <c r="J1564" s="182" t="s">
        <v>4779</v>
      </c>
      <c r="K1564" s="178" t="s">
        <v>4775</v>
      </c>
      <c r="L1564" s="178" t="s">
        <v>4809</v>
      </c>
      <c r="M1564" s="178"/>
      <c r="N1564" s="185"/>
      <c r="O1564" s="189" t="s">
        <v>4792</v>
      </c>
    </row>
    <row r="1565" ht="14.25" customHeight="1">
      <c r="H1565" s="179" t="str">
        <f t="shared" si="1"/>
        <v>SíIon_litioIndependienteVarias_celdas</v>
      </c>
      <c r="I1565" s="178" t="s">
        <v>4767</v>
      </c>
      <c r="J1565" s="182" t="s">
        <v>4779</v>
      </c>
      <c r="K1565" s="178" t="s">
        <v>4780</v>
      </c>
      <c r="L1565" s="178" t="s">
        <v>4809</v>
      </c>
      <c r="M1565" s="178"/>
      <c r="N1565" s="185"/>
      <c r="O1565" s="189" t="s">
        <v>4792</v>
      </c>
    </row>
    <row r="1566" ht="14.25" customHeight="1">
      <c r="H1566" s="179" t="str">
        <f t="shared" si="1"/>
        <v>SíPolímero_de_litioEn el aparatoVarias_celdas</v>
      </c>
      <c r="I1566" s="178" t="s">
        <v>4767</v>
      </c>
      <c r="J1566" s="182" t="s">
        <v>4787</v>
      </c>
      <c r="K1566" s="178" t="s">
        <v>4769</v>
      </c>
      <c r="L1566" s="178" t="s">
        <v>4809</v>
      </c>
      <c r="M1566" s="178"/>
      <c r="N1566" s="185"/>
      <c r="O1566" s="189" t="s">
        <v>4792</v>
      </c>
    </row>
    <row r="1567" ht="14.25" customHeight="1">
      <c r="H1567" s="179" t="str">
        <f t="shared" si="1"/>
        <v>SíPolímero_de_litioCon el equipoVarias_celdas</v>
      </c>
      <c r="I1567" s="178" t="s">
        <v>4767</v>
      </c>
      <c r="J1567" s="182" t="s">
        <v>4787</v>
      </c>
      <c r="K1567" s="178" t="s">
        <v>4775</v>
      </c>
      <c r="L1567" s="178" t="s">
        <v>4809</v>
      </c>
      <c r="M1567" s="178"/>
      <c r="N1567" s="185"/>
      <c r="O1567" s="189" t="s">
        <v>4792</v>
      </c>
    </row>
    <row r="1568" ht="14.25" customHeight="1">
      <c r="H1568" s="179" t="str">
        <f t="shared" si="1"/>
        <v>SíPolímero_de_litioIndependienteVarias_celdas</v>
      </c>
      <c r="I1568" s="178" t="s">
        <v>4767</v>
      </c>
      <c r="J1568" s="182" t="s">
        <v>4787</v>
      </c>
      <c r="K1568" s="178" t="s">
        <v>4780</v>
      </c>
      <c r="L1568" s="178" t="s">
        <v>4809</v>
      </c>
      <c r="M1568" s="178"/>
      <c r="N1568" s="185"/>
      <c r="O1568" s="189" t="s">
        <v>4792</v>
      </c>
    </row>
    <row r="1569" ht="14.25" customHeight="1">
      <c r="H1569" s="179" t="str">
        <f t="shared" si="1"/>
        <v>SíÓxido_cobalto_LitioEn el aparatoVarias_celdas</v>
      </c>
      <c r="I1569" s="178" t="s">
        <v>4767</v>
      </c>
      <c r="J1569" s="182" t="s">
        <v>4774</v>
      </c>
      <c r="K1569" s="178" t="s">
        <v>4769</v>
      </c>
      <c r="L1569" s="178" t="s">
        <v>4809</v>
      </c>
      <c r="M1569" s="178"/>
      <c r="N1569" s="185"/>
      <c r="O1569" s="189" t="s">
        <v>4792</v>
      </c>
    </row>
    <row r="1570" ht="14.25" customHeight="1">
      <c r="H1570" s="179" t="str">
        <f t="shared" si="1"/>
        <v>SíÓxido_cobalto_LitioCon el equipoVarias_celdas</v>
      </c>
      <c r="I1570" s="178" t="s">
        <v>4767</v>
      </c>
      <c r="J1570" s="182" t="s">
        <v>4774</v>
      </c>
      <c r="K1570" s="178" t="s">
        <v>4775</v>
      </c>
      <c r="L1570" s="178" t="s">
        <v>4809</v>
      </c>
      <c r="M1570" s="178"/>
      <c r="N1570" s="185"/>
      <c r="O1570" s="189" t="s">
        <v>4792</v>
      </c>
    </row>
    <row r="1571" ht="14.25" customHeight="1">
      <c r="H1571" s="179" t="str">
        <f t="shared" si="1"/>
        <v>SíÓxido_cobalto_LitioIndependienteVarias_celdas</v>
      </c>
      <c r="I1571" s="178" t="s">
        <v>4767</v>
      </c>
      <c r="J1571" s="182" t="s">
        <v>4774</v>
      </c>
      <c r="K1571" s="178" t="s">
        <v>4780</v>
      </c>
      <c r="L1571" s="178" t="s">
        <v>4809</v>
      </c>
      <c r="M1571" s="178"/>
      <c r="N1571" s="185"/>
      <c r="O1571" s="189" t="s">
        <v>4792</v>
      </c>
    </row>
    <row r="1572" ht="14.25" customHeight="1">
      <c r="H1572" s="179" t="str">
        <f t="shared" si="1"/>
        <v>SíÓxido_de_cobalto_de_manganeso_y_litioEn el aparatoVarias_celdas</v>
      </c>
      <c r="I1572" s="178" t="s">
        <v>4767</v>
      </c>
      <c r="J1572" s="182" t="s">
        <v>4785</v>
      </c>
      <c r="K1572" s="178" t="s">
        <v>4769</v>
      </c>
      <c r="L1572" s="178" t="s">
        <v>4809</v>
      </c>
      <c r="M1572" s="178"/>
      <c r="N1572" s="185"/>
      <c r="O1572" s="189" t="s">
        <v>4792</v>
      </c>
    </row>
    <row r="1573" ht="14.25" customHeight="1">
      <c r="H1573" s="179" t="str">
        <f t="shared" si="1"/>
        <v>SíÓxido_de_cobalto_de_manganeso_y_litioCon el equipoVarias_celdas</v>
      </c>
      <c r="I1573" s="178" t="s">
        <v>4767</v>
      </c>
      <c r="J1573" s="182" t="s">
        <v>4785</v>
      </c>
      <c r="K1573" s="178" t="s">
        <v>4775</v>
      </c>
      <c r="L1573" s="178" t="s">
        <v>4809</v>
      </c>
      <c r="M1573" s="178"/>
      <c r="N1573" s="185"/>
      <c r="O1573" s="189" t="s">
        <v>4792</v>
      </c>
    </row>
    <row r="1574" ht="14.25" customHeight="1">
      <c r="H1574" s="179" t="str">
        <f t="shared" si="1"/>
        <v>SíÓxido_de_cobalto_de_manganeso_y_litioIndependienteVarias_celdas</v>
      </c>
      <c r="I1574" s="178" t="s">
        <v>4767</v>
      </c>
      <c r="J1574" s="182" t="s">
        <v>4785</v>
      </c>
      <c r="K1574" s="178" t="s">
        <v>4780</v>
      </c>
      <c r="L1574" s="178" t="s">
        <v>4809</v>
      </c>
      <c r="M1574" s="178"/>
      <c r="N1574" s="185"/>
      <c r="O1574" s="189" t="s">
        <v>4792</v>
      </c>
    </row>
    <row r="1575" ht="14.25" customHeight="1">
      <c r="H1575" s="179" t="str">
        <f t="shared" si="1"/>
        <v>SíLitio_ferrofosfatoEn el aparatoVarias_celdas</v>
      </c>
      <c r="I1575" s="178" t="s">
        <v>4767</v>
      </c>
      <c r="J1575" s="182" t="s">
        <v>4783</v>
      </c>
      <c r="K1575" s="178" t="s">
        <v>4769</v>
      </c>
      <c r="L1575" s="178" t="s">
        <v>4809</v>
      </c>
      <c r="M1575" s="178"/>
      <c r="N1575" s="185"/>
      <c r="O1575" s="189" t="s">
        <v>4792</v>
      </c>
    </row>
    <row r="1576" ht="14.25" customHeight="1">
      <c r="H1576" s="179" t="str">
        <f t="shared" si="1"/>
        <v>SíLitio_ferrofosfatoCon el equipoVarias_celdas</v>
      </c>
      <c r="I1576" s="178" t="s">
        <v>4767</v>
      </c>
      <c r="J1576" s="182" t="s">
        <v>4783</v>
      </c>
      <c r="K1576" s="178" t="s">
        <v>4775</v>
      </c>
      <c r="L1576" s="178" t="s">
        <v>4809</v>
      </c>
      <c r="M1576" s="178"/>
      <c r="N1576" s="185"/>
      <c r="O1576" s="189" t="s">
        <v>4792</v>
      </c>
    </row>
    <row r="1577" ht="14.25" customHeight="1">
      <c r="H1577" s="179" t="str">
        <f t="shared" si="1"/>
        <v>SíLitio_ferrofosfatoIndependienteVarias_celdas</v>
      </c>
      <c r="I1577" s="178" t="s">
        <v>4767</v>
      </c>
      <c r="J1577" s="182" t="s">
        <v>4783</v>
      </c>
      <c r="K1577" s="178" t="s">
        <v>4780</v>
      </c>
      <c r="L1577" s="178" t="s">
        <v>4809</v>
      </c>
      <c r="M1577" s="178"/>
      <c r="N1577" s="185"/>
      <c r="O1577" s="189" t="s">
        <v>4792</v>
      </c>
    </row>
    <row r="1578" ht="14.25" customHeight="1">
      <c r="H1578" s="179" t="str">
        <f t="shared" si="1"/>
        <v>SíTitanato_de_litioEn el aparatoVarias_celdas</v>
      </c>
      <c r="I1578" s="178" t="s">
        <v>4767</v>
      </c>
      <c r="J1578" s="182" t="s">
        <v>4789</v>
      </c>
      <c r="K1578" s="178" t="s">
        <v>4769</v>
      </c>
      <c r="L1578" s="178" t="s">
        <v>4809</v>
      </c>
      <c r="M1578" s="178"/>
      <c r="N1578" s="185"/>
      <c r="O1578" s="189" t="s">
        <v>4792</v>
      </c>
    </row>
    <row r="1579" ht="14.25" customHeight="1">
      <c r="H1579" s="179" t="str">
        <f t="shared" si="1"/>
        <v>SíTitanato_de_litioCon el equipoVarias_celdas</v>
      </c>
      <c r="I1579" s="178" t="s">
        <v>4767</v>
      </c>
      <c r="J1579" s="182" t="s">
        <v>4789</v>
      </c>
      <c r="K1579" s="178" t="s">
        <v>4775</v>
      </c>
      <c r="L1579" s="178" t="s">
        <v>4809</v>
      </c>
      <c r="M1579" s="178"/>
      <c r="N1579" s="185"/>
      <c r="O1579" s="189" t="s">
        <v>4792</v>
      </c>
    </row>
    <row r="1580" ht="14.25" customHeight="1">
      <c r="H1580" s="179" t="str">
        <f t="shared" si="1"/>
        <v>SíTitanato_de_litioIndependienteVarias_celdas</v>
      </c>
      <c r="I1580" s="178" t="s">
        <v>4767</v>
      </c>
      <c r="J1580" s="182" t="s">
        <v>4789</v>
      </c>
      <c r="K1580" s="178" t="s">
        <v>4780</v>
      </c>
      <c r="L1580" s="178" t="s">
        <v>4809</v>
      </c>
      <c r="M1580" s="178"/>
      <c r="N1580" s="185"/>
      <c r="O1580" s="189" t="s">
        <v>4792</v>
      </c>
    </row>
    <row r="1581" ht="14.25" customHeight="1">
      <c r="H1581" s="179" t="str">
        <f t="shared" si="1"/>
        <v>Sí_18650_En el aparatoVarias_celdas</v>
      </c>
      <c r="I1581" s="178" t="s">
        <v>4767</v>
      </c>
      <c r="J1581" s="178" t="s">
        <v>4768</v>
      </c>
      <c r="K1581" s="178" t="s">
        <v>4769</v>
      </c>
      <c r="L1581" s="178" t="s">
        <v>4809</v>
      </c>
      <c r="M1581" s="178"/>
      <c r="N1581" s="185"/>
      <c r="O1581" s="189" t="s">
        <v>4792</v>
      </c>
    </row>
    <row r="1582" ht="14.25" customHeight="1">
      <c r="H1582" s="179" t="str">
        <f t="shared" si="1"/>
        <v>Sí_18650_Con el equipoVarias_celdas</v>
      </c>
      <c r="I1582" s="178" t="s">
        <v>4767</v>
      </c>
      <c r="J1582" s="178" t="s">
        <v>4768</v>
      </c>
      <c r="K1582" s="178" t="s">
        <v>4775</v>
      </c>
      <c r="L1582" s="178" t="s">
        <v>4809</v>
      </c>
      <c r="M1582" s="178"/>
      <c r="N1582" s="185"/>
      <c r="O1582" s="189" t="s">
        <v>4792</v>
      </c>
    </row>
    <row r="1583" ht="14.25" customHeight="1">
      <c r="H1583" s="179" t="str">
        <f t="shared" si="1"/>
        <v>Sí_18650_IndependienteVarias_celdas</v>
      </c>
      <c r="I1583" s="178" t="s">
        <v>4767</v>
      </c>
      <c r="J1583" s="178" t="s">
        <v>4768</v>
      </c>
      <c r="K1583" s="178" t="s">
        <v>4780</v>
      </c>
      <c r="L1583" s="178" t="s">
        <v>4809</v>
      </c>
      <c r="M1583" s="178"/>
      <c r="N1583" s="185"/>
      <c r="O1583" s="189" t="s">
        <v>4792</v>
      </c>
    </row>
    <row r="1584" ht="14.25" customHeight="1">
      <c r="H1584" s="179" t="str">
        <f t="shared" si="1"/>
        <v>SíIon_litioEn el aparatoVarias_celdas</v>
      </c>
      <c r="I1584" s="178" t="s">
        <v>4767</v>
      </c>
      <c r="J1584" s="182" t="s">
        <v>4779</v>
      </c>
      <c r="K1584" s="178" t="s">
        <v>4769</v>
      </c>
      <c r="L1584" s="178" t="s">
        <v>4809</v>
      </c>
      <c r="M1584" s="178"/>
      <c r="N1584" s="185"/>
      <c r="O1584" s="189" t="s">
        <v>4792</v>
      </c>
    </row>
    <row r="1585" ht="14.25" customHeight="1">
      <c r="H1585" s="179" t="str">
        <f t="shared" si="1"/>
        <v>SíIon_litioCon el equipoVarias_celdas</v>
      </c>
      <c r="I1585" s="178" t="s">
        <v>4767</v>
      </c>
      <c r="J1585" s="182" t="s">
        <v>4779</v>
      </c>
      <c r="K1585" s="178" t="s">
        <v>4775</v>
      </c>
      <c r="L1585" s="178" t="s">
        <v>4809</v>
      </c>
      <c r="M1585" s="178"/>
      <c r="N1585" s="185"/>
      <c r="O1585" s="189" t="s">
        <v>4792</v>
      </c>
    </row>
    <row r="1586" ht="14.25" customHeight="1">
      <c r="H1586" s="179" t="str">
        <f t="shared" si="1"/>
        <v>SíIon_litioIndependienteVarias_celdas</v>
      </c>
      <c r="I1586" s="178" t="s">
        <v>4767</v>
      </c>
      <c r="J1586" s="182" t="s">
        <v>4779</v>
      </c>
      <c r="K1586" s="178" t="s">
        <v>4780</v>
      </c>
      <c r="L1586" s="178" t="s">
        <v>4809</v>
      </c>
      <c r="M1586" s="178"/>
      <c r="N1586" s="185"/>
      <c r="O1586" s="189" t="s">
        <v>4792</v>
      </c>
    </row>
    <row r="1587" ht="14.25" customHeight="1">
      <c r="H1587" s="179" t="str">
        <f t="shared" si="1"/>
        <v>SíPolímero_de_litioEn el aparatoVarias_celdas</v>
      </c>
      <c r="I1587" s="178" t="s">
        <v>4767</v>
      </c>
      <c r="J1587" s="182" t="s">
        <v>4787</v>
      </c>
      <c r="K1587" s="178" t="s">
        <v>4769</v>
      </c>
      <c r="L1587" s="178" t="s">
        <v>4809</v>
      </c>
      <c r="M1587" s="178"/>
      <c r="N1587" s="185"/>
      <c r="O1587" s="189" t="s">
        <v>4792</v>
      </c>
    </row>
    <row r="1588" ht="14.25" customHeight="1">
      <c r="H1588" s="179" t="str">
        <f t="shared" si="1"/>
        <v>SíPolímero_de_litioCon el equipoVarias_celdas</v>
      </c>
      <c r="I1588" s="178" t="s">
        <v>4767</v>
      </c>
      <c r="J1588" s="182" t="s">
        <v>4787</v>
      </c>
      <c r="K1588" s="178" t="s">
        <v>4775</v>
      </c>
      <c r="L1588" s="178" t="s">
        <v>4809</v>
      </c>
      <c r="M1588" s="178"/>
      <c r="N1588" s="185"/>
      <c r="O1588" s="189" t="s">
        <v>4792</v>
      </c>
    </row>
    <row r="1589" ht="14.25" customHeight="1">
      <c r="H1589" s="179" t="str">
        <f t="shared" si="1"/>
        <v>SíPolímero_de_litioIndependienteVarias_celdas</v>
      </c>
      <c r="I1589" s="178" t="s">
        <v>4767</v>
      </c>
      <c r="J1589" s="182" t="s">
        <v>4787</v>
      </c>
      <c r="K1589" s="178" t="s">
        <v>4780</v>
      </c>
      <c r="L1589" s="178" t="s">
        <v>4809</v>
      </c>
      <c r="M1589" s="178"/>
      <c r="N1589" s="185"/>
      <c r="O1589" s="189" t="s">
        <v>4792</v>
      </c>
    </row>
    <row r="1590" ht="14.25" customHeight="1">
      <c r="H1590" s="179" t="str">
        <f t="shared" si="1"/>
        <v>SíÓxido_cobalto_LitioEn el aparatoVarias_celdas</v>
      </c>
      <c r="I1590" s="178" t="s">
        <v>4767</v>
      </c>
      <c r="J1590" s="182" t="s">
        <v>4774</v>
      </c>
      <c r="K1590" s="178" t="s">
        <v>4769</v>
      </c>
      <c r="L1590" s="178" t="s">
        <v>4809</v>
      </c>
      <c r="M1590" s="178"/>
      <c r="N1590" s="185"/>
      <c r="O1590" s="189" t="s">
        <v>4792</v>
      </c>
    </row>
    <row r="1591" ht="14.25" customHeight="1">
      <c r="H1591" s="179" t="str">
        <f t="shared" si="1"/>
        <v>SíÓxido_cobalto_LitioCon el equipoVarias_celdas</v>
      </c>
      <c r="I1591" s="178" t="s">
        <v>4767</v>
      </c>
      <c r="J1591" s="182" t="s">
        <v>4774</v>
      </c>
      <c r="K1591" s="178" t="s">
        <v>4775</v>
      </c>
      <c r="L1591" s="178" t="s">
        <v>4809</v>
      </c>
      <c r="M1591" s="178"/>
      <c r="N1591" s="185"/>
      <c r="O1591" s="189" t="s">
        <v>4792</v>
      </c>
    </row>
    <row r="1592" ht="14.25" customHeight="1">
      <c r="H1592" s="179" t="str">
        <f t="shared" si="1"/>
        <v>SíÓxido_cobalto_LitioIndependienteVarias_celdas</v>
      </c>
      <c r="I1592" s="178" t="s">
        <v>4767</v>
      </c>
      <c r="J1592" s="182" t="s">
        <v>4774</v>
      </c>
      <c r="K1592" s="178" t="s">
        <v>4780</v>
      </c>
      <c r="L1592" s="178" t="s">
        <v>4809</v>
      </c>
      <c r="M1592" s="178"/>
      <c r="N1592" s="185"/>
      <c r="O1592" s="189" t="s">
        <v>4792</v>
      </c>
    </row>
    <row r="1593" ht="14.25" customHeight="1">
      <c r="H1593" s="179" t="str">
        <f t="shared" si="1"/>
        <v>SíÓxido_de_cobalto_de_manganeso_y_litioEn el aparatoVarias_celdas</v>
      </c>
      <c r="I1593" s="178" t="s">
        <v>4767</v>
      </c>
      <c r="J1593" s="182" t="s">
        <v>4785</v>
      </c>
      <c r="K1593" s="178" t="s">
        <v>4769</v>
      </c>
      <c r="L1593" s="178" t="s">
        <v>4809</v>
      </c>
      <c r="M1593" s="178"/>
      <c r="N1593" s="185"/>
      <c r="O1593" s="189" t="s">
        <v>4792</v>
      </c>
    </row>
    <row r="1594" ht="14.25" customHeight="1">
      <c r="H1594" s="179" t="str">
        <f t="shared" si="1"/>
        <v>SíÓxido_de_cobalto_de_manganeso_y_litioCon el equipoVarias_celdas</v>
      </c>
      <c r="I1594" s="178" t="s">
        <v>4767</v>
      </c>
      <c r="J1594" s="182" t="s">
        <v>4785</v>
      </c>
      <c r="K1594" s="178" t="s">
        <v>4775</v>
      </c>
      <c r="L1594" s="178" t="s">
        <v>4809</v>
      </c>
      <c r="M1594" s="178"/>
      <c r="N1594" s="185"/>
      <c r="O1594" s="189" t="s">
        <v>4792</v>
      </c>
    </row>
    <row r="1595" ht="14.25" customHeight="1">
      <c r="H1595" s="179" t="str">
        <f t="shared" si="1"/>
        <v>SíÓxido_de_cobalto_de_manganeso_y_litioIndependienteVarias_celdas</v>
      </c>
      <c r="I1595" s="178" t="s">
        <v>4767</v>
      </c>
      <c r="J1595" s="182" t="s">
        <v>4785</v>
      </c>
      <c r="K1595" s="178" t="s">
        <v>4780</v>
      </c>
      <c r="L1595" s="178" t="s">
        <v>4809</v>
      </c>
      <c r="M1595" s="178"/>
      <c r="N1595" s="185"/>
      <c r="O1595" s="189" t="s">
        <v>4792</v>
      </c>
    </row>
    <row r="1596" ht="14.25" customHeight="1">
      <c r="H1596" s="179" t="str">
        <f t="shared" si="1"/>
        <v>SíLitio_ferrofosfatoEn el aparatoVarias_celdas</v>
      </c>
      <c r="I1596" s="178" t="s">
        <v>4767</v>
      </c>
      <c r="J1596" s="182" t="s">
        <v>4783</v>
      </c>
      <c r="K1596" s="178" t="s">
        <v>4769</v>
      </c>
      <c r="L1596" s="178" t="s">
        <v>4809</v>
      </c>
      <c r="M1596" s="178"/>
      <c r="N1596" s="185"/>
      <c r="O1596" s="189" t="s">
        <v>4792</v>
      </c>
    </row>
    <row r="1597" ht="14.25" customHeight="1">
      <c r="H1597" s="179" t="str">
        <f t="shared" si="1"/>
        <v>SíLitio_ferrofosfatoCon el equipoVarias_celdas</v>
      </c>
      <c r="I1597" s="178" t="s">
        <v>4767</v>
      </c>
      <c r="J1597" s="182" t="s">
        <v>4783</v>
      </c>
      <c r="K1597" s="178" t="s">
        <v>4775</v>
      </c>
      <c r="L1597" s="178" t="s">
        <v>4809</v>
      </c>
      <c r="M1597" s="178"/>
      <c r="N1597" s="185"/>
      <c r="O1597" s="189" t="s">
        <v>4792</v>
      </c>
    </row>
    <row r="1598" ht="14.25" customHeight="1">
      <c r="H1598" s="179" t="str">
        <f t="shared" si="1"/>
        <v>SíLitio_ferrofosfatoIndependienteVarias_celdas</v>
      </c>
      <c r="I1598" s="178" t="s">
        <v>4767</v>
      </c>
      <c r="J1598" s="182" t="s">
        <v>4783</v>
      </c>
      <c r="K1598" s="178" t="s">
        <v>4780</v>
      </c>
      <c r="L1598" s="178" t="s">
        <v>4809</v>
      </c>
      <c r="M1598" s="178"/>
      <c r="N1598" s="185"/>
      <c r="O1598" s="189" t="s">
        <v>4792</v>
      </c>
    </row>
    <row r="1599" ht="14.25" customHeight="1">
      <c r="H1599" s="179" t="str">
        <f t="shared" si="1"/>
        <v>SíTitanato_de_litioEn el aparatoVarias_celdas</v>
      </c>
      <c r="I1599" s="178" t="s">
        <v>4767</v>
      </c>
      <c r="J1599" s="182" t="s">
        <v>4789</v>
      </c>
      <c r="K1599" s="178" t="s">
        <v>4769</v>
      </c>
      <c r="L1599" s="178" t="s">
        <v>4809</v>
      </c>
      <c r="M1599" s="178"/>
      <c r="N1599" s="185"/>
      <c r="O1599" s="189" t="s">
        <v>4792</v>
      </c>
    </row>
    <row r="1600" ht="14.25" customHeight="1">
      <c r="H1600" s="179" t="str">
        <f t="shared" si="1"/>
        <v>SíTitanato_de_litioCon el equipoVarias_celdas</v>
      </c>
      <c r="I1600" s="178" t="s">
        <v>4767</v>
      </c>
      <c r="J1600" s="182" t="s">
        <v>4789</v>
      </c>
      <c r="K1600" s="178" t="s">
        <v>4775</v>
      </c>
      <c r="L1600" s="178" t="s">
        <v>4809</v>
      </c>
      <c r="M1600" s="178"/>
      <c r="N1600" s="185"/>
      <c r="O1600" s="189" t="s">
        <v>4792</v>
      </c>
    </row>
    <row r="1601" ht="14.25" customHeight="1">
      <c r="H1601" s="179" t="str">
        <f t="shared" si="1"/>
        <v>SíTitanato_de_litioIndependienteVarias_celdas</v>
      </c>
      <c r="I1601" s="178" t="s">
        <v>4767</v>
      </c>
      <c r="J1601" s="182" t="s">
        <v>4789</v>
      </c>
      <c r="K1601" s="178" t="s">
        <v>4780</v>
      </c>
      <c r="L1601" s="178" t="s">
        <v>4809</v>
      </c>
      <c r="M1601" s="178"/>
      <c r="N1601" s="185"/>
      <c r="O1601" s="189" t="s">
        <v>4792</v>
      </c>
    </row>
    <row r="1602" ht="14.25" customHeight="1">
      <c r="H1602" s="179" t="str">
        <f t="shared" si="1"/>
        <v>Sí_18650_En el aparatoVarias_celdas</v>
      </c>
      <c r="I1602" s="178" t="s">
        <v>4767</v>
      </c>
      <c r="J1602" s="178" t="s">
        <v>4768</v>
      </c>
      <c r="K1602" s="178" t="s">
        <v>4769</v>
      </c>
      <c r="L1602" s="178" t="s">
        <v>4809</v>
      </c>
      <c r="M1602" s="178"/>
      <c r="N1602" s="185"/>
      <c r="O1602" s="189" t="s">
        <v>4792</v>
      </c>
    </row>
    <row r="1603" ht="14.25" customHeight="1">
      <c r="H1603" s="179" t="str">
        <f t="shared" si="1"/>
        <v>Sí_18650_Con el equipoVarias_celdas</v>
      </c>
      <c r="I1603" s="178" t="s">
        <v>4767</v>
      </c>
      <c r="J1603" s="178" t="s">
        <v>4768</v>
      </c>
      <c r="K1603" s="178" t="s">
        <v>4775</v>
      </c>
      <c r="L1603" s="178" t="s">
        <v>4809</v>
      </c>
      <c r="M1603" s="178"/>
      <c r="N1603" s="185"/>
      <c r="O1603" s="189" t="s">
        <v>4792</v>
      </c>
    </row>
    <row r="1604" ht="14.25" customHeight="1">
      <c r="H1604" s="179" t="str">
        <f t="shared" si="1"/>
        <v>Sí_18650_IndependienteVarias_celdas</v>
      </c>
      <c r="I1604" s="178" t="s">
        <v>4767</v>
      </c>
      <c r="J1604" s="178" t="s">
        <v>4768</v>
      </c>
      <c r="K1604" s="178" t="s">
        <v>4780</v>
      </c>
      <c r="L1604" s="178" t="s">
        <v>4809</v>
      </c>
      <c r="M1604" s="178"/>
      <c r="N1604" s="185"/>
      <c r="O1604" s="189" t="s">
        <v>4792</v>
      </c>
    </row>
    <row r="1605" ht="14.25" customHeight="1">
      <c r="H1605" s="179" t="str">
        <f t="shared" si="1"/>
        <v>SíIon_litioEn el aparatoVarias_celdas</v>
      </c>
      <c r="I1605" s="178" t="s">
        <v>4767</v>
      </c>
      <c r="J1605" s="182" t="s">
        <v>4779</v>
      </c>
      <c r="K1605" s="178" t="s">
        <v>4769</v>
      </c>
      <c r="L1605" s="178" t="s">
        <v>4809</v>
      </c>
      <c r="M1605" s="178"/>
      <c r="N1605" s="185"/>
      <c r="O1605" s="189" t="s">
        <v>4792</v>
      </c>
    </row>
    <row r="1606" ht="14.25" customHeight="1">
      <c r="H1606" s="179" t="str">
        <f t="shared" si="1"/>
        <v>SíIon_litioCon el equipoVarias_celdas</v>
      </c>
      <c r="I1606" s="178" t="s">
        <v>4767</v>
      </c>
      <c r="J1606" s="182" t="s">
        <v>4779</v>
      </c>
      <c r="K1606" s="178" t="s">
        <v>4775</v>
      </c>
      <c r="L1606" s="178" t="s">
        <v>4809</v>
      </c>
      <c r="M1606" s="178"/>
      <c r="N1606" s="185"/>
      <c r="O1606" s="189" t="s">
        <v>4792</v>
      </c>
    </row>
    <row r="1607" ht="14.25" customHeight="1">
      <c r="H1607" s="179" t="str">
        <f t="shared" si="1"/>
        <v>SíIon_litioIndependienteVarias_celdas</v>
      </c>
      <c r="I1607" s="178" t="s">
        <v>4767</v>
      </c>
      <c r="J1607" s="182" t="s">
        <v>4779</v>
      </c>
      <c r="K1607" s="178" t="s">
        <v>4780</v>
      </c>
      <c r="L1607" s="178" t="s">
        <v>4809</v>
      </c>
      <c r="M1607" s="178"/>
      <c r="N1607" s="185"/>
      <c r="O1607" s="189" t="s">
        <v>4792</v>
      </c>
    </row>
    <row r="1608" ht="14.25" customHeight="1">
      <c r="H1608" s="179" t="str">
        <f t="shared" si="1"/>
        <v>SíPolímero_de_litioEn el aparatoVarias_celdas</v>
      </c>
      <c r="I1608" s="178" t="s">
        <v>4767</v>
      </c>
      <c r="J1608" s="182" t="s">
        <v>4787</v>
      </c>
      <c r="K1608" s="178" t="s">
        <v>4769</v>
      </c>
      <c r="L1608" s="178" t="s">
        <v>4809</v>
      </c>
      <c r="M1608" s="178"/>
      <c r="N1608" s="185"/>
      <c r="O1608" s="189" t="s">
        <v>4792</v>
      </c>
    </row>
    <row r="1609" ht="14.25" customHeight="1">
      <c r="H1609" s="179" t="str">
        <f t="shared" si="1"/>
        <v>SíPolímero_de_litioCon el equipoVarias_celdas</v>
      </c>
      <c r="I1609" s="178" t="s">
        <v>4767</v>
      </c>
      <c r="J1609" s="182" t="s">
        <v>4787</v>
      </c>
      <c r="K1609" s="178" t="s">
        <v>4775</v>
      </c>
      <c r="L1609" s="178" t="s">
        <v>4809</v>
      </c>
      <c r="M1609" s="178"/>
      <c r="N1609" s="185"/>
      <c r="O1609" s="189" t="s">
        <v>4792</v>
      </c>
    </row>
    <row r="1610" ht="14.25" customHeight="1">
      <c r="H1610" s="179" t="str">
        <f t="shared" si="1"/>
        <v>SíPolímero_de_litioIndependienteVarias_celdas</v>
      </c>
      <c r="I1610" s="178" t="s">
        <v>4767</v>
      </c>
      <c r="J1610" s="182" t="s">
        <v>4787</v>
      </c>
      <c r="K1610" s="178" t="s">
        <v>4780</v>
      </c>
      <c r="L1610" s="178" t="s">
        <v>4809</v>
      </c>
      <c r="M1610" s="178"/>
      <c r="N1610" s="185"/>
      <c r="O1610" s="189" t="s">
        <v>4792</v>
      </c>
    </row>
    <row r="1611" ht="14.25" customHeight="1">
      <c r="H1611" s="179" t="str">
        <f t="shared" si="1"/>
        <v>SíÓxido_cobalto_LitioEn el aparatoVarias_celdas</v>
      </c>
      <c r="I1611" s="178" t="s">
        <v>4767</v>
      </c>
      <c r="J1611" s="182" t="s">
        <v>4774</v>
      </c>
      <c r="K1611" s="178" t="s">
        <v>4769</v>
      </c>
      <c r="L1611" s="178" t="s">
        <v>4809</v>
      </c>
      <c r="M1611" s="178"/>
      <c r="N1611" s="185"/>
      <c r="O1611" s="189" t="s">
        <v>4792</v>
      </c>
    </row>
    <row r="1612" ht="14.25" customHeight="1">
      <c r="H1612" s="179" t="str">
        <f t="shared" si="1"/>
        <v>SíÓxido_cobalto_LitioCon el equipoVarias_celdas</v>
      </c>
      <c r="I1612" s="178" t="s">
        <v>4767</v>
      </c>
      <c r="J1612" s="182" t="s">
        <v>4774</v>
      </c>
      <c r="K1612" s="178" t="s">
        <v>4775</v>
      </c>
      <c r="L1612" s="178" t="s">
        <v>4809</v>
      </c>
      <c r="M1612" s="178"/>
      <c r="N1612" s="185"/>
      <c r="O1612" s="189" t="s">
        <v>4792</v>
      </c>
    </row>
    <row r="1613" ht="14.25" customHeight="1">
      <c r="H1613" s="179" t="str">
        <f t="shared" si="1"/>
        <v>SíÓxido_cobalto_LitioIndependienteVarias_celdas</v>
      </c>
      <c r="I1613" s="178" t="s">
        <v>4767</v>
      </c>
      <c r="J1613" s="182" t="s">
        <v>4774</v>
      </c>
      <c r="K1613" s="178" t="s">
        <v>4780</v>
      </c>
      <c r="L1613" s="178" t="s">
        <v>4809</v>
      </c>
      <c r="M1613" s="178"/>
      <c r="N1613" s="185"/>
      <c r="O1613" s="189" t="s">
        <v>4792</v>
      </c>
    </row>
    <row r="1614" ht="14.25" customHeight="1">
      <c r="H1614" s="179" t="str">
        <f t="shared" si="1"/>
        <v>SíÓxido_de_cobalto_de_manganeso_y_litioEn el aparatoVarias_celdas</v>
      </c>
      <c r="I1614" s="178" t="s">
        <v>4767</v>
      </c>
      <c r="J1614" s="182" t="s">
        <v>4785</v>
      </c>
      <c r="K1614" s="178" t="s">
        <v>4769</v>
      </c>
      <c r="L1614" s="178" t="s">
        <v>4809</v>
      </c>
      <c r="M1614" s="178"/>
      <c r="N1614" s="185"/>
      <c r="O1614" s="189" t="s">
        <v>4792</v>
      </c>
    </row>
    <row r="1615" ht="14.25" customHeight="1">
      <c r="H1615" s="179" t="str">
        <f t="shared" si="1"/>
        <v>SíÓxido_de_cobalto_de_manganeso_y_litioCon el equipoVarias_celdas</v>
      </c>
      <c r="I1615" s="178" t="s">
        <v>4767</v>
      </c>
      <c r="J1615" s="182" t="s">
        <v>4785</v>
      </c>
      <c r="K1615" s="178" t="s">
        <v>4775</v>
      </c>
      <c r="L1615" s="178" t="s">
        <v>4809</v>
      </c>
      <c r="M1615" s="178"/>
      <c r="N1615" s="185"/>
      <c r="O1615" s="189" t="s">
        <v>4792</v>
      </c>
    </row>
    <row r="1616" ht="14.25" customHeight="1">
      <c r="H1616" s="179" t="str">
        <f t="shared" si="1"/>
        <v>SíÓxido_de_cobalto_de_manganeso_y_litioIndependienteVarias_celdas</v>
      </c>
      <c r="I1616" s="178" t="s">
        <v>4767</v>
      </c>
      <c r="J1616" s="182" t="s">
        <v>4785</v>
      </c>
      <c r="K1616" s="178" t="s">
        <v>4780</v>
      </c>
      <c r="L1616" s="178" t="s">
        <v>4809</v>
      </c>
      <c r="M1616" s="178"/>
      <c r="N1616" s="185"/>
      <c r="O1616" s="189" t="s">
        <v>4792</v>
      </c>
    </row>
    <row r="1617" ht="14.25" customHeight="1">
      <c r="H1617" s="179" t="str">
        <f t="shared" si="1"/>
        <v>SíLitio_ferrofosfatoEn el aparatoVarias_celdas</v>
      </c>
      <c r="I1617" s="178" t="s">
        <v>4767</v>
      </c>
      <c r="J1617" s="182" t="s">
        <v>4783</v>
      </c>
      <c r="K1617" s="178" t="s">
        <v>4769</v>
      </c>
      <c r="L1617" s="178" t="s">
        <v>4809</v>
      </c>
      <c r="M1617" s="178"/>
      <c r="N1617" s="185"/>
      <c r="O1617" s="189" t="s">
        <v>4792</v>
      </c>
    </row>
    <row r="1618" ht="14.25" customHeight="1">
      <c r="H1618" s="179" t="str">
        <f t="shared" si="1"/>
        <v>SíLitio_ferrofosfatoCon el equipoVarias_celdas</v>
      </c>
      <c r="I1618" s="178" t="s">
        <v>4767</v>
      </c>
      <c r="J1618" s="182" t="s">
        <v>4783</v>
      </c>
      <c r="K1618" s="178" t="s">
        <v>4775</v>
      </c>
      <c r="L1618" s="178" t="s">
        <v>4809</v>
      </c>
      <c r="M1618" s="178"/>
      <c r="N1618" s="185"/>
      <c r="O1618" s="189" t="s">
        <v>4792</v>
      </c>
    </row>
    <row r="1619" ht="14.25" customHeight="1">
      <c r="H1619" s="179" t="str">
        <f t="shared" si="1"/>
        <v>SíLitio_ferrofosfatoIndependienteVarias_celdas</v>
      </c>
      <c r="I1619" s="178" t="s">
        <v>4767</v>
      </c>
      <c r="J1619" s="182" t="s">
        <v>4783</v>
      </c>
      <c r="K1619" s="178" t="s">
        <v>4780</v>
      </c>
      <c r="L1619" s="178" t="s">
        <v>4809</v>
      </c>
      <c r="M1619" s="178"/>
      <c r="N1619" s="185"/>
      <c r="O1619" s="189" t="s">
        <v>4792</v>
      </c>
    </row>
    <row r="1620" ht="14.25" customHeight="1">
      <c r="H1620" s="179" t="str">
        <f t="shared" si="1"/>
        <v>SíTitanato_de_litioEn el aparatoVarias_celdas</v>
      </c>
      <c r="I1620" s="178" t="s">
        <v>4767</v>
      </c>
      <c r="J1620" s="182" t="s">
        <v>4789</v>
      </c>
      <c r="K1620" s="178" t="s">
        <v>4769</v>
      </c>
      <c r="L1620" s="178" t="s">
        <v>4809</v>
      </c>
      <c r="M1620" s="178"/>
      <c r="N1620" s="185"/>
      <c r="O1620" s="189" t="s">
        <v>4792</v>
      </c>
    </row>
    <row r="1621" ht="14.25" customHeight="1">
      <c r="H1621" s="179" t="str">
        <f t="shared" si="1"/>
        <v>SíTitanato_de_litioCon el equipoVarias_celdas</v>
      </c>
      <c r="I1621" s="178" t="s">
        <v>4767</v>
      </c>
      <c r="J1621" s="182" t="s">
        <v>4789</v>
      </c>
      <c r="K1621" s="178" t="s">
        <v>4775</v>
      </c>
      <c r="L1621" s="178" t="s">
        <v>4809</v>
      </c>
      <c r="M1621" s="178"/>
      <c r="N1621" s="185"/>
      <c r="O1621" s="189" t="s">
        <v>4792</v>
      </c>
    </row>
    <row r="1622" ht="14.25" customHeight="1">
      <c r="H1622" s="179" t="str">
        <f t="shared" si="1"/>
        <v>SíTitanato_de_litioIndependienteVarias_celdas</v>
      </c>
      <c r="I1622" s="178" t="s">
        <v>4767</v>
      </c>
      <c r="J1622" s="182" t="s">
        <v>4789</v>
      </c>
      <c r="K1622" s="178" t="s">
        <v>4780</v>
      </c>
      <c r="L1622" s="178" t="s">
        <v>4809</v>
      </c>
      <c r="M1622" s="178"/>
      <c r="N1622" s="185"/>
      <c r="O1622" s="189" t="s">
        <v>4792</v>
      </c>
    </row>
    <row r="1623" ht="14.25" customHeight="1">
      <c r="H1623" s="179" t="str">
        <f t="shared" si="1"/>
        <v>Sí_18650_En el aparatoVarias_celdas</v>
      </c>
      <c r="I1623" s="178" t="s">
        <v>4767</v>
      </c>
      <c r="J1623" s="178" t="s">
        <v>4768</v>
      </c>
      <c r="K1623" s="178" t="s">
        <v>4769</v>
      </c>
      <c r="L1623" s="178" t="s">
        <v>4809</v>
      </c>
      <c r="M1623" s="178"/>
      <c r="N1623" s="185"/>
      <c r="O1623" s="189" t="s">
        <v>4792</v>
      </c>
    </row>
    <row r="1624" ht="14.25" customHeight="1">
      <c r="H1624" s="179" t="str">
        <f t="shared" si="1"/>
        <v>Sí_18650_Con el equipoVarias_celdas</v>
      </c>
      <c r="I1624" s="178" t="s">
        <v>4767</v>
      </c>
      <c r="J1624" s="178" t="s">
        <v>4768</v>
      </c>
      <c r="K1624" s="178" t="s">
        <v>4775</v>
      </c>
      <c r="L1624" s="178" t="s">
        <v>4809</v>
      </c>
      <c r="M1624" s="178"/>
      <c r="N1624" s="185"/>
      <c r="O1624" s="189" t="s">
        <v>4792</v>
      </c>
    </row>
    <row r="1625" ht="14.25" customHeight="1">
      <c r="H1625" s="179" t="str">
        <f t="shared" si="1"/>
        <v>Sí_18650_IndependienteVarias_celdas</v>
      </c>
      <c r="I1625" s="178" t="s">
        <v>4767</v>
      </c>
      <c r="J1625" s="178" t="s">
        <v>4768</v>
      </c>
      <c r="K1625" s="178" t="s">
        <v>4780</v>
      </c>
      <c r="L1625" s="178" t="s">
        <v>4809</v>
      </c>
      <c r="M1625" s="178"/>
      <c r="N1625" s="185"/>
      <c r="O1625" s="189" t="s">
        <v>4792</v>
      </c>
    </row>
    <row r="1626" ht="14.25" customHeight="1">
      <c r="H1626" s="179" t="str">
        <f t="shared" si="1"/>
        <v>SíIon_litioEn el aparatoVarias_celdas</v>
      </c>
      <c r="I1626" s="178" t="s">
        <v>4767</v>
      </c>
      <c r="J1626" s="182" t="s">
        <v>4779</v>
      </c>
      <c r="K1626" s="178" t="s">
        <v>4769</v>
      </c>
      <c r="L1626" s="178" t="s">
        <v>4809</v>
      </c>
      <c r="M1626" s="178"/>
      <c r="N1626" s="185"/>
      <c r="O1626" s="189" t="s">
        <v>4792</v>
      </c>
    </row>
    <row r="1627" ht="14.25" customHeight="1">
      <c r="H1627" s="179" t="str">
        <f t="shared" si="1"/>
        <v>SíIon_litioCon el equipoVarias_celdas</v>
      </c>
      <c r="I1627" s="178" t="s">
        <v>4767</v>
      </c>
      <c r="J1627" s="182" t="s">
        <v>4779</v>
      </c>
      <c r="K1627" s="178" t="s">
        <v>4775</v>
      </c>
      <c r="L1627" s="178" t="s">
        <v>4809</v>
      </c>
      <c r="M1627" s="178"/>
      <c r="N1627" s="185"/>
      <c r="O1627" s="189" t="s">
        <v>4792</v>
      </c>
    </row>
    <row r="1628" ht="14.25" customHeight="1">
      <c r="H1628" s="179" t="str">
        <f t="shared" si="1"/>
        <v>SíIon_litioIndependienteVarias_celdas</v>
      </c>
      <c r="I1628" s="178" t="s">
        <v>4767</v>
      </c>
      <c r="J1628" s="182" t="s">
        <v>4779</v>
      </c>
      <c r="K1628" s="178" t="s">
        <v>4780</v>
      </c>
      <c r="L1628" s="178" t="s">
        <v>4809</v>
      </c>
      <c r="M1628" s="178"/>
      <c r="N1628" s="185"/>
      <c r="O1628" s="189" t="s">
        <v>4792</v>
      </c>
    </row>
    <row r="1629" ht="14.25" customHeight="1">
      <c r="H1629" s="179" t="str">
        <f t="shared" si="1"/>
        <v>SíPolímero_de_litioEn el aparatoVarias_celdas</v>
      </c>
      <c r="I1629" s="178" t="s">
        <v>4767</v>
      </c>
      <c r="J1629" s="182" t="s">
        <v>4787</v>
      </c>
      <c r="K1629" s="178" t="s">
        <v>4769</v>
      </c>
      <c r="L1629" s="178" t="s">
        <v>4809</v>
      </c>
      <c r="M1629" s="178"/>
      <c r="N1629" s="185"/>
      <c r="O1629" s="189" t="s">
        <v>4792</v>
      </c>
    </row>
    <row r="1630" ht="14.25" customHeight="1">
      <c r="H1630" s="179" t="str">
        <f t="shared" si="1"/>
        <v>SíPolímero_de_litioCon el equipoVarias_celdas</v>
      </c>
      <c r="I1630" s="178" t="s">
        <v>4767</v>
      </c>
      <c r="J1630" s="182" t="s">
        <v>4787</v>
      </c>
      <c r="K1630" s="178" t="s">
        <v>4775</v>
      </c>
      <c r="L1630" s="178" t="s">
        <v>4809</v>
      </c>
      <c r="M1630" s="178"/>
      <c r="N1630" s="185"/>
      <c r="O1630" s="189" t="s">
        <v>4792</v>
      </c>
    </row>
    <row r="1631" ht="14.25" customHeight="1">
      <c r="H1631" s="179" t="str">
        <f t="shared" si="1"/>
        <v>SíPolímero_de_litioIndependienteVarias_celdas</v>
      </c>
      <c r="I1631" s="178" t="s">
        <v>4767</v>
      </c>
      <c r="J1631" s="182" t="s">
        <v>4787</v>
      </c>
      <c r="K1631" s="178" t="s">
        <v>4780</v>
      </c>
      <c r="L1631" s="178" t="s">
        <v>4809</v>
      </c>
      <c r="M1631" s="178"/>
      <c r="N1631" s="185"/>
      <c r="O1631" s="189" t="s">
        <v>4792</v>
      </c>
    </row>
    <row r="1632" ht="14.25" customHeight="1">
      <c r="H1632" s="179" t="str">
        <f t="shared" si="1"/>
        <v>SíÓxido_cobalto_LitioEn el aparatoVarias_celdas</v>
      </c>
      <c r="I1632" s="178" t="s">
        <v>4767</v>
      </c>
      <c r="J1632" s="182" t="s">
        <v>4774</v>
      </c>
      <c r="K1632" s="178" t="s">
        <v>4769</v>
      </c>
      <c r="L1632" s="178" t="s">
        <v>4809</v>
      </c>
      <c r="M1632" s="178"/>
      <c r="N1632" s="185"/>
      <c r="O1632" s="189" t="s">
        <v>4792</v>
      </c>
    </row>
    <row r="1633" ht="14.25" customHeight="1">
      <c r="H1633" s="179" t="str">
        <f t="shared" si="1"/>
        <v>SíÓxido_cobalto_LitioCon el equipoVarias_celdas</v>
      </c>
      <c r="I1633" s="178" t="s">
        <v>4767</v>
      </c>
      <c r="J1633" s="182" t="s">
        <v>4774</v>
      </c>
      <c r="K1633" s="178" t="s">
        <v>4775</v>
      </c>
      <c r="L1633" s="178" t="s">
        <v>4809</v>
      </c>
      <c r="M1633" s="178"/>
      <c r="N1633" s="185"/>
      <c r="O1633" s="189" t="s">
        <v>4792</v>
      </c>
    </row>
    <row r="1634" ht="14.25" customHeight="1">
      <c r="H1634" s="179" t="str">
        <f t="shared" si="1"/>
        <v>SíÓxido_cobalto_LitioIndependienteVarias_celdas</v>
      </c>
      <c r="I1634" s="178" t="s">
        <v>4767</v>
      </c>
      <c r="J1634" s="182" t="s">
        <v>4774</v>
      </c>
      <c r="K1634" s="178" t="s">
        <v>4780</v>
      </c>
      <c r="L1634" s="178" t="s">
        <v>4809</v>
      </c>
      <c r="M1634" s="178"/>
      <c r="N1634" s="185"/>
      <c r="O1634" s="189" t="s">
        <v>4792</v>
      </c>
    </row>
    <row r="1635" ht="14.25" customHeight="1">
      <c r="H1635" s="179" t="str">
        <f t="shared" si="1"/>
        <v>SíÓxido_de_cobalto_de_manganeso_y_litioEn el aparatoVarias_celdas</v>
      </c>
      <c r="I1635" s="178" t="s">
        <v>4767</v>
      </c>
      <c r="J1635" s="182" t="s">
        <v>4785</v>
      </c>
      <c r="K1635" s="178" t="s">
        <v>4769</v>
      </c>
      <c r="L1635" s="178" t="s">
        <v>4809</v>
      </c>
      <c r="M1635" s="178"/>
      <c r="N1635" s="185"/>
      <c r="O1635" s="189" t="s">
        <v>4792</v>
      </c>
    </row>
    <row r="1636" ht="14.25" customHeight="1">
      <c r="H1636" s="179" t="str">
        <f t="shared" si="1"/>
        <v>SíÓxido_de_cobalto_de_manganeso_y_litioCon el equipoVarias_celdas</v>
      </c>
      <c r="I1636" s="178" t="s">
        <v>4767</v>
      </c>
      <c r="J1636" s="182" t="s">
        <v>4785</v>
      </c>
      <c r="K1636" s="178" t="s">
        <v>4775</v>
      </c>
      <c r="L1636" s="178" t="s">
        <v>4809</v>
      </c>
      <c r="M1636" s="178"/>
      <c r="N1636" s="185"/>
      <c r="O1636" s="189" t="s">
        <v>4792</v>
      </c>
    </row>
    <row r="1637" ht="14.25" customHeight="1">
      <c r="H1637" s="179" t="str">
        <f t="shared" si="1"/>
        <v>SíÓxido_de_cobalto_de_manganeso_y_litioIndependienteVarias_celdas</v>
      </c>
      <c r="I1637" s="178" t="s">
        <v>4767</v>
      </c>
      <c r="J1637" s="182" t="s">
        <v>4785</v>
      </c>
      <c r="K1637" s="178" t="s">
        <v>4780</v>
      </c>
      <c r="L1637" s="178" t="s">
        <v>4809</v>
      </c>
      <c r="M1637" s="178"/>
      <c r="N1637" s="185"/>
      <c r="O1637" s="189" t="s">
        <v>4792</v>
      </c>
    </row>
    <row r="1638" ht="14.25" customHeight="1">
      <c r="H1638" s="179" t="str">
        <f t="shared" si="1"/>
        <v>SíLitio_ferrofosfatoEn el aparatoVarias_celdas</v>
      </c>
      <c r="I1638" s="178" t="s">
        <v>4767</v>
      </c>
      <c r="J1638" s="182" t="s">
        <v>4783</v>
      </c>
      <c r="K1638" s="178" t="s">
        <v>4769</v>
      </c>
      <c r="L1638" s="178" t="s">
        <v>4809</v>
      </c>
      <c r="M1638" s="178"/>
      <c r="N1638" s="185"/>
      <c r="O1638" s="189" t="s">
        <v>4792</v>
      </c>
    </row>
    <row r="1639" ht="14.25" customHeight="1">
      <c r="H1639" s="179" t="str">
        <f t="shared" si="1"/>
        <v>SíLitio_ferrofosfatoCon el equipoVarias_celdas</v>
      </c>
      <c r="I1639" s="178" t="s">
        <v>4767</v>
      </c>
      <c r="J1639" s="182" t="s">
        <v>4783</v>
      </c>
      <c r="K1639" s="178" t="s">
        <v>4775</v>
      </c>
      <c r="L1639" s="178" t="s">
        <v>4809</v>
      </c>
      <c r="M1639" s="178"/>
      <c r="N1639" s="185"/>
      <c r="O1639" s="189" t="s">
        <v>4792</v>
      </c>
    </row>
    <row r="1640" ht="14.25" customHeight="1">
      <c r="H1640" s="179" t="str">
        <f t="shared" si="1"/>
        <v>SíLitio_ferrofosfatoIndependienteVarias_celdas</v>
      </c>
      <c r="I1640" s="178" t="s">
        <v>4767</v>
      </c>
      <c r="J1640" s="182" t="s">
        <v>4783</v>
      </c>
      <c r="K1640" s="178" t="s">
        <v>4780</v>
      </c>
      <c r="L1640" s="178" t="s">
        <v>4809</v>
      </c>
      <c r="M1640" s="178"/>
      <c r="N1640" s="185"/>
      <c r="O1640" s="189" t="s">
        <v>4792</v>
      </c>
    </row>
    <row r="1641" ht="14.25" customHeight="1">
      <c r="H1641" s="179" t="str">
        <f t="shared" si="1"/>
        <v>SíTitanato_de_litioEn el aparatoVarias_celdas</v>
      </c>
      <c r="I1641" s="178" t="s">
        <v>4767</v>
      </c>
      <c r="J1641" s="182" t="s">
        <v>4789</v>
      </c>
      <c r="K1641" s="178" t="s">
        <v>4769</v>
      </c>
      <c r="L1641" s="178" t="s">
        <v>4809</v>
      </c>
      <c r="M1641" s="178"/>
      <c r="N1641" s="185"/>
      <c r="O1641" s="189" t="s">
        <v>4792</v>
      </c>
    </row>
    <row r="1642" ht="14.25" customHeight="1">
      <c r="H1642" s="179" t="str">
        <f t="shared" si="1"/>
        <v>SíTitanato_de_litioCon el equipoVarias_celdas</v>
      </c>
      <c r="I1642" s="178" t="s">
        <v>4767</v>
      </c>
      <c r="J1642" s="182" t="s">
        <v>4789</v>
      </c>
      <c r="K1642" s="178" t="s">
        <v>4775</v>
      </c>
      <c r="L1642" s="178" t="s">
        <v>4809</v>
      </c>
      <c r="M1642" s="178"/>
      <c r="N1642" s="185"/>
      <c r="O1642" s="189" t="s">
        <v>4792</v>
      </c>
    </row>
    <row r="1643" ht="14.25" customHeight="1">
      <c r="H1643" s="179" t="str">
        <f t="shared" si="1"/>
        <v>SíTitanato_de_litioIndependienteVarias_celdas</v>
      </c>
      <c r="I1643" s="178" t="s">
        <v>4767</v>
      </c>
      <c r="J1643" s="182" t="s">
        <v>4789</v>
      </c>
      <c r="K1643" s="178" t="s">
        <v>4780</v>
      </c>
      <c r="L1643" s="178" t="s">
        <v>4809</v>
      </c>
      <c r="M1643" s="178"/>
      <c r="N1643" s="185"/>
      <c r="O1643" s="189" t="s">
        <v>4792</v>
      </c>
    </row>
    <row r="1644" ht="14.25" customHeight="1">
      <c r="H1644" s="179" t="str">
        <f t="shared" si="1"/>
        <v>Sí_18650_En el aparatoVarias_celdas</v>
      </c>
      <c r="I1644" s="178" t="s">
        <v>4767</v>
      </c>
      <c r="J1644" s="178" t="s">
        <v>4768</v>
      </c>
      <c r="K1644" s="178" t="s">
        <v>4769</v>
      </c>
      <c r="L1644" s="178" t="s">
        <v>4809</v>
      </c>
      <c r="M1644" s="178"/>
      <c r="N1644" s="185"/>
      <c r="O1644" s="189" t="s">
        <v>4792</v>
      </c>
    </row>
    <row r="1645" ht="14.25" customHeight="1">
      <c r="H1645" s="179" t="str">
        <f t="shared" si="1"/>
        <v>Sí_18650_Con el equipoVarias_celdas</v>
      </c>
      <c r="I1645" s="178" t="s">
        <v>4767</v>
      </c>
      <c r="J1645" s="178" t="s">
        <v>4768</v>
      </c>
      <c r="K1645" s="178" t="s">
        <v>4775</v>
      </c>
      <c r="L1645" s="178" t="s">
        <v>4809</v>
      </c>
      <c r="M1645" s="178"/>
      <c r="N1645" s="185"/>
      <c r="O1645" s="189" t="s">
        <v>4792</v>
      </c>
    </row>
    <row r="1646" ht="14.25" customHeight="1">
      <c r="H1646" s="179" t="str">
        <f t="shared" si="1"/>
        <v>Sí_18650_IndependienteVarias_celdas</v>
      </c>
      <c r="I1646" s="178" t="s">
        <v>4767</v>
      </c>
      <c r="J1646" s="178" t="s">
        <v>4768</v>
      </c>
      <c r="K1646" s="178" t="s">
        <v>4780</v>
      </c>
      <c r="L1646" s="178" t="s">
        <v>4809</v>
      </c>
      <c r="M1646" s="178"/>
      <c r="N1646" s="185"/>
      <c r="O1646" s="189" t="s">
        <v>4792</v>
      </c>
    </row>
    <row r="1647" ht="14.25" customHeight="1">
      <c r="H1647" s="179" t="str">
        <f t="shared" si="1"/>
        <v>SíIon_litioEn el aparatoVarias_celdas</v>
      </c>
      <c r="I1647" s="178" t="s">
        <v>4767</v>
      </c>
      <c r="J1647" s="182" t="s">
        <v>4779</v>
      </c>
      <c r="K1647" s="178" t="s">
        <v>4769</v>
      </c>
      <c r="L1647" s="178" t="s">
        <v>4809</v>
      </c>
      <c r="M1647" s="178"/>
      <c r="N1647" s="185"/>
      <c r="O1647" s="189" t="s">
        <v>4792</v>
      </c>
    </row>
    <row r="1648" ht="14.25" customHeight="1">
      <c r="H1648" s="179" t="str">
        <f t="shared" si="1"/>
        <v>SíIon_litioCon el equipoVarias_celdas</v>
      </c>
      <c r="I1648" s="178" t="s">
        <v>4767</v>
      </c>
      <c r="J1648" s="182" t="s">
        <v>4779</v>
      </c>
      <c r="K1648" s="178" t="s">
        <v>4775</v>
      </c>
      <c r="L1648" s="178" t="s">
        <v>4809</v>
      </c>
      <c r="M1648" s="178"/>
      <c r="N1648" s="185"/>
      <c r="O1648" s="189" t="s">
        <v>4792</v>
      </c>
    </row>
    <row r="1649" ht="14.25" customHeight="1">
      <c r="H1649" s="179" t="str">
        <f t="shared" si="1"/>
        <v>SíIon_litioIndependienteVarias_celdas</v>
      </c>
      <c r="I1649" s="178" t="s">
        <v>4767</v>
      </c>
      <c r="J1649" s="182" t="s">
        <v>4779</v>
      </c>
      <c r="K1649" s="178" t="s">
        <v>4780</v>
      </c>
      <c r="L1649" s="178" t="s">
        <v>4809</v>
      </c>
      <c r="M1649" s="178"/>
      <c r="N1649" s="185"/>
      <c r="O1649" s="189" t="s">
        <v>4792</v>
      </c>
    </row>
    <row r="1650" ht="14.25" customHeight="1">
      <c r="H1650" s="179" t="str">
        <f t="shared" si="1"/>
        <v>SíPolímero_de_litioEn el aparatoVarias_celdas</v>
      </c>
      <c r="I1650" s="178" t="s">
        <v>4767</v>
      </c>
      <c r="J1650" s="182" t="s">
        <v>4787</v>
      </c>
      <c r="K1650" s="178" t="s">
        <v>4769</v>
      </c>
      <c r="L1650" s="178" t="s">
        <v>4809</v>
      </c>
      <c r="M1650" s="178"/>
      <c r="N1650" s="185"/>
      <c r="O1650" s="189" t="s">
        <v>4792</v>
      </c>
    </row>
    <row r="1651" ht="14.25" customHeight="1">
      <c r="H1651" s="179" t="str">
        <f t="shared" si="1"/>
        <v>SíPolímero_de_litioCon el equipoVarias_celdas</v>
      </c>
      <c r="I1651" s="178" t="s">
        <v>4767</v>
      </c>
      <c r="J1651" s="182" t="s">
        <v>4787</v>
      </c>
      <c r="K1651" s="178" t="s">
        <v>4775</v>
      </c>
      <c r="L1651" s="178" t="s">
        <v>4809</v>
      </c>
      <c r="M1651" s="178"/>
      <c r="N1651" s="185"/>
      <c r="O1651" s="189" t="s">
        <v>4792</v>
      </c>
    </row>
    <row r="1652" ht="14.25" customHeight="1">
      <c r="H1652" s="179" t="str">
        <f t="shared" si="1"/>
        <v>SíPolímero_de_litioIndependienteVarias_celdas</v>
      </c>
      <c r="I1652" s="178" t="s">
        <v>4767</v>
      </c>
      <c r="J1652" s="182" t="s">
        <v>4787</v>
      </c>
      <c r="K1652" s="178" t="s">
        <v>4780</v>
      </c>
      <c r="L1652" s="178" t="s">
        <v>4809</v>
      </c>
      <c r="M1652" s="178"/>
      <c r="N1652" s="185"/>
      <c r="O1652" s="189" t="s">
        <v>4792</v>
      </c>
    </row>
    <row r="1653" ht="14.25" customHeight="1">
      <c r="H1653" s="179" t="str">
        <f t="shared" si="1"/>
        <v>SíÓxido_cobalto_LitioEn el aparatoVarias_celdas</v>
      </c>
      <c r="I1653" s="178" t="s">
        <v>4767</v>
      </c>
      <c r="J1653" s="182" t="s">
        <v>4774</v>
      </c>
      <c r="K1653" s="178" t="s">
        <v>4769</v>
      </c>
      <c r="L1653" s="178" t="s">
        <v>4809</v>
      </c>
      <c r="M1653" s="178"/>
      <c r="N1653" s="185"/>
      <c r="O1653" s="189" t="s">
        <v>4792</v>
      </c>
    </row>
    <row r="1654" ht="14.25" customHeight="1">
      <c r="H1654" s="179" t="str">
        <f t="shared" si="1"/>
        <v>SíÓxido_cobalto_LitioCon el equipoVarias_celdas</v>
      </c>
      <c r="I1654" s="178" t="s">
        <v>4767</v>
      </c>
      <c r="J1654" s="182" t="s">
        <v>4774</v>
      </c>
      <c r="K1654" s="178" t="s">
        <v>4775</v>
      </c>
      <c r="L1654" s="178" t="s">
        <v>4809</v>
      </c>
      <c r="M1654" s="178"/>
      <c r="N1654" s="185"/>
      <c r="O1654" s="189" t="s">
        <v>4792</v>
      </c>
    </row>
    <row r="1655" ht="14.25" customHeight="1">
      <c r="H1655" s="179" t="str">
        <f t="shared" si="1"/>
        <v>SíÓxido_cobalto_LitioIndependienteVarias_celdas</v>
      </c>
      <c r="I1655" s="178" t="s">
        <v>4767</v>
      </c>
      <c r="J1655" s="182" t="s">
        <v>4774</v>
      </c>
      <c r="K1655" s="178" t="s">
        <v>4780</v>
      </c>
      <c r="L1655" s="178" t="s">
        <v>4809</v>
      </c>
      <c r="M1655" s="178"/>
      <c r="N1655" s="185"/>
      <c r="O1655" s="189" t="s">
        <v>4792</v>
      </c>
    </row>
    <row r="1656" ht="14.25" customHeight="1">
      <c r="H1656" s="179" t="str">
        <f t="shared" si="1"/>
        <v>SíÓxido_de_cobalto_de_manganeso_y_litioEn el aparatoVarias_celdas</v>
      </c>
      <c r="I1656" s="178" t="s">
        <v>4767</v>
      </c>
      <c r="J1656" s="182" t="s">
        <v>4785</v>
      </c>
      <c r="K1656" s="178" t="s">
        <v>4769</v>
      </c>
      <c r="L1656" s="178" t="s">
        <v>4809</v>
      </c>
      <c r="M1656" s="178"/>
      <c r="N1656" s="185"/>
      <c r="O1656" s="189" t="s">
        <v>4792</v>
      </c>
    </row>
    <row r="1657" ht="14.25" customHeight="1">
      <c r="H1657" s="179" t="str">
        <f t="shared" si="1"/>
        <v>SíÓxido_de_cobalto_de_manganeso_y_litioCon el equipoVarias_celdas</v>
      </c>
      <c r="I1657" s="178" t="s">
        <v>4767</v>
      </c>
      <c r="J1657" s="182" t="s">
        <v>4785</v>
      </c>
      <c r="K1657" s="178" t="s">
        <v>4775</v>
      </c>
      <c r="L1657" s="178" t="s">
        <v>4809</v>
      </c>
      <c r="M1657" s="178"/>
      <c r="N1657" s="185"/>
      <c r="O1657" s="189" t="s">
        <v>4792</v>
      </c>
    </row>
    <row r="1658" ht="14.25" customHeight="1">
      <c r="H1658" s="179" t="str">
        <f t="shared" si="1"/>
        <v>SíÓxido_de_cobalto_de_manganeso_y_litioIndependienteVarias_celdas</v>
      </c>
      <c r="I1658" s="178" t="s">
        <v>4767</v>
      </c>
      <c r="J1658" s="182" t="s">
        <v>4785</v>
      </c>
      <c r="K1658" s="178" t="s">
        <v>4780</v>
      </c>
      <c r="L1658" s="178" t="s">
        <v>4809</v>
      </c>
      <c r="M1658" s="178"/>
      <c r="N1658" s="185"/>
      <c r="O1658" s="189" t="s">
        <v>4792</v>
      </c>
    </row>
    <row r="1659" ht="14.25" customHeight="1">
      <c r="H1659" s="179" t="str">
        <f t="shared" si="1"/>
        <v>SíLitio_ferrofosfatoEn el aparatoVarias_celdas</v>
      </c>
      <c r="I1659" s="178" t="s">
        <v>4767</v>
      </c>
      <c r="J1659" s="182" t="s">
        <v>4783</v>
      </c>
      <c r="K1659" s="178" t="s">
        <v>4769</v>
      </c>
      <c r="L1659" s="178" t="s">
        <v>4809</v>
      </c>
      <c r="M1659" s="178"/>
      <c r="N1659" s="185"/>
      <c r="O1659" s="189" t="s">
        <v>4792</v>
      </c>
    </row>
    <row r="1660" ht="14.25" customHeight="1">
      <c r="H1660" s="179" t="str">
        <f t="shared" si="1"/>
        <v>SíLitio_ferrofosfatoCon el equipoVarias_celdas</v>
      </c>
      <c r="I1660" s="178" t="s">
        <v>4767</v>
      </c>
      <c r="J1660" s="182" t="s">
        <v>4783</v>
      </c>
      <c r="K1660" s="178" t="s">
        <v>4775</v>
      </c>
      <c r="L1660" s="178" t="s">
        <v>4809</v>
      </c>
      <c r="M1660" s="178"/>
      <c r="N1660" s="185"/>
      <c r="O1660" s="189" t="s">
        <v>4792</v>
      </c>
    </row>
    <row r="1661" ht="14.25" customHeight="1">
      <c r="H1661" s="179" t="str">
        <f t="shared" si="1"/>
        <v>SíLitio_ferrofosfatoIndependienteVarias_celdas</v>
      </c>
      <c r="I1661" s="178" t="s">
        <v>4767</v>
      </c>
      <c r="J1661" s="182" t="s">
        <v>4783</v>
      </c>
      <c r="K1661" s="178" t="s">
        <v>4780</v>
      </c>
      <c r="L1661" s="178" t="s">
        <v>4809</v>
      </c>
      <c r="M1661" s="178"/>
      <c r="N1661" s="185"/>
      <c r="O1661" s="189" t="s">
        <v>4792</v>
      </c>
    </row>
    <row r="1662" ht="14.25" customHeight="1">
      <c r="H1662" s="179" t="str">
        <f t="shared" si="1"/>
        <v>SíTitanato_de_litioEn el aparatoVarias_celdas</v>
      </c>
      <c r="I1662" s="178" t="s">
        <v>4767</v>
      </c>
      <c r="J1662" s="182" t="s">
        <v>4789</v>
      </c>
      <c r="K1662" s="178" t="s">
        <v>4769</v>
      </c>
      <c r="L1662" s="178" t="s">
        <v>4809</v>
      </c>
      <c r="M1662" s="178"/>
      <c r="N1662" s="185"/>
      <c r="O1662" s="189" t="s">
        <v>4792</v>
      </c>
    </row>
    <row r="1663" ht="14.25" customHeight="1">
      <c r="H1663" s="179" t="str">
        <f t="shared" si="1"/>
        <v>SíTitanato_de_litioCon el equipoVarias_celdas</v>
      </c>
      <c r="I1663" s="178" t="s">
        <v>4767</v>
      </c>
      <c r="J1663" s="182" t="s">
        <v>4789</v>
      </c>
      <c r="K1663" s="178" t="s">
        <v>4775</v>
      </c>
      <c r="L1663" s="178" t="s">
        <v>4809</v>
      </c>
      <c r="M1663" s="178"/>
      <c r="N1663" s="185"/>
      <c r="O1663" s="189" t="s">
        <v>4792</v>
      </c>
    </row>
    <row r="1664" ht="14.25" customHeight="1">
      <c r="H1664" s="179" t="str">
        <f t="shared" si="1"/>
        <v>SíTitanato_de_litioIndependienteVarias_celdas</v>
      </c>
      <c r="I1664" s="178" t="s">
        <v>4767</v>
      </c>
      <c r="J1664" s="182" t="s">
        <v>4789</v>
      </c>
      <c r="K1664" s="178" t="s">
        <v>4780</v>
      </c>
      <c r="L1664" s="178" t="s">
        <v>4809</v>
      </c>
      <c r="M1664" s="178"/>
      <c r="N1664" s="185"/>
      <c r="O1664" s="189" t="s">
        <v>4792</v>
      </c>
    </row>
    <row r="1665" ht="14.25" customHeight="1">
      <c r="H1665" s="179" t="str">
        <f t="shared" si="1"/>
        <v>Sí_18650_En el aparatoVarias_celdas</v>
      </c>
      <c r="I1665" s="178" t="s">
        <v>4767</v>
      </c>
      <c r="J1665" s="178" t="s">
        <v>4768</v>
      </c>
      <c r="K1665" s="178" t="s">
        <v>4769</v>
      </c>
      <c r="L1665" s="178" t="s">
        <v>4809</v>
      </c>
      <c r="M1665" s="178"/>
      <c r="N1665" s="185"/>
      <c r="O1665" s="189" t="s">
        <v>4792</v>
      </c>
    </row>
    <row r="1666" ht="14.25" customHeight="1">
      <c r="H1666" s="179" t="str">
        <f t="shared" si="1"/>
        <v>Sí_18650_Con el equipoVarias_celdas</v>
      </c>
      <c r="I1666" s="178" t="s">
        <v>4767</v>
      </c>
      <c r="J1666" s="178" t="s">
        <v>4768</v>
      </c>
      <c r="K1666" s="178" t="s">
        <v>4775</v>
      </c>
      <c r="L1666" s="178" t="s">
        <v>4809</v>
      </c>
      <c r="M1666" s="178"/>
      <c r="N1666" s="185"/>
      <c r="O1666" s="189" t="s">
        <v>4792</v>
      </c>
    </row>
    <row r="1667" ht="14.25" customHeight="1">
      <c r="H1667" s="179" t="str">
        <f t="shared" si="1"/>
        <v>Sí_18650_IndependienteVarias_celdas</v>
      </c>
      <c r="I1667" s="178" t="s">
        <v>4767</v>
      </c>
      <c r="J1667" s="178" t="s">
        <v>4768</v>
      </c>
      <c r="K1667" s="178" t="s">
        <v>4780</v>
      </c>
      <c r="L1667" s="178" t="s">
        <v>4809</v>
      </c>
      <c r="M1667" s="178"/>
      <c r="N1667" s="185"/>
      <c r="O1667" s="189" t="s">
        <v>4792</v>
      </c>
    </row>
    <row r="1668" ht="14.25" customHeight="1">
      <c r="H1668" s="179" t="str">
        <f t="shared" si="1"/>
        <v>SíIon_litioEn el aparatoVarias_celdas</v>
      </c>
      <c r="I1668" s="178" t="s">
        <v>4767</v>
      </c>
      <c r="J1668" s="182" t="s">
        <v>4779</v>
      </c>
      <c r="K1668" s="178" t="s">
        <v>4769</v>
      </c>
      <c r="L1668" s="178" t="s">
        <v>4809</v>
      </c>
      <c r="M1668" s="178"/>
      <c r="N1668" s="185"/>
      <c r="O1668" s="189" t="s">
        <v>4792</v>
      </c>
    </row>
    <row r="1669" ht="14.25" customHeight="1">
      <c r="H1669" s="179" t="str">
        <f t="shared" si="1"/>
        <v>SíIon_litioCon el equipoVarias_celdas</v>
      </c>
      <c r="I1669" s="178" t="s">
        <v>4767</v>
      </c>
      <c r="J1669" s="182" t="s">
        <v>4779</v>
      </c>
      <c r="K1669" s="178" t="s">
        <v>4775</v>
      </c>
      <c r="L1669" s="178" t="s">
        <v>4809</v>
      </c>
      <c r="M1669" s="178"/>
      <c r="N1669" s="185"/>
      <c r="O1669" s="189" t="s">
        <v>4792</v>
      </c>
    </row>
    <row r="1670" ht="14.25" customHeight="1">
      <c r="H1670" s="179" t="str">
        <f t="shared" si="1"/>
        <v>SíIon_litioIndependienteVarias_celdas</v>
      </c>
      <c r="I1670" s="178" t="s">
        <v>4767</v>
      </c>
      <c r="J1670" s="182" t="s">
        <v>4779</v>
      </c>
      <c r="K1670" s="178" t="s">
        <v>4780</v>
      </c>
      <c r="L1670" s="178" t="s">
        <v>4809</v>
      </c>
      <c r="M1670" s="178"/>
      <c r="N1670" s="185"/>
      <c r="O1670" s="189" t="s">
        <v>4792</v>
      </c>
    </row>
    <row r="1671" ht="14.25" customHeight="1">
      <c r="H1671" s="179" t="str">
        <f t="shared" si="1"/>
        <v>SíPolímero_de_litioEn el aparatoVarias_celdas</v>
      </c>
      <c r="I1671" s="178" t="s">
        <v>4767</v>
      </c>
      <c r="J1671" s="182" t="s">
        <v>4787</v>
      </c>
      <c r="K1671" s="178" t="s">
        <v>4769</v>
      </c>
      <c r="L1671" s="178" t="s">
        <v>4809</v>
      </c>
      <c r="M1671" s="178"/>
      <c r="N1671" s="185"/>
      <c r="O1671" s="189" t="s">
        <v>4792</v>
      </c>
    </row>
    <row r="1672" ht="14.25" customHeight="1">
      <c r="H1672" s="179" t="str">
        <f t="shared" si="1"/>
        <v>SíPolímero_de_litioCon el equipoVarias_celdas</v>
      </c>
      <c r="I1672" s="178" t="s">
        <v>4767</v>
      </c>
      <c r="J1672" s="182" t="s">
        <v>4787</v>
      </c>
      <c r="K1672" s="178" t="s">
        <v>4775</v>
      </c>
      <c r="L1672" s="178" t="s">
        <v>4809</v>
      </c>
      <c r="M1672" s="178"/>
      <c r="N1672" s="185"/>
      <c r="O1672" s="189" t="s">
        <v>4792</v>
      </c>
    </row>
    <row r="1673" ht="14.25" customHeight="1">
      <c r="H1673" s="179" t="str">
        <f t="shared" si="1"/>
        <v>SíPolímero_de_litioIndependienteVarias_celdas</v>
      </c>
      <c r="I1673" s="178" t="s">
        <v>4767</v>
      </c>
      <c r="J1673" s="182" t="s">
        <v>4787</v>
      </c>
      <c r="K1673" s="178" t="s">
        <v>4780</v>
      </c>
      <c r="L1673" s="178" t="s">
        <v>4809</v>
      </c>
      <c r="M1673" s="178"/>
      <c r="N1673" s="185"/>
      <c r="O1673" s="189" t="s">
        <v>4792</v>
      </c>
    </row>
    <row r="1674" ht="14.25" customHeight="1">
      <c r="H1674" s="179" t="str">
        <f t="shared" si="1"/>
        <v>SíÓxido_cobalto_LitioEn el aparatoVarias_celdas</v>
      </c>
      <c r="I1674" s="178" t="s">
        <v>4767</v>
      </c>
      <c r="J1674" s="182" t="s">
        <v>4774</v>
      </c>
      <c r="K1674" s="178" t="s">
        <v>4769</v>
      </c>
      <c r="L1674" s="178" t="s">
        <v>4809</v>
      </c>
      <c r="M1674" s="178"/>
      <c r="N1674" s="185"/>
      <c r="O1674" s="189" t="s">
        <v>4792</v>
      </c>
    </row>
    <row r="1675" ht="14.25" customHeight="1">
      <c r="H1675" s="179" t="str">
        <f t="shared" si="1"/>
        <v>SíÓxido_cobalto_LitioCon el equipoVarias_celdas</v>
      </c>
      <c r="I1675" s="178" t="s">
        <v>4767</v>
      </c>
      <c r="J1675" s="182" t="s">
        <v>4774</v>
      </c>
      <c r="K1675" s="178" t="s">
        <v>4775</v>
      </c>
      <c r="L1675" s="178" t="s">
        <v>4809</v>
      </c>
      <c r="M1675" s="178"/>
      <c r="N1675" s="185"/>
      <c r="O1675" s="189" t="s">
        <v>4792</v>
      </c>
    </row>
    <row r="1676" ht="14.25" customHeight="1">
      <c r="H1676" s="179" t="str">
        <f t="shared" si="1"/>
        <v>SíÓxido_cobalto_LitioIndependienteVarias_celdas</v>
      </c>
      <c r="I1676" s="178" t="s">
        <v>4767</v>
      </c>
      <c r="J1676" s="182" t="s">
        <v>4774</v>
      </c>
      <c r="K1676" s="178" t="s">
        <v>4780</v>
      </c>
      <c r="L1676" s="178" t="s">
        <v>4809</v>
      </c>
      <c r="M1676" s="178"/>
      <c r="N1676" s="185"/>
      <c r="O1676" s="189" t="s">
        <v>4792</v>
      </c>
    </row>
    <row r="1677" ht="14.25" customHeight="1">
      <c r="H1677" s="179" t="str">
        <f t="shared" si="1"/>
        <v>SíÓxido_de_cobalto_de_manganeso_y_litioEn el aparatoVarias_celdas</v>
      </c>
      <c r="I1677" s="178" t="s">
        <v>4767</v>
      </c>
      <c r="J1677" s="182" t="s">
        <v>4785</v>
      </c>
      <c r="K1677" s="178" t="s">
        <v>4769</v>
      </c>
      <c r="L1677" s="178" t="s">
        <v>4809</v>
      </c>
      <c r="M1677" s="178"/>
      <c r="N1677" s="185"/>
      <c r="O1677" s="189" t="s">
        <v>4792</v>
      </c>
    </row>
    <row r="1678" ht="14.25" customHeight="1">
      <c r="H1678" s="179" t="str">
        <f t="shared" si="1"/>
        <v>SíÓxido_de_cobalto_de_manganeso_y_litioCon el equipoVarias_celdas</v>
      </c>
      <c r="I1678" s="178" t="s">
        <v>4767</v>
      </c>
      <c r="J1678" s="182" t="s">
        <v>4785</v>
      </c>
      <c r="K1678" s="178" t="s">
        <v>4775</v>
      </c>
      <c r="L1678" s="178" t="s">
        <v>4809</v>
      </c>
      <c r="M1678" s="178"/>
      <c r="N1678" s="185"/>
      <c r="O1678" s="189" t="s">
        <v>4792</v>
      </c>
    </row>
    <row r="1679" ht="14.25" customHeight="1">
      <c r="H1679" s="179" t="str">
        <f t="shared" si="1"/>
        <v>SíÓxido_de_cobalto_de_manganeso_y_litioIndependienteVarias_celdas</v>
      </c>
      <c r="I1679" s="178" t="s">
        <v>4767</v>
      </c>
      <c r="J1679" s="182" t="s">
        <v>4785</v>
      </c>
      <c r="K1679" s="178" t="s">
        <v>4780</v>
      </c>
      <c r="L1679" s="178" t="s">
        <v>4809</v>
      </c>
      <c r="M1679" s="178"/>
      <c r="N1679" s="185"/>
      <c r="O1679" s="189" t="s">
        <v>4792</v>
      </c>
    </row>
    <row r="1680" ht="14.25" customHeight="1">
      <c r="H1680" s="179" t="str">
        <f t="shared" si="1"/>
        <v>SíLitio_ferrofosfatoEn el aparatoVarias_celdas</v>
      </c>
      <c r="I1680" s="178" t="s">
        <v>4767</v>
      </c>
      <c r="J1680" s="182" t="s">
        <v>4783</v>
      </c>
      <c r="K1680" s="178" t="s">
        <v>4769</v>
      </c>
      <c r="L1680" s="178" t="s">
        <v>4809</v>
      </c>
      <c r="M1680" s="178"/>
      <c r="N1680" s="185"/>
      <c r="O1680" s="189" t="s">
        <v>4792</v>
      </c>
    </row>
    <row r="1681" ht="14.25" customHeight="1">
      <c r="H1681" s="179" t="str">
        <f t="shared" si="1"/>
        <v>SíLitio_ferrofosfatoCon el equipoVarias_celdas</v>
      </c>
      <c r="I1681" s="178" t="s">
        <v>4767</v>
      </c>
      <c r="J1681" s="182" t="s">
        <v>4783</v>
      </c>
      <c r="K1681" s="178" t="s">
        <v>4775</v>
      </c>
      <c r="L1681" s="178" t="s">
        <v>4809</v>
      </c>
      <c r="M1681" s="178"/>
      <c r="N1681" s="185"/>
      <c r="O1681" s="189" t="s">
        <v>4792</v>
      </c>
    </row>
    <row r="1682" ht="14.25" customHeight="1">
      <c r="H1682" s="179" t="str">
        <f t="shared" si="1"/>
        <v>SíLitio_ferrofosfatoIndependienteVarias_celdas</v>
      </c>
      <c r="I1682" s="178" t="s">
        <v>4767</v>
      </c>
      <c r="J1682" s="182" t="s">
        <v>4783</v>
      </c>
      <c r="K1682" s="178" t="s">
        <v>4780</v>
      </c>
      <c r="L1682" s="178" t="s">
        <v>4809</v>
      </c>
      <c r="M1682" s="178"/>
      <c r="N1682" s="185"/>
      <c r="O1682" s="189" t="s">
        <v>4792</v>
      </c>
    </row>
    <row r="1683" ht="14.25" customHeight="1">
      <c r="H1683" s="179" t="str">
        <f t="shared" si="1"/>
        <v>SíTitanato_de_litioEn el aparatoVarias_celdas</v>
      </c>
      <c r="I1683" s="178" t="s">
        <v>4767</v>
      </c>
      <c r="J1683" s="182" t="s">
        <v>4789</v>
      </c>
      <c r="K1683" s="178" t="s">
        <v>4769</v>
      </c>
      <c r="L1683" s="178" t="s">
        <v>4809</v>
      </c>
      <c r="M1683" s="178"/>
      <c r="N1683" s="185"/>
      <c r="O1683" s="189" t="s">
        <v>4792</v>
      </c>
    </row>
    <row r="1684" ht="14.25" customHeight="1">
      <c r="H1684" s="179" t="str">
        <f t="shared" si="1"/>
        <v>SíTitanato_de_litioCon el equipoVarias_celdas</v>
      </c>
      <c r="I1684" s="178" t="s">
        <v>4767</v>
      </c>
      <c r="J1684" s="182" t="s">
        <v>4789</v>
      </c>
      <c r="K1684" s="178" t="s">
        <v>4775</v>
      </c>
      <c r="L1684" s="178" t="s">
        <v>4809</v>
      </c>
      <c r="M1684" s="178"/>
      <c r="N1684" s="185"/>
      <c r="O1684" s="189" t="s">
        <v>4792</v>
      </c>
    </row>
    <row r="1685" ht="14.25" customHeight="1">
      <c r="H1685" s="179" t="str">
        <f t="shared" si="1"/>
        <v>SíTitanato_de_litioIndependienteVarias_celdas</v>
      </c>
      <c r="I1685" s="178" t="s">
        <v>4767</v>
      </c>
      <c r="J1685" s="182" t="s">
        <v>4789</v>
      </c>
      <c r="K1685" s="178" t="s">
        <v>4780</v>
      </c>
      <c r="L1685" s="178" t="s">
        <v>4809</v>
      </c>
      <c r="M1685" s="178"/>
      <c r="N1685" s="185"/>
      <c r="O1685" s="189" t="s">
        <v>4792</v>
      </c>
    </row>
    <row r="1686" ht="14.25" customHeight="1">
      <c r="H1686" s="179" t="str">
        <f t="shared" si="1"/>
        <v>Sí_18650_En el aparatoVarias_celdas</v>
      </c>
      <c r="I1686" s="178" t="s">
        <v>4767</v>
      </c>
      <c r="J1686" s="178" t="s">
        <v>4768</v>
      </c>
      <c r="K1686" s="178" t="s">
        <v>4769</v>
      </c>
      <c r="L1686" s="178" t="s">
        <v>4809</v>
      </c>
      <c r="M1686" s="178"/>
      <c r="N1686" s="185"/>
      <c r="O1686" s="189" t="s">
        <v>4792</v>
      </c>
    </row>
    <row r="1687" ht="14.25" customHeight="1">
      <c r="H1687" s="179" t="str">
        <f t="shared" si="1"/>
        <v>Sí_18650_Con el equipoVarias_celdas</v>
      </c>
      <c r="I1687" s="178" t="s">
        <v>4767</v>
      </c>
      <c r="J1687" s="178" t="s">
        <v>4768</v>
      </c>
      <c r="K1687" s="178" t="s">
        <v>4775</v>
      </c>
      <c r="L1687" s="178" t="s">
        <v>4809</v>
      </c>
      <c r="M1687" s="178"/>
      <c r="N1687" s="185"/>
      <c r="O1687" s="189" t="s">
        <v>4792</v>
      </c>
    </row>
    <row r="1688" ht="14.25" customHeight="1">
      <c r="H1688" s="179" t="str">
        <f t="shared" si="1"/>
        <v>Sí_18650_IndependienteVarias_celdas</v>
      </c>
      <c r="I1688" s="178" t="s">
        <v>4767</v>
      </c>
      <c r="J1688" s="178" t="s">
        <v>4768</v>
      </c>
      <c r="K1688" s="178" t="s">
        <v>4780</v>
      </c>
      <c r="L1688" s="178" t="s">
        <v>4809</v>
      </c>
      <c r="M1688" s="178"/>
      <c r="N1688" s="185"/>
      <c r="O1688" s="189" t="s">
        <v>4792</v>
      </c>
    </row>
    <row r="1689" ht="14.25" customHeight="1">
      <c r="H1689" s="179" t="str">
        <f t="shared" si="1"/>
        <v>SíIon_litioEn el aparatoVarias_celdas</v>
      </c>
      <c r="I1689" s="178" t="s">
        <v>4767</v>
      </c>
      <c r="J1689" s="182" t="s">
        <v>4779</v>
      </c>
      <c r="K1689" s="178" t="s">
        <v>4769</v>
      </c>
      <c r="L1689" s="178" t="s">
        <v>4809</v>
      </c>
      <c r="M1689" s="178"/>
      <c r="N1689" s="185"/>
      <c r="O1689" s="189" t="s">
        <v>4792</v>
      </c>
    </row>
    <row r="1690" ht="14.25" customHeight="1">
      <c r="H1690" s="179" t="str">
        <f t="shared" si="1"/>
        <v>SíIon_litioCon el equipoVarias_celdas</v>
      </c>
      <c r="I1690" s="178" t="s">
        <v>4767</v>
      </c>
      <c r="J1690" s="182" t="s">
        <v>4779</v>
      </c>
      <c r="K1690" s="178" t="s">
        <v>4775</v>
      </c>
      <c r="L1690" s="178" t="s">
        <v>4809</v>
      </c>
      <c r="M1690" s="178"/>
      <c r="N1690" s="185"/>
      <c r="O1690" s="189" t="s">
        <v>4792</v>
      </c>
    </row>
    <row r="1691" ht="14.25" customHeight="1">
      <c r="H1691" s="179" t="str">
        <f t="shared" si="1"/>
        <v>SíIon_litioIndependienteVarias_celdas</v>
      </c>
      <c r="I1691" s="178" t="s">
        <v>4767</v>
      </c>
      <c r="J1691" s="182" t="s">
        <v>4779</v>
      </c>
      <c r="K1691" s="178" t="s">
        <v>4780</v>
      </c>
      <c r="L1691" s="178" t="s">
        <v>4809</v>
      </c>
      <c r="M1691" s="178"/>
      <c r="N1691" s="185"/>
      <c r="O1691" s="189" t="s">
        <v>4792</v>
      </c>
    </row>
    <row r="1692" ht="14.25" customHeight="1">
      <c r="H1692" s="179" t="str">
        <f t="shared" si="1"/>
        <v>SíPolímero_de_litioEn el aparatoVarias_celdas</v>
      </c>
      <c r="I1692" s="178" t="s">
        <v>4767</v>
      </c>
      <c r="J1692" s="182" t="s">
        <v>4787</v>
      </c>
      <c r="K1692" s="178" t="s">
        <v>4769</v>
      </c>
      <c r="L1692" s="178" t="s">
        <v>4809</v>
      </c>
      <c r="M1692" s="178"/>
      <c r="N1692" s="185"/>
      <c r="O1692" s="189" t="s">
        <v>4792</v>
      </c>
    </row>
    <row r="1693" ht="14.25" customHeight="1">
      <c r="H1693" s="179" t="str">
        <f t="shared" si="1"/>
        <v>SíPolímero_de_litioCon el equipoVarias_celdas</v>
      </c>
      <c r="I1693" s="178" t="s">
        <v>4767</v>
      </c>
      <c r="J1693" s="182" t="s">
        <v>4787</v>
      </c>
      <c r="K1693" s="178" t="s">
        <v>4775</v>
      </c>
      <c r="L1693" s="178" t="s">
        <v>4809</v>
      </c>
      <c r="M1693" s="178"/>
      <c r="N1693" s="185"/>
      <c r="O1693" s="189" t="s">
        <v>4792</v>
      </c>
    </row>
    <row r="1694" ht="14.25" customHeight="1">
      <c r="H1694" s="179" t="str">
        <f t="shared" si="1"/>
        <v>SíPolímero_de_litioIndependienteVarias_celdas</v>
      </c>
      <c r="I1694" s="178" t="s">
        <v>4767</v>
      </c>
      <c r="J1694" s="182" t="s">
        <v>4787</v>
      </c>
      <c r="K1694" s="178" t="s">
        <v>4780</v>
      </c>
      <c r="L1694" s="178" t="s">
        <v>4809</v>
      </c>
      <c r="M1694" s="178"/>
      <c r="N1694" s="185"/>
      <c r="O1694" s="189" t="s">
        <v>4792</v>
      </c>
    </row>
    <row r="1695" ht="14.25" customHeight="1">
      <c r="H1695" s="179" t="str">
        <f t="shared" si="1"/>
        <v>SíÓxido_cobalto_LitioEn el aparatoVarias_celdas</v>
      </c>
      <c r="I1695" s="178" t="s">
        <v>4767</v>
      </c>
      <c r="J1695" s="182" t="s">
        <v>4774</v>
      </c>
      <c r="K1695" s="178" t="s">
        <v>4769</v>
      </c>
      <c r="L1695" s="178" t="s">
        <v>4809</v>
      </c>
      <c r="M1695" s="178"/>
      <c r="N1695" s="185"/>
      <c r="O1695" s="189" t="s">
        <v>4792</v>
      </c>
    </row>
    <row r="1696" ht="14.25" customHeight="1">
      <c r="H1696" s="179" t="str">
        <f t="shared" si="1"/>
        <v>SíÓxido_cobalto_LitioCon el equipoVarias_celdas</v>
      </c>
      <c r="I1696" s="178" t="s">
        <v>4767</v>
      </c>
      <c r="J1696" s="182" t="s">
        <v>4774</v>
      </c>
      <c r="K1696" s="178" t="s">
        <v>4775</v>
      </c>
      <c r="L1696" s="178" t="s">
        <v>4809</v>
      </c>
      <c r="M1696" s="178"/>
      <c r="N1696" s="185"/>
      <c r="O1696" s="189" t="s">
        <v>4792</v>
      </c>
    </row>
    <row r="1697" ht="14.25" customHeight="1">
      <c r="H1697" s="179" t="str">
        <f t="shared" si="1"/>
        <v>SíÓxido_cobalto_LitioIndependienteVarias_celdas</v>
      </c>
      <c r="I1697" s="178" t="s">
        <v>4767</v>
      </c>
      <c r="J1697" s="182" t="s">
        <v>4774</v>
      </c>
      <c r="K1697" s="178" t="s">
        <v>4780</v>
      </c>
      <c r="L1697" s="178" t="s">
        <v>4809</v>
      </c>
      <c r="M1697" s="178"/>
      <c r="N1697" s="185"/>
      <c r="O1697" s="189" t="s">
        <v>4792</v>
      </c>
    </row>
    <row r="1698" ht="14.25" customHeight="1">
      <c r="H1698" s="179" t="str">
        <f t="shared" si="1"/>
        <v>SíÓxido_de_cobalto_de_manganeso_y_litioEn el aparatoVarias_celdas</v>
      </c>
      <c r="I1698" s="178" t="s">
        <v>4767</v>
      </c>
      <c r="J1698" s="182" t="s">
        <v>4785</v>
      </c>
      <c r="K1698" s="178" t="s">
        <v>4769</v>
      </c>
      <c r="L1698" s="178" t="s">
        <v>4809</v>
      </c>
      <c r="M1698" s="178"/>
      <c r="N1698" s="185"/>
      <c r="O1698" s="189" t="s">
        <v>4792</v>
      </c>
    </row>
    <row r="1699" ht="14.25" customHeight="1">
      <c r="H1699" s="179" t="str">
        <f t="shared" si="1"/>
        <v>SíÓxido_de_cobalto_de_manganeso_y_litioCon el equipoVarias_celdas</v>
      </c>
      <c r="I1699" s="178" t="s">
        <v>4767</v>
      </c>
      <c r="J1699" s="182" t="s">
        <v>4785</v>
      </c>
      <c r="K1699" s="178" t="s">
        <v>4775</v>
      </c>
      <c r="L1699" s="178" t="s">
        <v>4809</v>
      </c>
      <c r="M1699" s="178"/>
      <c r="N1699" s="185"/>
      <c r="O1699" s="189" t="s">
        <v>4792</v>
      </c>
    </row>
    <row r="1700" ht="14.25" customHeight="1">
      <c r="H1700" s="179" t="str">
        <f t="shared" si="1"/>
        <v>SíÓxido_de_cobalto_de_manganeso_y_litioIndependienteVarias_celdas</v>
      </c>
      <c r="I1700" s="178" t="s">
        <v>4767</v>
      </c>
      <c r="J1700" s="182" t="s">
        <v>4785</v>
      </c>
      <c r="K1700" s="178" t="s">
        <v>4780</v>
      </c>
      <c r="L1700" s="178" t="s">
        <v>4809</v>
      </c>
      <c r="M1700" s="178"/>
      <c r="N1700" s="185"/>
      <c r="O1700" s="189" t="s">
        <v>4792</v>
      </c>
    </row>
    <row r="1701" ht="14.25" customHeight="1">
      <c r="H1701" s="179" t="str">
        <f t="shared" si="1"/>
        <v>SíLitio_ferrofosfatoEn el aparatoVarias_celdas</v>
      </c>
      <c r="I1701" s="178" t="s">
        <v>4767</v>
      </c>
      <c r="J1701" s="182" t="s">
        <v>4783</v>
      </c>
      <c r="K1701" s="178" t="s">
        <v>4769</v>
      </c>
      <c r="L1701" s="178" t="s">
        <v>4809</v>
      </c>
      <c r="M1701" s="178"/>
      <c r="N1701" s="185"/>
      <c r="O1701" s="189" t="s">
        <v>4792</v>
      </c>
    </row>
    <row r="1702" ht="14.25" customHeight="1">
      <c r="H1702" s="179" t="str">
        <f t="shared" si="1"/>
        <v>SíLitio_ferrofosfatoCon el equipoVarias_celdas</v>
      </c>
      <c r="I1702" s="178" t="s">
        <v>4767</v>
      </c>
      <c r="J1702" s="182" t="s">
        <v>4783</v>
      </c>
      <c r="K1702" s="178" t="s">
        <v>4775</v>
      </c>
      <c r="L1702" s="178" t="s">
        <v>4809</v>
      </c>
      <c r="M1702" s="178"/>
      <c r="N1702" s="185"/>
      <c r="O1702" s="189" t="s">
        <v>4792</v>
      </c>
    </row>
    <row r="1703" ht="14.25" customHeight="1">
      <c r="H1703" s="179" t="str">
        <f t="shared" si="1"/>
        <v>SíLitio_ferrofosfatoIndependienteVarias_celdas</v>
      </c>
      <c r="I1703" s="178" t="s">
        <v>4767</v>
      </c>
      <c r="J1703" s="182" t="s">
        <v>4783</v>
      </c>
      <c r="K1703" s="178" t="s">
        <v>4780</v>
      </c>
      <c r="L1703" s="178" t="s">
        <v>4809</v>
      </c>
      <c r="M1703" s="178"/>
      <c r="N1703" s="185"/>
      <c r="O1703" s="189" t="s">
        <v>4792</v>
      </c>
    </row>
    <row r="1704" ht="14.25" customHeight="1">
      <c r="H1704" s="179" t="str">
        <f t="shared" si="1"/>
        <v>SíTitanato_de_litioEn el aparatoVarias_celdas</v>
      </c>
      <c r="I1704" s="178" t="s">
        <v>4767</v>
      </c>
      <c r="J1704" s="182" t="s">
        <v>4789</v>
      </c>
      <c r="K1704" s="178" t="s">
        <v>4769</v>
      </c>
      <c r="L1704" s="178" t="s">
        <v>4809</v>
      </c>
      <c r="M1704" s="178"/>
      <c r="N1704" s="185"/>
      <c r="O1704" s="189" t="s">
        <v>4792</v>
      </c>
    </row>
    <row r="1705" ht="14.25" customHeight="1">
      <c r="H1705" s="179" t="str">
        <f t="shared" si="1"/>
        <v>SíTitanato_de_litioCon el equipoVarias_celdas</v>
      </c>
      <c r="I1705" s="178" t="s">
        <v>4767</v>
      </c>
      <c r="J1705" s="182" t="s">
        <v>4789</v>
      </c>
      <c r="K1705" s="178" t="s">
        <v>4775</v>
      </c>
      <c r="L1705" s="178" t="s">
        <v>4809</v>
      </c>
      <c r="M1705" s="178"/>
      <c r="N1705" s="185"/>
      <c r="O1705" s="189" t="s">
        <v>4792</v>
      </c>
    </row>
    <row r="1706" ht="14.25" customHeight="1">
      <c r="H1706" s="179" t="str">
        <f t="shared" si="1"/>
        <v>SíTitanato_de_litioIndependienteVarias_celdas</v>
      </c>
      <c r="I1706" s="178" t="s">
        <v>4767</v>
      </c>
      <c r="J1706" s="182" t="s">
        <v>4789</v>
      </c>
      <c r="K1706" s="178" t="s">
        <v>4780</v>
      </c>
      <c r="L1706" s="178" t="s">
        <v>4809</v>
      </c>
      <c r="M1706" s="178"/>
      <c r="N1706" s="185"/>
      <c r="O1706" s="189" t="s">
        <v>4792</v>
      </c>
    </row>
    <row r="1707" ht="14.25" customHeight="1">
      <c r="H1707" s="179" t="str">
        <f t="shared" si="1"/>
        <v>Sí_18650_En el aparatoVarias_celdas</v>
      </c>
      <c r="I1707" s="178" t="s">
        <v>4767</v>
      </c>
      <c r="J1707" s="178" t="s">
        <v>4768</v>
      </c>
      <c r="K1707" s="178" t="s">
        <v>4769</v>
      </c>
      <c r="L1707" s="178" t="s">
        <v>4809</v>
      </c>
      <c r="M1707" s="178"/>
      <c r="N1707" s="185"/>
      <c r="O1707" s="189" t="s">
        <v>4792</v>
      </c>
    </row>
    <row r="1708" ht="14.25" customHeight="1">
      <c r="H1708" s="179" t="str">
        <f t="shared" si="1"/>
        <v>Sí_18650_Con el equipoVarias_celdas</v>
      </c>
      <c r="I1708" s="178" t="s">
        <v>4767</v>
      </c>
      <c r="J1708" s="178" t="s">
        <v>4768</v>
      </c>
      <c r="K1708" s="178" t="s">
        <v>4775</v>
      </c>
      <c r="L1708" s="178" t="s">
        <v>4809</v>
      </c>
      <c r="M1708" s="178"/>
      <c r="N1708" s="185"/>
      <c r="O1708" s="189" t="s">
        <v>4792</v>
      </c>
    </row>
    <row r="1709" ht="14.25" customHeight="1">
      <c r="H1709" s="179" t="str">
        <f t="shared" si="1"/>
        <v>Sí_18650_IndependienteVarias_celdas</v>
      </c>
      <c r="I1709" s="178" t="s">
        <v>4767</v>
      </c>
      <c r="J1709" s="178" t="s">
        <v>4768</v>
      </c>
      <c r="K1709" s="178" t="s">
        <v>4780</v>
      </c>
      <c r="L1709" s="178" t="s">
        <v>4809</v>
      </c>
      <c r="M1709" s="178"/>
      <c r="N1709" s="185"/>
      <c r="O1709" s="189" t="s">
        <v>4792</v>
      </c>
    </row>
    <row r="1710" ht="14.25" customHeight="1">
      <c r="H1710" s="179" t="str">
        <f t="shared" si="1"/>
        <v>SíIon_litioEn el aparatoVarias_celdas</v>
      </c>
      <c r="I1710" s="178" t="s">
        <v>4767</v>
      </c>
      <c r="J1710" s="182" t="s">
        <v>4779</v>
      </c>
      <c r="K1710" s="178" t="s">
        <v>4769</v>
      </c>
      <c r="L1710" s="178" t="s">
        <v>4809</v>
      </c>
      <c r="M1710" s="178"/>
      <c r="N1710" s="185"/>
      <c r="O1710" s="189" t="s">
        <v>4792</v>
      </c>
    </row>
    <row r="1711" ht="14.25" customHeight="1">
      <c r="H1711" s="179" t="str">
        <f t="shared" si="1"/>
        <v>SíIon_litioCon el equipoVarias_celdas</v>
      </c>
      <c r="I1711" s="178" t="s">
        <v>4767</v>
      </c>
      <c r="J1711" s="182" t="s">
        <v>4779</v>
      </c>
      <c r="K1711" s="178" t="s">
        <v>4775</v>
      </c>
      <c r="L1711" s="178" t="s">
        <v>4809</v>
      </c>
      <c r="M1711" s="178"/>
      <c r="N1711" s="185"/>
      <c r="O1711" s="189" t="s">
        <v>4792</v>
      </c>
    </row>
    <row r="1712" ht="14.25" customHeight="1">
      <c r="H1712" s="179" t="str">
        <f t="shared" si="1"/>
        <v>SíIon_litioIndependienteVarias_celdas</v>
      </c>
      <c r="I1712" s="178" t="s">
        <v>4767</v>
      </c>
      <c r="J1712" s="182" t="s">
        <v>4779</v>
      </c>
      <c r="K1712" s="178" t="s">
        <v>4780</v>
      </c>
      <c r="L1712" s="178" t="s">
        <v>4809</v>
      </c>
      <c r="M1712" s="178"/>
      <c r="N1712" s="185"/>
      <c r="O1712" s="189" t="s">
        <v>4792</v>
      </c>
    </row>
    <row r="1713" ht="14.25" customHeight="1">
      <c r="H1713" s="179" t="str">
        <f t="shared" si="1"/>
        <v>SíPolímero_de_litioEn el aparatoVarias_celdas</v>
      </c>
      <c r="I1713" s="178" t="s">
        <v>4767</v>
      </c>
      <c r="J1713" s="182" t="s">
        <v>4787</v>
      </c>
      <c r="K1713" s="178" t="s">
        <v>4769</v>
      </c>
      <c r="L1713" s="178" t="s">
        <v>4809</v>
      </c>
      <c r="M1713" s="178"/>
      <c r="N1713" s="185"/>
      <c r="O1713" s="189" t="s">
        <v>4792</v>
      </c>
    </row>
    <row r="1714" ht="14.25" customHeight="1">
      <c r="H1714" s="179" t="str">
        <f t="shared" si="1"/>
        <v>SíPolímero_de_litioCon el equipoVarias_celdas</v>
      </c>
      <c r="I1714" s="178" t="s">
        <v>4767</v>
      </c>
      <c r="J1714" s="182" t="s">
        <v>4787</v>
      </c>
      <c r="K1714" s="178" t="s">
        <v>4775</v>
      </c>
      <c r="L1714" s="178" t="s">
        <v>4809</v>
      </c>
      <c r="M1714" s="178"/>
      <c r="N1714" s="185"/>
      <c r="O1714" s="189" t="s">
        <v>4792</v>
      </c>
    </row>
    <row r="1715" ht="14.25" customHeight="1">
      <c r="H1715" s="179" t="str">
        <f t="shared" si="1"/>
        <v>SíPolímero_de_litioIndependienteVarias_celdas</v>
      </c>
      <c r="I1715" s="178" t="s">
        <v>4767</v>
      </c>
      <c r="J1715" s="182" t="s">
        <v>4787</v>
      </c>
      <c r="K1715" s="178" t="s">
        <v>4780</v>
      </c>
      <c r="L1715" s="178" t="s">
        <v>4809</v>
      </c>
      <c r="M1715" s="178"/>
      <c r="N1715" s="185"/>
      <c r="O1715" s="189" t="s">
        <v>4792</v>
      </c>
    </row>
    <row r="1716" ht="14.25" customHeight="1">
      <c r="H1716" s="179" t="str">
        <f t="shared" si="1"/>
        <v>SíÓxido_cobalto_LitioEn el aparatoVarias_celdas</v>
      </c>
      <c r="I1716" s="178" t="s">
        <v>4767</v>
      </c>
      <c r="J1716" s="182" t="s">
        <v>4774</v>
      </c>
      <c r="K1716" s="178" t="s">
        <v>4769</v>
      </c>
      <c r="L1716" s="178" t="s">
        <v>4809</v>
      </c>
      <c r="M1716" s="178"/>
      <c r="N1716" s="185"/>
      <c r="O1716" s="189" t="s">
        <v>4792</v>
      </c>
    </row>
    <row r="1717" ht="14.25" customHeight="1">
      <c r="H1717" s="179" t="str">
        <f t="shared" si="1"/>
        <v>SíÓxido_cobalto_LitioCon el equipoVarias_celdas</v>
      </c>
      <c r="I1717" s="178" t="s">
        <v>4767</v>
      </c>
      <c r="J1717" s="182" t="s">
        <v>4774</v>
      </c>
      <c r="K1717" s="178" t="s">
        <v>4775</v>
      </c>
      <c r="L1717" s="178" t="s">
        <v>4809</v>
      </c>
      <c r="M1717" s="178"/>
      <c r="N1717" s="185"/>
      <c r="O1717" s="189" t="s">
        <v>4792</v>
      </c>
    </row>
    <row r="1718" ht="14.25" customHeight="1">
      <c r="H1718" s="179" t="str">
        <f t="shared" si="1"/>
        <v>SíÓxido_cobalto_LitioIndependienteVarias_celdas</v>
      </c>
      <c r="I1718" s="178" t="s">
        <v>4767</v>
      </c>
      <c r="J1718" s="182" t="s">
        <v>4774</v>
      </c>
      <c r="K1718" s="178" t="s">
        <v>4780</v>
      </c>
      <c r="L1718" s="178" t="s">
        <v>4809</v>
      </c>
      <c r="M1718" s="178"/>
      <c r="N1718" s="185"/>
      <c r="O1718" s="189" t="s">
        <v>4792</v>
      </c>
    </row>
    <row r="1719" ht="14.25" customHeight="1">
      <c r="H1719" s="179" t="str">
        <f t="shared" si="1"/>
        <v>SíÓxido_de_cobalto_de_manganeso_y_litioEn el aparatoVarias_celdas</v>
      </c>
      <c r="I1719" s="178" t="s">
        <v>4767</v>
      </c>
      <c r="J1719" s="182" t="s">
        <v>4785</v>
      </c>
      <c r="K1719" s="178" t="s">
        <v>4769</v>
      </c>
      <c r="L1719" s="178" t="s">
        <v>4809</v>
      </c>
      <c r="M1719" s="178"/>
      <c r="N1719" s="185"/>
      <c r="O1719" s="189" t="s">
        <v>4792</v>
      </c>
    </row>
    <row r="1720" ht="14.25" customHeight="1">
      <c r="H1720" s="179" t="str">
        <f t="shared" si="1"/>
        <v>SíÓxido_de_cobalto_de_manganeso_y_litioCon el equipoVarias_celdas</v>
      </c>
      <c r="I1720" s="178" t="s">
        <v>4767</v>
      </c>
      <c r="J1720" s="182" t="s">
        <v>4785</v>
      </c>
      <c r="K1720" s="178" t="s">
        <v>4775</v>
      </c>
      <c r="L1720" s="178" t="s">
        <v>4809</v>
      </c>
      <c r="M1720" s="178"/>
      <c r="N1720" s="185"/>
      <c r="O1720" s="189" t="s">
        <v>4792</v>
      </c>
    </row>
    <row r="1721" ht="14.25" customHeight="1">
      <c r="H1721" s="179" t="str">
        <f t="shared" si="1"/>
        <v>SíÓxido_de_cobalto_de_manganeso_y_litioIndependienteVarias_celdas</v>
      </c>
      <c r="I1721" s="178" t="s">
        <v>4767</v>
      </c>
      <c r="J1721" s="182" t="s">
        <v>4785</v>
      </c>
      <c r="K1721" s="178" t="s">
        <v>4780</v>
      </c>
      <c r="L1721" s="178" t="s">
        <v>4809</v>
      </c>
      <c r="M1721" s="178"/>
      <c r="N1721" s="185"/>
      <c r="O1721" s="189" t="s">
        <v>4792</v>
      </c>
    </row>
    <row r="1722" ht="14.25" customHeight="1">
      <c r="H1722" s="179" t="str">
        <f t="shared" si="1"/>
        <v>SíLitio_ferrofosfatoEn el aparatoVarias_celdas</v>
      </c>
      <c r="I1722" s="178" t="s">
        <v>4767</v>
      </c>
      <c r="J1722" s="182" t="s">
        <v>4783</v>
      </c>
      <c r="K1722" s="178" t="s">
        <v>4769</v>
      </c>
      <c r="L1722" s="178" t="s">
        <v>4809</v>
      </c>
      <c r="M1722" s="178"/>
      <c r="N1722" s="185"/>
      <c r="O1722" s="189" t="s">
        <v>4792</v>
      </c>
    </row>
    <row r="1723" ht="14.25" customHeight="1">
      <c r="H1723" s="179" t="str">
        <f t="shared" si="1"/>
        <v>SíLitio_ferrofosfatoCon el equipoVarias_celdas</v>
      </c>
      <c r="I1723" s="178" t="s">
        <v>4767</v>
      </c>
      <c r="J1723" s="182" t="s">
        <v>4783</v>
      </c>
      <c r="K1723" s="178" t="s">
        <v>4775</v>
      </c>
      <c r="L1723" s="178" t="s">
        <v>4809</v>
      </c>
      <c r="M1723" s="178"/>
      <c r="N1723" s="185"/>
      <c r="O1723" s="189" t="s">
        <v>4792</v>
      </c>
    </row>
    <row r="1724" ht="14.25" customHeight="1">
      <c r="H1724" s="179" t="str">
        <f t="shared" si="1"/>
        <v>SíLitio_ferrofosfatoIndependienteVarias_celdas</v>
      </c>
      <c r="I1724" s="178" t="s">
        <v>4767</v>
      </c>
      <c r="J1724" s="182" t="s">
        <v>4783</v>
      </c>
      <c r="K1724" s="178" t="s">
        <v>4780</v>
      </c>
      <c r="L1724" s="178" t="s">
        <v>4809</v>
      </c>
      <c r="M1724" s="178"/>
      <c r="N1724" s="185"/>
      <c r="O1724" s="189" t="s">
        <v>4792</v>
      </c>
    </row>
    <row r="1725" ht="14.25" customHeight="1">
      <c r="H1725" s="179" t="str">
        <f t="shared" si="1"/>
        <v>SíTitanato_de_litioEn el aparatoVarias_celdas</v>
      </c>
      <c r="I1725" s="178" t="s">
        <v>4767</v>
      </c>
      <c r="J1725" s="182" t="s">
        <v>4789</v>
      </c>
      <c r="K1725" s="178" t="s">
        <v>4769</v>
      </c>
      <c r="L1725" s="178" t="s">
        <v>4809</v>
      </c>
      <c r="M1725" s="178"/>
      <c r="N1725" s="185"/>
      <c r="O1725" s="189" t="s">
        <v>4792</v>
      </c>
    </row>
    <row r="1726" ht="14.25" customHeight="1">
      <c r="H1726" s="179" t="str">
        <f t="shared" si="1"/>
        <v>SíTitanato_de_litioCon el equipoVarias_celdas</v>
      </c>
      <c r="I1726" s="178" t="s">
        <v>4767</v>
      </c>
      <c r="J1726" s="182" t="s">
        <v>4789</v>
      </c>
      <c r="K1726" s="178" t="s">
        <v>4775</v>
      </c>
      <c r="L1726" s="178" t="s">
        <v>4809</v>
      </c>
      <c r="M1726" s="178"/>
      <c r="N1726" s="185"/>
      <c r="O1726" s="189" t="s">
        <v>4792</v>
      </c>
    </row>
    <row r="1727" ht="14.25" customHeight="1">
      <c r="H1727" s="179" t="str">
        <f t="shared" si="1"/>
        <v>SíTitanato_de_litioIndependienteVarias_celdas</v>
      </c>
      <c r="I1727" s="178" t="s">
        <v>4767</v>
      </c>
      <c r="J1727" s="182" t="s">
        <v>4789</v>
      </c>
      <c r="K1727" s="178" t="s">
        <v>4780</v>
      </c>
      <c r="L1727" s="178" t="s">
        <v>4809</v>
      </c>
      <c r="M1727" s="178"/>
      <c r="N1727" s="185"/>
      <c r="O1727" s="189" t="s">
        <v>4792</v>
      </c>
    </row>
    <row r="1728" ht="14.25" customHeight="1">
      <c r="H1728" s="179" t="str">
        <f t="shared" si="1"/>
        <v>Sí_18650_En el aparatoVarias_celdas</v>
      </c>
      <c r="I1728" s="178" t="s">
        <v>4767</v>
      </c>
      <c r="J1728" s="178" t="s">
        <v>4768</v>
      </c>
      <c r="K1728" s="178" t="s">
        <v>4769</v>
      </c>
      <c r="L1728" s="178" t="s">
        <v>4809</v>
      </c>
      <c r="M1728" s="178"/>
      <c r="N1728" s="185"/>
      <c r="O1728" s="189" t="s">
        <v>4792</v>
      </c>
    </row>
    <row r="1729" ht="14.25" customHeight="1">
      <c r="H1729" s="179" t="str">
        <f t="shared" si="1"/>
        <v>Sí_18650_Con el equipoVarias_celdas</v>
      </c>
      <c r="I1729" s="178" t="s">
        <v>4767</v>
      </c>
      <c r="J1729" s="178" t="s">
        <v>4768</v>
      </c>
      <c r="K1729" s="178" t="s">
        <v>4775</v>
      </c>
      <c r="L1729" s="178" t="s">
        <v>4809</v>
      </c>
      <c r="M1729" s="178"/>
      <c r="N1729" s="185"/>
      <c r="O1729" s="189" t="s">
        <v>4792</v>
      </c>
    </row>
    <row r="1730" ht="14.25" customHeight="1">
      <c r="H1730" s="179" t="str">
        <f t="shared" si="1"/>
        <v>Sí_18650_IndependienteVarias_celdas</v>
      </c>
      <c r="I1730" s="178" t="s">
        <v>4767</v>
      </c>
      <c r="J1730" s="178" t="s">
        <v>4768</v>
      </c>
      <c r="K1730" s="178" t="s">
        <v>4780</v>
      </c>
      <c r="L1730" s="178" t="s">
        <v>4809</v>
      </c>
      <c r="M1730" s="178"/>
      <c r="N1730" s="185"/>
      <c r="O1730" s="189" t="s">
        <v>4792</v>
      </c>
    </row>
    <row r="1731" ht="14.25" customHeight="1">
      <c r="H1731" s="179" t="str">
        <f t="shared" si="1"/>
        <v>SíIon_litioEn el aparatoVarias_celdas</v>
      </c>
      <c r="I1731" s="178" t="s">
        <v>4767</v>
      </c>
      <c r="J1731" s="182" t="s">
        <v>4779</v>
      </c>
      <c r="K1731" s="178" t="s">
        <v>4769</v>
      </c>
      <c r="L1731" s="178" t="s">
        <v>4809</v>
      </c>
      <c r="M1731" s="178"/>
      <c r="N1731" s="185"/>
      <c r="O1731" s="189" t="s">
        <v>4792</v>
      </c>
    </row>
    <row r="1732" ht="14.25" customHeight="1">
      <c r="H1732" s="179" t="str">
        <f t="shared" si="1"/>
        <v>SíIon_litioCon el equipoVarias_celdas</v>
      </c>
      <c r="I1732" s="178" t="s">
        <v>4767</v>
      </c>
      <c r="J1732" s="182" t="s">
        <v>4779</v>
      </c>
      <c r="K1732" s="178" t="s">
        <v>4775</v>
      </c>
      <c r="L1732" s="178" t="s">
        <v>4809</v>
      </c>
      <c r="M1732" s="178"/>
      <c r="N1732" s="185"/>
      <c r="O1732" s="189" t="s">
        <v>4792</v>
      </c>
    </row>
    <row r="1733" ht="14.25" customHeight="1">
      <c r="H1733" s="179" t="str">
        <f t="shared" si="1"/>
        <v>SíIon_litioIndependienteVarias_celdas</v>
      </c>
      <c r="I1733" s="178" t="s">
        <v>4767</v>
      </c>
      <c r="J1733" s="182" t="s">
        <v>4779</v>
      </c>
      <c r="K1733" s="178" t="s">
        <v>4780</v>
      </c>
      <c r="L1733" s="178" t="s">
        <v>4809</v>
      </c>
      <c r="M1733" s="178"/>
      <c r="N1733" s="185"/>
      <c r="O1733" s="189" t="s">
        <v>4792</v>
      </c>
    </row>
    <row r="1734" ht="14.25" customHeight="1">
      <c r="H1734" s="179" t="str">
        <f t="shared" si="1"/>
        <v>SíPolímero_de_litioEn el aparatoVarias_celdas</v>
      </c>
      <c r="I1734" s="178" t="s">
        <v>4767</v>
      </c>
      <c r="J1734" s="182" t="s">
        <v>4787</v>
      </c>
      <c r="K1734" s="178" t="s">
        <v>4769</v>
      </c>
      <c r="L1734" s="178" t="s">
        <v>4809</v>
      </c>
      <c r="M1734" s="178"/>
      <c r="N1734" s="185"/>
      <c r="O1734" s="189" t="s">
        <v>4792</v>
      </c>
    </row>
    <row r="1735" ht="14.25" customHeight="1">
      <c r="H1735" s="179" t="str">
        <f t="shared" si="1"/>
        <v>SíPolímero_de_litioCon el equipoVarias_celdas</v>
      </c>
      <c r="I1735" s="178" t="s">
        <v>4767</v>
      </c>
      <c r="J1735" s="182" t="s">
        <v>4787</v>
      </c>
      <c r="K1735" s="178" t="s">
        <v>4775</v>
      </c>
      <c r="L1735" s="178" t="s">
        <v>4809</v>
      </c>
      <c r="M1735" s="178"/>
      <c r="N1735" s="185"/>
      <c r="O1735" s="189" t="s">
        <v>4792</v>
      </c>
    </row>
    <row r="1736" ht="14.25" customHeight="1">
      <c r="H1736" s="179" t="str">
        <f t="shared" si="1"/>
        <v>SíPolímero_de_litioIndependienteVarias_celdas</v>
      </c>
      <c r="I1736" s="178" t="s">
        <v>4767</v>
      </c>
      <c r="J1736" s="182" t="s">
        <v>4787</v>
      </c>
      <c r="K1736" s="178" t="s">
        <v>4780</v>
      </c>
      <c r="L1736" s="178" t="s">
        <v>4809</v>
      </c>
      <c r="M1736" s="178"/>
      <c r="N1736" s="185"/>
      <c r="O1736" s="189" t="s">
        <v>4792</v>
      </c>
    </row>
    <row r="1737" ht="14.25" customHeight="1">
      <c r="H1737" s="179" t="str">
        <f t="shared" si="1"/>
        <v>SíÓxido_cobalto_LitioEn el aparatoVarias_celdas</v>
      </c>
      <c r="I1737" s="178" t="s">
        <v>4767</v>
      </c>
      <c r="J1737" s="182" t="s">
        <v>4774</v>
      </c>
      <c r="K1737" s="178" t="s">
        <v>4769</v>
      </c>
      <c r="L1737" s="178" t="s">
        <v>4809</v>
      </c>
      <c r="M1737" s="178"/>
      <c r="N1737" s="185"/>
      <c r="O1737" s="189" t="s">
        <v>4792</v>
      </c>
    </row>
    <row r="1738" ht="14.25" customHeight="1">
      <c r="H1738" s="179" t="str">
        <f t="shared" si="1"/>
        <v>SíÓxido_cobalto_LitioCon el equipoVarias_celdas</v>
      </c>
      <c r="I1738" s="178" t="s">
        <v>4767</v>
      </c>
      <c r="J1738" s="182" t="s">
        <v>4774</v>
      </c>
      <c r="K1738" s="178" t="s">
        <v>4775</v>
      </c>
      <c r="L1738" s="178" t="s">
        <v>4809</v>
      </c>
      <c r="M1738" s="178"/>
      <c r="N1738" s="185"/>
      <c r="O1738" s="189" t="s">
        <v>4792</v>
      </c>
    </row>
    <row r="1739" ht="14.25" customHeight="1">
      <c r="H1739" s="179" t="str">
        <f t="shared" si="1"/>
        <v>SíÓxido_cobalto_LitioIndependienteVarias_celdas</v>
      </c>
      <c r="I1739" s="178" t="s">
        <v>4767</v>
      </c>
      <c r="J1739" s="182" t="s">
        <v>4774</v>
      </c>
      <c r="K1739" s="178" t="s">
        <v>4780</v>
      </c>
      <c r="L1739" s="178" t="s">
        <v>4809</v>
      </c>
      <c r="M1739" s="178"/>
      <c r="N1739" s="185"/>
      <c r="O1739" s="189" t="s">
        <v>4792</v>
      </c>
    </row>
    <row r="1740" ht="14.25" customHeight="1">
      <c r="H1740" s="179" t="str">
        <f t="shared" si="1"/>
        <v>SíÓxido_de_cobalto_de_manganeso_y_litioEn el aparatoVarias_celdas</v>
      </c>
      <c r="I1740" s="178" t="s">
        <v>4767</v>
      </c>
      <c r="J1740" s="182" t="s">
        <v>4785</v>
      </c>
      <c r="K1740" s="178" t="s">
        <v>4769</v>
      </c>
      <c r="L1740" s="178" t="s">
        <v>4809</v>
      </c>
      <c r="M1740" s="178"/>
      <c r="N1740" s="185"/>
      <c r="O1740" s="189" t="s">
        <v>4792</v>
      </c>
    </row>
    <row r="1741" ht="14.25" customHeight="1">
      <c r="H1741" s="179" t="str">
        <f t="shared" si="1"/>
        <v>SíÓxido_de_cobalto_de_manganeso_y_litioCon el equipoVarias_celdas</v>
      </c>
      <c r="I1741" s="178" t="s">
        <v>4767</v>
      </c>
      <c r="J1741" s="182" t="s">
        <v>4785</v>
      </c>
      <c r="K1741" s="178" t="s">
        <v>4775</v>
      </c>
      <c r="L1741" s="178" t="s">
        <v>4809</v>
      </c>
      <c r="M1741" s="178"/>
      <c r="N1741" s="185"/>
      <c r="O1741" s="189" t="s">
        <v>4792</v>
      </c>
    </row>
    <row r="1742" ht="14.25" customHeight="1">
      <c r="H1742" s="179" t="str">
        <f t="shared" si="1"/>
        <v>SíÓxido_de_cobalto_de_manganeso_y_litioIndependienteVarias_celdas</v>
      </c>
      <c r="I1742" s="178" t="s">
        <v>4767</v>
      </c>
      <c r="J1742" s="182" t="s">
        <v>4785</v>
      </c>
      <c r="K1742" s="178" t="s">
        <v>4780</v>
      </c>
      <c r="L1742" s="178" t="s">
        <v>4809</v>
      </c>
      <c r="M1742" s="178"/>
      <c r="N1742" s="185"/>
      <c r="O1742" s="189" t="s">
        <v>4792</v>
      </c>
    </row>
    <row r="1743" ht="14.25" customHeight="1">
      <c r="H1743" s="179" t="str">
        <f t="shared" si="1"/>
        <v>SíLitio_ferrofosfatoEn el aparatoVarias_celdas</v>
      </c>
      <c r="I1743" s="178" t="s">
        <v>4767</v>
      </c>
      <c r="J1743" s="182" t="s">
        <v>4783</v>
      </c>
      <c r="K1743" s="178" t="s">
        <v>4769</v>
      </c>
      <c r="L1743" s="178" t="s">
        <v>4809</v>
      </c>
      <c r="M1743" s="178"/>
      <c r="N1743" s="185"/>
      <c r="O1743" s="189" t="s">
        <v>4792</v>
      </c>
    </row>
    <row r="1744" ht="14.25" customHeight="1">
      <c r="H1744" s="179" t="str">
        <f t="shared" si="1"/>
        <v>SíLitio_ferrofosfatoCon el equipoVarias_celdas</v>
      </c>
      <c r="I1744" s="178" t="s">
        <v>4767</v>
      </c>
      <c r="J1744" s="182" t="s">
        <v>4783</v>
      </c>
      <c r="K1744" s="178" t="s">
        <v>4775</v>
      </c>
      <c r="L1744" s="178" t="s">
        <v>4809</v>
      </c>
      <c r="M1744" s="178"/>
      <c r="N1744" s="185"/>
      <c r="O1744" s="189" t="s">
        <v>4792</v>
      </c>
    </row>
    <row r="1745" ht="14.25" customHeight="1">
      <c r="H1745" s="179" t="str">
        <f t="shared" si="1"/>
        <v>SíLitio_ferrofosfatoIndependienteVarias_celdas</v>
      </c>
      <c r="I1745" s="178" t="s">
        <v>4767</v>
      </c>
      <c r="J1745" s="182" t="s">
        <v>4783</v>
      </c>
      <c r="K1745" s="178" t="s">
        <v>4780</v>
      </c>
      <c r="L1745" s="178" t="s">
        <v>4809</v>
      </c>
      <c r="M1745" s="178"/>
      <c r="N1745" s="185"/>
      <c r="O1745" s="189" t="s">
        <v>4792</v>
      </c>
    </row>
    <row r="1746" ht="14.25" customHeight="1">
      <c r="H1746" s="179" t="str">
        <f t="shared" si="1"/>
        <v>SíTitanato_de_litioEn el aparatoVarias_celdas</v>
      </c>
      <c r="I1746" s="178" t="s">
        <v>4767</v>
      </c>
      <c r="J1746" s="182" t="s">
        <v>4789</v>
      </c>
      <c r="K1746" s="178" t="s">
        <v>4769</v>
      </c>
      <c r="L1746" s="178" t="s">
        <v>4809</v>
      </c>
      <c r="M1746" s="178"/>
      <c r="N1746" s="185"/>
      <c r="O1746" s="189" t="s">
        <v>4792</v>
      </c>
    </row>
    <row r="1747" ht="14.25" customHeight="1">
      <c r="H1747" s="179" t="str">
        <f t="shared" si="1"/>
        <v>SíTitanato_de_litioCon el equipoVarias_celdas</v>
      </c>
      <c r="I1747" s="178" t="s">
        <v>4767</v>
      </c>
      <c r="J1747" s="182" t="s">
        <v>4789</v>
      </c>
      <c r="K1747" s="178" t="s">
        <v>4775</v>
      </c>
      <c r="L1747" s="178" t="s">
        <v>4809</v>
      </c>
      <c r="M1747" s="178"/>
      <c r="N1747" s="185"/>
      <c r="O1747" s="189" t="s">
        <v>4792</v>
      </c>
    </row>
    <row r="1748" ht="14.25" customHeight="1">
      <c r="H1748" s="179" t="str">
        <f t="shared" si="1"/>
        <v>SíTitanato_de_litioIndependienteVarias_celdas</v>
      </c>
      <c r="I1748" s="178" t="s">
        <v>4767</v>
      </c>
      <c r="J1748" s="182" t="s">
        <v>4789</v>
      </c>
      <c r="K1748" s="178" t="s">
        <v>4780</v>
      </c>
      <c r="L1748" s="178" t="s">
        <v>4809</v>
      </c>
      <c r="M1748" s="178"/>
      <c r="N1748" s="185"/>
      <c r="O1748" s="189" t="s">
        <v>4792</v>
      </c>
    </row>
    <row r="1749" ht="14.25" customHeight="1">
      <c r="H1749" s="179" t="str">
        <f t="shared" si="1"/>
        <v>Sí_18650_En el aparatoVarias_celdas</v>
      </c>
      <c r="I1749" s="178" t="s">
        <v>4767</v>
      </c>
      <c r="J1749" s="178" t="s">
        <v>4768</v>
      </c>
      <c r="K1749" s="178" t="s">
        <v>4769</v>
      </c>
      <c r="L1749" s="178" t="s">
        <v>4809</v>
      </c>
      <c r="M1749" s="178"/>
      <c r="N1749" s="185"/>
      <c r="O1749" s="189" t="s">
        <v>4792</v>
      </c>
    </row>
    <row r="1750" ht="14.25" customHeight="1">
      <c r="H1750" s="179" t="str">
        <f t="shared" si="1"/>
        <v>Sí_18650_Con el equipoVarias_celdas</v>
      </c>
      <c r="I1750" s="178" t="s">
        <v>4767</v>
      </c>
      <c r="J1750" s="178" t="s">
        <v>4768</v>
      </c>
      <c r="K1750" s="178" t="s">
        <v>4775</v>
      </c>
      <c r="L1750" s="178" t="s">
        <v>4809</v>
      </c>
      <c r="M1750" s="178"/>
      <c r="N1750" s="185"/>
      <c r="O1750" s="189" t="s">
        <v>4792</v>
      </c>
    </row>
    <row r="1751" ht="14.25" customHeight="1">
      <c r="H1751" s="179" t="str">
        <f t="shared" si="1"/>
        <v>Sí_18650_IndependienteVarias_celdas</v>
      </c>
      <c r="I1751" s="178" t="s">
        <v>4767</v>
      </c>
      <c r="J1751" s="178" t="s">
        <v>4768</v>
      </c>
      <c r="K1751" s="178" t="s">
        <v>4780</v>
      </c>
      <c r="L1751" s="178" t="s">
        <v>4809</v>
      </c>
      <c r="M1751" s="178"/>
      <c r="N1751" s="185"/>
      <c r="O1751" s="189" t="s">
        <v>4792</v>
      </c>
    </row>
    <row r="1752" ht="14.25" customHeight="1">
      <c r="H1752" s="179" t="str">
        <f t="shared" si="1"/>
        <v>SíIon_litioEn el aparatoVarias_celdas</v>
      </c>
      <c r="I1752" s="178" t="s">
        <v>4767</v>
      </c>
      <c r="J1752" s="182" t="s">
        <v>4779</v>
      </c>
      <c r="K1752" s="178" t="s">
        <v>4769</v>
      </c>
      <c r="L1752" s="178" t="s">
        <v>4809</v>
      </c>
      <c r="M1752" s="178"/>
      <c r="N1752" s="185"/>
      <c r="O1752" s="189" t="s">
        <v>4792</v>
      </c>
    </row>
    <row r="1753" ht="14.25" customHeight="1">
      <c r="H1753" s="179" t="str">
        <f t="shared" si="1"/>
        <v>SíIon_litioCon el equipoVarias_celdas</v>
      </c>
      <c r="I1753" s="178" t="s">
        <v>4767</v>
      </c>
      <c r="J1753" s="182" t="s">
        <v>4779</v>
      </c>
      <c r="K1753" s="178" t="s">
        <v>4775</v>
      </c>
      <c r="L1753" s="178" t="s">
        <v>4809</v>
      </c>
      <c r="M1753" s="178"/>
      <c r="N1753" s="185"/>
      <c r="O1753" s="189" t="s">
        <v>4792</v>
      </c>
    </row>
    <row r="1754" ht="14.25" customHeight="1">
      <c r="H1754" s="179" t="str">
        <f t="shared" si="1"/>
        <v>SíIon_litioIndependienteVarias_celdas</v>
      </c>
      <c r="I1754" s="178" t="s">
        <v>4767</v>
      </c>
      <c r="J1754" s="182" t="s">
        <v>4779</v>
      </c>
      <c r="K1754" s="178" t="s">
        <v>4780</v>
      </c>
      <c r="L1754" s="178" t="s">
        <v>4809</v>
      </c>
      <c r="M1754" s="178"/>
      <c r="N1754" s="185"/>
      <c r="O1754" s="189" t="s">
        <v>4792</v>
      </c>
    </row>
    <row r="1755" ht="14.25" customHeight="1">
      <c r="H1755" s="179" t="str">
        <f t="shared" si="1"/>
        <v>SíPolímero_de_litioEn el aparatoVarias_celdas</v>
      </c>
      <c r="I1755" s="178" t="s">
        <v>4767</v>
      </c>
      <c r="J1755" s="182" t="s">
        <v>4787</v>
      </c>
      <c r="K1755" s="178" t="s">
        <v>4769</v>
      </c>
      <c r="L1755" s="178" t="s">
        <v>4809</v>
      </c>
      <c r="M1755" s="178"/>
      <c r="N1755" s="185"/>
      <c r="O1755" s="189" t="s">
        <v>4792</v>
      </c>
    </row>
    <row r="1756" ht="14.25" customHeight="1">
      <c r="H1756" s="179" t="str">
        <f t="shared" si="1"/>
        <v>SíPolímero_de_litioCon el equipoVarias_celdas</v>
      </c>
      <c r="I1756" s="178" t="s">
        <v>4767</v>
      </c>
      <c r="J1756" s="182" t="s">
        <v>4787</v>
      </c>
      <c r="K1756" s="178" t="s">
        <v>4775</v>
      </c>
      <c r="L1756" s="178" t="s">
        <v>4809</v>
      </c>
      <c r="M1756" s="178"/>
      <c r="N1756" s="185"/>
      <c r="O1756" s="189" t="s">
        <v>4792</v>
      </c>
    </row>
    <row r="1757" ht="14.25" customHeight="1">
      <c r="H1757" s="179" t="str">
        <f t="shared" si="1"/>
        <v>SíPolímero_de_litioIndependienteVarias_celdas</v>
      </c>
      <c r="I1757" s="178" t="s">
        <v>4767</v>
      </c>
      <c r="J1757" s="182" t="s">
        <v>4787</v>
      </c>
      <c r="K1757" s="178" t="s">
        <v>4780</v>
      </c>
      <c r="L1757" s="178" t="s">
        <v>4809</v>
      </c>
      <c r="M1757" s="178"/>
      <c r="N1757" s="185"/>
      <c r="O1757" s="189" t="s">
        <v>4792</v>
      </c>
    </row>
    <row r="1758" ht="14.25" customHeight="1">
      <c r="H1758" s="179" t="str">
        <f t="shared" si="1"/>
        <v>SíÓxido_cobalto_LitioEn el aparatoVarias_celdas</v>
      </c>
      <c r="I1758" s="178" t="s">
        <v>4767</v>
      </c>
      <c r="J1758" s="182" t="s">
        <v>4774</v>
      </c>
      <c r="K1758" s="178" t="s">
        <v>4769</v>
      </c>
      <c r="L1758" s="178" t="s">
        <v>4809</v>
      </c>
      <c r="M1758" s="178"/>
      <c r="N1758" s="185"/>
      <c r="O1758" s="189" t="s">
        <v>4792</v>
      </c>
    </row>
    <row r="1759" ht="14.25" customHeight="1">
      <c r="H1759" s="179" t="str">
        <f t="shared" si="1"/>
        <v>SíÓxido_cobalto_LitioCon el equipoVarias_celdas</v>
      </c>
      <c r="I1759" s="178" t="s">
        <v>4767</v>
      </c>
      <c r="J1759" s="182" t="s">
        <v>4774</v>
      </c>
      <c r="K1759" s="178" t="s">
        <v>4775</v>
      </c>
      <c r="L1759" s="178" t="s">
        <v>4809</v>
      </c>
      <c r="M1759" s="178"/>
      <c r="N1759" s="185"/>
      <c r="O1759" s="189" t="s">
        <v>4792</v>
      </c>
    </row>
    <row r="1760" ht="14.25" customHeight="1">
      <c r="H1760" s="179" t="str">
        <f t="shared" si="1"/>
        <v>SíÓxido_cobalto_LitioIndependienteVarias_celdas</v>
      </c>
      <c r="I1760" s="178" t="s">
        <v>4767</v>
      </c>
      <c r="J1760" s="182" t="s">
        <v>4774</v>
      </c>
      <c r="K1760" s="178" t="s">
        <v>4780</v>
      </c>
      <c r="L1760" s="178" t="s">
        <v>4809</v>
      </c>
      <c r="M1760" s="178"/>
      <c r="N1760" s="185"/>
      <c r="O1760" s="189" t="s">
        <v>4792</v>
      </c>
    </row>
    <row r="1761" ht="14.25" customHeight="1">
      <c r="H1761" s="179" t="str">
        <f t="shared" si="1"/>
        <v>SíÓxido_de_cobalto_de_manganeso_y_litioEn el aparatoVarias_celdas</v>
      </c>
      <c r="I1761" s="178" t="s">
        <v>4767</v>
      </c>
      <c r="J1761" s="182" t="s">
        <v>4785</v>
      </c>
      <c r="K1761" s="178" t="s">
        <v>4769</v>
      </c>
      <c r="L1761" s="178" t="s">
        <v>4809</v>
      </c>
      <c r="M1761" s="178"/>
      <c r="N1761" s="185"/>
      <c r="O1761" s="189" t="s">
        <v>4792</v>
      </c>
    </row>
    <row r="1762" ht="14.25" customHeight="1">
      <c r="H1762" s="179" t="str">
        <f t="shared" si="1"/>
        <v>SíÓxido_de_cobalto_de_manganeso_y_litioCon el equipoVarias_celdas</v>
      </c>
      <c r="I1762" s="178" t="s">
        <v>4767</v>
      </c>
      <c r="J1762" s="182" t="s">
        <v>4785</v>
      </c>
      <c r="K1762" s="178" t="s">
        <v>4775</v>
      </c>
      <c r="L1762" s="178" t="s">
        <v>4809</v>
      </c>
      <c r="M1762" s="178"/>
      <c r="N1762" s="185"/>
      <c r="O1762" s="189" t="s">
        <v>4792</v>
      </c>
    </row>
    <row r="1763" ht="14.25" customHeight="1">
      <c r="H1763" s="179" t="str">
        <f t="shared" si="1"/>
        <v>SíÓxido_de_cobalto_de_manganeso_y_litioIndependienteVarias_celdas</v>
      </c>
      <c r="I1763" s="178" t="s">
        <v>4767</v>
      </c>
      <c r="J1763" s="182" t="s">
        <v>4785</v>
      </c>
      <c r="K1763" s="178" t="s">
        <v>4780</v>
      </c>
      <c r="L1763" s="178" t="s">
        <v>4809</v>
      </c>
      <c r="M1763" s="178"/>
      <c r="N1763" s="185"/>
      <c r="O1763" s="189" t="s">
        <v>4792</v>
      </c>
    </row>
    <row r="1764" ht="14.25" customHeight="1">
      <c r="H1764" s="179" t="str">
        <f t="shared" si="1"/>
        <v>SíLitio_ferrofosfatoEn el aparatoVarias_celdas</v>
      </c>
      <c r="I1764" s="178" t="s">
        <v>4767</v>
      </c>
      <c r="J1764" s="182" t="s">
        <v>4783</v>
      </c>
      <c r="K1764" s="178" t="s">
        <v>4769</v>
      </c>
      <c r="L1764" s="178" t="s">
        <v>4809</v>
      </c>
      <c r="M1764" s="178"/>
      <c r="N1764" s="185"/>
      <c r="O1764" s="189" t="s">
        <v>4792</v>
      </c>
    </row>
    <row r="1765" ht="14.25" customHeight="1">
      <c r="H1765" s="179" t="str">
        <f t="shared" si="1"/>
        <v>SíLitio_ferrofosfatoCon el equipoVarias_celdas</v>
      </c>
      <c r="I1765" s="178" t="s">
        <v>4767</v>
      </c>
      <c r="J1765" s="182" t="s">
        <v>4783</v>
      </c>
      <c r="K1765" s="178" t="s">
        <v>4775</v>
      </c>
      <c r="L1765" s="178" t="s">
        <v>4809</v>
      </c>
      <c r="M1765" s="178"/>
      <c r="N1765" s="185"/>
      <c r="O1765" s="189" t="s">
        <v>4792</v>
      </c>
    </row>
    <row r="1766" ht="14.25" customHeight="1">
      <c r="H1766" s="179" t="str">
        <f t="shared" si="1"/>
        <v>SíLitio_ferrofosfatoIndependienteVarias_celdas</v>
      </c>
      <c r="I1766" s="178" t="s">
        <v>4767</v>
      </c>
      <c r="J1766" s="182" t="s">
        <v>4783</v>
      </c>
      <c r="K1766" s="178" t="s">
        <v>4780</v>
      </c>
      <c r="L1766" s="178" t="s">
        <v>4809</v>
      </c>
      <c r="M1766" s="178"/>
      <c r="N1766" s="185"/>
      <c r="O1766" s="189" t="s">
        <v>4792</v>
      </c>
    </row>
    <row r="1767" ht="14.25" customHeight="1">
      <c r="H1767" s="179" t="str">
        <f t="shared" si="1"/>
        <v>SíTitanato_de_litioEn el aparatoVarias_celdas</v>
      </c>
      <c r="I1767" s="178" t="s">
        <v>4767</v>
      </c>
      <c r="J1767" s="182" t="s">
        <v>4789</v>
      </c>
      <c r="K1767" s="178" t="s">
        <v>4769</v>
      </c>
      <c r="L1767" s="178" t="s">
        <v>4809</v>
      </c>
      <c r="M1767" s="178"/>
      <c r="N1767" s="185"/>
      <c r="O1767" s="189" t="s">
        <v>4792</v>
      </c>
    </row>
    <row r="1768" ht="14.25" customHeight="1">
      <c r="H1768" s="179" t="str">
        <f t="shared" si="1"/>
        <v>SíTitanato_de_litioCon el equipoVarias_celdas</v>
      </c>
      <c r="I1768" s="178" t="s">
        <v>4767</v>
      </c>
      <c r="J1768" s="182" t="s">
        <v>4789</v>
      </c>
      <c r="K1768" s="178" t="s">
        <v>4775</v>
      </c>
      <c r="L1768" s="178" t="s">
        <v>4809</v>
      </c>
      <c r="M1768" s="178"/>
      <c r="N1768" s="185"/>
      <c r="O1768" s="189" t="s">
        <v>4792</v>
      </c>
    </row>
    <row r="1769" ht="14.25" customHeight="1">
      <c r="H1769" s="179" t="str">
        <f t="shared" si="1"/>
        <v>SíTitanato_de_litioIndependienteVarias_celdas</v>
      </c>
      <c r="I1769" s="178" t="s">
        <v>4767</v>
      </c>
      <c r="J1769" s="182" t="s">
        <v>4789</v>
      </c>
      <c r="K1769" s="178" t="s">
        <v>4780</v>
      </c>
      <c r="L1769" s="178" t="s">
        <v>4809</v>
      </c>
      <c r="M1769" s="178"/>
      <c r="N1769" s="185"/>
      <c r="O1769" s="189" t="s">
        <v>4792</v>
      </c>
    </row>
    <row r="1770" ht="14.25" customHeight="1">
      <c r="H1770" s="179" t="str">
        <f t="shared" si="1"/>
        <v>Sí_18650_En el aparatoVarias_celdas</v>
      </c>
      <c r="I1770" s="178" t="s">
        <v>4767</v>
      </c>
      <c r="J1770" s="178" t="s">
        <v>4768</v>
      </c>
      <c r="K1770" s="178" t="s">
        <v>4769</v>
      </c>
      <c r="L1770" s="178" t="s">
        <v>4809</v>
      </c>
      <c r="M1770" s="178"/>
      <c r="N1770" s="185"/>
      <c r="O1770" s="189" t="s">
        <v>4792</v>
      </c>
    </row>
    <row r="1771" ht="14.25" customHeight="1">
      <c r="H1771" s="179" t="str">
        <f t="shared" si="1"/>
        <v>Sí_18650_Con el equipoVarias_celdas</v>
      </c>
      <c r="I1771" s="178" t="s">
        <v>4767</v>
      </c>
      <c r="J1771" s="178" t="s">
        <v>4768</v>
      </c>
      <c r="K1771" s="178" t="s">
        <v>4775</v>
      </c>
      <c r="L1771" s="178" t="s">
        <v>4809</v>
      </c>
      <c r="M1771" s="178"/>
      <c r="N1771" s="185"/>
      <c r="O1771" s="189" t="s">
        <v>4792</v>
      </c>
    </row>
    <row r="1772" ht="14.25" customHeight="1">
      <c r="H1772" s="179" t="str">
        <f t="shared" si="1"/>
        <v>Sí_18650_IndependienteVarias_celdas</v>
      </c>
      <c r="I1772" s="178" t="s">
        <v>4767</v>
      </c>
      <c r="J1772" s="178" t="s">
        <v>4768</v>
      </c>
      <c r="K1772" s="178" t="s">
        <v>4780</v>
      </c>
      <c r="L1772" s="178" t="s">
        <v>4809</v>
      </c>
      <c r="M1772" s="178"/>
      <c r="N1772" s="185"/>
      <c r="O1772" s="189" t="s">
        <v>4792</v>
      </c>
    </row>
    <row r="1773" ht="14.25" customHeight="1">
      <c r="H1773" s="179" t="str">
        <f t="shared" si="1"/>
        <v>SíIon_litioEn el aparatoVarias_celdas</v>
      </c>
      <c r="I1773" s="178" t="s">
        <v>4767</v>
      </c>
      <c r="J1773" s="182" t="s">
        <v>4779</v>
      </c>
      <c r="K1773" s="178" t="s">
        <v>4769</v>
      </c>
      <c r="L1773" s="178" t="s">
        <v>4809</v>
      </c>
      <c r="M1773" s="178"/>
      <c r="N1773" s="185"/>
      <c r="O1773" s="189" t="s">
        <v>4792</v>
      </c>
    </row>
    <row r="1774" ht="14.25" customHeight="1">
      <c r="H1774" s="179" t="str">
        <f t="shared" si="1"/>
        <v>SíIon_litioCon el equipoVarias_celdas</v>
      </c>
      <c r="I1774" s="178" t="s">
        <v>4767</v>
      </c>
      <c r="J1774" s="182" t="s">
        <v>4779</v>
      </c>
      <c r="K1774" s="178" t="s">
        <v>4775</v>
      </c>
      <c r="L1774" s="178" t="s">
        <v>4809</v>
      </c>
      <c r="M1774" s="178"/>
      <c r="N1774" s="185"/>
      <c r="O1774" s="189" t="s">
        <v>4792</v>
      </c>
    </row>
    <row r="1775" ht="14.25" customHeight="1">
      <c r="H1775" s="179" t="str">
        <f t="shared" si="1"/>
        <v>SíIon_litioIndependienteVarias_celdas</v>
      </c>
      <c r="I1775" s="178" t="s">
        <v>4767</v>
      </c>
      <c r="J1775" s="182" t="s">
        <v>4779</v>
      </c>
      <c r="K1775" s="178" t="s">
        <v>4780</v>
      </c>
      <c r="L1775" s="178" t="s">
        <v>4809</v>
      </c>
      <c r="M1775" s="178"/>
      <c r="N1775" s="185"/>
      <c r="O1775" s="189" t="s">
        <v>4792</v>
      </c>
    </row>
    <row r="1776" ht="14.25" customHeight="1">
      <c r="H1776" s="179" t="str">
        <f t="shared" si="1"/>
        <v>SíPolímero_de_litioEn el aparatoVarias_celdas</v>
      </c>
      <c r="I1776" s="178" t="s">
        <v>4767</v>
      </c>
      <c r="J1776" s="182" t="s">
        <v>4787</v>
      </c>
      <c r="K1776" s="178" t="s">
        <v>4769</v>
      </c>
      <c r="L1776" s="178" t="s">
        <v>4809</v>
      </c>
      <c r="M1776" s="178"/>
      <c r="N1776" s="185"/>
      <c r="O1776" s="189" t="s">
        <v>4792</v>
      </c>
    </row>
    <row r="1777" ht="14.25" customHeight="1">
      <c r="H1777" s="179" t="str">
        <f t="shared" si="1"/>
        <v>SíPolímero_de_litioCon el equipoVarias_celdas</v>
      </c>
      <c r="I1777" s="178" t="s">
        <v>4767</v>
      </c>
      <c r="J1777" s="182" t="s">
        <v>4787</v>
      </c>
      <c r="K1777" s="178" t="s">
        <v>4775</v>
      </c>
      <c r="L1777" s="178" t="s">
        <v>4809</v>
      </c>
      <c r="M1777" s="178"/>
      <c r="N1777" s="185"/>
      <c r="O1777" s="189" t="s">
        <v>4792</v>
      </c>
    </row>
    <row r="1778" ht="14.25" customHeight="1">
      <c r="H1778" s="179" t="str">
        <f t="shared" si="1"/>
        <v>SíPolímero_de_litioIndependienteVarias_celdas</v>
      </c>
      <c r="I1778" s="178" t="s">
        <v>4767</v>
      </c>
      <c r="J1778" s="182" t="s">
        <v>4787</v>
      </c>
      <c r="K1778" s="178" t="s">
        <v>4780</v>
      </c>
      <c r="L1778" s="178" t="s">
        <v>4809</v>
      </c>
      <c r="M1778" s="178"/>
      <c r="N1778" s="185"/>
      <c r="O1778" s="189" t="s">
        <v>4792</v>
      </c>
    </row>
    <row r="1779" ht="14.25" customHeight="1">
      <c r="H1779" s="179" t="str">
        <f t="shared" si="1"/>
        <v>SíÓxido_cobalto_LitioEn el aparatoVarias_celdas</v>
      </c>
      <c r="I1779" s="178" t="s">
        <v>4767</v>
      </c>
      <c r="J1779" s="182" t="s">
        <v>4774</v>
      </c>
      <c r="K1779" s="178" t="s">
        <v>4769</v>
      </c>
      <c r="L1779" s="178" t="s">
        <v>4809</v>
      </c>
      <c r="M1779" s="178"/>
      <c r="N1779" s="185"/>
      <c r="O1779" s="189" t="s">
        <v>4792</v>
      </c>
    </row>
    <row r="1780" ht="14.25" customHeight="1">
      <c r="H1780" s="179" t="str">
        <f t="shared" si="1"/>
        <v>SíÓxido_cobalto_LitioCon el equipoVarias_celdas</v>
      </c>
      <c r="I1780" s="178" t="s">
        <v>4767</v>
      </c>
      <c r="J1780" s="182" t="s">
        <v>4774</v>
      </c>
      <c r="K1780" s="178" t="s">
        <v>4775</v>
      </c>
      <c r="L1780" s="178" t="s">
        <v>4809</v>
      </c>
      <c r="M1780" s="178"/>
      <c r="N1780" s="185"/>
      <c r="O1780" s="189" t="s">
        <v>4792</v>
      </c>
    </row>
    <row r="1781" ht="14.25" customHeight="1">
      <c r="H1781" s="179" t="str">
        <f t="shared" si="1"/>
        <v>SíÓxido_cobalto_LitioIndependienteVarias_celdas</v>
      </c>
      <c r="I1781" s="178" t="s">
        <v>4767</v>
      </c>
      <c r="J1781" s="182" t="s">
        <v>4774</v>
      </c>
      <c r="K1781" s="178" t="s">
        <v>4780</v>
      </c>
      <c r="L1781" s="178" t="s">
        <v>4809</v>
      </c>
      <c r="M1781" s="178"/>
      <c r="N1781" s="185"/>
      <c r="O1781" s="189" t="s">
        <v>4792</v>
      </c>
    </row>
    <row r="1782" ht="14.25" customHeight="1">
      <c r="H1782" s="179" t="str">
        <f t="shared" si="1"/>
        <v>SíÓxido_de_cobalto_de_manganeso_y_litioEn el aparatoVarias_celdas</v>
      </c>
      <c r="I1782" s="178" t="s">
        <v>4767</v>
      </c>
      <c r="J1782" s="182" t="s">
        <v>4785</v>
      </c>
      <c r="K1782" s="178" t="s">
        <v>4769</v>
      </c>
      <c r="L1782" s="178" t="s">
        <v>4809</v>
      </c>
      <c r="M1782" s="178"/>
      <c r="N1782" s="185"/>
      <c r="O1782" s="189" t="s">
        <v>4792</v>
      </c>
    </row>
    <row r="1783" ht="14.25" customHeight="1">
      <c r="H1783" s="179" t="str">
        <f t="shared" si="1"/>
        <v>SíÓxido_de_cobalto_de_manganeso_y_litioCon el equipoVarias_celdas</v>
      </c>
      <c r="I1783" s="178" t="s">
        <v>4767</v>
      </c>
      <c r="J1783" s="182" t="s">
        <v>4785</v>
      </c>
      <c r="K1783" s="178" t="s">
        <v>4775</v>
      </c>
      <c r="L1783" s="178" t="s">
        <v>4809</v>
      </c>
      <c r="M1783" s="178"/>
      <c r="N1783" s="185"/>
      <c r="O1783" s="189" t="s">
        <v>4792</v>
      </c>
    </row>
    <row r="1784" ht="14.25" customHeight="1">
      <c r="H1784" s="179" t="str">
        <f t="shared" si="1"/>
        <v>SíÓxido_de_cobalto_de_manganeso_y_litioIndependienteVarias_celdas</v>
      </c>
      <c r="I1784" s="178" t="s">
        <v>4767</v>
      </c>
      <c r="J1784" s="182" t="s">
        <v>4785</v>
      </c>
      <c r="K1784" s="178" t="s">
        <v>4780</v>
      </c>
      <c r="L1784" s="178" t="s">
        <v>4809</v>
      </c>
      <c r="M1784" s="178"/>
      <c r="N1784" s="185"/>
      <c r="O1784" s="189" t="s">
        <v>4792</v>
      </c>
    </row>
    <row r="1785" ht="14.25" customHeight="1">
      <c r="H1785" s="179" t="str">
        <f t="shared" si="1"/>
        <v>SíLitio_ferrofosfatoEn el aparatoVarias_celdas</v>
      </c>
      <c r="I1785" s="178" t="s">
        <v>4767</v>
      </c>
      <c r="J1785" s="182" t="s">
        <v>4783</v>
      </c>
      <c r="K1785" s="178" t="s">
        <v>4769</v>
      </c>
      <c r="L1785" s="178" t="s">
        <v>4809</v>
      </c>
      <c r="M1785" s="178"/>
      <c r="N1785" s="185"/>
      <c r="O1785" s="189" t="s">
        <v>4792</v>
      </c>
    </row>
    <row r="1786" ht="14.25" customHeight="1">
      <c r="H1786" s="179" t="str">
        <f t="shared" si="1"/>
        <v>SíLitio_ferrofosfatoCon el equipoVarias_celdas</v>
      </c>
      <c r="I1786" s="178" t="s">
        <v>4767</v>
      </c>
      <c r="J1786" s="182" t="s">
        <v>4783</v>
      </c>
      <c r="K1786" s="178" t="s">
        <v>4775</v>
      </c>
      <c r="L1786" s="178" t="s">
        <v>4809</v>
      </c>
      <c r="M1786" s="178"/>
      <c r="N1786" s="185"/>
      <c r="O1786" s="189" t="s">
        <v>4792</v>
      </c>
    </row>
    <row r="1787" ht="14.25" customHeight="1">
      <c r="H1787" s="179" t="str">
        <f t="shared" si="1"/>
        <v>SíLitio_ferrofosfatoIndependienteVarias_celdas</v>
      </c>
      <c r="I1787" s="178" t="s">
        <v>4767</v>
      </c>
      <c r="J1787" s="182" t="s">
        <v>4783</v>
      </c>
      <c r="K1787" s="178" t="s">
        <v>4780</v>
      </c>
      <c r="L1787" s="178" t="s">
        <v>4809</v>
      </c>
      <c r="M1787" s="178"/>
      <c r="N1787" s="185"/>
      <c r="O1787" s="189" t="s">
        <v>4792</v>
      </c>
    </row>
    <row r="1788" ht="14.25" customHeight="1">
      <c r="H1788" s="179" t="str">
        <f t="shared" si="1"/>
        <v>SíTitanato_de_litioEn el aparatoVarias_celdas</v>
      </c>
      <c r="I1788" s="178" t="s">
        <v>4767</v>
      </c>
      <c r="J1788" s="182" t="s">
        <v>4789</v>
      </c>
      <c r="K1788" s="178" t="s">
        <v>4769</v>
      </c>
      <c r="L1788" s="178" t="s">
        <v>4809</v>
      </c>
      <c r="M1788" s="178"/>
      <c r="N1788" s="185"/>
      <c r="O1788" s="189" t="s">
        <v>4792</v>
      </c>
    </row>
    <row r="1789" ht="14.25" customHeight="1">
      <c r="H1789" s="179" t="str">
        <f t="shared" si="1"/>
        <v>SíTitanato_de_litioCon el equipoVarias_celdas</v>
      </c>
      <c r="I1789" s="178" t="s">
        <v>4767</v>
      </c>
      <c r="J1789" s="182" t="s">
        <v>4789</v>
      </c>
      <c r="K1789" s="178" t="s">
        <v>4775</v>
      </c>
      <c r="L1789" s="178" t="s">
        <v>4809</v>
      </c>
      <c r="M1789" s="178"/>
      <c r="N1789" s="185"/>
      <c r="O1789" s="189" t="s">
        <v>4792</v>
      </c>
    </row>
    <row r="1790" ht="14.25" customHeight="1">
      <c r="H1790" s="179" t="str">
        <f t="shared" si="1"/>
        <v>SíTitanato_de_litioIndependienteVarias_celdas</v>
      </c>
      <c r="I1790" s="178" t="s">
        <v>4767</v>
      </c>
      <c r="J1790" s="182" t="s">
        <v>4789</v>
      </c>
      <c r="K1790" s="178" t="s">
        <v>4780</v>
      </c>
      <c r="L1790" s="178" t="s">
        <v>4809</v>
      </c>
      <c r="M1790" s="178"/>
      <c r="N1790" s="185"/>
      <c r="O1790" s="189" t="s">
        <v>4792</v>
      </c>
    </row>
    <row r="1791" ht="14.25" customHeight="1">
      <c r="H1791" s="179" t="str">
        <f t="shared" si="1"/>
        <v>Sí_18650_En el aparatoVarias_celdas</v>
      </c>
      <c r="I1791" s="178" t="s">
        <v>4767</v>
      </c>
      <c r="J1791" s="178" t="s">
        <v>4768</v>
      </c>
      <c r="K1791" s="178" t="s">
        <v>4769</v>
      </c>
      <c r="L1791" s="178" t="s">
        <v>4809</v>
      </c>
      <c r="M1791" s="178"/>
      <c r="N1791" s="185"/>
      <c r="O1791" s="189" t="s">
        <v>4792</v>
      </c>
    </row>
    <row r="1792" ht="14.25" customHeight="1">
      <c r="H1792" s="179" t="str">
        <f t="shared" si="1"/>
        <v>Sí_18650_Con el equipoVarias_celdas</v>
      </c>
      <c r="I1792" s="178" t="s">
        <v>4767</v>
      </c>
      <c r="J1792" s="178" t="s">
        <v>4768</v>
      </c>
      <c r="K1792" s="178" t="s">
        <v>4775</v>
      </c>
      <c r="L1792" s="178" t="s">
        <v>4809</v>
      </c>
      <c r="M1792" s="178"/>
      <c r="N1792" s="185"/>
      <c r="O1792" s="189" t="s">
        <v>4792</v>
      </c>
    </row>
    <row r="1793" ht="14.25" customHeight="1">
      <c r="H1793" s="179" t="str">
        <f t="shared" si="1"/>
        <v>Sí_18650_IndependienteVarias_celdas</v>
      </c>
      <c r="I1793" s="178" t="s">
        <v>4767</v>
      </c>
      <c r="J1793" s="178" t="s">
        <v>4768</v>
      </c>
      <c r="K1793" s="178" t="s">
        <v>4780</v>
      </c>
      <c r="L1793" s="178" t="s">
        <v>4809</v>
      </c>
      <c r="M1793" s="178"/>
      <c r="N1793" s="185"/>
      <c r="O1793" s="189" t="s">
        <v>4792</v>
      </c>
    </row>
    <row r="1794" ht="14.25" customHeight="1">
      <c r="H1794" s="179" t="str">
        <f t="shared" si="1"/>
        <v>SíIon_litioEn el aparatoVarias_celdas</v>
      </c>
      <c r="I1794" s="178" t="s">
        <v>4767</v>
      </c>
      <c r="J1794" s="182" t="s">
        <v>4779</v>
      </c>
      <c r="K1794" s="178" t="s">
        <v>4769</v>
      </c>
      <c r="L1794" s="178" t="s">
        <v>4809</v>
      </c>
      <c r="M1794" s="178"/>
      <c r="N1794" s="185"/>
      <c r="O1794" s="189" t="s">
        <v>4792</v>
      </c>
    </row>
    <row r="1795" ht="14.25" customHeight="1">
      <c r="H1795" s="179" t="str">
        <f t="shared" si="1"/>
        <v>SíIon_litioCon el equipoVarias_celdas</v>
      </c>
      <c r="I1795" s="178" t="s">
        <v>4767</v>
      </c>
      <c r="J1795" s="182" t="s">
        <v>4779</v>
      </c>
      <c r="K1795" s="178" t="s">
        <v>4775</v>
      </c>
      <c r="L1795" s="178" t="s">
        <v>4809</v>
      </c>
      <c r="M1795" s="178"/>
      <c r="N1795" s="185"/>
      <c r="O1795" s="189" t="s">
        <v>4792</v>
      </c>
    </row>
    <row r="1796" ht="14.25" customHeight="1">
      <c r="H1796" s="179" t="str">
        <f t="shared" si="1"/>
        <v>SíIon_litioIndependienteVarias_celdas</v>
      </c>
      <c r="I1796" s="178" t="s">
        <v>4767</v>
      </c>
      <c r="J1796" s="182" t="s">
        <v>4779</v>
      </c>
      <c r="K1796" s="178" t="s">
        <v>4780</v>
      </c>
      <c r="L1796" s="178" t="s">
        <v>4809</v>
      </c>
      <c r="M1796" s="178"/>
      <c r="N1796" s="185"/>
      <c r="O1796" s="189" t="s">
        <v>4792</v>
      </c>
    </row>
    <row r="1797" ht="14.25" customHeight="1">
      <c r="H1797" s="179" t="str">
        <f t="shared" si="1"/>
        <v>SíPolímero_de_litioEn el aparatoVarias_celdas</v>
      </c>
      <c r="I1797" s="178" t="s">
        <v>4767</v>
      </c>
      <c r="J1797" s="182" t="s">
        <v>4787</v>
      </c>
      <c r="K1797" s="178" t="s">
        <v>4769</v>
      </c>
      <c r="L1797" s="178" t="s">
        <v>4809</v>
      </c>
      <c r="M1797" s="178"/>
      <c r="N1797" s="185"/>
      <c r="O1797" s="189" t="s">
        <v>4792</v>
      </c>
    </row>
    <row r="1798" ht="14.25" customHeight="1">
      <c r="H1798" s="179" t="str">
        <f t="shared" si="1"/>
        <v>SíPolímero_de_litioCon el equipoVarias_celdas</v>
      </c>
      <c r="I1798" s="178" t="s">
        <v>4767</v>
      </c>
      <c r="J1798" s="182" t="s">
        <v>4787</v>
      </c>
      <c r="K1798" s="178" t="s">
        <v>4775</v>
      </c>
      <c r="L1798" s="178" t="s">
        <v>4809</v>
      </c>
      <c r="M1798" s="178"/>
      <c r="N1798" s="185"/>
      <c r="O1798" s="189" t="s">
        <v>4792</v>
      </c>
    </row>
    <row r="1799" ht="14.25" customHeight="1">
      <c r="H1799" s="179" t="str">
        <f t="shared" si="1"/>
        <v>SíPolímero_de_litioIndependienteVarias_celdas</v>
      </c>
      <c r="I1799" s="178" t="s">
        <v>4767</v>
      </c>
      <c r="J1799" s="182" t="s">
        <v>4787</v>
      </c>
      <c r="K1799" s="178" t="s">
        <v>4780</v>
      </c>
      <c r="L1799" s="178" t="s">
        <v>4809</v>
      </c>
      <c r="M1799" s="178"/>
      <c r="N1799" s="185"/>
      <c r="O1799" s="189" t="s">
        <v>4792</v>
      </c>
    </row>
    <row r="1800" ht="14.25" customHeight="1">
      <c r="H1800" s="179" t="str">
        <f t="shared" si="1"/>
        <v>SíÓxido_cobalto_LitioEn el aparatoVarias_celdas</v>
      </c>
      <c r="I1800" s="178" t="s">
        <v>4767</v>
      </c>
      <c r="J1800" s="182" t="s">
        <v>4774</v>
      </c>
      <c r="K1800" s="178" t="s">
        <v>4769</v>
      </c>
      <c r="L1800" s="178" t="s">
        <v>4809</v>
      </c>
      <c r="M1800" s="178"/>
      <c r="N1800" s="185"/>
      <c r="O1800" s="189" t="s">
        <v>4792</v>
      </c>
    </row>
    <row r="1801" ht="14.25" customHeight="1">
      <c r="H1801" s="179" t="str">
        <f t="shared" si="1"/>
        <v>SíÓxido_cobalto_LitioCon el equipoVarias_celdas</v>
      </c>
      <c r="I1801" s="178" t="s">
        <v>4767</v>
      </c>
      <c r="J1801" s="182" t="s">
        <v>4774</v>
      </c>
      <c r="K1801" s="178" t="s">
        <v>4775</v>
      </c>
      <c r="L1801" s="178" t="s">
        <v>4809</v>
      </c>
      <c r="M1801" s="178"/>
      <c r="N1801" s="185"/>
      <c r="O1801" s="189" t="s">
        <v>4792</v>
      </c>
    </row>
    <row r="1802" ht="14.25" customHeight="1">
      <c r="H1802" s="179" t="str">
        <f t="shared" si="1"/>
        <v>SíÓxido_cobalto_LitioIndependienteVarias_celdas</v>
      </c>
      <c r="I1802" s="178" t="s">
        <v>4767</v>
      </c>
      <c r="J1802" s="182" t="s">
        <v>4774</v>
      </c>
      <c r="K1802" s="178" t="s">
        <v>4780</v>
      </c>
      <c r="L1802" s="178" t="s">
        <v>4809</v>
      </c>
      <c r="M1802" s="178"/>
      <c r="N1802" s="185"/>
      <c r="O1802" s="189" t="s">
        <v>4792</v>
      </c>
    </row>
    <row r="1803" ht="14.25" customHeight="1">
      <c r="H1803" s="179" t="str">
        <f t="shared" si="1"/>
        <v>SíÓxido_de_cobalto_de_manganeso_y_litioEn el aparatoVarias_celdas</v>
      </c>
      <c r="I1803" s="178" t="s">
        <v>4767</v>
      </c>
      <c r="J1803" s="182" t="s">
        <v>4785</v>
      </c>
      <c r="K1803" s="178" t="s">
        <v>4769</v>
      </c>
      <c r="L1803" s="178" t="s">
        <v>4809</v>
      </c>
      <c r="M1803" s="178"/>
      <c r="N1803" s="185"/>
      <c r="O1803" s="189" t="s">
        <v>4792</v>
      </c>
    </row>
    <row r="1804" ht="14.25" customHeight="1">
      <c r="H1804" s="179" t="str">
        <f t="shared" si="1"/>
        <v>SíÓxido_de_cobalto_de_manganeso_y_litioCon el equipoVarias_celdas</v>
      </c>
      <c r="I1804" s="178" t="s">
        <v>4767</v>
      </c>
      <c r="J1804" s="182" t="s">
        <v>4785</v>
      </c>
      <c r="K1804" s="178" t="s">
        <v>4775</v>
      </c>
      <c r="L1804" s="178" t="s">
        <v>4809</v>
      </c>
      <c r="M1804" s="178"/>
      <c r="N1804" s="185"/>
      <c r="O1804" s="189" t="s">
        <v>4792</v>
      </c>
    </row>
    <row r="1805" ht="14.25" customHeight="1">
      <c r="H1805" s="179" t="str">
        <f t="shared" si="1"/>
        <v>SíÓxido_de_cobalto_de_manganeso_y_litioIndependienteVarias_celdas</v>
      </c>
      <c r="I1805" s="178" t="s">
        <v>4767</v>
      </c>
      <c r="J1805" s="182" t="s">
        <v>4785</v>
      </c>
      <c r="K1805" s="178" t="s">
        <v>4780</v>
      </c>
      <c r="L1805" s="178" t="s">
        <v>4809</v>
      </c>
      <c r="M1805" s="178"/>
      <c r="N1805" s="185"/>
      <c r="O1805" s="189" t="s">
        <v>4792</v>
      </c>
    </row>
    <row r="1806" ht="14.25" customHeight="1">
      <c r="H1806" s="179" t="str">
        <f t="shared" si="1"/>
        <v>SíLitio_ferrofosfatoEn el aparatoVarias_celdas</v>
      </c>
      <c r="I1806" s="178" t="s">
        <v>4767</v>
      </c>
      <c r="J1806" s="182" t="s">
        <v>4783</v>
      </c>
      <c r="K1806" s="178" t="s">
        <v>4769</v>
      </c>
      <c r="L1806" s="178" t="s">
        <v>4809</v>
      </c>
      <c r="M1806" s="178"/>
      <c r="N1806" s="185"/>
      <c r="O1806" s="189" t="s">
        <v>4792</v>
      </c>
    </row>
    <row r="1807" ht="14.25" customHeight="1">
      <c r="H1807" s="179" t="str">
        <f t="shared" si="1"/>
        <v>SíLitio_ferrofosfatoCon el equipoVarias_celdas</v>
      </c>
      <c r="I1807" s="178" t="s">
        <v>4767</v>
      </c>
      <c r="J1807" s="182" t="s">
        <v>4783</v>
      </c>
      <c r="K1807" s="178" t="s">
        <v>4775</v>
      </c>
      <c r="L1807" s="178" t="s">
        <v>4809</v>
      </c>
      <c r="M1807" s="178"/>
      <c r="N1807" s="185"/>
      <c r="O1807" s="189" t="s">
        <v>4792</v>
      </c>
    </row>
    <row r="1808" ht="14.25" customHeight="1">
      <c r="H1808" s="179" t="str">
        <f t="shared" si="1"/>
        <v>SíLitio_ferrofosfatoIndependienteVarias_celdas</v>
      </c>
      <c r="I1808" s="178" t="s">
        <v>4767</v>
      </c>
      <c r="J1808" s="182" t="s">
        <v>4783</v>
      </c>
      <c r="K1808" s="178" t="s">
        <v>4780</v>
      </c>
      <c r="L1808" s="178" t="s">
        <v>4809</v>
      </c>
      <c r="M1808" s="178"/>
      <c r="N1808" s="185"/>
      <c r="O1808" s="189" t="s">
        <v>4792</v>
      </c>
    </row>
    <row r="1809" ht="14.25" customHeight="1">
      <c r="H1809" s="179" t="str">
        <f t="shared" si="1"/>
        <v>SíTitanato_de_litioEn el aparatoVarias_celdas</v>
      </c>
      <c r="I1809" s="178" t="s">
        <v>4767</v>
      </c>
      <c r="J1809" s="182" t="s">
        <v>4789</v>
      </c>
      <c r="K1809" s="178" t="s">
        <v>4769</v>
      </c>
      <c r="L1809" s="178" t="s">
        <v>4809</v>
      </c>
      <c r="M1809" s="178"/>
      <c r="N1809" s="185"/>
      <c r="O1809" s="189" t="s">
        <v>4792</v>
      </c>
    </row>
    <row r="1810" ht="14.25" customHeight="1">
      <c r="H1810" s="179" t="str">
        <f t="shared" si="1"/>
        <v>SíTitanato_de_litioCon el equipoVarias_celdas</v>
      </c>
      <c r="I1810" s="178" t="s">
        <v>4767</v>
      </c>
      <c r="J1810" s="182" t="s">
        <v>4789</v>
      </c>
      <c r="K1810" s="178" t="s">
        <v>4775</v>
      </c>
      <c r="L1810" s="178" t="s">
        <v>4809</v>
      </c>
      <c r="M1810" s="178"/>
      <c r="N1810" s="185"/>
      <c r="O1810" s="189" t="s">
        <v>4792</v>
      </c>
    </row>
    <row r="1811" ht="14.25" customHeight="1">
      <c r="H1811" s="179" t="str">
        <f t="shared" si="1"/>
        <v>SíTitanato_de_litioIndependienteVarias_celdas</v>
      </c>
      <c r="I1811" s="178" t="s">
        <v>4767</v>
      </c>
      <c r="J1811" s="182" t="s">
        <v>4789</v>
      </c>
      <c r="K1811" s="178" t="s">
        <v>4780</v>
      </c>
      <c r="L1811" s="178" t="s">
        <v>4809</v>
      </c>
      <c r="M1811" s="178"/>
      <c r="N1811" s="185"/>
      <c r="O1811" s="189" t="s">
        <v>4792</v>
      </c>
    </row>
    <row r="1812" ht="14.25" customHeight="1">
      <c r="H1812" s="179" t="str">
        <f t="shared" si="1"/>
        <v>Sí_18650_En el aparatoVarias_celdas</v>
      </c>
      <c r="I1812" s="178" t="s">
        <v>4767</v>
      </c>
      <c r="J1812" s="178" t="s">
        <v>4768</v>
      </c>
      <c r="K1812" s="178" t="s">
        <v>4769</v>
      </c>
      <c r="L1812" s="178" t="s">
        <v>4809</v>
      </c>
      <c r="M1812" s="178"/>
      <c r="N1812" s="185"/>
      <c r="O1812" s="189" t="s">
        <v>4792</v>
      </c>
    </row>
    <row r="1813" ht="14.25" customHeight="1">
      <c r="H1813" s="179" t="str">
        <f t="shared" si="1"/>
        <v>Sí_18650_Con el equipoVarias_celdas</v>
      </c>
      <c r="I1813" s="178" t="s">
        <v>4767</v>
      </c>
      <c r="J1813" s="178" t="s">
        <v>4768</v>
      </c>
      <c r="K1813" s="178" t="s">
        <v>4775</v>
      </c>
      <c r="L1813" s="178" t="s">
        <v>4809</v>
      </c>
      <c r="M1813" s="178"/>
      <c r="N1813" s="185"/>
      <c r="O1813" s="189" t="s">
        <v>4792</v>
      </c>
    </row>
    <row r="1814" ht="14.25" customHeight="1">
      <c r="H1814" s="179" t="str">
        <f t="shared" si="1"/>
        <v>Sí_18650_IndependienteVarias_celdas</v>
      </c>
      <c r="I1814" s="178" t="s">
        <v>4767</v>
      </c>
      <c r="J1814" s="178" t="s">
        <v>4768</v>
      </c>
      <c r="K1814" s="178" t="s">
        <v>4780</v>
      </c>
      <c r="L1814" s="178" t="s">
        <v>4809</v>
      </c>
      <c r="M1814" s="178"/>
      <c r="N1814" s="185"/>
      <c r="O1814" s="189" t="s">
        <v>4792</v>
      </c>
    </row>
    <row r="1815" ht="14.25" customHeight="1">
      <c r="H1815" s="179" t="str">
        <f t="shared" si="1"/>
        <v>SíIon_litioEn el aparatoVarias_celdas</v>
      </c>
      <c r="I1815" s="178" t="s">
        <v>4767</v>
      </c>
      <c r="J1815" s="182" t="s">
        <v>4779</v>
      </c>
      <c r="K1815" s="178" t="s">
        <v>4769</v>
      </c>
      <c r="L1815" s="178" t="s">
        <v>4809</v>
      </c>
      <c r="M1815" s="178"/>
      <c r="N1815" s="185"/>
      <c r="O1815" s="189" t="s">
        <v>4792</v>
      </c>
    </row>
    <row r="1816" ht="14.25" customHeight="1">
      <c r="H1816" s="179" t="str">
        <f t="shared" si="1"/>
        <v>SíIon_litioCon el equipoVarias_celdas</v>
      </c>
      <c r="I1816" s="178" t="s">
        <v>4767</v>
      </c>
      <c r="J1816" s="182" t="s">
        <v>4779</v>
      </c>
      <c r="K1816" s="178" t="s">
        <v>4775</v>
      </c>
      <c r="L1816" s="178" t="s">
        <v>4809</v>
      </c>
      <c r="M1816" s="178"/>
      <c r="N1816" s="185"/>
      <c r="O1816" s="189" t="s">
        <v>4792</v>
      </c>
    </row>
    <row r="1817" ht="14.25" customHeight="1">
      <c r="H1817" s="179" t="str">
        <f t="shared" si="1"/>
        <v>SíIon_litioIndependienteVarias_celdas</v>
      </c>
      <c r="I1817" s="178" t="s">
        <v>4767</v>
      </c>
      <c r="J1817" s="182" t="s">
        <v>4779</v>
      </c>
      <c r="K1817" s="178" t="s">
        <v>4780</v>
      </c>
      <c r="L1817" s="178" t="s">
        <v>4809</v>
      </c>
      <c r="M1817" s="178"/>
      <c r="N1817" s="185"/>
      <c r="O1817" s="189" t="s">
        <v>4792</v>
      </c>
    </row>
    <row r="1818" ht="14.25" customHeight="1">
      <c r="H1818" s="179" t="str">
        <f t="shared" si="1"/>
        <v>SíPolímero_de_litioEn el aparatoVarias_celdas</v>
      </c>
      <c r="I1818" s="178" t="s">
        <v>4767</v>
      </c>
      <c r="J1818" s="182" t="s">
        <v>4787</v>
      </c>
      <c r="K1818" s="178" t="s">
        <v>4769</v>
      </c>
      <c r="L1818" s="178" t="s">
        <v>4809</v>
      </c>
      <c r="M1818" s="178"/>
      <c r="N1818" s="185"/>
      <c r="O1818" s="189" t="s">
        <v>4792</v>
      </c>
    </row>
    <row r="1819" ht="14.25" customHeight="1">
      <c r="H1819" s="179" t="str">
        <f t="shared" si="1"/>
        <v>SíPolímero_de_litioCon el equipoVarias_celdas</v>
      </c>
      <c r="I1819" s="178" t="s">
        <v>4767</v>
      </c>
      <c r="J1819" s="182" t="s">
        <v>4787</v>
      </c>
      <c r="K1819" s="178" t="s">
        <v>4775</v>
      </c>
      <c r="L1819" s="178" t="s">
        <v>4809</v>
      </c>
      <c r="M1819" s="178"/>
      <c r="N1819" s="185"/>
      <c r="O1819" s="189" t="s">
        <v>4792</v>
      </c>
    </row>
    <row r="1820" ht="14.25" customHeight="1">
      <c r="H1820" s="179" t="str">
        <f t="shared" si="1"/>
        <v>SíPolímero_de_litioIndependienteVarias_celdas</v>
      </c>
      <c r="I1820" s="178" t="s">
        <v>4767</v>
      </c>
      <c r="J1820" s="182" t="s">
        <v>4787</v>
      </c>
      <c r="K1820" s="178" t="s">
        <v>4780</v>
      </c>
      <c r="L1820" s="178" t="s">
        <v>4809</v>
      </c>
      <c r="M1820" s="178"/>
      <c r="N1820" s="185"/>
      <c r="O1820" s="189" t="s">
        <v>4792</v>
      </c>
    </row>
    <row r="1821" ht="14.25" customHeight="1">
      <c r="H1821" s="179" t="str">
        <f t="shared" si="1"/>
        <v>SíÓxido_cobalto_LitioEn el aparatoVarias_celdas</v>
      </c>
      <c r="I1821" s="178" t="s">
        <v>4767</v>
      </c>
      <c r="J1821" s="182" t="s">
        <v>4774</v>
      </c>
      <c r="K1821" s="178" t="s">
        <v>4769</v>
      </c>
      <c r="L1821" s="178" t="s">
        <v>4809</v>
      </c>
      <c r="M1821" s="178"/>
      <c r="N1821" s="185"/>
      <c r="O1821" s="189" t="s">
        <v>4792</v>
      </c>
    </row>
    <row r="1822" ht="14.25" customHeight="1">
      <c r="H1822" s="179" t="str">
        <f t="shared" si="1"/>
        <v>SíÓxido_cobalto_LitioCon el equipoVarias_celdas</v>
      </c>
      <c r="I1822" s="178" t="s">
        <v>4767</v>
      </c>
      <c r="J1822" s="182" t="s">
        <v>4774</v>
      </c>
      <c r="K1822" s="178" t="s">
        <v>4775</v>
      </c>
      <c r="L1822" s="178" t="s">
        <v>4809</v>
      </c>
      <c r="M1822" s="178"/>
      <c r="N1822" s="185"/>
      <c r="O1822" s="189" t="s">
        <v>4792</v>
      </c>
    </row>
    <row r="1823" ht="14.25" customHeight="1">
      <c r="H1823" s="179" t="str">
        <f t="shared" si="1"/>
        <v>SíÓxido_cobalto_LitioIndependienteVarias_celdas</v>
      </c>
      <c r="I1823" s="178" t="s">
        <v>4767</v>
      </c>
      <c r="J1823" s="182" t="s">
        <v>4774</v>
      </c>
      <c r="K1823" s="178" t="s">
        <v>4780</v>
      </c>
      <c r="L1823" s="178" t="s">
        <v>4809</v>
      </c>
      <c r="M1823" s="178"/>
      <c r="N1823" s="185"/>
      <c r="O1823" s="189" t="s">
        <v>4792</v>
      </c>
    </row>
    <row r="1824" ht="14.25" customHeight="1">
      <c r="H1824" s="179" t="str">
        <f t="shared" si="1"/>
        <v>SíÓxido_de_cobalto_de_manganeso_y_litioEn el aparatoVarias_celdas</v>
      </c>
      <c r="I1824" s="178" t="s">
        <v>4767</v>
      </c>
      <c r="J1824" s="182" t="s">
        <v>4785</v>
      </c>
      <c r="K1824" s="178" t="s">
        <v>4769</v>
      </c>
      <c r="L1824" s="178" t="s">
        <v>4809</v>
      </c>
      <c r="M1824" s="178"/>
      <c r="N1824" s="185"/>
      <c r="O1824" s="189" t="s">
        <v>4792</v>
      </c>
    </row>
    <row r="1825" ht="14.25" customHeight="1">
      <c r="H1825" s="179" t="str">
        <f t="shared" si="1"/>
        <v>SíÓxido_de_cobalto_de_manganeso_y_litioCon el equipoVarias_celdas</v>
      </c>
      <c r="I1825" s="178" t="s">
        <v>4767</v>
      </c>
      <c r="J1825" s="182" t="s">
        <v>4785</v>
      </c>
      <c r="K1825" s="178" t="s">
        <v>4775</v>
      </c>
      <c r="L1825" s="178" t="s">
        <v>4809</v>
      </c>
      <c r="M1825" s="178"/>
      <c r="N1825" s="185"/>
      <c r="O1825" s="189" t="s">
        <v>4792</v>
      </c>
    </row>
    <row r="1826" ht="14.25" customHeight="1">
      <c r="H1826" s="179" t="str">
        <f t="shared" si="1"/>
        <v>SíÓxido_de_cobalto_de_manganeso_y_litioIndependienteVarias_celdas</v>
      </c>
      <c r="I1826" s="178" t="s">
        <v>4767</v>
      </c>
      <c r="J1826" s="182" t="s">
        <v>4785</v>
      </c>
      <c r="K1826" s="178" t="s">
        <v>4780</v>
      </c>
      <c r="L1826" s="178" t="s">
        <v>4809</v>
      </c>
      <c r="M1826" s="178"/>
      <c r="N1826" s="185"/>
      <c r="O1826" s="189" t="s">
        <v>4792</v>
      </c>
    </row>
    <row r="1827" ht="14.25" customHeight="1">
      <c r="H1827" s="179" t="str">
        <f t="shared" si="1"/>
        <v>SíLitio_ferrofosfatoEn el aparatoVarias_celdas</v>
      </c>
      <c r="I1827" s="178" t="s">
        <v>4767</v>
      </c>
      <c r="J1827" s="182" t="s">
        <v>4783</v>
      </c>
      <c r="K1827" s="178" t="s">
        <v>4769</v>
      </c>
      <c r="L1827" s="178" t="s">
        <v>4809</v>
      </c>
      <c r="M1827" s="178"/>
      <c r="N1827" s="185"/>
      <c r="O1827" s="189" t="s">
        <v>4792</v>
      </c>
    </row>
    <row r="1828" ht="14.25" customHeight="1">
      <c r="H1828" s="179" t="str">
        <f t="shared" si="1"/>
        <v>SíLitio_ferrofosfatoCon el equipoVarias_celdas</v>
      </c>
      <c r="I1828" s="178" t="s">
        <v>4767</v>
      </c>
      <c r="J1828" s="182" t="s">
        <v>4783</v>
      </c>
      <c r="K1828" s="178" t="s">
        <v>4775</v>
      </c>
      <c r="L1828" s="178" t="s">
        <v>4809</v>
      </c>
      <c r="M1828" s="178"/>
      <c r="N1828" s="185"/>
      <c r="O1828" s="189" t="s">
        <v>4792</v>
      </c>
    </row>
    <row r="1829" ht="14.25" customHeight="1">
      <c r="H1829" s="179" t="str">
        <f t="shared" si="1"/>
        <v>SíLitio_ferrofosfatoIndependienteVarias_celdas</v>
      </c>
      <c r="I1829" s="178" t="s">
        <v>4767</v>
      </c>
      <c r="J1829" s="182" t="s">
        <v>4783</v>
      </c>
      <c r="K1829" s="178" t="s">
        <v>4780</v>
      </c>
      <c r="L1829" s="178" t="s">
        <v>4809</v>
      </c>
      <c r="M1829" s="178"/>
      <c r="N1829" s="185"/>
      <c r="O1829" s="189" t="s">
        <v>4792</v>
      </c>
    </row>
    <row r="1830" ht="14.25" customHeight="1">
      <c r="H1830" s="179" t="str">
        <f t="shared" si="1"/>
        <v>SíTitanato_de_litioEn el aparatoVarias_celdas</v>
      </c>
      <c r="I1830" s="178" t="s">
        <v>4767</v>
      </c>
      <c r="J1830" s="182" t="s">
        <v>4789</v>
      </c>
      <c r="K1830" s="178" t="s">
        <v>4769</v>
      </c>
      <c r="L1830" s="178" t="s">
        <v>4809</v>
      </c>
      <c r="M1830" s="178"/>
      <c r="N1830" s="185"/>
      <c r="O1830" s="189" t="s">
        <v>4792</v>
      </c>
    </row>
    <row r="1831" ht="14.25" customHeight="1">
      <c r="H1831" s="179" t="str">
        <f t="shared" si="1"/>
        <v>SíTitanato_de_litioCon el equipoVarias_celdas</v>
      </c>
      <c r="I1831" s="178" t="s">
        <v>4767</v>
      </c>
      <c r="J1831" s="182" t="s">
        <v>4789</v>
      </c>
      <c r="K1831" s="178" t="s">
        <v>4775</v>
      </c>
      <c r="L1831" s="178" t="s">
        <v>4809</v>
      </c>
      <c r="M1831" s="178"/>
      <c r="N1831" s="185"/>
      <c r="O1831" s="189" t="s">
        <v>4792</v>
      </c>
    </row>
    <row r="1832" ht="14.25" customHeight="1">
      <c r="H1832" s="179" t="str">
        <f t="shared" si="1"/>
        <v>SíTitanato_de_litioIndependienteVarias_celdas</v>
      </c>
      <c r="I1832" s="178" t="s">
        <v>4767</v>
      </c>
      <c r="J1832" s="182" t="s">
        <v>4789</v>
      </c>
      <c r="K1832" s="178" t="s">
        <v>4780</v>
      </c>
      <c r="L1832" s="178" t="s">
        <v>4809</v>
      </c>
      <c r="M1832" s="178"/>
      <c r="N1832" s="185"/>
      <c r="O1832" s="189" t="s">
        <v>4792</v>
      </c>
    </row>
    <row r="1833" ht="14.25" customHeight="1">
      <c r="H1833" s="179" t="str">
        <f t="shared" si="1"/>
        <v>Sí_18650_En el aparatoVarias_celdas</v>
      </c>
      <c r="I1833" s="178" t="s">
        <v>4767</v>
      </c>
      <c r="J1833" s="178" t="s">
        <v>4768</v>
      </c>
      <c r="K1833" s="178" t="s">
        <v>4769</v>
      </c>
      <c r="L1833" s="178" t="s">
        <v>4809</v>
      </c>
      <c r="M1833" s="178"/>
      <c r="N1833" s="185"/>
      <c r="O1833" s="189" t="s">
        <v>4792</v>
      </c>
    </row>
    <row r="1834" ht="14.25" customHeight="1">
      <c r="H1834" s="179" t="str">
        <f t="shared" si="1"/>
        <v>Sí_18650_Con el equipoVarias_celdas</v>
      </c>
      <c r="I1834" s="178" t="s">
        <v>4767</v>
      </c>
      <c r="J1834" s="178" t="s">
        <v>4768</v>
      </c>
      <c r="K1834" s="178" t="s">
        <v>4775</v>
      </c>
      <c r="L1834" s="178" t="s">
        <v>4809</v>
      </c>
      <c r="M1834" s="178"/>
      <c r="N1834" s="185"/>
      <c r="O1834" s="189" t="s">
        <v>4792</v>
      </c>
    </row>
    <row r="1835" ht="14.25" customHeight="1">
      <c r="H1835" s="179" t="str">
        <f t="shared" si="1"/>
        <v>Sí_18650_IndependienteVarias_celdas</v>
      </c>
      <c r="I1835" s="178" t="s">
        <v>4767</v>
      </c>
      <c r="J1835" s="178" t="s">
        <v>4768</v>
      </c>
      <c r="K1835" s="178" t="s">
        <v>4780</v>
      </c>
      <c r="L1835" s="178" t="s">
        <v>4809</v>
      </c>
      <c r="M1835" s="178"/>
      <c r="N1835" s="185"/>
      <c r="O1835" s="189" t="s">
        <v>4792</v>
      </c>
    </row>
    <row r="1836" ht="14.25" customHeight="1">
      <c r="H1836" s="179" t="str">
        <f t="shared" si="1"/>
        <v>SíIon_litioEn el aparatoVarias_celdas</v>
      </c>
      <c r="I1836" s="178" t="s">
        <v>4767</v>
      </c>
      <c r="J1836" s="182" t="s">
        <v>4779</v>
      </c>
      <c r="K1836" s="178" t="s">
        <v>4769</v>
      </c>
      <c r="L1836" s="178" t="s">
        <v>4809</v>
      </c>
      <c r="M1836" s="178"/>
      <c r="N1836" s="185"/>
      <c r="O1836" s="189" t="s">
        <v>4792</v>
      </c>
    </row>
    <row r="1837" ht="14.25" customHeight="1">
      <c r="H1837" s="179" t="str">
        <f t="shared" si="1"/>
        <v>SíIon_litioCon el equipoVarias_celdas</v>
      </c>
      <c r="I1837" s="178" t="s">
        <v>4767</v>
      </c>
      <c r="J1837" s="182" t="s">
        <v>4779</v>
      </c>
      <c r="K1837" s="178" t="s">
        <v>4775</v>
      </c>
      <c r="L1837" s="178" t="s">
        <v>4809</v>
      </c>
      <c r="M1837" s="178"/>
      <c r="N1837" s="185"/>
      <c r="O1837" s="189" t="s">
        <v>4792</v>
      </c>
    </row>
    <row r="1838" ht="14.25" customHeight="1">
      <c r="H1838" s="179" t="str">
        <f t="shared" si="1"/>
        <v>SíIon_litioIndependienteVarias_celdas</v>
      </c>
      <c r="I1838" s="178" t="s">
        <v>4767</v>
      </c>
      <c r="J1838" s="182" t="s">
        <v>4779</v>
      </c>
      <c r="K1838" s="178" t="s">
        <v>4780</v>
      </c>
      <c r="L1838" s="178" t="s">
        <v>4809</v>
      </c>
      <c r="M1838" s="178"/>
      <c r="N1838" s="185"/>
      <c r="O1838" s="189" t="s">
        <v>4792</v>
      </c>
    </row>
    <row r="1839" ht="14.25" customHeight="1">
      <c r="H1839" s="179" t="str">
        <f t="shared" si="1"/>
        <v>SíPolímero_de_litioEn el aparatoVarias_celdas</v>
      </c>
      <c r="I1839" s="178" t="s">
        <v>4767</v>
      </c>
      <c r="J1839" s="182" t="s">
        <v>4787</v>
      </c>
      <c r="K1839" s="178" t="s">
        <v>4769</v>
      </c>
      <c r="L1839" s="178" t="s">
        <v>4809</v>
      </c>
      <c r="M1839" s="178"/>
      <c r="N1839" s="185"/>
      <c r="O1839" s="189" t="s">
        <v>4792</v>
      </c>
    </row>
    <row r="1840" ht="14.25" customHeight="1">
      <c r="H1840" s="179" t="str">
        <f t="shared" si="1"/>
        <v>SíPolímero_de_litioCon el equipoVarias_celdas</v>
      </c>
      <c r="I1840" s="178" t="s">
        <v>4767</v>
      </c>
      <c r="J1840" s="182" t="s">
        <v>4787</v>
      </c>
      <c r="K1840" s="178" t="s">
        <v>4775</v>
      </c>
      <c r="L1840" s="178" t="s">
        <v>4809</v>
      </c>
      <c r="M1840" s="178"/>
      <c r="N1840" s="185"/>
      <c r="O1840" s="189" t="s">
        <v>4792</v>
      </c>
    </row>
    <row r="1841" ht="14.25" customHeight="1">
      <c r="H1841" s="179" t="str">
        <f t="shared" si="1"/>
        <v>SíPolímero_de_litioIndependienteVarias_celdas</v>
      </c>
      <c r="I1841" s="178" t="s">
        <v>4767</v>
      </c>
      <c r="J1841" s="182" t="s">
        <v>4787</v>
      </c>
      <c r="K1841" s="178" t="s">
        <v>4780</v>
      </c>
      <c r="L1841" s="178" t="s">
        <v>4809</v>
      </c>
      <c r="M1841" s="178"/>
      <c r="N1841" s="185"/>
      <c r="O1841" s="189" t="s">
        <v>4792</v>
      </c>
    </row>
    <row r="1842" ht="14.25" customHeight="1">
      <c r="H1842" s="179" t="str">
        <f t="shared" si="1"/>
        <v>SíÓxido_cobalto_LitioEn el aparatoVarias_celdas</v>
      </c>
      <c r="I1842" s="178" t="s">
        <v>4767</v>
      </c>
      <c r="J1842" s="182" t="s">
        <v>4774</v>
      </c>
      <c r="K1842" s="178" t="s">
        <v>4769</v>
      </c>
      <c r="L1842" s="178" t="s">
        <v>4809</v>
      </c>
      <c r="M1842" s="178"/>
      <c r="N1842" s="185"/>
      <c r="O1842" s="189" t="s">
        <v>4792</v>
      </c>
    </row>
    <row r="1843" ht="14.25" customHeight="1">
      <c r="H1843" s="179" t="str">
        <f t="shared" si="1"/>
        <v>SíÓxido_cobalto_LitioCon el equipoVarias_celdas</v>
      </c>
      <c r="I1843" s="178" t="s">
        <v>4767</v>
      </c>
      <c r="J1843" s="182" t="s">
        <v>4774</v>
      </c>
      <c r="K1843" s="178" t="s">
        <v>4775</v>
      </c>
      <c r="L1843" s="178" t="s">
        <v>4809</v>
      </c>
      <c r="M1843" s="178"/>
      <c r="N1843" s="185"/>
      <c r="O1843" s="189" t="s">
        <v>4792</v>
      </c>
    </row>
    <row r="1844" ht="14.25" customHeight="1">
      <c r="H1844" s="179" t="str">
        <f t="shared" si="1"/>
        <v>SíÓxido_cobalto_LitioIndependienteVarias_celdas</v>
      </c>
      <c r="I1844" s="178" t="s">
        <v>4767</v>
      </c>
      <c r="J1844" s="182" t="s">
        <v>4774</v>
      </c>
      <c r="K1844" s="178" t="s">
        <v>4780</v>
      </c>
      <c r="L1844" s="178" t="s">
        <v>4809</v>
      </c>
      <c r="M1844" s="178"/>
      <c r="N1844" s="185"/>
      <c r="O1844" s="189" t="s">
        <v>4792</v>
      </c>
    </row>
    <row r="1845" ht="14.25" customHeight="1">
      <c r="H1845" s="179" t="str">
        <f t="shared" si="1"/>
        <v>SíÓxido_de_cobalto_de_manganeso_y_litioEn el aparatoVarias_celdas</v>
      </c>
      <c r="I1845" s="178" t="s">
        <v>4767</v>
      </c>
      <c r="J1845" s="182" t="s">
        <v>4785</v>
      </c>
      <c r="K1845" s="178" t="s">
        <v>4769</v>
      </c>
      <c r="L1845" s="178" t="s">
        <v>4809</v>
      </c>
      <c r="M1845" s="178"/>
      <c r="N1845" s="185"/>
      <c r="O1845" s="189" t="s">
        <v>4792</v>
      </c>
    </row>
    <row r="1846" ht="14.25" customHeight="1">
      <c r="H1846" s="179" t="str">
        <f t="shared" si="1"/>
        <v>SíÓxido_de_cobalto_de_manganeso_y_litioCon el equipoVarias_celdas</v>
      </c>
      <c r="I1846" s="178" t="s">
        <v>4767</v>
      </c>
      <c r="J1846" s="182" t="s">
        <v>4785</v>
      </c>
      <c r="K1846" s="178" t="s">
        <v>4775</v>
      </c>
      <c r="L1846" s="178" t="s">
        <v>4809</v>
      </c>
      <c r="M1846" s="178"/>
      <c r="N1846" s="185"/>
      <c r="O1846" s="189" t="s">
        <v>4792</v>
      </c>
    </row>
    <row r="1847" ht="14.25" customHeight="1">
      <c r="H1847" s="179" t="str">
        <f t="shared" si="1"/>
        <v>SíÓxido_de_cobalto_de_manganeso_y_litioIndependienteVarias_celdas</v>
      </c>
      <c r="I1847" s="178" t="s">
        <v>4767</v>
      </c>
      <c r="J1847" s="182" t="s">
        <v>4785</v>
      </c>
      <c r="K1847" s="178" t="s">
        <v>4780</v>
      </c>
      <c r="L1847" s="178" t="s">
        <v>4809</v>
      </c>
      <c r="M1847" s="178"/>
      <c r="N1847" s="185"/>
      <c r="O1847" s="189" t="s">
        <v>4792</v>
      </c>
    </row>
    <row r="1848" ht="14.25" customHeight="1">
      <c r="H1848" s="179" t="str">
        <f t="shared" si="1"/>
        <v>SíLitio_ferrofosfatoEn el aparatoVarias_celdas</v>
      </c>
      <c r="I1848" s="178" t="s">
        <v>4767</v>
      </c>
      <c r="J1848" s="182" t="s">
        <v>4783</v>
      </c>
      <c r="K1848" s="178" t="s">
        <v>4769</v>
      </c>
      <c r="L1848" s="178" t="s">
        <v>4809</v>
      </c>
      <c r="M1848" s="178"/>
      <c r="N1848" s="185"/>
      <c r="O1848" s="189" t="s">
        <v>4792</v>
      </c>
    </row>
    <row r="1849" ht="14.25" customHeight="1">
      <c r="H1849" s="179" t="str">
        <f t="shared" si="1"/>
        <v>SíLitio_ferrofosfatoCon el equipoVarias_celdas</v>
      </c>
      <c r="I1849" s="178" t="s">
        <v>4767</v>
      </c>
      <c r="J1849" s="182" t="s">
        <v>4783</v>
      </c>
      <c r="K1849" s="178" t="s">
        <v>4775</v>
      </c>
      <c r="L1849" s="178" t="s">
        <v>4809</v>
      </c>
      <c r="M1849" s="178"/>
      <c r="N1849" s="185"/>
      <c r="O1849" s="189" t="s">
        <v>4792</v>
      </c>
    </row>
    <row r="1850" ht="14.25" customHeight="1">
      <c r="H1850" s="179" t="str">
        <f t="shared" si="1"/>
        <v>SíLitio_ferrofosfatoIndependienteVarias_celdas</v>
      </c>
      <c r="I1850" s="178" t="s">
        <v>4767</v>
      </c>
      <c r="J1850" s="182" t="s">
        <v>4783</v>
      </c>
      <c r="K1850" s="178" t="s">
        <v>4780</v>
      </c>
      <c r="L1850" s="178" t="s">
        <v>4809</v>
      </c>
      <c r="M1850" s="178"/>
      <c r="N1850" s="185"/>
      <c r="O1850" s="189" t="s">
        <v>4792</v>
      </c>
    </row>
    <row r="1851" ht="14.25" customHeight="1">
      <c r="H1851" s="179" t="str">
        <f t="shared" si="1"/>
        <v>SíTitanato_de_litioEn el aparatoVarias_celdas</v>
      </c>
      <c r="I1851" s="178" t="s">
        <v>4767</v>
      </c>
      <c r="J1851" s="182" t="s">
        <v>4789</v>
      </c>
      <c r="K1851" s="178" t="s">
        <v>4769</v>
      </c>
      <c r="L1851" s="178" t="s">
        <v>4809</v>
      </c>
      <c r="M1851" s="178"/>
      <c r="N1851" s="185"/>
      <c r="O1851" s="189" t="s">
        <v>4792</v>
      </c>
    </row>
    <row r="1852" ht="14.25" customHeight="1">
      <c r="H1852" s="179" t="str">
        <f t="shared" si="1"/>
        <v>SíTitanato_de_litioCon el equipoVarias_celdas</v>
      </c>
      <c r="I1852" s="178" t="s">
        <v>4767</v>
      </c>
      <c r="J1852" s="182" t="s">
        <v>4789</v>
      </c>
      <c r="K1852" s="178" t="s">
        <v>4775</v>
      </c>
      <c r="L1852" s="178" t="s">
        <v>4809</v>
      </c>
      <c r="M1852" s="178"/>
      <c r="N1852" s="185"/>
      <c r="O1852" s="189" t="s">
        <v>4792</v>
      </c>
    </row>
    <row r="1853" ht="14.25" customHeight="1">
      <c r="H1853" s="179" t="str">
        <f t="shared" si="1"/>
        <v>SíTitanato_de_litioIndependienteVarias_celdas</v>
      </c>
      <c r="I1853" s="178" t="s">
        <v>4767</v>
      </c>
      <c r="J1853" s="182" t="s">
        <v>4789</v>
      </c>
      <c r="K1853" s="178" t="s">
        <v>4780</v>
      </c>
      <c r="L1853" s="178" t="s">
        <v>4809</v>
      </c>
      <c r="M1853" s="178"/>
      <c r="N1853" s="185"/>
      <c r="O1853" s="189" t="s">
        <v>4792</v>
      </c>
    </row>
    <row r="1854" ht="14.25" customHeight="1">
      <c r="H1854" s="179" t="str">
        <f t="shared" si="1"/>
        <v>Sí_18650_En el aparatoVarias_celdas</v>
      </c>
      <c r="I1854" s="178" t="s">
        <v>4767</v>
      </c>
      <c r="J1854" s="178" t="s">
        <v>4768</v>
      </c>
      <c r="K1854" s="178" t="s">
        <v>4769</v>
      </c>
      <c r="L1854" s="178" t="s">
        <v>4809</v>
      </c>
      <c r="M1854" s="178"/>
      <c r="N1854" s="185"/>
      <c r="O1854" s="189" t="s">
        <v>4792</v>
      </c>
    </row>
    <row r="1855" ht="14.25" customHeight="1">
      <c r="H1855" s="179" t="str">
        <f t="shared" si="1"/>
        <v>Sí_18650_Con el equipoVarias_celdas</v>
      </c>
      <c r="I1855" s="178" t="s">
        <v>4767</v>
      </c>
      <c r="J1855" s="178" t="s">
        <v>4768</v>
      </c>
      <c r="K1855" s="178" t="s">
        <v>4775</v>
      </c>
      <c r="L1855" s="178" t="s">
        <v>4809</v>
      </c>
      <c r="M1855" s="178"/>
      <c r="N1855" s="185"/>
      <c r="O1855" s="189" t="s">
        <v>4792</v>
      </c>
    </row>
    <row r="1856" ht="14.25" customHeight="1">
      <c r="H1856" s="179" t="str">
        <f t="shared" si="1"/>
        <v>Sí_18650_IndependienteVarias_celdas</v>
      </c>
      <c r="I1856" s="178" t="s">
        <v>4767</v>
      </c>
      <c r="J1856" s="178" t="s">
        <v>4768</v>
      </c>
      <c r="K1856" s="178" t="s">
        <v>4780</v>
      </c>
      <c r="L1856" s="178" t="s">
        <v>4809</v>
      </c>
      <c r="M1856" s="178"/>
      <c r="N1856" s="185"/>
      <c r="O1856" s="189" t="s">
        <v>4792</v>
      </c>
    </row>
    <row r="1857" ht="14.25" customHeight="1">
      <c r="H1857" s="179" t="str">
        <f t="shared" si="1"/>
        <v>SíIon_litioEn el aparatoVarias_celdas</v>
      </c>
      <c r="I1857" s="178" t="s">
        <v>4767</v>
      </c>
      <c r="J1857" s="182" t="s">
        <v>4779</v>
      </c>
      <c r="K1857" s="178" t="s">
        <v>4769</v>
      </c>
      <c r="L1857" s="178" t="s">
        <v>4809</v>
      </c>
      <c r="M1857" s="178"/>
      <c r="N1857" s="185"/>
      <c r="O1857" s="189" t="s">
        <v>4792</v>
      </c>
    </row>
    <row r="1858" ht="14.25" customHeight="1">
      <c r="H1858" s="179" t="str">
        <f t="shared" si="1"/>
        <v>SíIon_litioCon el equipoVarias_celdas</v>
      </c>
      <c r="I1858" s="178" t="s">
        <v>4767</v>
      </c>
      <c r="J1858" s="182" t="s">
        <v>4779</v>
      </c>
      <c r="K1858" s="178" t="s">
        <v>4775</v>
      </c>
      <c r="L1858" s="178" t="s">
        <v>4809</v>
      </c>
      <c r="M1858" s="178"/>
      <c r="N1858" s="185"/>
      <c r="O1858" s="189" t="s">
        <v>4792</v>
      </c>
    </row>
    <row r="1859" ht="14.25" customHeight="1">
      <c r="H1859" s="179" t="str">
        <f t="shared" si="1"/>
        <v>SíIon_litioIndependienteVarias_celdas</v>
      </c>
      <c r="I1859" s="178" t="s">
        <v>4767</v>
      </c>
      <c r="J1859" s="182" t="s">
        <v>4779</v>
      </c>
      <c r="K1859" s="178" t="s">
        <v>4780</v>
      </c>
      <c r="L1859" s="178" t="s">
        <v>4809</v>
      </c>
      <c r="M1859" s="178"/>
      <c r="N1859" s="185"/>
      <c r="O1859" s="189" t="s">
        <v>4792</v>
      </c>
    </row>
    <row r="1860" ht="14.25" customHeight="1">
      <c r="H1860" s="179" t="str">
        <f t="shared" si="1"/>
        <v>SíPolímero_de_litioEn el aparatoVarias_celdas</v>
      </c>
      <c r="I1860" s="178" t="s">
        <v>4767</v>
      </c>
      <c r="J1860" s="182" t="s">
        <v>4787</v>
      </c>
      <c r="K1860" s="178" t="s">
        <v>4769</v>
      </c>
      <c r="L1860" s="178" t="s">
        <v>4809</v>
      </c>
      <c r="M1860" s="178"/>
      <c r="N1860" s="185"/>
      <c r="O1860" s="189" t="s">
        <v>4792</v>
      </c>
    </row>
    <row r="1861" ht="14.25" customHeight="1">
      <c r="H1861" s="179" t="str">
        <f t="shared" si="1"/>
        <v>SíPolímero_de_litioCon el equipoVarias_celdas</v>
      </c>
      <c r="I1861" s="178" t="s">
        <v>4767</v>
      </c>
      <c r="J1861" s="182" t="s">
        <v>4787</v>
      </c>
      <c r="K1861" s="178" t="s">
        <v>4775</v>
      </c>
      <c r="L1861" s="178" t="s">
        <v>4809</v>
      </c>
      <c r="M1861" s="178"/>
      <c r="N1861" s="185"/>
      <c r="O1861" s="189" t="s">
        <v>4792</v>
      </c>
    </row>
    <row r="1862" ht="14.25" customHeight="1">
      <c r="H1862" s="179" t="str">
        <f t="shared" si="1"/>
        <v>SíPolímero_de_litioIndependienteVarias_celdas</v>
      </c>
      <c r="I1862" s="178" t="s">
        <v>4767</v>
      </c>
      <c r="J1862" s="182" t="s">
        <v>4787</v>
      </c>
      <c r="K1862" s="178" t="s">
        <v>4780</v>
      </c>
      <c r="L1862" s="178" t="s">
        <v>4809</v>
      </c>
      <c r="M1862" s="178"/>
      <c r="N1862" s="185"/>
      <c r="O1862" s="189" t="s">
        <v>4792</v>
      </c>
    </row>
    <row r="1863" ht="14.25" customHeight="1">
      <c r="H1863" s="179" t="str">
        <f t="shared" si="1"/>
        <v>SíÓxido_cobalto_LitioEn el aparatoVarias_celdas</v>
      </c>
      <c r="I1863" s="178" t="s">
        <v>4767</v>
      </c>
      <c r="J1863" s="182" t="s">
        <v>4774</v>
      </c>
      <c r="K1863" s="178" t="s">
        <v>4769</v>
      </c>
      <c r="L1863" s="178" t="s">
        <v>4809</v>
      </c>
      <c r="M1863" s="178"/>
      <c r="N1863" s="185"/>
      <c r="O1863" s="189" t="s">
        <v>4792</v>
      </c>
    </row>
    <row r="1864" ht="14.25" customHeight="1">
      <c r="H1864" s="179" t="str">
        <f t="shared" si="1"/>
        <v>SíÓxido_cobalto_LitioCon el equipoVarias_celdas</v>
      </c>
      <c r="I1864" s="178" t="s">
        <v>4767</v>
      </c>
      <c r="J1864" s="182" t="s">
        <v>4774</v>
      </c>
      <c r="K1864" s="178" t="s">
        <v>4775</v>
      </c>
      <c r="L1864" s="178" t="s">
        <v>4809</v>
      </c>
      <c r="M1864" s="178"/>
      <c r="N1864" s="185"/>
      <c r="O1864" s="189" t="s">
        <v>4792</v>
      </c>
    </row>
    <row r="1865" ht="14.25" customHeight="1">
      <c r="H1865" s="179" t="str">
        <f t="shared" si="1"/>
        <v>SíÓxido_cobalto_LitioIndependienteVarias_celdas</v>
      </c>
      <c r="I1865" s="178" t="s">
        <v>4767</v>
      </c>
      <c r="J1865" s="182" t="s">
        <v>4774</v>
      </c>
      <c r="K1865" s="178" t="s">
        <v>4780</v>
      </c>
      <c r="L1865" s="178" t="s">
        <v>4809</v>
      </c>
      <c r="M1865" s="178"/>
      <c r="N1865" s="185"/>
      <c r="O1865" s="189" t="s">
        <v>4792</v>
      </c>
    </row>
    <row r="1866" ht="14.25" customHeight="1">
      <c r="H1866" s="179" t="str">
        <f t="shared" si="1"/>
        <v>SíÓxido_de_cobalto_de_manganeso_y_litioEn el aparatoVarias_celdas</v>
      </c>
      <c r="I1866" s="178" t="s">
        <v>4767</v>
      </c>
      <c r="J1866" s="182" t="s">
        <v>4785</v>
      </c>
      <c r="K1866" s="178" t="s">
        <v>4769</v>
      </c>
      <c r="L1866" s="178" t="s">
        <v>4809</v>
      </c>
      <c r="M1866" s="178"/>
      <c r="N1866" s="185"/>
      <c r="O1866" s="189" t="s">
        <v>4792</v>
      </c>
    </row>
    <row r="1867" ht="14.25" customHeight="1">
      <c r="H1867" s="179" t="str">
        <f t="shared" si="1"/>
        <v>SíÓxido_de_cobalto_de_manganeso_y_litioCon el equipoVarias_celdas</v>
      </c>
      <c r="I1867" s="178" t="s">
        <v>4767</v>
      </c>
      <c r="J1867" s="182" t="s">
        <v>4785</v>
      </c>
      <c r="K1867" s="178" t="s">
        <v>4775</v>
      </c>
      <c r="L1867" s="178" t="s">
        <v>4809</v>
      </c>
      <c r="M1867" s="178"/>
      <c r="N1867" s="185"/>
      <c r="O1867" s="189" t="s">
        <v>4792</v>
      </c>
    </row>
    <row r="1868" ht="14.25" customHeight="1">
      <c r="H1868" s="179" t="str">
        <f t="shared" si="1"/>
        <v>SíÓxido_de_cobalto_de_manganeso_y_litioIndependienteVarias_celdas</v>
      </c>
      <c r="I1868" s="178" t="s">
        <v>4767</v>
      </c>
      <c r="J1868" s="182" t="s">
        <v>4785</v>
      </c>
      <c r="K1868" s="178" t="s">
        <v>4780</v>
      </c>
      <c r="L1868" s="178" t="s">
        <v>4809</v>
      </c>
      <c r="M1868" s="178"/>
      <c r="N1868" s="185"/>
      <c r="O1868" s="189" t="s">
        <v>4792</v>
      </c>
    </row>
    <row r="1869" ht="14.25" customHeight="1">
      <c r="H1869" s="179" t="str">
        <f t="shared" si="1"/>
        <v>SíLitio_ferrofosfatoEn el aparatoVarias_celdas</v>
      </c>
      <c r="I1869" s="178" t="s">
        <v>4767</v>
      </c>
      <c r="J1869" s="182" t="s">
        <v>4783</v>
      </c>
      <c r="K1869" s="178" t="s">
        <v>4769</v>
      </c>
      <c r="L1869" s="178" t="s">
        <v>4809</v>
      </c>
      <c r="M1869" s="178"/>
      <c r="N1869" s="185"/>
      <c r="O1869" s="189" t="s">
        <v>4792</v>
      </c>
    </row>
    <row r="1870" ht="14.25" customHeight="1">
      <c r="H1870" s="179" t="str">
        <f t="shared" si="1"/>
        <v>SíLitio_ferrofosfatoCon el equipoVarias_celdas</v>
      </c>
      <c r="I1870" s="178" t="s">
        <v>4767</v>
      </c>
      <c r="J1870" s="182" t="s">
        <v>4783</v>
      </c>
      <c r="K1870" s="178" t="s">
        <v>4775</v>
      </c>
      <c r="L1870" s="178" t="s">
        <v>4809</v>
      </c>
      <c r="M1870" s="178"/>
      <c r="N1870" s="185"/>
      <c r="O1870" s="189" t="s">
        <v>4792</v>
      </c>
    </row>
    <row r="1871" ht="14.25" customHeight="1">
      <c r="H1871" s="179" t="str">
        <f t="shared" si="1"/>
        <v>SíLitio_ferrofosfatoIndependienteVarias_celdas</v>
      </c>
      <c r="I1871" s="178" t="s">
        <v>4767</v>
      </c>
      <c r="J1871" s="182" t="s">
        <v>4783</v>
      </c>
      <c r="K1871" s="178" t="s">
        <v>4780</v>
      </c>
      <c r="L1871" s="178" t="s">
        <v>4809</v>
      </c>
      <c r="M1871" s="178"/>
      <c r="N1871" s="185"/>
      <c r="O1871" s="189" t="s">
        <v>4792</v>
      </c>
    </row>
    <row r="1872" ht="14.25" customHeight="1">
      <c r="H1872" s="179" t="str">
        <f t="shared" si="1"/>
        <v>SíTitanato_de_litioEn el aparatoVarias_celdas</v>
      </c>
      <c r="I1872" s="178" t="s">
        <v>4767</v>
      </c>
      <c r="J1872" s="182" t="s">
        <v>4789</v>
      </c>
      <c r="K1872" s="178" t="s">
        <v>4769</v>
      </c>
      <c r="L1872" s="178" t="s">
        <v>4809</v>
      </c>
      <c r="M1872" s="178"/>
      <c r="N1872" s="185"/>
      <c r="O1872" s="189" t="s">
        <v>4792</v>
      </c>
    </row>
    <row r="1873" ht="14.25" customHeight="1">
      <c r="H1873" s="179" t="str">
        <f t="shared" si="1"/>
        <v>SíTitanato_de_litioCon el equipoVarias_celdas</v>
      </c>
      <c r="I1873" s="178" t="s">
        <v>4767</v>
      </c>
      <c r="J1873" s="182" t="s">
        <v>4789</v>
      </c>
      <c r="K1873" s="178" t="s">
        <v>4775</v>
      </c>
      <c r="L1873" s="178" t="s">
        <v>4809</v>
      </c>
      <c r="M1873" s="178"/>
      <c r="N1873" s="185"/>
      <c r="O1873" s="189" t="s">
        <v>4792</v>
      </c>
    </row>
    <row r="1874" ht="14.25" customHeight="1">
      <c r="H1874" s="179" t="str">
        <f t="shared" si="1"/>
        <v>SíTitanato_de_litioIndependienteVarias_celdas</v>
      </c>
      <c r="I1874" s="178" t="s">
        <v>4767</v>
      </c>
      <c r="J1874" s="182" t="s">
        <v>4789</v>
      </c>
      <c r="K1874" s="178" t="s">
        <v>4780</v>
      </c>
      <c r="L1874" s="178" t="s">
        <v>4809</v>
      </c>
      <c r="M1874" s="178"/>
      <c r="N1874" s="185"/>
      <c r="O1874" s="189" t="s">
        <v>4792</v>
      </c>
    </row>
    <row r="1875" ht="14.25" customHeight="1">
      <c r="H1875" s="179" t="str">
        <f t="shared" si="1"/>
        <v>Sí_18650_En el aparatoVarias_celdas</v>
      </c>
      <c r="I1875" s="178" t="s">
        <v>4767</v>
      </c>
      <c r="J1875" s="178" t="s">
        <v>4768</v>
      </c>
      <c r="K1875" s="178" t="s">
        <v>4769</v>
      </c>
      <c r="L1875" s="178" t="s">
        <v>4809</v>
      </c>
      <c r="M1875" s="178"/>
      <c r="N1875" s="185"/>
      <c r="O1875" s="189" t="s">
        <v>4792</v>
      </c>
    </row>
    <row r="1876" ht="14.25" customHeight="1">
      <c r="H1876" s="179" t="str">
        <f t="shared" si="1"/>
        <v>Sí_18650_Con el equipoVarias_celdas</v>
      </c>
      <c r="I1876" s="178" t="s">
        <v>4767</v>
      </c>
      <c r="J1876" s="178" t="s">
        <v>4768</v>
      </c>
      <c r="K1876" s="178" t="s">
        <v>4775</v>
      </c>
      <c r="L1876" s="178" t="s">
        <v>4809</v>
      </c>
      <c r="M1876" s="178"/>
      <c r="N1876" s="185"/>
      <c r="O1876" s="189" t="s">
        <v>4792</v>
      </c>
    </row>
    <row r="1877" ht="14.25" customHeight="1">
      <c r="H1877" s="179" t="str">
        <f t="shared" si="1"/>
        <v>Sí_18650_IndependienteVarias_celdas</v>
      </c>
      <c r="I1877" s="178" t="s">
        <v>4767</v>
      </c>
      <c r="J1877" s="178" t="s">
        <v>4768</v>
      </c>
      <c r="K1877" s="178" t="s">
        <v>4780</v>
      </c>
      <c r="L1877" s="178" t="s">
        <v>4809</v>
      </c>
      <c r="M1877" s="178"/>
      <c r="N1877" s="185"/>
      <c r="O1877" s="189" t="s">
        <v>4792</v>
      </c>
    </row>
    <row r="1878" ht="14.25" customHeight="1">
      <c r="H1878" s="179" t="str">
        <f t="shared" si="1"/>
        <v>SíIon_litioEn el aparatoVarias_celdas</v>
      </c>
      <c r="I1878" s="178" t="s">
        <v>4767</v>
      </c>
      <c r="J1878" s="182" t="s">
        <v>4779</v>
      </c>
      <c r="K1878" s="178" t="s">
        <v>4769</v>
      </c>
      <c r="L1878" s="178" t="s">
        <v>4809</v>
      </c>
      <c r="M1878" s="178"/>
      <c r="N1878" s="185"/>
      <c r="O1878" s="189" t="s">
        <v>4792</v>
      </c>
    </row>
    <row r="1879" ht="14.25" customHeight="1">
      <c r="H1879" s="179" t="str">
        <f t="shared" si="1"/>
        <v>SíIon_litioCon el equipoVarias_celdas</v>
      </c>
      <c r="I1879" s="178" t="s">
        <v>4767</v>
      </c>
      <c r="J1879" s="182" t="s">
        <v>4779</v>
      </c>
      <c r="K1879" s="178" t="s">
        <v>4775</v>
      </c>
      <c r="L1879" s="178" t="s">
        <v>4809</v>
      </c>
      <c r="M1879" s="178"/>
      <c r="N1879" s="185"/>
      <c r="O1879" s="189" t="s">
        <v>4792</v>
      </c>
    </row>
    <row r="1880" ht="14.25" customHeight="1">
      <c r="H1880" s="179" t="str">
        <f t="shared" si="1"/>
        <v>SíIon_litioIndependienteVarias_celdas</v>
      </c>
      <c r="I1880" s="178" t="s">
        <v>4767</v>
      </c>
      <c r="J1880" s="182" t="s">
        <v>4779</v>
      </c>
      <c r="K1880" s="178" t="s">
        <v>4780</v>
      </c>
      <c r="L1880" s="178" t="s">
        <v>4809</v>
      </c>
      <c r="M1880" s="178"/>
      <c r="N1880" s="185"/>
      <c r="O1880" s="189" t="s">
        <v>4792</v>
      </c>
    </row>
    <row r="1881" ht="14.25" customHeight="1">
      <c r="H1881" s="179" t="str">
        <f t="shared" si="1"/>
        <v>SíPolímero_de_litioEn el aparatoVarias_celdas</v>
      </c>
      <c r="I1881" s="178" t="s">
        <v>4767</v>
      </c>
      <c r="J1881" s="182" t="s">
        <v>4787</v>
      </c>
      <c r="K1881" s="178" t="s">
        <v>4769</v>
      </c>
      <c r="L1881" s="178" t="s">
        <v>4809</v>
      </c>
      <c r="M1881" s="178"/>
      <c r="N1881" s="185"/>
      <c r="O1881" s="189" t="s">
        <v>4792</v>
      </c>
    </row>
    <row r="1882" ht="14.25" customHeight="1">
      <c r="H1882" s="179" t="str">
        <f t="shared" si="1"/>
        <v>SíPolímero_de_litioCon el equipoVarias_celdas</v>
      </c>
      <c r="I1882" s="178" t="s">
        <v>4767</v>
      </c>
      <c r="J1882" s="182" t="s">
        <v>4787</v>
      </c>
      <c r="K1882" s="178" t="s">
        <v>4775</v>
      </c>
      <c r="L1882" s="178" t="s">
        <v>4809</v>
      </c>
      <c r="M1882" s="178"/>
      <c r="N1882" s="185"/>
      <c r="O1882" s="189" t="s">
        <v>4792</v>
      </c>
    </row>
    <row r="1883" ht="14.25" customHeight="1">
      <c r="H1883" s="179" t="str">
        <f t="shared" si="1"/>
        <v>SíPolímero_de_litioIndependienteVarias_celdas</v>
      </c>
      <c r="I1883" s="178" t="s">
        <v>4767</v>
      </c>
      <c r="J1883" s="182" t="s">
        <v>4787</v>
      </c>
      <c r="K1883" s="178" t="s">
        <v>4780</v>
      </c>
      <c r="L1883" s="178" t="s">
        <v>4809</v>
      </c>
      <c r="M1883" s="178"/>
      <c r="N1883" s="185"/>
      <c r="O1883" s="189" t="s">
        <v>4792</v>
      </c>
    </row>
    <row r="1884" ht="14.25" customHeight="1">
      <c r="H1884" s="179" t="str">
        <f t="shared" si="1"/>
        <v>SíÓxido_cobalto_LitioEn el aparatoVarias_celdas</v>
      </c>
      <c r="I1884" s="178" t="s">
        <v>4767</v>
      </c>
      <c r="J1884" s="182" t="s">
        <v>4774</v>
      </c>
      <c r="K1884" s="178" t="s">
        <v>4769</v>
      </c>
      <c r="L1884" s="178" t="s">
        <v>4809</v>
      </c>
      <c r="M1884" s="178"/>
      <c r="N1884" s="185"/>
      <c r="O1884" s="189" t="s">
        <v>4792</v>
      </c>
    </row>
    <row r="1885" ht="14.25" customHeight="1">
      <c r="H1885" s="179" t="str">
        <f t="shared" si="1"/>
        <v>SíÓxido_cobalto_LitioCon el equipoVarias_celdas</v>
      </c>
      <c r="I1885" s="178" t="s">
        <v>4767</v>
      </c>
      <c r="J1885" s="182" t="s">
        <v>4774</v>
      </c>
      <c r="K1885" s="178" t="s">
        <v>4775</v>
      </c>
      <c r="L1885" s="178" t="s">
        <v>4809</v>
      </c>
      <c r="M1885" s="178"/>
      <c r="N1885" s="185"/>
      <c r="O1885" s="189" t="s">
        <v>4792</v>
      </c>
    </row>
    <row r="1886" ht="14.25" customHeight="1">
      <c r="H1886" s="179" t="str">
        <f t="shared" si="1"/>
        <v>SíÓxido_cobalto_LitioIndependienteVarias_celdas</v>
      </c>
      <c r="I1886" s="178" t="s">
        <v>4767</v>
      </c>
      <c r="J1886" s="182" t="s">
        <v>4774</v>
      </c>
      <c r="K1886" s="178" t="s">
        <v>4780</v>
      </c>
      <c r="L1886" s="178" t="s">
        <v>4809</v>
      </c>
      <c r="M1886" s="178"/>
      <c r="N1886" s="185"/>
      <c r="O1886" s="189" t="s">
        <v>4792</v>
      </c>
    </row>
    <row r="1887" ht="14.25" customHeight="1">
      <c r="H1887" s="179" t="str">
        <f t="shared" si="1"/>
        <v>SíÓxido_de_cobalto_de_manganeso_y_litioEn el aparatoVarias_celdas</v>
      </c>
      <c r="I1887" s="178" t="s">
        <v>4767</v>
      </c>
      <c r="J1887" s="182" t="s">
        <v>4785</v>
      </c>
      <c r="K1887" s="178" t="s">
        <v>4769</v>
      </c>
      <c r="L1887" s="178" t="s">
        <v>4809</v>
      </c>
      <c r="M1887" s="178"/>
      <c r="N1887" s="185"/>
      <c r="O1887" s="189" t="s">
        <v>4792</v>
      </c>
    </row>
    <row r="1888" ht="14.25" customHeight="1">
      <c r="H1888" s="179" t="str">
        <f t="shared" si="1"/>
        <v>SíÓxido_de_cobalto_de_manganeso_y_litioCon el equipoVarias_celdas</v>
      </c>
      <c r="I1888" s="178" t="s">
        <v>4767</v>
      </c>
      <c r="J1888" s="182" t="s">
        <v>4785</v>
      </c>
      <c r="K1888" s="178" t="s">
        <v>4775</v>
      </c>
      <c r="L1888" s="178" t="s">
        <v>4809</v>
      </c>
      <c r="M1888" s="178"/>
      <c r="N1888" s="185"/>
      <c r="O1888" s="189" t="s">
        <v>4792</v>
      </c>
    </row>
    <row r="1889" ht="14.25" customHeight="1">
      <c r="H1889" s="179" t="str">
        <f t="shared" si="1"/>
        <v>SíÓxido_de_cobalto_de_manganeso_y_litioIndependienteVarias_celdas</v>
      </c>
      <c r="I1889" s="178" t="s">
        <v>4767</v>
      </c>
      <c r="J1889" s="182" t="s">
        <v>4785</v>
      </c>
      <c r="K1889" s="178" t="s">
        <v>4780</v>
      </c>
      <c r="L1889" s="178" t="s">
        <v>4809</v>
      </c>
      <c r="M1889" s="178"/>
      <c r="N1889" s="185"/>
      <c r="O1889" s="189" t="s">
        <v>4792</v>
      </c>
    </row>
    <row r="1890" ht="14.25" customHeight="1">
      <c r="H1890" s="179" t="str">
        <f t="shared" si="1"/>
        <v>SíLitio_ferrofosfatoEn el aparatoVarias_celdas</v>
      </c>
      <c r="I1890" s="178" t="s">
        <v>4767</v>
      </c>
      <c r="J1890" s="182" t="s">
        <v>4783</v>
      </c>
      <c r="K1890" s="178" t="s">
        <v>4769</v>
      </c>
      <c r="L1890" s="178" t="s">
        <v>4809</v>
      </c>
      <c r="M1890" s="178"/>
      <c r="N1890" s="185"/>
      <c r="O1890" s="189" t="s">
        <v>4792</v>
      </c>
    </row>
    <row r="1891" ht="14.25" customHeight="1">
      <c r="H1891" s="179" t="str">
        <f t="shared" si="1"/>
        <v>SíLitio_ferrofosfatoCon el equipoVarias_celdas</v>
      </c>
      <c r="I1891" s="178" t="s">
        <v>4767</v>
      </c>
      <c r="J1891" s="182" t="s">
        <v>4783</v>
      </c>
      <c r="K1891" s="178" t="s">
        <v>4775</v>
      </c>
      <c r="L1891" s="178" t="s">
        <v>4809</v>
      </c>
      <c r="M1891" s="178"/>
      <c r="N1891" s="185"/>
      <c r="O1891" s="189" t="s">
        <v>4792</v>
      </c>
    </row>
    <row r="1892" ht="14.25" customHeight="1">
      <c r="H1892" s="179" t="str">
        <f t="shared" si="1"/>
        <v>SíLitio_ferrofosfatoIndependienteVarias_celdas</v>
      </c>
      <c r="I1892" s="178" t="s">
        <v>4767</v>
      </c>
      <c r="J1892" s="182" t="s">
        <v>4783</v>
      </c>
      <c r="K1892" s="178" t="s">
        <v>4780</v>
      </c>
      <c r="L1892" s="178" t="s">
        <v>4809</v>
      </c>
      <c r="M1892" s="178"/>
      <c r="N1892" s="185"/>
      <c r="O1892" s="189" t="s">
        <v>4792</v>
      </c>
    </row>
    <row r="1893" ht="14.25" customHeight="1">
      <c r="H1893" s="179" t="str">
        <f t="shared" si="1"/>
        <v>SíTitanato_de_litioEn el aparatoVarias_celdas</v>
      </c>
      <c r="I1893" s="178" t="s">
        <v>4767</v>
      </c>
      <c r="J1893" s="182" t="s">
        <v>4789</v>
      </c>
      <c r="K1893" s="178" t="s">
        <v>4769</v>
      </c>
      <c r="L1893" s="178" t="s">
        <v>4809</v>
      </c>
      <c r="M1893" s="178"/>
      <c r="N1893" s="185"/>
      <c r="O1893" s="189" t="s">
        <v>4792</v>
      </c>
    </row>
    <row r="1894" ht="14.25" customHeight="1">
      <c r="H1894" s="179" t="str">
        <f t="shared" si="1"/>
        <v>SíTitanato_de_litioCon el equipoVarias_celdas</v>
      </c>
      <c r="I1894" s="178" t="s">
        <v>4767</v>
      </c>
      <c r="J1894" s="182" t="s">
        <v>4789</v>
      </c>
      <c r="K1894" s="178" t="s">
        <v>4775</v>
      </c>
      <c r="L1894" s="178" t="s">
        <v>4809</v>
      </c>
      <c r="M1894" s="178"/>
      <c r="N1894" s="185"/>
      <c r="O1894" s="189" t="s">
        <v>4792</v>
      </c>
    </row>
    <row r="1895" ht="14.25" customHeight="1">
      <c r="H1895" s="179" t="str">
        <f t="shared" si="1"/>
        <v>SíTitanato_de_litioIndependienteVarias_celdas</v>
      </c>
      <c r="I1895" s="178" t="s">
        <v>4767</v>
      </c>
      <c r="J1895" s="182" t="s">
        <v>4789</v>
      </c>
      <c r="K1895" s="178" t="s">
        <v>4780</v>
      </c>
      <c r="L1895" s="178" t="s">
        <v>4809</v>
      </c>
      <c r="M1895" s="178"/>
      <c r="N1895" s="185"/>
      <c r="O1895" s="189" t="s">
        <v>4792</v>
      </c>
    </row>
    <row r="1896" ht="14.25" customHeight="1">
      <c r="H1896" s="179" t="str">
        <f t="shared" si="1"/>
        <v>Sí_18650_En el aparatoVarias_celdas</v>
      </c>
      <c r="I1896" s="178" t="s">
        <v>4767</v>
      </c>
      <c r="J1896" s="178" t="s">
        <v>4768</v>
      </c>
      <c r="K1896" s="178" t="s">
        <v>4769</v>
      </c>
      <c r="L1896" s="178" t="s">
        <v>4809</v>
      </c>
      <c r="M1896" s="178"/>
      <c r="N1896" s="185"/>
      <c r="O1896" s="189" t="s">
        <v>4792</v>
      </c>
    </row>
    <row r="1897" ht="14.25" customHeight="1">
      <c r="H1897" s="179" t="str">
        <f t="shared" si="1"/>
        <v>Sí_18650_Con el equipoVarias_celdas</v>
      </c>
      <c r="I1897" s="178" t="s">
        <v>4767</v>
      </c>
      <c r="J1897" s="178" t="s">
        <v>4768</v>
      </c>
      <c r="K1897" s="178" t="s">
        <v>4775</v>
      </c>
      <c r="L1897" s="178" t="s">
        <v>4809</v>
      </c>
      <c r="M1897" s="178"/>
      <c r="N1897" s="185"/>
      <c r="O1897" s="189" t="s">
        <v>4792</v>
      </c>
    </row>
    <row r="1898" ht="14.25" customHeight="1">
      <c r="H1898" s="179" t="str">
        <f t="shared" si="1"/>
        <v>Sí_18650_IndependienteVarias_celdas</v>
      </c>
      <c r="I1898" s="178" t="s">
        <v>4767</v>
      </c>
      <c r="J1898" s="178" t="s">
        <v>4768</v>
      </c>
      <c r="K1898" s="178" t="s">
        <v>4780</v>
      </c>
      <c r="L1898" s="178" t="s">
        <v>4809</v>
      </c>
      <c r="M1898" s="178"/>
      <c r="N1898" s="185"/>
      <c r="O1898" s="189" t="s">
        <v>4792</v>
      </c>
    </row>
  </sheetData>
  <conditionalFormatting sqref="I3 I31:I67">
    <cfRule type="containsBlanks" dxfId="1" priority="1">
      <formula>LEN(TRIM(I3))=0</formula>
    </cfRule>
  </conditionalFormatting>
  <conditionalFormatting sqref="J3:J68 J71 J205:J257">
    <cfRule type="expression" dxfId="1" priority="2">
      <formula>AND(LEN($M3)=0,OR($K3="Yes"))</formula>
    </cfRule>
  </conditionalFormatting>
  <conditionalFormatting sqref="K3:L3 K31:L31 K225:L225 K230:L230 K235:L235">
    <cfRule type="expression" dxfId="1" priority="3">
      <formula>AND(LEN($N3)=0,OR($M3="Lithium ion",$M3="Lithium polymer",$M3="Lithium metal",$M3="18650-Li-ion",$M3="CR2032",$M3="CR123A",$M3="CR123"))</formula>
    </cfRule>
  </conditionalFormatting>
  <conditionalFormatting sqref="M3 M31 M225 M230 M235">
    <cfRule type="expression" dxfId="1" priority="4">
      <formula>AND(LEN($O3)=0,OR($M3="Lithium ion",$M3="Lithium polymer",$M3="18650-Li-ion"))</formula>
    </cfRule>
  </conditionalFormatting>
  <conditionalFormatting sqref="I3:M3 I32:I65 I66:J67 J3:J65 J205:J257">
    <cfRule type="notContainsBlanks" dxfId="2" priority="5">
      <formula>LEN(TRIM(I3))&gt;0</formula>
    </cfRule>
  </conditionalFormatting>
  <conditionalFormatting sqref="K3:L3 K31:L31 K225:L225 K230:L230 K235:L235">
    <cfRule type="expression" dxfId="3" priority="6">
      <formula>AND(LEN($N3)=0,OR($M3="Alkaline",$M3="Aluminium Oxygen",$M3="Lead Acid",$M3="Lead Calcium",$M3="Nickel Cadmium",$M3="Nickel Metal Hydride",$M3="Silver Oxide",$M3="Zinc",$M3="Zinc Carbon"))</formula>
    </cfRule>
  </conditionalFormatting>
  <conditionalFormatting sqref="M3 M31 M225 M230 M235">
    <cfRule type="expression" dxfId="3" priority="7">
      <formula>AND(LEN($N3)=0,OR($M3="Alkaline",$M3="Aluminium Oxygen",$M3="CR123",$M3="CR123A",$M3="CR2032",$M3="Lead Acid",$M3="Lead Calcium",$M3="Lithium Metal",$M3="Nickel Cadmium",$M3="Nickel Metal Hydride",$M3="Silver Oxide",$M3="Zinc",$M3="Zinc Carbon"))</formula>
    </cfRule>
  </conditionalFormatting>
  <conditionalFormatting sqref="J3:M3 J3:J68 J31:M31 J71 J205:J257 K225:M225 K230:M230 K235:M235">
    <cfRule type="expression" dxfId="3" priority="8">
      <formula>AND(LEN($N3)=0,OR($K3="No"))</formula>
    </cfRule>
  </conditionalFormatting>
  <conditionalFormatting sqref="I31:M31">
    <cfRule type="notContainsBlanks" dxfId="2" priority="9">
      <formula>LEN(TRIM(I31))&gt;0</formula>
    </cfRule>
  </conditionalFormatting>
  <conditionalFormatting sqref="I68:I70">
    <cfRule type="containsBlanks" dxfId="1" priority="10">
      <formula>LEN(TRIM(I68))=0</formula>
    </cfRule>
  </conditionalFormatting>
  <conditionalFormatting sqref="I68:I70">
    <cfRule type="notContainsBlanks" dxfId="2" priority="11">
      <formula>LEN(TRIM(I68))&gt;0</formula>
    </cfRule>
  </conditionalFormatting>
  <conditionalFormatting sqref="J68">
    <cfRule type="notContainsBlanks" dxfId="2" priority="12">
      <formula>LEN(TRIM(J68))&gt;0</formula>
    </cfRule>
  </conditionalFormatting>
  <conditionalFormatting sqref="I71:I75">
    <cfRule type="containsBlanks" dxfId="1" priority="13">
      <formula>LEN(TRIM(I71))=0</formula>
    </cfRule>
  </conditionalFormatting>
  <conditionalFormatting sqref="I71:I75">
    <cfRule type="notContainsBlanks" dxfId="2" priority="14">
      <formula>LEN(TRIM(I71))&gt;0</formula>
    </cfRule>
  </conditionalFormatting>
  <conditionalFormatting sqref="J71">
    <cfRule type="notContainsBlanks" dxfId="2" priority="15">
      <formula>LEN(TRIM(J71))&gt;0</formula>
    </cfRule>
  </conditionalFormatting>
  <conditionalFormatting sqref="I76:I78">
    <cfRule type="containsBlanks" dxfId="1" priority="16">
      <formula>LEN(TRIM(I76))=0</formula>
    </cfRule>
  </conditionalFormatting>
  <conditionalFormatting sqref="I76:I78">
    <cfRule type="notContainsBlanks" dxfId="2" priority="17">
      <formula>LEN(TRIM(I76))&gt;0</formula>
    </cfRule>
  </conditionalFormatting>
  <conditionalFormatting sqref="I130:I137">
    <cfRule type="containsBlanks" dxfId="1" priority="18">
      <formula>LEN(TRIM(I130))=0</formula>
    </cfRule>
  </conditionalFormatting>
  <conditionalFormatting sqref="I130:I137">
    <cfRule type="notContainsBlanks" dxfId="2" priority="19">
      <formula>LEN(TRIM(I130))&gt;0</formula>
    </cfRule>
  </conditionalFormatting>
  <conditionalFormatting sqref="I146:I153">
    <cfRule type="containsBlanks" dxfId="1" priority="20">
      <formula>LEN(TRIM(I146))=0</formula>
    </cfRule>
  </conditionalFormatting>
  <conditionalFormatting sqref="I146:I153">
    <cfRule type="notContainsBlanks" dxfId="2" priority="21">
      <formula>LEN(TRIM(I146))&gt;0</formula>
    </cfRule>
  </conditionalFormatting>
  <conditionalFormatting sqref="I162:I169">
    <cfRule type="containsBlanks" dxfId="1" priority="22">
      <formula>LEN(TRIM(I162))=0</formula>
    </cfRule>
  </conditionalFormatting>
  <conditionalFormatting sqref="I162:I169">
    <cfRule type="notContainsBlanks" dxfId="2" priority="23">
      <formula>LEN(TRIM(I162))&gt;0</formula>
    </cfRule>
  </conditionalFormatting>
  <conditionalFormatting sqref="I178:I185">
    <cfRule type="containsBlanks" dxfId="1" priority="24">
      <formula>LEN(TRIM(I178))=0</formula>
    </cfRule>
  </conditionalFormatting>
  <conditionalFormatting sqref="I178:I185">
    <cfRule type="notContainsBlanks" dxfId="2" priority="25">
      <formula>LEN(TRIM(I178))&gt;0</formula>
    </cfRule>
  </conditionalFormatting>
  <conditionalFormatting sqref="I194:I201">
    <cfRule type="containsBlanks" dxfId="1" priority="26">
      <formula>LEN(TRIM(I194))=0</formula>
    </cfRule>
  </conditionalFormatting>
  <conditionalFormatting sqref="I194:I201">
    <cfRule type="notContainsBlanks" dxfId="2" priority="27">
      <formula>LEN(TRIM(I194))&gt;0</formula>
    </cfRule>
  </conditionalFormatting>
  <conditionalFormatting sqref="I210:I214">
    <cfRule type="containsBlanks" dxfId="1" priority="28">
      <formula>LEN(TRIM(I210))=0</formula>
    </cfRule>
  </conditionalFormatting>
  <conditionalFormatting sqref="I210:I214">
    <cfRule type="notContainsBlanks" dxfId="2" priority="29">
      <formula>LEN(TRIM(I210))&gt;0</formula>
    </cfRule>
  </conditionalFormatting>
  <conditionalFormatting sqref="I220:I224">
    <cfRule type="containsBlanks" dxfId="1" priority="30">
      <formula>LEN(TRIM(I220))=0</formula>
    </cfRule>
  </conditionalFormatting>
  <conditionalFormatting sqref="I220:I224">
    <cfRule type="notContainsBlanks" dxfId="2" priority="31">
      <formula>LEN(TRIM(I220))&gt;0</formula>
    </cfRule>
  </conditionalFormatting>
  <conditionalFormatting sqref="I225">
    <cfRule type="containsBlanks" dxfId="1" priority="32">
      <formula>LEN(TRIM(I225))=0</formula>
    </cfRule>
  </conditionalFormatting>
  <conditionalFormatting sqref="I225 K225:M225">
    <cfRule type="notContainsBlanks" dxfId="2" priority="33">
      <formula>LEN(TRIM(I225))&gt;0</formula>
    </cfRule>
  </conditionalFormatting>
  <conditionalFormatting sqref="I230">
    <cfRule type="containsBlanks" dxfId="1" priority="34">
      <formula>LEN(TRIM(I230))=0</formula>
    </cfRule>
  </conditionalFormatting>
  <conditionalFormatting sqref="I230 K230:M230">
    <cfRule type="notContainsBlanks" dxfId="2" priority="35">
      <formula>LEN(TRIM(I230))&gt;0</formula>
    </cfRule>
  </conditionalFormatting>
  <conditionalFormatting sqref="I235">
    <cfRule type="containsBlanks" dxfId="1" priority="36">
      <formula>LEN(TRIM(I235))=0</formula>
    </cfRule>
  </conditionalFormatting>
  <conditionalFormatting sqref="I235 K235:M235">
    <cfRule type="notContainsBlanks" dxfId="2" priority="37">
      <formula>LEN(TRIM(I235))&gt;0</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expression" dxfId="1" priority="38">
      <formula>AND(LEN($M79)=0,OR($K79="Yes"))</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notContainsBlanks" dxfId="2" priority="39">
      <formula>LEN(TRIM(J79))&gt;0</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expression" dxfId="3" priority="40">
      <formula>AND(LEN($N79)=0,OR($K79="No"))</formula>
    </cfRule>
  </conditionalFormatting>
  <conditionalFormatting sqref="J1059:J1076">
    <cfRule type="expression" dxfId="1" priority="41">
      <formula>AND(LEN($M1059)=0,OR($K1059="Yes"))</formula>
    </cfRule>
  </conditionalFormatting>
  <conditionalFormatting sqref="J1059:J1076">
    <cfRule type="notContainsBlanks" dxfId="2" priority="42">
      <formula>LEN(TRIM(J1059))&gt;0</formula>
    </cfRule>
  </conditionalFormatting>
  <conditionalFormatting sqref="J1059:J1076">
    <cfRule type="expression" dxfId="3" priority="43">
      <formula>AND(LEN($N1059)=0,OR($K1059="No"))</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33.57"/>
    <col customWidth="1" min="2" max="2" width="8.71"/>
    <col customWidth="1" min="3" max="3" width="22.43"/>
    <col customWidth="1" min="4" max="4" width="8.71"/>
    <col customWidth="1" min="5" max="5" width="23.29"/>
    <col customWidth="1" min="6" max="6" width="8.71"/>
    <col customWidth="1" min="7" max="7" width="18.43"/>
    <col customWidth="1" min="8" max="8" width="8.71"/>
    <col customWidth="1" min="9" max="9" width="10.71"/>
    <col customWidth="1" min="10" max="26" width="8.71"/>
  </cols>
  <sheetData>
    <row r="1" ht="14.25" customHeight="1"/>
    <row r="2" ht="14.25" customHeight="1"/>
    <row r="3" ht="14.25" customHeight="1"/>
    <row r="4" ht="14.25" customHeight="1">
      <c r="A4" s="192" t="s">
        <v>4768</v>
      </c>
      <c r="B4" s="193"/>
      <c r="C4" s="192" t="s">
        <v>4787</v>
      </c>
      <c r="D4" s="194"/>
      <c r="E4" s="195" t="s">
        <v>4797</v>
      </c>
      <c r="F4" s="190"/>
      <c r="G4" s="194"/>
      <c r="H4" s="190"/>
      <c r="I4" s="194"/>
      <c r="K4" s="196" t="s">
        <v>4808</v>
      </c>
    </row>
    <row r="5" ht="14.25" customHeight="1">
      <c r="A5" s="193" t="s">
        <v>4808</v>
      </c>
      <c r="B5" s="193"/>
      <c r="C5" s="193" t="s">
        <v>4808</v>
      </c>
      <c r="D5" s="190"/>
      <c r="E5" s="197" t="s">
        <v>4771</v>
      </c>
      <c r="F5" s="190"/>
      <c r="G5" s="190"/>
      <c r="H5" s="190"/>
      <c r="I5" s="190"/>
      <c r="K5" s="198" t="s">
        <v>4810</v>
      </c>
    </row>
    <row r="6" ht="14.25" customHeight="1">
      <c r="A6" s="193" t="s">
        <v>4809</v>
      </c>
      <c r="B6" s="193"/>
      <c r="C6" s="193" t="s">
        <v>4809</v>
      </c>
      <c r="D6" s="190"/>
      <c r="E6" s="197" t="s">
        <v>4777</v>
      </c>
      <c r="F6" s="190"/>
      <c r="G6" s="190"/>
      <c r="H6" s="190"/>
      <c r="I6" s="190"/>
      <c r="K6" s="198" t="s">
        <v>4811</v>
      </c>
    </row>
    <row r="7" ht="14.25" customHeight="1">
      <c r="A7" s="193"/>
      <c r="B7" s="193"/>
      <c r="C7" s="193"/>
      <c r="D7" s="190"/>
      <c r="E7" s="197"/>
      <c r="F7" s="190"/>
      <c r="G7" s="190"/>
      <c r="H7" s="190"/>
      <c r="I7" s="190"/>
      <c r="K7" s="198"/>
    </row>
    <row r="8" ht="14.25" customHeight="1">
      <c r="A8" s="192" t="s">
        <v>4774</v>
      </c>
      <c r="B8" s="193"/>
      <c r="C8" s="192" t="s">
        <v>4789</v>
      </c>
      <c r="D8" s="190"/>
      <c r="E8" s="195" t="s">
        <v>4798</v>
      </c>
      <c r="F8" s="190"/>
      <c r="G8" s="194"/>
      <c r="H8" s="190"/>
      <c r="I8" s="194"/>
      <c r="K8" s="196" t="s">
        <v>4809</v>
      </c>
    </row>
    <row r="9" ht="14.25" customHeight="1">
      <c r="A9" s="193" t="s">
        <v>4808</v>
      </c>
      <c r="B9" s="193"/>
      <c r="C9" s="193" t="s">
        <v>4808</v>
      </c>
      <c r="D9" s="190"/>
      <c r="E9" s="197" t="s">
        <v>4771</v>
      </c>
      <c r="F9" s="190"/>
      <c r="G9" s="190"/>
      <c r="H9" s="190"/>
      <c r="I9" s="190"/>
      <c r="K9" s="198" t="s">
        <v>4770</v>
      </c>
    </row>
    <row r="10" ht="14.25" customHeight="1">
      <c r="A10" s="193" t="s">
        <v>4809</v>
      </c>
      <c r="B10" s="193"/>
      <c r="C10" s="193" t="s">
        <v>4809</v>
      </c>
      <c r="D10" s="190"/>
      <c r="E10" s="197" t="s">
        <v>4777</v>
      </c>
      <c r="F10" s="190"/>
      <c r="G10" s="190"/>
      <c r="H10" s="190"/>
      <c r="I10" s="190"/>
      <c r="K10" s="198" t="s">
        <v>4776</v>
      </c>
    </row>
    <row r="11" ht="14.25" customHeight="1">
      <c r="A11" s="193"/>
      <c r="B11" s="193"/>
      <c r="C11" s="193"/>
      <c r="D11" s="190"/>
      <c r="E11" s="190"/>
      <c r="F11" s="190"/>
      <c r="G11" s="190"/>
      <c r="H11" s="190"/>
      <c r="I11" s="190"/>
      <c r="K11" s="198" t="s">
        <v>4781</v>
      </c>
    </row>
    <row r="12" ht="14.25" customHeight="1">
      <c r="A12" s="192" t="s">
        <v>4779</v>
      </c>
      <c r="B12" s="193"/>
      <c r="C12" s="193"/>
      <c r="D12" s="190"/>
      <c r="E12" s="194"/>
      <c r="F12" s="190"/>
      <c r="G12" s="194"/>
      <c r="H12" s="190"/>
      <c r="I12" s="194"/>
    </row>
    <row r="13" ht="14.25" customHeight="1">
      <c r="A13" s="193" t="s">
        <v>4808</v>
      </c>
      <c r="B13" s="193"/>
      <c r="C13" s="193"/>
      <c r="D13" s="190"/>
      <c r="E13" s="190"/>
      <c r="F13" s="190"/>
      <c r="G13" s="190"/>
      <c r="H13" s="190"/>
      <c r="I13" s="190"/>
    </row>
    <row r="14" ht="14.25" customHeight="1">
      <c r="A14" s="193" t="s">
        <v>4809</v>
      </c>
      <c r="B14" s="193"/>
      <c r="C14" s="193"/>
      <c r="D14" s="190"/>
      <c r="E14" s="190"/>
      <c r="F14" s="190"/>
      <c r="G14" s="190"/>
      <c r="H14" s="190"/>
      <c r="I14" s="190"/>
    </row>
    <row r="15" ht="14.25" customHeight="1">
      <c r="A15" s="193"/>
      <c r="B15" s="193"/>
      <c r="C15" s="193"/>
      <c r="D15" s="190"/>
      <c r="E15" s="190"/>
      <c r="F15" s="190"/>
      <c r="G15" s="190"/>
      <c r="H15" s="190"/>
      <c r="I15" s="190"/>
    </row>
    <row r="16" ht="14.25" customHeight="1">
      <c r="A16" s="192" t="s">
        <v>4783</v>
      </c>
      <c r="B16" s="193"/>
      <c r="C16" s="193"/>
      <c r="D16" s="190"/>
      <c r="E16" s="194"/>
      <c r="F16" s="190"/>
      <c r="G16" s="194"/>
      <c r="H16" s="190"/>
      <c r="I16" s="194"/>
    </row>
    <row r="17" ht="14.25" customHeight="1">
      <c r="A17" s="193" t="s">
        <v>4808</v>
      </c>
      <c r="B17" s="193"/>
      <c r="C17" s="193"/>
      <c r="D17" s="190"/>
      <c r="E17" s="190"/>
      <c r="F17" s="190"/>
      <c r="G17" s="190"/>
      <c r="H17" s="190"/>
      <c r="I17" s="190"/>
    </row>
    <row r="18" ht="14.25" customHeight="1">
      <c r="A18" s="193" t="s">
        <v>4809</v>
      </c>
      <c r="B18" s="193"/>
      <c r="C18" s="193"/>
      <c r="D18" s="190"/>
      <c r="E18" s="199" t="s">
        <v>4812</v>
      </c>
      <c r="F18" s="190"/>
      <c r="G18" s="195" t="s">
        <v>4813</v>
      </c>
      <c r="H18" s="190"/>
      <c r="I18" s="194" t="s">
        <v>4814</v>
      </c>
    </row>
    <row r="19" ht="14.25" customHeight="1">
      <c r="A19" s="193"/>
      <c r="B19" s="193"/>
      <c r="C19" s="193"/>
      <c r="D19" s="190"/>
      <c r="E19" s="200" t="str">
        <f t="shared" ref="E19:E38" si="1">OR('Ficha de exención para baterías'!M13="_18650_",'Ficha de exención para baterías'!M13="Óxido_cobalto_Litio",'Ficha de exención para baterías'!M13="Ion_litio",'Ficha de exención para baterías'!M13="Litio_ferrofosfato",'Ficha de exención para baterías'!M13="Óxido_de_cobalto_de_manganeso_y_litio",'Ficha de exención para baterías'!M13="Polímero_de_litio",'Ficha de exención para baterías'!M13="Titanato_de_litio",'Ficha de exención para baterías'!M13="Litio_Metal",'Ficha de exención para baterías'!M13="_CR2032_",'Ficha de exención para baterías'!M13="Litio_Cloruro_de_Tionilo",'Ficha de exención para baterías'!M13="Plomo_ácido",'Ficha de exención para baterías'!M13="Plomo_calcio")</f>
        <v>#REF!</v>
      </c>
      <c r="F19" s="190"/>
      <c r="G19" s="197" t="str">
        <f t="shared" ref="G19:G38" si="2">OR('Ficha de exención para baterías'!M13="Plomo_ácido",'Ficha de exención para baterías'!M13="Plomo_calcio")</f>
        <v>#REF!</v>
      </c>
      <c r="H19" s="190"/>
      <c r="I19" s="190" t="str">
        <f t="shared" ref="I19:I38" si="3">OR(LEN('Ficha de exención para baterías'!K13)&gt;0)</f>
        <v>#REF!</v>
      </c>
    </row>
    <row r="20" ht="14.25" customHeight="1">
      <c r="A20" s="192" t="s">
        <v>4785</v>
      </c>
      <c r="B20" s="193"/>
      <c r="C20" s="193"/>
      <c r="D20" s="190"/>
      <c r="E20" s="200" t="str">
        <f t="shared" si="1"/>
        <v>#REF!</v>
      </c>
      <c r="F20" s="190"/>
      <c r="G20" s="197" t="str">
        <f t="shared" si="2"/>
        <v>#REF!</v>
      </c>
      <c r="H20" s="190"/>
      <c r="I20" s="190" t="str">
        <f t="shared" si="3"/>
        <v>#REF!</v>
      </c>
    </row>
    <row r="21" ht="14.25" customHeight="1">
      <c r="A21" s="193" t="s">
        <v>4808</v>
      </c>
      <c r="B21" s="193"/>
      <c r="C21" s="193"/>
      <c r="D21" s="190"/>
      <c r="E21" s="200" t="str">
        <f t="shared" si="1"/>
        <v>#REF!</v>
      </c>
      <c r="F21" s="190"/>
      <c r="G21" s="197" t="str">
        <f t="shared" si="2"/>
        <v>#REF!</v>
      </c>
      <c r="H21" s="190"/>
      <c r="I21" s="190" t="str">
        <f t="shared" si="3"/>
        <v>#REF!</v>
      </c>
    </row>
    <row r="22" ht="14.25" customHeight="1">
      <c r="A22" s="193" t="s">
        <v>4809</v>
      </c>
      <c r="B22" s="193"/>
      <c r="C22" s="193"/>
      <c r="D22" s="190"/>
      <c r="E22" s="200" t="str">
        <f t="shared" si="1"/>
        <v>#REF!</v>
      </c>
      <c r="F22" s="190"/>
      <c r="G22" s="197" t="str">
        <f t="shared" si="2"/>
        <v>#REF!</v>
      </c>
      <c r="H22" s="190"/>
      <c r="I22" s="190" t="str">
        <f t="shared" si="3"/>
        <v>#REF!</v>
      </c>
    </row>
    <row r="23" ht="14.25" customHeight="1">
      <c r="E23" s="200" t="str">
        <f t="shared" si="1"/>
        <v>#REF!</v>
      </c>
      <c r="G23" s="197" t="str">
        <f t="shared" si="2"/>
        <v>#REF!</v>
      </c>
      <c r="I23" s="190" t="str">
        <f t="shared" si="3"/>
        <v>#REF!</v>
      </c>
    </row>
    <row r="24" ht="14.25" customHeight="1">
      <c r="E24" s="200" t="str">
        <f t="shared" si="1"/>
        <v>#REF!</v>
      </c>
      <c r="G24" s="197" t="str">
        <f t="shared" si="2"/>
        <v>#REF!</v>
      </c>
      <c r="I24" s="190" t="str">
        <f t="shared" si="3"/>
        <v>#REF!</v>
      </c>
    </row>
    <row r="25" ht="14.25" customHeight="1">
      <c r="A25" s="201" t="s">
        <v>4767</v>
      </c>
      <c r="B25" s="201" t="s">
        <v>4772</v>
      </c>
      <c r="E25" s="200" t="str">
        <f t="shared" si="1"/>
        <v>#REF!</v>
      </c>
      <c r="G25" s="197" t="str">
        <f t="shared" si="2"/>
        <v>#REF!</v>
      </c>
      <c r="I25" s="190" t="str">
        <f t="shared" si="3"/>
        <v>#REF!</v>
      </c>
    </row>
    <row r="26" ht="14.25" customHeight="1">
      <c r="A26" s="202" t="s">
        <v>4768</v>
      </c>
      <c r="B26" s="202"/>
      <c r="C26" s="118" t="s">
        <v>4768</v>
      </c>
      <c r="E26" s="200" t="str">
        <f t="shared" si="1"/>
        <v>#REF!</v>
      </c>
      <c r="G26" s="197" t="str">
        <f t="shared" si="2"/>
        <v>#REF!</v>
      </c>
      <c r="I26" s="190" t="str">
        <f t="shared" si="3"/>
        <v>#REF!</v>
      </c>
    </row>
    <row r="27" ht="14.25" customHeight="1">
      <c r="A27" s="202" t="s">
        <v>4774</v>
      </c>
      <c r="B27" s="202"/>
      <c r="C27" s="193" t="s">
        <v>4815</v>
      </c>
      <c r="E27" s="200" t="str">
        <f t="shared" si="1"/>
        <v>#REF!</v>
      </c>
      <c r="G27" s="197" t="str">
        <f t="shared" si="2"/>
        <v>#REF!</v>
      </c>
      <c r="I27" s="190" t="str">
        <f t="shared" si="3"/>
        <v>#REF!</v>
      </c>
    </row>
    <row r="28" ht="14.25" customHeight="1">
      <c r="A28" s="202" t="s">
        <v>4779</v>
      </c>
      <c r="B28" s="202"/>
      <c r="C28" s="118" t="s">
        <v>4779</v>
      </c>
      <c r="E28" s="200" t="str">
        <f t="shared" si="1"/>
        <v>#REF!</v>
      </c>
      <c r="G28" s="197" t="str">
        <f t="shared" si="2"/>
        <v>#REF!</v>
      </c>
      <c r="I28" s="190" t="str">
        <f t="shared" si="3"/>
        <v>#REF!</v>
      </c>
    </row>
    <row r="29" ht="14.25" customHeight="1">
      <c r="A29" s="202" t="s">
        <v>4783</v>
      </c>
      <c r="B29" s="202"/>
      <c r="C29" s="193" t="s">
        <v>4816</v>
      </c>
      <c r="E29" s="200" t="str">
        <f t="shared" si="1"/>
        <v>#REF!</v>
      </c>
      <c r="G29" s="197" t="str">
        <f t="shared" si="2"/>
        <v>#REF!</v>
      </c>
      <c r="I29" s="190" t="str">
        <f t="shared" si="3"/>
        <v>#REF!</v>
      </c>
    </row>
    <row r="30" ht="14.25" customHeight="1">
      <c r="A30" s="202" t="s">
        <v>4785</v>
      </c>
      <c r="B30" s="202"/>
      <c r="C30" s="193" t="s">
        <v>4817</v>
      </c>
      <c r="E30" s="200" t="str">
        <f t="shared" si="1"/>
        <v>#REF!</v>
      </c>
      <c r="G30" s="197" t="str">
        <f t="shared" si="2"/>
        <v>#REF!</v>
      </c>
      <c r="I30" s="190" t="str">
        <f t="shared" si="3"/>
        <v>#REF!</v>
      </c>
    </row>
    <row r="31" ht="14.25" customHeight="1">
      <c r="A31" s="202" t="s">
        <v>4787</v>
      </c>
      <c r="B31" s="202"/>
      <c r="C31" s="118" t="s">
        <v>4787</v>
      </c>
      <c r="E31" s="200" t="str">
        <f t="shared" si="1"/>
        <v>#REF!</v>
      </c>
      <c r="G31" s="197" t="str">
        <f t="shared" si="2"/>
        <v>#REF!</v>
      </c>
      <c r="I31" s="190" t="str">
        <f t="shared" si="3"/>
        <v>#REF!</v>
      </c>
    </row>
    <row r="32" ht="14.25" customHeight="1">
      <c r="A32" s="202" t="s">
        <v>4789</v>
      </c>
      <c r="B32" s="202"/>
      <c r="C32" s="118" t="s">
        <v>4789</v>
      </c>
      <c r="E32" s="200" t="str">
        <f t="shared" si="1"/>
        <v>#REF!</v>
      </c>
      <c r="G32" s="197" t="str">
        <f t="shared" si="2"/>
        <v>#REF!</v>
      </c>
      <c r="I32" s="190" t="str">
        <f t="shared" si="3"/>
        <v>#REF!</v>
      </c>
    </row>
    <row r="33" ht="14.25" customHeight="1">
      <c r="A33" s="202" t="s">
        <v>4791</v>
      </c>
      <c r="B33" s="202"/>
      <c r="C33" s="193" t="s">
        <v>4818</v>
      </c>
      <c r="E33" s="200" t="str">
        <f t="shared" si="1"/>
        <v>#REF!</v>
      </c>
      <c r="G33" s="197" t="str">
        <f t="shared" si="2"/>
        <v>#REF!</v>
      </c>
      <c r="I33" s="190" t="str">
        <f t="shared" si="3"/>
        <v>#REF!</v>
      </c>
    </row>
    <row r="34" ht="14.25" customHeight="1">
      <c r="A34" s="202" t="s">
        <v>4793</v>
      </c>
      <c r="B34" s="202"/>
      <c r="C34" s="193" t="s">
        <v>4819</v>
      </c>
      <c r="E34" s="200" t="str">
        <f t="shared" si="1"/>
        <v>#REF!</v>
      </c>
      <c r="G34" s="197" t="str">
        <f t="shared" si="2"/>
        <v>#REF!</v>
      </c>
      <c r="I34" s="190" t="str">
        <f t="shared" si="3"/>
        <v>#REF!</v>
      </c>
    </row>
    <row r="35" ht="14.25" customHeight="1">
      <c r="A35" s="202" t="s">
        <v>4794</v>
      </c>
      <c r="B35" s="202"/>
      <c r="C35" s="118" t="s">
        <v>4794</v>
      </c>
      <c r="E35" s="200" t="str">
        <f t="shared" si="1"/>
        <v>#REF!</v>
      </c>
      <c r="G35" s="197" t="str">
        <f t="shared" si="2"/>
        <v>#REF!</v>
      </c>
      <c r="I35" s="190" t="str">
        <f t="shared" si="3"/>
        <v>#REF!</v>
      </c>
    </row>
    <row r="36" ht="14.25" customHeight="1">
      <c r="A36" s="202" t="s">
        <v>4778</v>
      </c>
      <c r="B36" s="202"/>
      <c r="C36" s="118" t="s">
        <v>4778</v>
      </c>
      <c r="E36" s="200" t="str">
        <f t="shared" si="1"/>
        <v>#REF!</v>
      </c>
      <c r="G36" s="197" t="str">
        <f t="shared" si="2"/>
        <v>#REF!</v>
      </c>
      <c r="I36" s="190" t="str">
        <f t="shared" si="3"/>
        <v>#REF!</v>
      </c>
    </row>
    <row r="37" ht="14.25" customHeight="1">
      <c r="A37" s="202" t="s">
        <v>4795</v>
      </c>
      <c r="B37" s="202"/>
      <c r="C37" s="118" t="s">
        <v>4795</v>
      </c>
      <c r="E37" s="200" t="str">
        <f t="shared" si="1"/>
        <v>#REF!</v>
      </c>
      <c r="G37" s="197" t="str">
        <f t="shared" si="2"/>
        <v>#REF!</v>
      </c>
      <c r="I37" s="190" t="str">
        <f t="shared" si="3"/>
        <v>#REF!</v>
      </c>
    </row>
    <row r="38" ht="14.25" customHeight="1">
      <c r="A38" s="202" t="s">
        <v>4796</v>
      </c>
      <c r="B38" s="202"/>
      <c r="C38" s="118" t="s">
        <v>4796</v>
      </c>
      <c r="E38" s="200" t="str">
        <f t="shared" si="1"/>
        <v>#REF!</v>
      </c>
      <c r="G38" s="197" t="str">
        <f t="shared" si="2"/>
        <v>#REF!</v>
      </c>
      <c r="I38" s="190" t="str">
        <f t="shared" si="3"/>
        <v>#REF!</v>
      </c>
    </row>
    <row r="39" ht="14.25" customHeight="1">
      <c r="A39" s="202" t="s">
        <v>4797</v>
      </c>
      <c r="B39" s="202"/>
      <c r="C39" s="118" t="s">
        <v>4797</v>
      </c>
    </row>
    <row r="40" ht="14.25" customHeight="1">
      <c r="A40" s="202" t="s">
        <v>4798</v>
      </c>
      <c r="B40" s="202"/>
      <c r="C40" s="118" t="s">
        <v>4798</v>
      </c>
    </row>
    <row r="41" ht="14.25" customHeight="1">
      <c r="A41" s="202" t="s">
        <v>4784</v>
      </c>
      <c r="B41" s="202"/>
      <c r="C41" s="193" t="s">
        <v>4784</v>
      </c>
    </row>
    <row r="42" ht="14.25" customHeight="1">
      <c r="A42" s="202" t="s">
        <v>4782</v>
      </c>
      <c r="B42" s="202"/>
      <c r="C42" s="118" t="s">
        <v>4782</v>
      </c>
    </row>
    <row r="43" ht="14.25" customHeight="1">
      <c r="A43" s="202" t="s">
        <v>4790</v>
      </c>
      <c r="B43" s="202"/>
      <c r="C43" s="118" t="s">
        <v>4790</v>
      </c>
    </row>
    <row r="44" ht="14.25" customHeight="1">
      <c r="A44" s="202" t="s">
        <v>4799</v>
      </c>
      <c r="B44" s="202"/>
      <c r="C44" s="118" t="s">
        <v>4799</v>
      </c>
    </row>
    <row r="45" ht="14.25" customHeight="1">
      <c r="A45" s="202" t="s">
        <v>4788</v>
      </c>
      <c r="B45" s="202"/>
      <c r="C45" s="193" t="s">
        <v>4820</v>
      </c>
    </row>
    <row r="46" ht="14.25" customHeight="1">
      <c r="A46" s="202" t="s">
        <v>4786</v>
      </c>
      <c r="B46" s="202"/>
      <c r="C46" s="118" t="s">
        <v>4786</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c r="A75" s="190"/>
      <c r="B75" s="190"/>
      <c r="C75" s="190"/>
    </row>
    <row r="76" ht="14.25" customHeight="1">
      <c r="A76" s="190"/>
      <c r="B76" s="190"/>
      <c r="C76" s="190"/>
    </row>
    <row r="77" ht="14.25" customHeight="1">
      <c r="A77" s="190"/>
      <c r="B77" s="190"/>
      <c r="C77" s="190"/>
    </row>
    <row r="78" ht="14.25" customHeight="1">
      <c r="A78" s="190"/>
      <c r="B78" s="190"/>
      <c r="C78" s="190"/>
    </row>
    <row r="79" ht="14.25" customHeight="1">
      <c r="A79" s="190"/>
      <c r="B79" s="190"/>
      <c r="C79" s="190"/>
    </row>
    <row r="80" ht="14.25" customHeight="1">
      <c r="A80" s="190"/>
      <c r="B80" s="190"/>
      <c r="C80" s="190"/>
    </row>
    <row r="81" ht="14.25" customHeight="1">
      <c r="A81" s="190"/>
      <c r="B81" s="190"/>
      <c r="C81" s="190"/>
    </row>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8.0"/>
    <col customWidth="1" min="2" max="2" width="120.0"/>
    <col customWidth="1" min="3" max="26" width="8.71"/>
  </cols>
  <sheetData>
    <row r="1">
      <c r="A1" s="203" t="s">
        <v>2718</v>
      </c>
      <c r="B1" s="203" t="s">
        <v>4821</v>
      </c>
    </row>
    <row r="2">
      <c r="A2" s="204" t="s">
        <v>4210</v>
      </c>
      <c r="B2" s="204" t="s">
        <v>4822</v>
      </c>
    </row>
    <row r="3">
      <c r="A3" s="204" t="s">
        <v>4208</v>
      </c>
      <c r="B3" s="204" t="s">
        <v>4823</v>
      </c>
    </row>
    <row r="4">
      <c r="A4" s="204" t="s">
        <v>4212</v>
      </c>
      <c r="B4" s="204" t="s">
        <v>4824</v>
      </c>
    </row>
    <row r="5">
      <c r="A5" s="204" t="s">
        <v>4825</v>
      </c>
      <c r="B5" s="204" t="s">
        <v>4826</v>
      </c>
    </row>
    <row r="6">
      <c r="A6" s="204" t="s">
        <v>4827</v>
      </c>
      <c r="B6" s="204" t="s">
        <v>4828</v>
      </c>
    </row>
    <row r="7">
      <c r="A7" s="204" t="s">
        <v>4829</v>
      </c>
      <c r="B7" s="204" t="s">
        <v>4830</v>
      </c>
    </row>
    <row r="8">
      <c r="A8" s="204" t="s">
        <v>4831</v>
      </c>
      <c r="B8" s="204" t="s">
        <v>4832</v>
      </c>
    </row>
    <row r="9">
      <c r="A9" s="204" t="s">
        <v>4480</v>
      </c>
      <c r="B9" s="204" t="s">
        <v>4479</v>
      </c>
    </row>
    <row r="10">
      <c r="A10" s="204" t="s">
        <v>4403</v>
      </c>
      <c r="B10" s="204" t="s">
        <v>4833</v>
      </c>
    </row>
    <row r="11">
      <c r="A11" s="204" t="s">
        <v>4556</v>
      </c>
      <c r="B11" s="204" t="s">
        <v>4834</v>
      </c>
    </row>
    <row r="12">
      <c r="A12" s="204" t="s">
        <v>4559</v>
      </c>
      <c r="B12" s="204" t="s">
        <v>4835</v>
      </c>
    </row>
    <row r="13">
      <c r="A13" s="204" t="s">
        <v>4560</v>
      </c>
      <c r="B13" s="204" t="s">
        <v>4836</v>
      </c>
    </row>
    <row r="14">
      <c r="A14" s="204" t="s">
        <v>4557</v>
      </c>
      <c r="B14" s="204" t="s">
        <v>4837</v>
      </c>
    </row>
    <row r="15">
      <c r="A15" s="204" t="s">
        <v>4558</v>
      </c>
      <c r="B15" s="204" t="s">
        <v>4838</v>
      </c>
    </row>
    <row r="16">
      <c r="A16" s="204" t="s">
        <v>4555</v>
      </c>
      <c r="B16" s="204" t="s">
        <v>4839</v>
      </c>
    </row>
    <row r="17">
      <c r="A17" s="204" t="s">
        <v>4673</v>
      </c>
      <c r="B17" s="204" t="s">
        <v>4672</v>
      </c>
    </row>
    <row r="18">
      <c r="A18" s="204" t="s">
        <v>4675</v>
      </c>
      <c r="B18" s="204" t="s">
        <v>4674</v>
      </c>
    </row>
    <row r="19">
      <c r="A19" s="204" t="s">
        <v>4840</v>
      </c>
      <c r="B19" s="204" t="s">
        <v>4841</v>
      </c>
    </row>
    <row r="20">
      <c r="A20" s="204" t="s">
        <v>4842</v>
      </c>
      <c r="B20" s="204" t="s">
        <v>4843</v>
      </c>
    </row>
    <row r="21">
      <c r="A21" s="204" t="s">
        <v>4667</v>
      </c>
      <c r="B21" s="204" t="s">
        <v>4844</v>
      </c>
    </row>
    <row r="22">
      <c r="A22" s="204" t="s">
        <v>4669</v>
      </c>
      <c r="B22" s="204" t="s">
        <v>4668</v>
      </c>
    </row>
    <row r="23">
      <c r="A23" s="204" t="s">
        <v>4663</v>
      </c>
      <c r="B23" s="204" t="s">
        <v>4662</v>
      </c>
    </row>
    <row r="24">
      <c r="A24" s="204" t="s">
        <v>4671</v>
      </c>
      <c r="B24" s="204" t="s">
        <v>4845</v>
      </c>
    </row>
    <row r="25">
      <c r="A25" s="204" t="s">
        <v>4651</v>
      </c>
      <c r="B25" s="204" t="s">
        <v>4650</v>
      </c>
    </row>
    <row r="26">
      <c r="A26" s="204" t="s">
        <v>4657</v>
      </c>
      <c r="B26" s="204" t="s">
        <v>4846</v>
      </c>
    </row>
    <row r="27">
      <c r="A27" s="204" t="s">
        <v>4847</v>
      </c>
      <c r="B27" s="204" t="s">
        <v>4848</v>
      </c>
    </row>
    <row r="28">
      <c r="A28" s="204" t="s">
        <v>4665</v>
      </c>
      <c r="B28" s="204" t="s">
        <v>4849</v>
      </c>
    </row>
    <row r="29">
      <c r="A29" s="204" t="s">
        <v>4653</v>
      </c>
      <c r="B29" s="204" t="s">
        <v>4652</v>
      </c>
    </row>
    <row r="30">
      <c r="A30" s="204" t="s">
        <v>4655</v>
      </c>
      <c r="B30" s="204" t="s">
        <v>4654</v>
      </c>
    </row>
    <row r="31">
      <c r="A31" s="204" t="s">
        <v>4850</v>
      </c>
      <c r="B31" s="204" t="s">
        <v>4851</v>
      </c>
    </row>
    <row r="32">
      <c r="A32" s="204" t="s">
        <v>4661</v>
      </c>
      <c r="B32" s="204" t="s">
        <v>4660</v>
      </c>
    </row>
    <row r="33">
      <c r="A33" s="204" t="s">
        <v>4677</v>
      </c>
      <c r="B33" s="204" t="s">
        <v>4676</v>
      </c>
    </row>
    <row r="34">
      <c r="A34" s="204" t="s">
        <v>4649</v>
      </c>
      <c r="B34" s="204" t="s">
        <v>4648</v>
      </c>
    </row>
    <row r="35">
      <c r="A35" s="204" t="s">
        <v>4852</v>
      </c>
      <c r="B35" s="204" t="s">
        <v>4853</v>
      </c>
    </row>
    <row r="36">
      <c r="A36" s="204" t="s">
        <v>4659</v>
      </c>
      <c r="B36" s="204" t="s">
        <v>4658</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71"/>
    <col customWidth="1" min="2" max="2" width="13.43"/>
    <col customWidth="1" min="3" max="5" width="0.43"/>
    <col customWidth="1" min="6" max="6" width="40.86"/>
    <col customWidth="1" min="7" max="7" width="18.71"/>
    <col customWidth="1" min="8" max="8" width="12.71"/>
    <col customWidth="1" min="9" max="9" width="9.86"/>
    <col customWidth="1" min="10" max="10" width="14.14"/>
    <col customWidth="1" min="11" max="11" width="4.0"/>
    <col customWidth="1" min="12" max="12" width="11.29"/>
    <col customWidth="1" min="13" max="13" width="14.86"/>
    <col customWidth="1" min="14" max="14" width="18.0"/>
    <col customWidth="1" min="15" max="15" width="10.86"/>
    <col customWidth="1" min="16" max="16" width="14.0"/>
    <col customWidth="1" min="17" max="18" width="8.71"/>
    <col customWidth="1" min="19" max="19" width="14.43"/>
    <col customWidth="1" min="20" max="20" width="9.86"/>
    <col customWidth="1" min="21" max="21" width="11.0"/>
    <col customWidth="1" min="22" max="22" width="12.86"/>
    <col customWidth="1" min="23" max="23" width="17.0"/>
    <col customWidth="1" min="24" max="24" width="17.57"/>
    <col customWidth="1" min="25" max="25" width="14.14"/>
    <col customWidth="1" min="26" max="26" width="16.14"/>
    <col customWidth="1" min="27" max="27" width="21.0"/>
    <col customWidth="1" min="28" max="28" width="14.29"/>
  </cols>
  <sheetData>
    <row r="1">
      <c r="A1" s="205" t="s">
        <v>4854</v>
      </c>
      <c r="B1" s="205" t="s">
        <v>2719</v>
      </c>
      <c r="C1" s="206" t="s">
        <v>4855</v>
      </c>
      <c r="D1" s="206" t="s">
        <v>4856</v>
      </c>
      <c r="E1" s="206" t="s">
        <v>4857</v>
      </c>
      <c r="F1" s="206" t="s">
        <v>4858</v>
      </c>
      <c r="G1" s="206" t="s">
        <v>4859</v>
      </c>
      <c r="H1" s="206" t="s">
        <v>4860</v>
      </c>
      <c r="I1" s="206" t="s">
        <v>4861</v>
      </c>
      <c r="J1" s="207" t="s">
        <v>4862</v>
      </c>
      <c r="K1" s="206" t="s">
        <v>4863</v>
      </c>
      <c r="L1" s="208" t="s">
        <v>4739</v>
      </c>
      <c r="M1" s="208" t="s">
        <v>4864</v>
      </c>
      <c r="N1" s="206" t="s">
        <v>4865</v>
      </c>
      <c r="O1" s="208" t="s">
        <v>13</v>
      </c>
      <c r="P1" s="209" t="s">
        <v>2722</v>
      </c>
      <c r="R1" s="210" t="s">
        <v>4866</v>
      </c>
      <c r="S1" s="210" t="s">
        <v>4867</v>
      </c>
      <c r="T1" s="208" t="s">
        <v>15</v>
      </c>
      <c r="U1" s="208" t="s">
        <v>2727</v>
      </c>
      <c r="V1" s="211" t="s">
        <v>17</v>
      </c>
      <c r="W1" s="208" t="s">
        <v>4868</v>
      </c>
      <c r="X1" s="208" t="s">
        <v>4869</v>
      </c>
      <c r="Y1" s="208" t="s">
        <v>4870</v>
      </c>
      <c r="Z1" s="208" t="s">
        <v>4871</v>
      </c>
      <c r="AA1" s="208" t="s">
        <v>4872</v>
      </c>
      <c r="AB1" s="208" t="s">
        <v>4873</v>
      </c>
    </row>
    <row r="2">
      <c r="A2" s="212" t="s">
        <v>237</v>
      </c>
      <c r="B2" s="213" t="s">
        <v>4874</v>
      </c>
      <c r="C2" s="213" t="s">
        <v>4875</v>
      </c>
      <c r="D2" s="213" t="s">
        <v>4876</v>
      </c>
      <c r="E2" s="213" t="s">
        <v>4877</v>
      </c>
      <c r="F2" s="213" t="s">
        <v>4878</v>
      </c>
      <c r="G2" s="213" t="s">
        <v>4879</v>
      </c>
      <c r="H2" s="213" t="s">
        <v>4880</v>
      </c>
      <c r="I2" s="214">
        <v>2599.0</v>
      </c>
      <c r="J2" s="215">
        <v>1899.0</v>
      </c>
      <c r="K2" s="213" t="s">
        <v>4881</v>
      </c>
      <c r="L2" s="214">
        <v>12.0</v>
      </c>
      <c r="M2" s="216">
        <f t="shared" ref="M2:M88" si="1">IFS(L2=0,0,L2=3,0.01,L2=6,0.03,L2=12,0.06)</f>
        <v>0.06</v>
      </c>
      <c r="N2" s="213" t="s">
        <v>4882</v>
      </c>
      <c r="O2" s="217">
        <v>896.34</v>
      </c>
      <c r="P2" s="218">
        <f t="shared" ref="P2:P88" si="2">J2*0.08</f>
        <v>151.92</v>
      </c>
      <c r="Q2" s="218">
        <f t="shared" ref="Q2:Q88" si="3">(J2-P2)*0.025</f>
        <v>43.677</v>
      </c>
      <c r="R2" s="219">
        <f t="shared" ref="R2:R39" si="4">15%+M2</f>
        <v>0.21</v>
      </c>
      <c r="S2" s="218">
        <f t="shared" ref="S2:S88" si="5">J2*R2</f>
        <v>398.79</v>
      </c>
      <c r="T2" s="220">
        <f t="shared" ref="T2:T88" si="6">IF(AND(ISNUMBER(AB2)=TRUE(),AB2&gt;0),SWITCH(TRUE(),AB2 &lt;= 1,  129, AB2 &lt;= 2, 139, AB2 &lt;= 3, 149, AB2 &lt;= 5, 169, AB2 &lt;= 7, 179, AB2 &lt;= 9, 209, AB2 &lt;= 12, 249, AB2 &lt;= 15, 299, AB2 &lt;= 20, 390, AB2 &lt;= 30, 420, AB2 &lt;= 40, 525, AB2 &lt;= 50, 859, AB2 &lt;= 60, 1049, AB2 &lt;= 70, 1099, AB2 &lt;= 80, 1149, AB2 &lt;= 90, 1169, AB2 &lt;= 100, 1199, AB2 &lt;= 125, 1449,AB2 &lt;= 150, 1899, AB2 &lt;= 175, 2349, AB2 &lt;= 200, 2799, AB2 &lt;= 225, 3299, AB2 &lt;= 250, 379, AB2 &lt;= 275, 4199, AB2 &lt;= 300, 4699, AB2 &lt;= 325, 5199, "Exceso de peso"),"Error")</f>
        <v>169</v>
      </c>
      <c r="U2" s="218">
        <f t="shared" ref="U2:U88" si="7">J2-O2-P2-Q2-S2-T2</f>
        <v>239.273</v>
      </c>
      <c r="V2" s="221">
        <f t="shared" ref="V2:V88" si="8">U2/O2</f>
        <v>0.266944463</v>
      </c>
      <c r="W2" s="214">
        <v>30.0</v>
      </c>
      <c r="X2" s="214">
        <v>24.0</v>
      </c>
      <c r="Y2" s="214">
        <v>25.0</v>
      </c>
      <c r="Z2" s="214">
        <v>3.5</v>
      </c>
      <c r="AA2" s="213">
        <f t="shared" ref="AA2:AA88" si="9">(W2*X2*Y2)/5000</f>
        <v>3.6</v>
      </c>
      <c r="AB2" s="213">
        <f t="shared" ref="AB2:AB88" si="10">IF(Z2&gt;AA2,Z2,AA2)</f>
        <v>3.6</v>
      </c>
    </row>
    <row r="3">
      <c r="A3" s="212" t="s">
        <v>237</v>
      </c>
      <c r="B3" s="213" t="s">
        <v>4883</v>
      </c>
      <c r="C3" s="213" t="s">
        <v>4884</v>
      </c>
      <c r="D3" s="213" t="s">
        <v>4885</v>
      </c>
      <c r="E3" s="213" t="s">
        <v>4886</v>
      </c>
      <c r="F3" s="213" t="s">
        <v>4887</v>
      </c>
      <c r="G3" s="213" t="s">
        <v>4879</v>
      </c>
      <c r="H3" s="213" t="s">
        <v>4880</v>
      </c>
      <c r="I3" s="213" t="s">
        <v>4888</v>
      </c>
      <c r="J3" s="215">
        <v>2299.0</v>
      </c>
      <c r="K3" s="213" t="s">
        <v>4889</v>
      </c>
      <c r="L3" s="214">
        <v>3.0</v>
      </c>
      <c r="M3" s="216">
        <f t="shared" si="1"/>
        <v>0.01</v>
      </c>
      <c r="N3" s="213" t="s">
        <v>4882</v>
      </c>
      <c r="O3" s="217">
        <v>1289.0</v>
      </c>
      <c r="P3" s="218">
        <f t="shared" si="2"/>
        <v>183.92</v>
      </c>
      <c r="Q3" s="218">
        <f t="shared" si="3"/>
        <v>52.877</v>
      </c>
      <c r="R3" s="219">
        <f t="shared" si="4"/>
        <v>0.16</v>
      </c>
      <c r="S3" s="218">
        <f t="shared" si="5"/>
        <v>367.84</v>
      </c>
      <c r="T3" s="220">
        <f t="shared" si="6"/>
        <v>179</v>
      </c>
      <c r="U3" s="218">
        <f t="shared" si="7"/>
        <v>226.363</v>
      </c>
      <c r="V3" s="221">
        <f t="shared" si="8"/>
        <v>0.1756113266</v>
      </c>
      <c r="W3" s="214">
        <v>28.0</v>
      </c>
      <c r="X3" s="214">
        <v>24.0</v>
      </c>
      <c r="Y3" s="214">
        <v>40.0</v>
      </c>
      <c r="Z3" s="214">
        <v>4.8</v>
      </c>
      <c r="AA3" s="213">
        <f t="shared" si="9"/>
        <v>5.376</v>
      </c>
      <c r="AB3" s="213">
        <f t="shared" si="10"/>
        <v>5.376</v>
      </c>
    </row>
    <row r="4">
      <c r="A4" s="212" t="s">
        <v>4175</v>
      </c>
      <c r="B4" s="213" t="s">
        <v>4890</v>
      </c>
      <c r="C4" s="213" t="s">
        <v>4891</v>
      </c>
      <c r="D4" s="213" t="s">
        <v>4892</v>
      </c>
      <c r="E4" s="213" t="s">
        <v>4893</v>
      </c>
      <c r="F4" s="213" t="s">
        <v>4894</v>
      </c>
      <c r="G4" s="213" t="s">
        <v>4879</v>
      </c>
      <c r="H4" s="213" t="s">
        <v>4880</v>
      </c>
      <c r="I4" s="213" t="s">
        <v>4895</v>
      </c>
      <c r="J4" s="215">
        <v>1999.0</v>
      </c>
      <c r="K4" s="213" t="s">
        <v>4889</v>
      </c>
      <c r="L4" s="214">
        <v>3.0</v>
      </c>
      <c r="M4" s="216">
        <f t="shared" si="1"/>
        <v>0.01</v>
      </c>
      <c r="N4" s="213" t="s">
        <v>4882</v>
      </c>
      <c r="O4" s="217">
        <v>1142.64</v>
      </c>
      <c r="P4" s="218">
        <f t="shared" si="2"/>
        <v>159.92</v>
      </c>
      <c r="Q4" s="218">
        <f t="shared" si="3"/>
        <v>45.977</v>
      </c>
      <c r="R4" s="219">
        <f t="shared" si="4"/>
        <v>0.16</v>
      </c>
      <c r="S4" s="218">
        <f t="shared" si="5"/>
        <v>319.84</v>
      </c>
      <c r="T4" s="220">
        <f t="shared" si="6"/>
        <v>169</v>
      </c>
      <c r="U4" s="218">
        <f t="shared" si="7"/>
        <v>161.623</v>
      </c>
      <c r="V4" s="221">
        <f t="shared" si="8"/>
        <v>0.1414469999</v>
      </c>
      <c r="W4" s="214">
        <v>40.0</v>
      </c>
      <c r="X4" s="214">
        <v>21.0</v>
      </c>
      <c r="Y4" s="214">
        <v>27.5</v>
      </c>
      <c r="Z4" s="214">
        <v>4.0</v>
      </c>
      <c r="AA4" s="213">
        <f t="shared" si="9"/>
        <v>4.62</v>
      </c>
      <c r="AB4" s="213">
        <f t="shared" si="10"/>
        <v>4.62</v>
      </c>
    </row>
    <row r="5">
      <c r="A5" s="212" t="s">
        <v>4175</v>
      </c>
      <c r="B5" s="213" t="s">
        <v>4896</v>
      </c>
      <c r="C5" s="213" t="s">
        <v>4897</v>
      </c>
      <c r="D5" s="213" t="s">
        <v>4898</v>
      </c>
      <c r="E5" s="213" t="s">
        <v>4899</v>
      </c>
      <c r="F5" s="213" t="s">
        <v>4900</v>
      </c>
      <c r="G5" s="213" t="s">
        <v>4879</v>
      </c>
      <c r="H5" s="213" t="s">
        <v>4880</v>
      </c>
      <c r="I5" s="213" t="s">
        <v>4901</v>
      </c>
      <c r="J5" s="215">
        <v>1619.0</v>
      </c>
      <c r="K5" s="213" t="s">
        <v>4881</v>
      </c>
      <c r="L5" s="214">
        <v>3.0</v>
      </c>
      <c r="M5" s="216">
        <f t="shared" si="1"/>
        <v>0.01</v>
      </c>
      <c r="N5" s="213" t="s">
        <v>4882</v>
      </c>
      <c r="O5" s="217">
        <v>1121.12</v>
      </c>
      <c r="P5" s="218">
        <f t="shared" si="2"/>
        <v>129.52</v>
      </c>
      <c r="Q5" s="218">
        <f t="shared" si="3"/>
        <v>37.237</v>
      </c>
      <c r="R5" s="219">
        <f t="shared" si="4"/>
        <v>0.16</v>
      </c>
      <c r="S5" s="218">
        <f t="shared" si="5"/>
        <v>259.04</v>
      </c>
      <c r="T5" s="220">
        <f t="shared" si="6"/>
        <v>169</v>
      </c>
      <c r="U5" s="218">
        <f t="shared" si="7"/>
        <v>-96.917</v>
      </c>
      <c r="V5" s="221">
        <f t="shared" si="8"/>
        <v>-0.08644658913</v>
      </c>
      <c r="W5" s="214">
        <v>27.3</v>
      </c>
      <c r="X5" s="214">
        <v>21.5</v>
      </c>
      <c r="Y5" s="214">
        <v>41.0</v>
      </c>
      <c r="Z5" s="214">
        <v>4.5</v>
      </c>
      <c r="AA5" s="213">
        <f t="shared" si="9"/>
        <v>4.81299</v>
      </c>
      <c r="AB5" s="213">
        <f t="shared" si="10"/>
        <v>4.81299</v>
      </c>
    </row>
    <row r="6">
      <c r="A6" s="212" t="s">
        <v>4175</v>
      </c>
      <c r="B6" s="213" t="s">
        <v>4902</v>
      </c>
      <c r="C6" s="213" t="s">
        <v>4903</v>
      </c>
      <c r="D6" s="213" t="s">
        <v>4904</v>
      </c>
      <c r="E6" s="213" t="s">
        <v>4905</v>
      </c>
      <c r="F6" s="213" t="s">
        <v>4906</v>
      </c>
      <c r="G6" s="213" t="s">
        <v>4879</v>
      </c>
      <c r="H6" s="213" t="s">
        <v>4880</v>
      </c>
      <c r="I6" s="213" t="s">
        <v>4907</v>
      </c>
      <c r="J6" s="215">
        <v>2099.0</v>
      </c>
      <c r="K6" s="213" t="s">
        <v>4889</v>
      </c>
      <c r="L6" s="214">
        <v>3.0</v>
      </c>
      <c r="M6" s="216">
        <f t="shared" si="1"/>
        <v>0.01</v>
      </c>
      <c r="N6" s="213" t="s">
        <v>4882</v>
      </c>
      <c r="O6" s="217">
        <v>1349.49</v>
      </c>
      <c r="P6" s="218">
        <f t="shared" si="2"/>
        <v>167.92</v>
      </c>
      <c r="Q6" s="218">
        <f t="shared" si="3"/>
        <v>48.277</v>
      </c>
      <c r="R6" s="219">
        <f t="shared" si="4"/>
        <v>0.16</v>
      </c>
      <c r="S6" s="218">
        <f t="shared" si="5"/>
        <v>335.84</v>
      </c>
      <c r="T6" s="220">
        <f t="shared" si="6"/>
        <v>209</v>
      </c>
      <c r="U6" s="218">
        <f t="shared" si="7"/>
        <v>-11.527</v>
      </c>
      <c r="V6" s="221">
        <f t="shared" si="8"/>
        <v>-0.0085417454</v>
      </c>
      <c r="W6" s="214">
        <v>33.02</v>
      </c>
      <c r="X6" s="214">
        <v>27.69</v>
      </c>
      <c r="Y6" s="214">
        <v>40.9</v>
      </c>
      <c r="Z6" s="214">
        <v>5.61</v>
      </c>
      <c r="AA6" s="213">
        <f t="shared" si="9"/>
        <v>7.479168684</v>
      </c>
      <c r="AB6" s="213">
        <f t="shared" si="10"/>
        <v>7.479168684</v>
      </c>
    </row>
    <row r="7">
      <c r="A7" s="212" t="s">
        <v>4175</v>
      </c>
      <c r="B7" s="213" t="s">
        <v>4908</v>
      </c>
      <c r="C7" s="213" t="s">
        <v>4909</v>
      </c>
      <c r="D7" s="213" t="s">
        <v>4910</v>
      </c>
      <c r="E7" s="213" t="s">
        <v>4911</v>
      </c>
      <c r="F7" s="213" t="s">
        <v>4912</v>
      </c>
      <c r="G7" s="213" t="s">
        <v>4913</v>
      </c>
      <c r="H7" s="213" t="s">
        <v>4880</v>
      </c>
      <c r="I7" s="213" t="s">
        <v>4914</v>
      </c>
      <c r="J7" s="215">
        <v>2799.0</v>
      </c>
      <c r="K7" s="213" t="s">
        <v>4881</v>
      </c>
      <c r="L7" s="214">
        <v>3.0</v>
      </c>
      <c r="M7" s="216">
        <f t="shared" si="1"/>
        <v>0.01</v>
      </c>
      <c r="N7" s="213" t="s">
        <v>4882</v>
      </c>
      <c r="O7" s="217">
        <v>1667.66</v>
      </c>
      <c r="P7" s="218">
        <f t="shared" si="2"/>
        <v>223.92</v>
      </c>
      <c r="Q7" s="218">
        <f t="shared" si="3"/>
        <v>64.377</v>
      </c>
      <c r="R7" s="219">
        <f t="shared" si="4"/>
        <v>0.16</v>
      </c>
      <c r="S7" s="218">
        <f t="shared" si="5"/>
        <v>447.84</v>
      </c>
      <c r="T7" s="220">
        <f t="shared" si="6"/>
        <v>209</v>
      </c>
      <c r="U7" s="218">
        <f t="shared" si="7"/>
        <v>186.203</v>
      </c>
      <c r="V7" s="221">
        <f t="shared" si="8"/>
        <v>0.1116552535</v>
      </c>
      <c r="W7" s="214">
        <v>36.4</v>
      </c>
      <c r="X7" s="214">
        <v>29.1</v>
      </c>
      <c r="Y7" s="214">
        <v>39.2</v>
      </c>
      <c r="Z7" s="214">
        <v>5.0</v>
      </c>
      <c r="AA7" s="213">
        <f t="shared" si="9"/>
        <v>8.3044416</v>
      </c>
      <c r="AB7" s="213">
        <f t="shared" si="10"/>
        <v>8.3044416</v>
      </c>
    </row>
    <row r="8">
      <c r="A8" s="212" t="s">
        <v>4175</v>
      </c>
      <c r="B8" s="213" t="s">
        <v>4915</v>
      </c>
      <c r="C8" s="213" t="s">
        <v>4916</v>
      </c>
      <c r="D8" s="213" t="s">
        <v>4917</v>
      </c>
      <c r="E8" s="213" t="s">
        <v>4918</v>
      </c>
      <c r="F8" s="213" t="s">
        <v>4919</v>
      </c>
      <c r="G8" s="213" t="s">
        <v>4920</v>
      </c>
      <c r="H8" s="213" t="s">
        <v>4921</v>
      </c>
      <c r="I8" s="213" t="s">
        <v>4922</v>
      </c>
      <c r="J8" s="215">
        <v>1799.0</v>
      </c>
      <c r="K8" s="213" t="s">
        <v>4881</v>
      </c>
      <c r="L8" s="214">
        <v>3.0</v>
      </c>
      <c r="M8" s="216">
        <f t="shared" si="1"/>
        <v>0.01</v>
      </c>
      <c r="N8" s="213" t="s">
        <v>4882</v>
      </c>
      <c r="O8" s="217">
        <v>1012.49</v>
      </c>
      <c r="P8" s="218">
        <f t="shared" si="2"/>
        <v>143.92</v>
      </c>
      <c r="Q8" s="218">
        <f t="shared" si="3"/>
        <v>41.377</v>
      </c>
      <c r="R8" s="219">
        <f t="shared" si="4"/>
        <v>0.16</v>
      </c>
      <c r="S8" s="218">
        <f t="shared" si="5"/>
        <v>287.84</v>
      </c>
      <c r="T8" s="220">
        <f t="shared" si="6"/>
        <v>169</v>
      </c>
      <c r="U8" s="218">
        <f t="shared" si="7"/>
        <v>144.373</v>
      </c>
      <c r="V8" s="221">
        <f t="shared" si="8"/>
        <v>0.1425920256</v>
      </c>
      <c r="W8" s="214">
        <v>15.0</v>
      </c>
      <c r="X8" s="214">
        <v>17.5</v>
      </c>
      <c r="Y8" s="214">
        <v>61.0</v>
      </c>
      <c r="Z8" s="214">
        <v>2.0</v>
      </c>
      <c r="AA8" s="213">
        <f t="shared" si="9"/>
        <v>3.2025</v>
      </c>
      <c r="AB8" s="213">
        <f t="shared" si="10"/>
        <v>3.2025</v>
      </c>
    </row>
    <row r="9">
      <c r="A9" s="212" t="s">
        <v>4175</v>
      </c>
      <c r="B9" s="213" t="s">
        <v>4923</v>
      </c>
      <c r="C9" s="213" t="s">
        <v>4924</v>
      </c>
      <c r="D9" s="213" t="s">
        <v>4925</v>
      </c>
      <c r="E9" s="213" t="s">
        <v>4926</v>
      </c>
      <c r="F9" s="213" t="s">
        <v>4927</v>
      </c>
      <c r="G9" s="213" t="s">
        <v>4879</v>
      </c>
      <c r="H9" s="213" t="s">
        <v>4880</v>
      </c>
      <c r="I9" s="213" t="s">
        <v>4928</v>
      </c>
      <c r="J9" s="222">
        <v>3199.0</v>
      </c>
      <c r="K9" s="213" t="s">
        <v>4881</v>
      </c>
      <c r="L9" s="214">
        <v>12.0</v>
      </c>
      <c r="M9" s="216">
        <f t="shared" si="1"/>
        <v>0.06</v>
      </c>
      <c r="N9" s="213" t="s">
        <v>4882</v>
      </c>
      <c r="O9" s="217">
        <v>1785.06</v>
      </c>
      <c r="P9" s="218">
        <f t="shared" si="2"/>
        <v>255.92</v>
      </c>
      <c r="Q9" s="218">
        <f t="shared" si="3"/>
        <v>73.577</v>
      </c>
      <c r="R9" s="219">
        <f t="shared" si="4"/>
        <v>0.21</v>
      </c>
      <c r="S9" s="218">
        <f t="shared" si="5"/>
        <v>671.79</v>
      </c>
      <c r="T9" s="220">
        <f t="shared" si="6"/>
        <v>179</v>
      </c>
      <c r="U9" s="218">
        <f t="shared" si="7"/>
        <v>233.653</v>
      </c>
      <c r="V9" s="221">
        <f t="shared" si="8"/>
        <v>0.1308936394</v>
      </c>
      <c r="W9" s="214">
        <v>34.5</v>
      </c>
      <c r="X9" s="214">
        <v>21.0</v>
      </c>
      <c r="Y9" s="214">
        <v>41.0</v>
      </c>
      <c r="Z9" s="214">
        <v>5.0</v>
      </c>
      <c r="AA9" s="213">
        <f t="shared" si="9"/>
        <v>5.9409</v>
      </c>
      <c r="AB9" s="213">
        <f t="shared" si="10"/>
        <v>5.9409</v>
      </c>
    </row>
    <row r="10">
      <c r="A10" s="212" t="s">
        <v>237</v>
      </c>
      <c r="B10" s="213" t="s">
        <v>4929</v>
      </c>
      <c r="C10" s="213">
        <v>6.22356320658E11</v>
      </c>
      <c r="D10" s="213">
        <v>8.0887805E7</v>
      </c>
      <c r="E10" s="213">
        <v>1.301063828E9</v>
      </c>
      <c r="F10" s="213" t="s">
        <v>4930</v>
      </c>
      <c r="G10" s="213" t="s">
        <v>4931</v>
      </c>
      <c r="H10" s="213" t="s">
        <v>4932</v>
      </c>
      <c r="I10" s="213">
        <v>11999.0</v>
      </c>
      <c r="J10" s="223">
        <v>7499.0</v>
      </c>
      <c r="K10" s="213"/>
      <c r="L10" s="214">
        <v>3.0</v>
      </c>
      <c r="M10" s="216">
        <f t="shared" si="1"/>
        <v>0.01</v>
      </c>
      <c r="N10" s="213" t="s">
        <v>4882</v>
      </c>
      <c r="O10" s="214">
        <v>3099.0</v>
      </c>
      <c r="P10" s="218">
        <f t="shared" si="2"/>
        <v>599.92</v>
      </c>
      <c r="Q10" s="218">
        <f t="shared" si="3"/>
        <v>172.477</v>
      </c>
      <c r="R10" s="219">
        <f t="shared" si="4"/>
        <v>0.16</v>
      </c>
      <c r="S10" s="218">
        <f t="shared" si="5"/>
        <v>1199.84</v>
      </c>
      <c r="T10" s="220">
        <f t="shared" si="6"/>
        <v>299</v>
      </c>
      <c r="U10" s="218">
        <f t="shared" si="7"/>
        <v>2128.763</v>
      </c>
      <c r="V10" s="221">
        <f t="shared" si="8"/>
        <v>0.6869193288</v>
      </c>
      <c r="W10" s="213">
        <v>51.0</v>
      </c>
      <c r="X10" s="213">
        <v>26.0</v>
      </c>
      <c r="Y10" s="213">
        <v>52.0</v>
      </c>
      <c r="Z10" s="213">
        <v>12.7</v>
      </c>
      <c r="AA10" s="213">
        <f t="shared" si="9"/>
        <v>13.7904</v>
      </c>
      <c r="AB10" s="213">
        <f t="shared" si="10"/>
        <v>13.7904</v>
      </c>
    </row>
    <row r="11">
      <c r="A11" s="212" t="s">
        <v>4175</v>
      </c>
      <c r="B11" s="213" t="s">
        <v>4933</v>
      </c>
      <c r="C11" s="213">
        <v>6.22356641012E11</v>
      </c>
      <c r="D11" s="213">
        <v>8.0887611E7</v>
      </c>
      <c r="E11" s="213">
        <v>1.30106364E9</v>
      </c>
      <c r="F11" s="213" t="s">
        <v>4934</v>
      </c>
      <c r="G11" s="213" t="s">
        <v>4931</v>
      </c>
      <c r="H11" s="213" t="s">
        <v>4932</v>
      </c>
      <c r="I11" s="213">
        <v>9999.0</v>
      </c>
      <c r="J11" s="222">
        <v>9199.0</v>
      </c>
      <c r="K11" s="213">
        <v>10.0</v>
      </c>
      <c r="L11" s="214">
        <v>6.0</v>
      </c>
      <c r="M11" s="216">
        <f t="shared" si="1"/>
        <v>0.03</v>
      </c>
      <c r="N11" s="213" t="s">
        <v>4882</v>
      </c>
      <c r="O11" s="213">
        <v>5730.09</v>
      </c>
      <c r="P11" s="218">
        <f t="shared" si="2"/>
        <v>735.92</v>
      </c>
      <c r="Q11" s="218">
        <f t="shared" si="3"/>
        <v>211.577</v>
      </c>
      <c r="R11" s="219">
        <f t="shared" si="4"/>
        <v>0.18</v>
      </c>
      <c r="S11" s="218">
        <f t="shared" si="5"/>
        <v>1655.82</v>
      </c>
      <c r="T11" s="220">
        <f t="shared" si="6"/>
        <v>299</v>
      </c>
      <c r="U11" s="218">
        <f t="shared" si="7"/>
        <v>566.593</v>
      </c>
      <c r="V11" s="221">
        <f t="shared" si="8"/>
        <v>0.09888029682</v>
      </c>
      <c r="W11" s="213">
        <v>47.19</v>
      </c>
      <c r="X11" s="213">
        <v>30.61</v>
      </c>
      <c r="Y11" s="213">
        <v>51.79</v>
      </c>
      <c r="Z11" s="213">
        <v>11.0</v>
      </c>
      <c r="AA11" s="213">
        <f t="shared" si="9"/>
        <v>14.96198495</v>
      </c>
      <c r="AB11" s="213">
        <f t="shared" si="10"/>
        <v>14.96198495</v>
      </c>
    </row>
    <row r="12">
      <c r="A12" s="212" t="s">
        <v>4175</v>
      </c>
      <c r="B12" s="213" t="s">
        <v>4935</v>
      </c>
      <c r="C12" s="213">
        <v>6.22356617338E11</v>
      </c>
      <c r="D12" s="213">
        <v>8.0887621E7</v>
      </c>
      <c r="E12" s="213">
        <v>1.301063615E9</v>
      </c>
      <c r="F12" s="213" t="s">
        <v>4936</v>
      </c>
      <c r="G12" s="213" t="s">
        <v>4937</v>
      </c>
      <c r="H12" s="213" t="s">
        <v>4938</v>
      </c>
      <c r="I12" s="214">
        <v>3299.0</v>
      </c>
      <c r="J12" s="222">
        <v>2699.0</v>
      </c>
      <c r="K12" s="213">
        <v>10.0</v>
      </c>
      <c r="L12" s="214">
        <v>3.0</v>
      </c>
      <c r="M12" s="216">
        <f t="shared" si="1"/>
        <v>0.01</v>
      </c>
      <c r="N12" s="213" t="s">
        <v>4882</v>
      </c>
      <c r="O12" s="213">
        <v>1580.23</v>
      </c>
      <c r="P12" s="218">
        <f t="shared" si="2"/>
        <v>215.92</v>
      </c>
      <c r="Q12" s="218">
        <f t="shared" si="3"/>
        <v>62.077</v>
      </c>
      <c r="R12" s="219">
        <f t="shared" si="4"/>
        <v>0.16</v>
      </c>
      <c r="S12" s="218">
        <f t="shared" si="5"/>
        <v>431.84</v>
      </c>
      <c r="T12" s="220">
        <f t="shared" si="6"/>
        <v>179</v>
      </c>
      <c r="U12" s="218">
        <f t="shared" si="7"/>
        <v>229.933</v>
      </c>
      <c r="V12" s="221">
        <f t="shared" si="8"/>
        <v>0.1455060339</v>
      </c>
      <c r="W12" s="213">
        <v>19.0</v>
      </c>
      <c r="X12" s="213">
        <v>38.0</v>
      </c>
      <c r="Y12" s="213">
        <v>40.0</v>
      </c>
      <c r="Z12" s="213">
        <v>3.9</v>
      </c>
      <c r="AA12" s="213">
        <f t="shared" si="9"/>
        <v>5.776</v>
      </c>
      <c r="AB12" s="213">
        <f t="shared" si="10"/>
        <v>5.776</v>
      </c>
    </row>
    <row r="13">
      <c r="A13" s="212" t="s">
        <v>4175</v>
      </c>
      <c r="B13" s="224" t="s">
        <v>4939</v>
      </c>
      <c r="C13" s="224">
        <v>6.22356659833E11</v>
      </c>
      <c r="D13" s="225">
        <v>8.0915427E7</v>
      </c>
      <c r="E13" s="225">
        <v>1.301107998E9</v>
      </c>
      <c r="F13" s="224" t="s">
        <v>4940</v>
      </c>
      <c r="G13" s="213" t="s">
        <v>4879</v>
      </c>
      <c r="H13" s="213" t="s">
        <v>4880</v>
      </c>
      <c r="I13" s="213">
        <v>2299.0</v>
      </c>
      <c r="J13" s="222">
        <v>2299.0</v>
      </c>
      <c r="K13" s="213">
        <v>50.0</v>
      </c>
      <c r="L13" s="214">
        <v>3.0</v>
      </c>
      <c r="M13" s="216">
        <f t="shared" si="1"/>
        <v>0.01</v>
      </c>
      <c r="N13" s="213" t="s">
        <v>4882</v>
      </c>
      <c r="O13" s="213">
        <v>1411.668295774648</v>
      </c>
      <c r="P13" s="218">
        <f t="shared" si="2"/>
        <v>183.92</v>
      </c>
      <c r="Q13" s="218">
        <f t="shared" si="3"/>
        <v>52.877</v>
      </c>
      <c r="R13" s="219">
        <f t="shared" si="4"/>
        <v>0.16</v>
      </c>
      <c r="S13" s="218">
        <f t="shared" si="5"/>
        <v>367.84</v>
      </c>
      <c r="T13" s="220">
        <f t="shared" si="6"/>
        <v>139</v>
      </c>
      <c r="U13" s="218">
        <f t="shared" si="7"/>
        <v>143.6947042</v>
      </c>
      <c r="V13" s="221">
        <f t="shared" si="8"/>
        <v>0.1017907002</v>
      </c>
      <c r="W13" s="213">
        <v>12.0</v>
      </c>
      <c r="X13" s="213">
        <v>15.0</v>
      </c>
      <c r="Y13" s="213">
        <v>32.0</v>
      </c>
      <c r="Z13" s="213">
        <v>1.35</v>
      </c>
      <c r="AA13" s="213">
        <f t="shared" si="9"/>
        <v>1.152</v>
      </c>
      <c r="AB13" s="213">
        <f t="shared" si="10"/>
        <v>1.35</v>
      </c>
    </row>
    <row r="14">
      <c r="A14" s="212" t="s">
        <v>4175</v>
      </c>
      <c r="B14" s="213" t="s">
        <v>4941</v>
      </c>
      <c r="C14" s="213">
        <v>6.22356309486E11</v>
      </c>
      <c r="D14" s="213">
        <v>8.0887303E7</v>
      </c>
      <c r="E14" s="213">
        <v>1.30110614E9</v>
      </c>
      <c r="F14" s="213" t="s">
        <v>4942</v>
      </c>
      <c r="G14" s="213" t="s">
        <v>4943</v>
      </c>
      <c r="H14" s="213" t="s">
        <v>4944</v>
      </c>
      <c r="I14" s="213">
        <v>10999.0</v>
      </c>
      <c r="J14" s="222">
        <v>6499.0</v>
      </c>
      <c r="K14" s="213">
        <v>3.0</v>
      </c>
      <c r="L14" s="214">
        <v>12.0</v>
      </c>
      <c r="M14" s="216">
        <f t="shared" si="1"/>
        <v>0.06</v>
      </c>
      <c r="N14" s="213" t="s">
        <v>4882</v>
      </c>
      <c r="O14" s="213">
        <v>3082.77</v>
      </c>
      <c r="P14" s="218">
        <f t="shared" si="2"/>
        <v>519.92</v>
      </c>
      <c r="Q14" s="218">
        <f t="shared" si="3"/>
        <v>149.477</v>
      </c>
      <c r="R14" s="219">
        <f t="shared" si="4"/>
        <v>0.21</v>
      </c>
      <c r="S14" s="218">
        <f t="shared" si="5"/>
        <v>1364.79</v>
      </c>
      <c r="T14" s="220">
        <f t="shared" si="6"/>
        <v>249</v>
      </c>
      <c r="U14" s="218">
        <f t="shared" si="7"/>
        <v>1133.043</v>
      </c>
      <c r="V14" s="221">
        <f t="shared" si="8"/>
        <v>0.3675405561</v>
      </c>
      <c r="W14" s="213">
        <v>36.0</v>
      </c>
      <c r="X14" s="213">
        <v>26.5</v>
      </c>
      <c r="Y14" s="213">
        <v>52.0</v>
      </c>
      <c r="Z14" s="213">
        <v>8.0</v>
      </c>
      <c r="AA14" s="213">
        <f t="shared" si="9"/>
        <v>9.9216</v>
      </c>
      <c r="AB14" s="213">
        <f t="shared" si="10"/>
        <v>9.9216</v>
      </c>
    </row>
    <row r="15">
      <c r="A15" s="212" t="s">
        <v>4175</v>
      </c>
      <c r="B15" s="213" t="s">
        <v>4945</v>
      </c>
      <c r="C15" s="213">
        <v>6.22356311656E11</v>
      </c>
      <c r="D15" s="213">
        <v>8.0887302E7</v>
      </c>
      <c r="E15" s="213">
        <v>1.301106312E9</v>
      </c>
      <c r="F15" s="213" t="s">
        <v>4946</v>
      </c>
      <c r="G15" s="213" t="s">
        <v>4943</v>
      </c>
      <c r="H15" s="213" t="s">
        <v>4944</v>
      </c>
      <c r="I15" s="213">
        <v>6999.0</v>
      </c>
      <c r="J15" s="222">
        <v>5299.0</v>
      </c>
      <c r="K15" s="213">
        <v>10.0</v>
      </c>
      <c r="L15" s="214">
        <v>12.0</v>
      </c>
      <c r="M15" s="216">
        <f t="shared" si="1"/>
        <v>0.06</v>
      </c>
      <c r="N15" s="213" t="s">
        <v>4882</v>
      </c>
      <c r="O15" s="213">
        <v>2967.2</v>
      </c>
      <c r="P15" s="218">
        <f t="shared" si="2"/>
        <v>423.92</v>
      </c>
      <c r="Q15" s="218">
        <f t="shared" si="3"/>
        <v>121.877</v>
      </c>
      <c r="R15" s="219">
        <f t="shared" si="4"/>
        <v>0.21</v>
      </c>
      <c r="S15" s="218">
        <f t="shared" si="5"/>
        <v>1112.79</v>
      </c>
      <c r="T15" s="220">
        <f t="shared" si="6"/>
        <v>209</v>
      </c>
      <c r="U15" s="218">
        <f t="shared" si="7"/>
        <v>464.213</v>
      </c>
      <c r="V15" s="221">
        <f t="shared" si="8"/>
        <v>0.1564481666</v>
      </c>
      <c r="W15" s="213">
        <v>29.0</v>
      </c>
      <c r="X15" s="213">
        <v>18.5</v>
      </c>
      <c r="Y15" s="213">
        <v>72.5</v>
      </c>
      <c r="Z15" s="213">
        <v>5.0</v>
      </c>
      <c r="AA15" s="213">
        <f t="shared" si="9"/>
        <v>7.77925</v>
      </c>
      <c r="AB15" s="213">
        <f t="shared" si="10"/>
        <v>7.77925</v>
      </c>
    </row>
    <row r="16">
      <c r="A16" s="212" t="s">
        <v>237</v>
      </c>
      <c r="B16" s="213" t="s">
        <v>4947</v>
      </c>
      <c r="C16" s="213">
        <v>6.22356305761E11</v>
      </c>
      <c r="D16" s="213">
        <v>8.0887299E7</v>
      </c>
      <c r="E16" s="213">
        <v>1.301106351E9</v>
      </c>
      <c r="F16" s="213" t="s">
        <v>4948</v>
      </c>
      <c r="G16" s="213" t="s">
        <v>4943</v>
      </c>
      <c r="H16" s="213" t="s">
        <v>4944</v>
      </c>
      <c r="I16" s="213">
        <v>9999.0</v>
      </c>
      <c r="J16" s="223">
        <v>5799.0</v>
      </c>
      <c r="K16" s="213"/>
      <c r="L16" s="214">
        <v>3.0</v>
      </c>
      <c r="M16" s="216">
        <f t="shared" si="1"/>
        <v>0.01</v>
      </c>
      <c r="N16" s="213" t="s">
        <v>4882</v>
      </c>
      <c r="O16" s="213">
        <v>3576.01</v>
      </c>
      <c r="P16" s="218">
        <f t="shared" si="2"/>
        <v>463.92</v>
      </c>
      <c r="Q16" s="218">
        <f t="shared" si="3"/>
        <v>133.377</v>
      </c>
      <c r="R16" s="219">
        <f t="shared" si="4"/>
        <v>0.16</v>
      </c>
      <c r="S16" s="218">
        <f t="shared" si="5"/>
        <v>927.84</v>
      </c>
      <c r="T16" s="220">
        <f t="shared" si="6"/>
        <v>209</v>
      </c>
      <c r="U16" s="218">
        <f t="shared" si="7"/>
        <v>488.853</v>
      </c>
      <c r="V16" s="221">
        <f t="shared" si="8"/>
        <v>0.1367034768</v>
      </c>
      <c r="W16" s="213">
        <v>28.5</v>
      </c>
      <c r="X16" s="213">
        <v>18.5</v>
      </c>
      <c r="Y16" s="213">
        <v>74.0</v>
      </c>
      <c r="Z16" s="213">
        <v>6.0</v>
      </c>
      <c r="AA16" s="213">
        <f t="shared" si="9"/>
        <v>7.8033</v>
      </c>
      <c r="AB16" s="213">
        <f t="shared" si="10"/>
        <v>7.8033</v>
      </c>
    </row>
    <row r="17">
      <c r="A17" s="212" t="s">
        <v>4175</v>
      </c>
      <c r="B17" s="213" t="s">
        <v>4949</v>
      </c>
      <c r="C17" s="213">
        <v>6.22356309912E11</v>
      </c>
      <c r="D17" s="213">
        <v>8.0887312E7</v>
      </c>
      <c r="E17" s="213">
        <v>1.301106198E9</v>
      </c>
      <c r="F17" s="213" t="s">
        <v>4950</v>
      </c>
      <c r="G17" s="213" t="s">
        <v>4951</v>
      </c>
      <c r="H17" s="213" t="s">
        <v>4944</v>
      </c>
      <c r="I17" s="213">
        <v>6999.0</v>
      </c>
      <c r="J17" s="226">
        <v>5999.0</v>
      </c>
      <c r="K17" s="213">
        <v>20.0</v>
      </c>
      <c r="L17" s="214">
        <v>3.0</v>
      </c>
      <c r="M17" s="216">
        <f t="shared" si="1"/>
        <v>0.01</v>
      </c>
      <c r="N17" s="213" t="s">
        <v>4882</v>
      </c>
      <c r="O17" s="213">
        <v>3868.99</v>
      </c>
      <c r="P17" s="218">
        <f t="shared" si="2"/>
        <v>479.92</v>
      </c>
      <c r="Q17" s="218">
        <f t="shared" si="3"/>
        <v>137.977</v>
      </c>
      <c r="R17" s="227">
        <f t="shared" si="4"/>
        <v>0.16</v>
      </c>
      <c r="S17" s="218">
        <f t="shared" si="5"/>
        <v>959.84</v>
      </c>
      <c r="T17" s="220">
        <f t="shared" si="6"/>
        <v>139</v>
      </c>
      <c r="U17" s="218">
        <f t="shared" si="7"/>
        <v>413.273</v>
      </c>
      <c r="V17" s="221">
        <f t="shared" si="8"/>
        <v>0.1068167661</v>
      </c>
      <c r="W17" s="213">
        <v>37.4</v>
      </c>
      <c r="X17" s="213">
        <v>21.9</v>
      </c>
      <c r="Y17" s="213">
        <v>11.0</v>
      </c>
      <c r="Z17" s="213">
        <v>1.85</v>
      </c>
      <c r="AA17" s="213">
        <f t="shared" si="9"/>
        <v>1.801932</v>
      </c>
      <c r="AB17" s="213">
        <f t="shared" si="10"/>
        <v>1.85</v>
      </c>
    </row>
    <row r="18">
      <c r="A18" s="212" t="s">
        <v>4175</v>
      </c>
      <c r="B18" s="213" t="s">
        <v>4952</v>
      </c>
      <c r="C18" s="213">
        <v>6.22356634946E11</v>
      </c>
      <c r="D18" s="213">
        <v>8.0887305E7</v>
      </c>
      <c r="E18" s="213">
        <v>1.301106314E9</v>
      </c>
      <c r="F18" s="213" t="s">
        <v>4953</v>
      </c>
      <c r="G18" s="213" t="s">
        <v>4951</v>
      </c>
      <c r="H18" s="213" t="s">
        <v>4944</v>
      </c>
      <c r="I18" s="213">
        <v>6999.0</v>
      </c>
      <c r="J18" s="226">
        <v>6699.0</v>
      </c>
      <c r="K18" s="213">
        <v>20.0</v>
      </c>
      <c r="L18" s="214">
        <v>12.0</v>
      </c>
      <c r="M18" s="216">
        <f t="shared" si="1"/>
        <v>0.06</v>
      </c>
      <c r="N18" s="213" t="s">
        <v>4882</v>
      </c>
      <c r="O18" s="213">
        <v>4421.7</v>
      </c>
      <c r="P18" s="218">
        <f t="shared" si="2"/>
        <v>535.92</v>
      </c>
      <c r="Q18" s="218">
        <f t="shared" si="3"/>
        <v>154.077</v>
      </c>
      <c r="R18" s="227">
        <f t="shared" si="4"/>
        <v>0.21</v>
      </c>
      <c r="S18" s="218">
        <f t="shared" si="5"/>
        <v>1406.79</v>
      </c>
      <c r="T18" s="220">
        <f t="shared" si="6"/>
        <v>169</v>
      </c>
      <c r="U18" s="218">
        <f t="shared" si="7"/>
        <v>11.513</v>
      </c>
      <c r="V18" s="221">
        <f t="shared" si="8"/>
        <v>0.002603749689</v>
      </c>
      <c r="W18" s="213">
        <v>39.5</v>
      </c>
      <c r="X18" s="213">
        <v>19.5</v>
      </c>
      <c r="Y18" s="213">
        <v>19.01</v>
      </c>
      <c r="Z18" s="213">
        <v>3.18</v>
      </c>
      <c r="AA18" s="213">
        <f t="shared" si="9"/>
        <v>2.9284905</v>
      </c>
      <c r="AB18" s="213">
        <f t="shared" si="10"/>
        <v>3.18</v>
      </c>
    </row>
    <row r="19">
      <c r="A19" s="212" t="s">
        <v>4175</v>
      </c>
      <c r="B19" s="213"/>
      <c r="C19" s="213"/>
      <c r="D19" s="213"/>
      <c r="E19" s="213"/>
      <c r="F19" s="214" t="s">
        <v>4954</v>
      </c>
      <c r="G19" s="214" t="s">
        <v>4951</v>
      </c>
      <c r="H19" s="214" t="s">
        <v>4955</v>
      </c>
      <c r="I19" s="214">
        <v>11999.0</v>
      </c>
      <c r="J19" s="226">
        <v>10999.0</v>
      </c>
      <c r="K19" s="214">
        <v>15.0</v>
      </c>
      <c r="L19" s="214">
        <v>3.0</v>
      </c>
      <c r="M19" s="216">
        <f t="shared" si="1"/>
        <v>0.01</v>
      </c>
      <c r="N19" s="213" t="s">
        <v>4882</v>
      </c>
      <c r="O19" s="228">
        <v>7990.0</v>
      </c>
      <c r="P19" s="218">
        <f t="shared" si="2"/>
        <v>879.92</v>
      </c>
      <c r="Q19" s="218">
        <f t="shared" si="3"/>
        <v>252.977</v>
      </c>
      <c r="R19" s="227">
        <f t="shared" si="4"/>
        <v>0.16</v>
      </c>
      <c r="S19" s="218">
        <f t="shared" si="5"/>
        <v>1759.84</v>
      </c>
      <c r="T19" s="220">
        <f t="shared" si="6"/>
        <v>299</v>
      </c>
      <c r="U19" s="218">
        <f t="shared" si="7"/>
        <v>-182.737</v>
      </c>
      <c r="V19" s="221">
        <f t="shared" si="8"/>
        <v>-0.02287071339</v>
      </c>
      <c r="W19" s="214">
        <v>60.0</v>
      </c>
      <c r="X19" s="214">
        <v>26.0</v>
      </c>
      <c r="Y19" s="214">
        <v>45.0</v>
      </c>
      <c r="Z19" s="214">
        <v>6.05</v>
      </c>
      <c r="AA19" s="213">
        <f t="shared" si="9"/>
        <v>14.04</v>
      </c>
      <c r="AB19" s="213">
        <f t="shared" si="10"/>
        <v>14.04</v>
      </c>
    </row>
    <row r="20">
      <c r="A20" s="212" t="s">
        <v>4175</v>
      </c>
      <c r="B20" s="224" t="s">
        <v>4956</v>
      </c>
      <c r="C20" s="224">
        <v>6.2235656144E11</v>
      </c>
      <c r="D20" s="225">
        <v>8.0886179E7</v>
      </c>
      <c r="E20" s="225">
        <v>1.301113753E9</v>
      </c>
      <c r="F20" s="224" t="s">
        <v>4957</v>
      </c>
      <c r="G20" s="225" t="s">
        <v>4943</v>
      </c>
      <c r="H20" s="225" t="s">
        <v>4944</v>
      </c>
      <c r="I20" s="225">
        <v>3499.0</v>
      </c>
      <c r="J20" s="222">
        <v>2899.0</v>
      </c>
      <c r="K20" s="214">
        <v>7.0</v>
      </c>
      <c r="L20" s="214">
        <v>3.0</v>
      </c>
      <c r="M20" s="216">
        <f t="shared" si="1"/>
        <v>0.01</v>
      </c>
      <c r="N20" s="213" t="s">
        <v>4882</v>
      </c>
      <c r="O20" s="229">
        <v>1979.4</v>
      </c>
      <c r="P20" s="218">
        <f t="shared" si="2"/>
        <v>231.92</v>
      </c>
      <c r="Q20" s="218">
        <f t="shared" si="3"/>
        <v>66.677</v>
      </c>
      <c r="R20" s="219">
        <f t="shared" si="4"/>
        <v>0.16</v>
      </c>
      <c r="S20" s="218">
        <f t="shared" si="5"/>
        <v>463.84</v>
      </c>
      <c r="T20" s="220">
        <f t="shared" si="6"/>
        <v>139</v>
      </c>
      <c r="U20" s="218">
        <f t="shared" si="7"/>
        <v>18.163</v>
      </c>
      <c r="V20" s="221">
        <f t="shared" si="8"/>
        <v>0.009176012933</v>
      </c>
      <c r="W20" s="230">
        <v>14.5</v>
      </c>
      <c r="X20" s="230">
        <v>12.1</v>
      </c>
      <c r="Y20" s="230">
        <v>54.1</v>
      </c>
      <c r="Z20" s="230">
        <v>1.4</v>
      </c>
      <c r="AA20" s="213">
        <f t="shared" si="9"/>
        <v>1.898369</v>
      </c>
      <c r="AB20" s="213">
        <f t="shared" si="10"/>
        <v>1.898369</v>
      </c>
    </row>
    <row r="21">
      <c r="A21" s="212" t="s">
        <v>4175</v>
      </c>
      <c r="B21" s="231" t="s">
        <v>4958</v>
      </c>
      <c r="C21" s="213"/>
      <c r="D21" s="213"/>
      <c r="E21" s="213"/>
      <c r="F21" s="214" t="s">
        <v>4959</v>
      </c>
      <c r="G21" s="213" t="s">
        <v>4879</v>
      </c>
      <c r="H21" s="214" t="s">
        <v>4960</v>
      </c>
      <c r="I21" s="214">
        <v>799.0</v>
      </c>
      <c r="J21" s="222">
        <v>629.0</v>
      </c>
      <c r="K21" s="214">
        <v>10.0</v>
      </c>
      <c r="L21" s="214">
        <v>3.0</v>
      </c>
      <c r="M21" s="216">
        <f t="shared" si="1"/>
        <v>0.01</v>
      </c>
      <c r="N21" s="213" t="s">
        <v>4882</v>
      </c>
      <c r="O21" s="232">
        <v>270.0</v>
      </c>
      <c r="P21" s="218">
        <f t="shared" si="2"/>
        <v>50.32</v>
      </c>
      <c r="Q21" s="218">
        <f t="shared" si="3"/>
        <v>14.467</v>
      </c>
      <c r="R21" s="219">
        <f t="shared" si="4"/>
        <v>0.16</v>
      </c>
      <c r="S21" s="218">
        <f t="shared" si="5"/>
        <v>100.64</v>
      </c>
      <c r="T21" s="220">
        <f t="shared" si="6"/>
        <v>149</v>
      </c>
      <c r="U21" s="218">
        <f t="shared" si="7"/>
        <v>44.573</v>
      </c>
      <c r="V21" s="221">
        <f t="shared" si="8"/>
        <v>0.1650851852</v>
      </c>
      <c r="W21" s="214">
        <v>25.0</v>
      </c>
      <c r="X21" s="214">
        <v>20.0</v>
      </c>
      <c r="Y21" s="214">
        <v>28.0</v>
      </c>
      <c r="Z21" s="214">
        <v>2.6</v>
      </c>
      <c r="AA21" s="213">
        <f t="shared" si="9"/>
        <v>2.8</v>
      </c>
      <c r="AB21" s="213">
        <f t="shared" si="10"/>
        <v>2.8</v>
      </c>
    </row>
    <row r="22">
      <c r="A22" s="212" t="s">
        <v>237</v>
      </c>
      <c r="B22" s="213" t="s">
        <v>4961</v>
      </c>
      <c r="C22" s="213" t="s">
        <v>4962</v>
      </c>
      <c r="D22" s="213" t="s">
        <v>4963</v>
      </c>
      <c r="E22" s="213" t="s">
        <v>4964</v>
      </c>
      <c r="F22" s="213" t="s">
        <v>4965</v>
      </c>
      <c r="G22" s="213" t="s">
        <v>4966</v>
      </c>
      <c r="H22" s="213" t="s">
        <v>4880</v>
      </c>
      <c r="I22" s="213" t="s">
        <v>4967</v>
      </c>
      <c r="J22" s="223">
        <v>3399.0</v>
      </c>
      <c r="K22" s="213"/>
      <c r="L22" s="214">
        <v>3.0</v>
      </c>
      <c r="M22" s="216">
        <f t="shared" si="1"/>
        <v>0.01</v>
      </c>
      <c r="N22" s="213" t="s">
        <v>4882</v>
      </c>
      <c r="O22" s="213">
        <v>1985.0</v>
      </c>
      <c r="P22" s="218">
        <f t="shared" si="2"/>
        <v>271.92</v>
      </c>
      <c r="Q22" s="218">
        <f t="shared" si="3"/>
        <v>78.177</v>
      </c>
      <c r="R22" s="219">
        <f t="shared" si="4"/>
        <v>0.16</v>
      </c>
      <c r="S22" s="218">
        <f t="shared" si="5"/>
        <v>543.84</v>
      </c>
      <c r="T22" s="220">
        <f t="shared" si="6"/>
        <v>249</v>
      </c>
      <c r="U22" s="218">
        <f t="shared" si="7"/>
        <v>271.063</v>
      </c>
      <c r="V22" s="221">
        <f t="shared" si="8"/>
        <v>0.1365556675</v>
      </c>
      <c r="W22" s="213">
        <v>43.61</v>
      </c>
      <c r="X22" s="213">
        <v>38.61</v>
      </c>
      <c r="Y22" s="213">
        <v>35.6</v>
      </c>
      <c r="Z22" s="213">
        <v>9.72</v>
      </c>
      <c r="AA22" s="213">
        <f t="shared" si="9"/>
        <v>11.98852855</v>
      </c>
      <c r="AB22" s="213">
        <f t="shared" si="10"/>
        <v>11.98852855</v>
      </c>
    </row>
    <row r="23">
      <c r="A23" s="212" t="s">
        <v>4175</v>
      </c>
      <c r="B23" s="213" t="s">
        <v>4902</v>
      </c>
      <c r="C23" s="213" t="s">
        <v>4903</v>
      </c>
      <c r="D23" s="213" t="s">
        <v>4904</v>
      </c>
      <c r="E23" s="213" t="s">
        <v>4905</v>
      </c>
      <c r="F23" s="213" t="s">
        <v>4906</v>
      </c>
      <c r="G23" s="213" t="s">
        <v>4879</v>
      </c>
      <c r="H23" s="213" t="s">
        <v>4880</v>
      </c>
      <c r="I23" s="213" t="s">
        <v>4907</v>
      </c>
      <c r="J23" s="215">
        <v>1999.0</v>
      </c>
      <c r="K23" s="214">
        <v>500.0</v>
      </c>
      <c r="L23" s="214">
        <v>3.0</v>
      </c>
      <c r="M23" s="216">
        <f t="shared" si="1"/>
        <v>0.01</v>
      </c>
      <c r="N23" s="213" t="s">
        <v>4882</v>
      </c>
      <c r="O23" s="233">
        <v>1319.49</v>
      </c>
      <c r="P23" s="218">
        <f t="shared" si="2"/>
        <v>159.92</v>
      </c>
      <c r="Q23" s="218">
        <f t="shared" si="3"/>
        <v>45.977</v>
      </c>
      <c r="R23" s="219">
        <f t="shared" si="4"/>
        <v>0.16</v>
      </c>
      <c r="S23" s="218">
        <f t="shared" si="5"/>
        <v>319.84</v>
      </c>
      <c r="T23" s="220">
        <f t="shared" si="6"/>
        <v>209</v>
      </c>
      <c r="U23" s="218">
        <f t="shared" si="7"/>
        <v>-55.227</v>
      </c>
      <c r="V23" s="221">
        <f t="shared" si="8"/>
        <v>-0.04185480754</v>
      </c>
      <c r="W23" s="214">
        <v>33.02</v>
      </c>
      <c r="X23" s="214">
        <v>27.69</v>
      </c>
      <c r="Y23" s="214">
        <v>40.9</v>
      </c>
      <c r="Z23" s="214">
        <v>5.61</v>
      </c>
      <c r="AA23" s="213">
        <f t="shared" si="9"/>
        <v>7.479168684</v>
      </c>
      <c r="AB23" s="213">
        <f t="shared" si="10"/>
        <v>7.479168684</v>
      </c>
    </row>
    <row r="24">
      <c r="A24" s="212" t="s">
        <v>237</v>
      </c>
      <c r="B24" s="213" t="s">
        <v>4968</v>
      </c>
      <c r="C24" s="213">
        <v>6.22356635042E11</v>
      </c>
      <c r="D24" s="213"/>
      <c r="E24" s="213"/>
      <c r="F24" s="213" t="s">
        <v>4969</v>
      </c>
      <c r="G24" s="213" t="s">
        <v>4966</v>
      </c>
      <c r="H24" s="213" t="s">
        <v>4880</v>
      </c>
      <c r="I24" s="213">
        <v>3999.0</v>
      </c>
      <c r="J24" s="223">
        <v>3039.99</v>
      </c>
      <c r="K24" s="213"/>
      <c r="L24" s="214">
        <v>12.0</v>
      </c>
      <c r="M24" s="216">
        <f t="shared" si="1"/>
        <v>0.06</v>
      </c>
      <c r="N24" s="213" t="s">
        <v>4882</v>
      </c>
      <c r="O24" s="213">
        <v>1290.0</v>
      </c>
      <c r="P24" s="218">
        <f t="shared" si="2"/>
        <v>243.1992</v>
      </c>
      <c r="Q24" s="218">
        <f t="shared" si="3"/>
        <v>69.91977</v>
      </c>
      <c r="R24" s="219">
        <f t="shared" si="4"/>
        <v>0.21</v>
      </c>
      <c r="S24" s="218">
        <f t="shared" si="5"/>
        <v>638.3979</v>
      </c>
      <c r="T24" s="220">
        <f t="shared" si="6"/>
        <v>209</v>
      </c>
      <c r="U24" s="218">
        <f t="shared" si="7"/>
        <v>589.47313</v>
      </c>
      <c r="V24" s="221">
        <f t="shared" si="8"/>
        <v>0.4569559147</v>
      </c>
      <c r="W24" s="213">
        <v>40.6</v>
      </c>
      <c r="X24" s="213">
        <v>31.2</v>
      </c>
      <c r="Y24" s="213">
        <v>32.48</v>
      </c>
      <c r="Z24" s="213">
        <v>5.4</v>
      </c>
      <c r="AA24" s="213">
        <f t="shared" si="9"/>
        <v>8.22861312</v>
      </c>
      <c r="AB24" s="213">
        <f t="shared" si="10"/>
        <v>8.22861312</v>
      </c>
    </row>
    <row r="25">
      <c r="A25" s="212" t="s">
        <v>4175</v>
      </c>
      <c r="B25" s="213" t="s">
        <v>4970</v>
      </c>
      <c r="C25" s="213">
        <v>6.22356631211E11</v>
      </c>
      <c r="D25" s="213"/>
      <c r="E25" s="213"/>
      <c r="F25" s="213" t="s">
        <v>4971</v>
      </c>
      <c r="G25" s="213" t="s">
        <v>4966</v>
      </c>
      <c r="H25" s="213" t="s">
        <v>4880</v>
      </c>
      <c r="I25" s="213">
        <v>5999.0</v>
      </c>
      <c r="J25" s="222">
        <v>4899.0</v>
      </c>
      <c r="K25" s="213">
        <v>50.0</v>
      </c>
      <c r="L25" s="214">
        <v>3.0</v>
      </c>
      <c r="M25" s="216">
        <f t="shared" si="1"/>
        <v>0.01</v>
      </c>
      <c r="N25" s="213" t="s">
        <v>4882</v>
      </c>
      <c r="O25" s="213">
        <v>2850.0</v>
      </c>
      <c r="P25" s="218">
        <f t="shared" si="2"/>
        <v>391.92</v>
      </c>
      <c r="Q25" s="218">
        <f t="shared" si="3"/>
        <v>112.677</v>
      </c>
      <c r="R25" s="219">
        <f t="shared" si="4"/>
        <v>0.16</v>
      </c>
      <c r="S25" s="218">
        <f t="shared" si="5"/>
        <v>783.84</v>
      </c>
      <c r="T25" s="220">
        <f t="shared" si="6"/>
        <v>390</v>
      </c>
      <c r="U25" s="218">
        <f t="shared" si="7"/>
        <v>370.563</v>
      </c>
      <c r="V25" s="221">
        <f t="shared" si="8"/>
        <v>0.1300221053</v>
      </c>
      <c r="W25" s="213">
        <v>52.91</v>
      </c>
      <c r="X25" s="213">
        <v>33.2</v>
      </c>
      <c r="Y25" s="213">
        <v>45.01</v>
      </c>
      <c r="Z25" s="213">
        <v>12.25</v>
      </c>
      <c r="AA25" s="213">
        <f t="shared" si="9"/>
        <v>15.81302122</v>
      </c>
      <c r="AB25" s="213">
        <f t="shared" si="10"/>
        <v>15.81302122</v>
      </c>
    </row>
    <row r="26">
      <c r="A26" s="212" t="s">
        <v>4175</v>
      </c>
      <c r="B26" s="213" t="s">
        <v>4972</v>
      </c>
      <c r="C26" s="213">
        <v>6.22356559133E11</v>
      </c>
      <c r="D26" s="213"/>
      <c r="E26" s="213"/>
      <c r="F26" s="213" t="s">
        <v>4973</v>
      </c>
      <c r="G26" s="213" t="s">
        <v>4966</v>
      </c>
      <c r="H26" s="213" t="s">
        <v>4880</v>
      </c>
      <c r="I26" s="213">
        <v>4999.0</v>
      </c>
      <c r="J26" s="222">
        <v>2899.0</v>
      </c>
      <c r="K26" s="213">
        <v>30.0</v>
      </c>
      <c r="L26" s="214">
        <v>3.0</v>
      </c>
      <c r="M26" s="216">
        <f t="shared" si="1"/>
        <v>0.01</v>
      </c>
      <c r="N26" s="213" t="s">
        <v>4882</v>
      </c>
      <c r="O26" s="213">
        <v>1653.62</v>
      </c>
      <c r="P26" s="218">
        <f t="shared" si="2"/>
        <v>231.92</v>
      </c>
      <c r="Q26" s="218">
        <f t="shared" si="3"/>
        <v>66.677</v>
      </c>
      <c r="R26" s="219">
        <f t="shared" si="4"/>
        <v>0.16</v>
      </c>
      <c r="S26" s="218">
        <f t="shared" si="5"/>
        <v>463.84</v>
      </c>
      <c r="T26" s="220">
        <f t="shared" si="6"/>
        <v>249</v>
      </c>
      <c r="U26" s="218">
        <f t="shared" si="7"/>
        <v>233.943</v>
      </c>
      <c r="V26" s="221">
        <f t="shared" si="8"/>
        <v>0.1414732526</v>
      </c>
      <c r="W26" s="213">
        <v>38.71</v>
      </c>
      <c r="X26" s="213">
        <v>30.51</v>
      </c>
      <c r="Y26" s="213">
        <v>40.79</v>
      </c>
      <c r="Z26" s="213">
        <v>6.11</v>
      </c>
      <c r="AA26" s="213">
        <f t="shared" si="9"/>
        <v>9.634941452</v>
      </c>
      <c r="AB26" s="213">
        <f t="shared" si="10"/>
        <v>9.634941452</v>
      </c>
    </row>
    <row r="27">
      <c r="A27" s="212" t="s">
        <v>4175</v>
      </c>
      <c r="B27" s="213" t="s">
        <v>4974</v>
      </c>
      <c r="C27" s="213">
        <v>6.223563049E11</v>
      </c>
      <c r="D27" s="213"/>
      <c r="E27" s="213"/>
      <c r="F27" s="213" t="s">
        <v>4700</v>
      </c>
      <c r="G27" s="213" t="s">
        <v>4879</v>
      </c>
      <c r="H27" s="213" t="s">
        <v>4880</v>
      </c>
      <c r="I27" s="213">
        <v>5999.0</v>
      </c>
      <c r="J27" s="222">
        <v>4599.0</v>
      </c>
      <c r="K27" s="213">
        <v>70.0</v>
      </c>
      <c r="L27" s="214">
        <v>3.0</v>
      </c>
      <c r="M27" s="216">
        <f t="shared" si="1"/>
        <v>0.01</v>
      </c>
      <c r="N27" s="213" t="s">
        <v>4882</v>
      </c>
      <c r="O27" s="213">
        <v>2758.0</v>
      </c>
      <c r="P27" s="218">
        <f t="shared" si="2"/>
        <v>367.92</v>
      </c>
      <c r="Q27" s="218">
        <f t="shared" si="3"/>
        <v>105.777</v>
      </c>
      <c r="R27" s="219">
        <f t="shared" si="4"/>
        <v>0.16</v>
      </c>
      <c r="S27" s="218">
        <f t="shared" si="5"/>
        <v>735.84</v>
      </c>
      <c r="T27" s="220">
        <f t="shared" si="6"/>
        <v>299</v>
      </c>
      <c r="U27" s="218">
        <f t="shared" si="7"/>
        <v>332.463</v>
      </c>
      <c r="V27" s="221">
        <f t="shared" si="8"/>
        <v>0.1205449601</v>
      </c>
      <c r="W27" s="213">
        <v>46.2</v>
      </c>
      <c r="X27" s="213">
        <v>29.7</v>
      </c>
      <c r="Y27" s="213">
        <v>46.0</v>
      </c>
      <c r="Z27" s="213">
        <v>8.1</v>
      </c>
      <c r="AA27" s="213">
        <f t="shared" si="9"/>
        <v>12.623688</v>
      </c>
      <c r="AB27" s="213">
        <f t="shared" si="10"/>
        <v>12.623688</v>
      </c>
    </row>
    <row r="28">
      <c r="A28" s="212" t="s">
        <v>237</v>
      </c>
      <c r="B28" s="213" t="s">
        <v>4975</v>
      </c>
      <c r="C28" s="213">
        <v>6.2235664204E11</v>
      </c>
      <c r="D28" s="213"/>
      <c r="E28" s="213"/>
      <c r="F28" s="213" t="s">
        <v>4708</v>
      </c>
      <c r="G28" s="213" t="s">
        <v>4931</v>
      </c>
      <c r="H28" s="213" t="s">
        <v>4880</v>
      </c>
      <c r="I28" s="213">
        <v>5999.0</v>
      </c>
      <c r="J28" s="223">
        <v>4499.0</v>
      </c>
      <c r="K28" s="213"/>
      <c r="L28" s="214">
        <v>12.0</v>
      </c>
      <c r="M28" s="216">
        <f t="shared" si="1"/>
        <v>0.06</v>
      </c>
      <c r="N28" s="213" t="s">
        <v>4882</v>
      </c>
      <c r="O28" s="213">
        <v>2043.16</v>
      </c>
      <c r="P28" s="218">
        <f t="shared" si="2"/>
        <v>359.92</v>
      </c>
      <c r="Q28" s="218">
        <f t="shared" si="3"/>
        <v>103.477</v>
      </c>
      <c r="R28" s="219">
        <f t="shared" si="4"/>
        <v>0.21</v>
      </c>
      <c r="S28" s="218">
        <f t="shared" si="5"/>
        <v>944.79</v>
      </c>
      <c r="T28" s="220">
        <f t="shared" si="6"/>
        <v>209</v>
      </c>
      <c r="U28" s="218">
        <f t="shared" si="7"/>
        <v>838.653</v>
      </c>
      <c r="V28" s="221">
        <f t="shared" si="8"/>
        <v>0.4104685879</v>
      </c>
      <c r="W28" s="213">
        <v>43.5</v>
      </c>
      <c r="X28" s="213">
        <v>21.5</v>
      </c>
      <c r="Y28" s="213">
        <v>46.0</v>
      </c>
      <c r="Z28" s="213">
        <v>8.0</v>
      </c>
      <c r="AA28" s="213">
        <f t="shared" si="9"/>
        <v>8.6043</v>
      </c>
      <c r="AB28" s="213">
        <f t="shared" si="10"/>
        <v>8.6043</v>
      </c>
    </row>
    <row r="29">
      <c r="A29" s="212" t="s">
        <v>4175</v>
      </c>
      <c r="B29" s="213" t="s">
        <v>2301</v>
      </c>
      <c r="C29" s="213">
        <v>6.22356278164E11</v>
      </c>
      <c r="D29" s="213"/>
      <c r="E29" s="213"/>
      <c r="F29" s="213" t="s">
        <v>4976</v>
      </c>
      <c r="G29" s="213" t="s">
        <v>4879</v>
      </c>
      <c r="H29" s="213" t="s">
        <v>4880</v>
      </c>
      <c r="I29" s="213">
        <v>1499.0</v>
      </c>
      <c r="J29" s="222">
        <v>1099.0</v>
      </c>
      <c r="K29" s="213">
        <v>85.0</v>
      </c>
      <c r="L29" s="214">
        <v>3.0</v>
      </c>
      <c r="M29" s="216">
        <f t="shared" si="1"/>
        <v>0.01</v>
      </c>
      <c r="N29" s="213" t="s">
        <v>4882</v>
      </c>
      <c r="O29" s="213">
        <v>550.3</v>
      </c>
      <c r="P29" s="218">
        <f t="shared" si="2"/>
        <v>87.92</v>
      </c>
      <c r="Q29" s="218">
        <f t="shared" si="3"/>
        <v>25.277</v>
      </c>
      <c r="R29" s="219">
        <f t="shared" si="4"/>
        <v>0.16</v>
      </c>
      <c r="S29" s="218">
        <f t="shared" si="5"/>
        <v>175.84</v>
      </c>
      <c r="T29" s="220">
        <f t="shared" si="6"/>
        <v>139</v>
      </c>
      <c r="U29" s="218">
        <f t="shared" si="7"/>
        <v>120.663</v>
      </c>
      <c r="V29" s="221">
        <f t="shared" si="8"/>
        <v>0.2192676722</v>
      </c>
      <c r="W29" s="213">
        <v>15.0</v>
      </c>
      <c r="X29" s="213">
        <v>12.0</v>
      </c>
      <c r="Y29" s="213">
        <v>28.0</v>
      </c>
      <c r="Z29" s="213">
        <v>1.0</v>
      </c>
      <c r="AA29" s="213">
        <f t="shared" si="9"/>
        <v>1.008</v>
      </c>
      <c r="AB29" s="213">
        <f t="shared" si="10"/>
        <v>1.008</v>
      </c>
    </row>
    <row r="30">
      <c r="A30" s="212" t="s">
        <v>4175</v>
      </c>
      <c r="B30" s="234" t="s">
        <v>4977</v>
      </c>
      <c r="C30" s="234">
        <v>6.22356557856E11</v>
      </c>
      <c r="D30" s="234">
        <v>8.0971225E7</v>
      </c>
      <c r="E30" s="234">
        <v>1.301192911E9</v>
      </c>
      <c r="F30" s="234" t="s">
        <v>4978</v>
      </c>
      <c r="G30" s="234" t="s">
        <v>4879</v>
      </c>
      <c r="H30" s="234" t="s">
        <v>4938</v>
      </c>
      <c r="I30" s="235">
        <v>5999.0</v>
      </c>
      <c r="J30" s="215">
        <v>5199.0</v>
      </c>
      <c r="K30" s="213">
        <v>85.0</v>
      </c>
      <c r="L30" s="214">
        <v>3.0</v>
      </c>
      <c r="M30" s="216">
        <f t="shared" si="1"/>
        <v>0.01</v>
      </c>
      <c r="N30" s="213" t="s">
        <v>4882</v>
      </c>
      <c r="O30" s="236">
        <v>3245.24</v>
      </c>
      <c r="P30" s="218">
        <f t="shared" si="2"/>
        <v>415.92</v>
      </c>
      <c r="Q30" s="218">
        <f t="shared" si="3"/>
        <v>119.577</v>
      </c>
      <c r="R30" s="219">
        <f t="shared" si="4"/>
        <v>0.16</v>
      </c>
      <c r="S30" s="218">
        <f t="shared" si="5"/>
        <v>831.84</v>
      </c>
      <c r="T30" s="220">
        <f t="shared" si="6"/>
        <v>209</v>
      </c>
      <c r="U30" s="218">
        <f t="shared" si="7"/>
        <v>377.423</v>
      </c>
      <c r="V30" s="221">
        <f t="shared" si="8"/>
        <v>0.1163004893</v>
      </c>
      <c r="W30" s="234">
        <v>40.64</v>
      </c>
      <c r="X30" s="234">
        <v>26.67</v>
      </c>
      <c r="Y30" s="234">
        <v>41.28</v>
      </c>
      <c r="Z30" s="234">
        <v>6.43</v>
      </c>
      <c r="AA30" s="213">
        <f t="shared" si="9"/>
        <v>8.948420813</v>
      </c>
      <c r="AB30" s="213">
        <f t="shared" si="10"/>
        <v>8.948420813</v>
      </c>
    </row>
    <row r="31">
      <c r="A31" s="212" t="s">
        <v>4175</v>
      </c>
      <c r="B31" s="234" t="s">
        <v>4979</v>
      </c>
      <c r="C31" s="234">
        <v>6.2235630487E11</v>
      </c>
      <c r="D31" s="234">
        <v>8.0971224E7</v>
      </c>
      <c r="E31" s="234">
        <v>1.301192947E9</v>
      </c>
      <c r="F31" s="234" t="s">
        <v>4980</v>
      </c>
      <c r="G31" s="234" t="s">
        <v>4879</v>
      </c>
      <c r="H31" s="234" t="s">
        <v>4938</v>
      </c>
      <c r="I31" s="235">
        <v>4999.0</v>
      </c>
      <c r="J31" s="215">
        <v>3199.0</v>
      </c>
      <c r="K31" s="213">
        <v>85.0</v>
      </c>
      <c r="L31" s="214">
        <v>3.0</v>
      </c>
      <c r="M31" s="216">
        <f t="shared" si="1"/>
        <v>0.01</v>
      </c>
      <c r="N31" s="213" t="s">
        <v>4882</v>
      </c>
      <c r="O31" s="235">
        <v>1814.25</v>
      </c>
      <c r="P31" s="218">
        <f t="shared" si="2"/>
        <v>255.92</v>
      </c>
      <c r="Q31" s="218">
        <f t="shared" si="3"/>
        <v>73.577</v>
      </c>
      <c r="R31" s="219">
        <f t="shared" si="4"/>
        <v>0.16</v>
      </c>
      <c r="S31" s="218">
        <f t="shared" si="5"/>
        <v>511.84</v>
      </c>
      <c r="T31" s="220">
        <f t="shared" si="6"/>
        <v>249</v>
      </c>
      <c r="U31" s="218">
        <f t="shared" si="7"/>
        <v>294.413</v>
      </c>
      <c r="V31" s="221">
        <f t="shared" si="8"/>
        <v>0.1622780763</v>
      </c>
      <c r="W31" s="237">
        <v>36.5</v>
      </c>
      <c r="X31" s="237">
        <v>29.5</v>
      </c>
      <c r="Y31" s="237">
        <v>43.0</v>
      </c>
      <c r="Z31" s="237">
        <v>6.0</v>
      </c>
      <c r="AA31" s="213">
        <f t="shared" si="9"/>
        <v>9.26005</v>
      </c>
      <c r="AB31" s="213">
        <f t="shared" si="10"/>
        <v>9.26005</v>
      </c>
    </row>
    <row r="32">
      <c r="A32" s="212" t="s">
        <v>4175</v>
      </c>
      <c r="B32" s="234" t="s">
        <v>4981</v>
      </c>
      <c r="C32" s="234">
        <v>6.22356551625E11</v>
      </c>
      <c r="D32" s="234">
        <v>8.097164E7</v>
      </c>
      <c r="E32" s="234">
        <v>1.301193474E9</v>
      </c>
      <c r="F32" s="234" t="s">
        <v>4982</v>
      </c>
      <c r="G32" s="234" t="s">
        <v>4879</v>
      </c>
      <c r="H32" s="234" t="s">
        <v>4938</v>
      </c>
      <c r="I32" s="235">
        <v>4999.0</v>
      </c>
      <c r="J32" s="215">
        <v>4399.0</v>
      </c>
      <c r="K32" s="213">
        <v>85.0</v>
      </c>
      <c r="L32" s="214">
        <v>12.0</v>
      </c>
      <c r="M32" s="216">
        <f t="shared" si="1"/>
        <v>0.06</v>
      </c>
      <c r="N32" s="213" t="s">
        <v>4882</v>
      </c>
      <c r="O32" s="235">
        <v>2233.92</v>
      </c>
      <c r="P32" s="218">
        <f t="shared" si="2"/>
        <v>351.92</v>
      </c>
      <c r="Q32" s="218">
        <f t="shared" si="3"/>
        <v>101.177</v>
      </c>
      <c r="R32" s="219">
        <f t="shared" si="4"/>
        <v>0.21</v>
      </c>
      <c r="S32" s="218">
        <f t="shared" si="5"/>
        <v>923.79</v>
      </c>
      <c r="T32" s="220">
        <f t="shared" si="6"/>
        <v>249</v>
      </c>
      <c r="U32" s="218">
        <f t="shared" si="7"/>
        <v>539.193</v>
      </c>
      <c r="V32" s="221">
        <f t="shared" si="8"/>
        <v>0.2413662978</v>
      </c>
      <c r="W32" s="237">
        <v>36.5</v>
      </c>
      <c r="X32" s="237">
        <v>29.5</v>
      </c>
      <c r="Y32" s="237">
        <v>43.0</v>
      </c>
      <c r="Z32" s="237">
        <v>6.0</v>
      </c>
      <c r="AA32" s="213">
        <f t="shared" si="9"/>
        <v>9.26005</v>
      </c>
      <c r="AB32" s="213">
        <f t="shared" si="10"/>
        <v>9.26005</v>
      </c>
    </row>
    <row r="33">
      <c r="A33" s="212" t="s">
        <v>4175</v>
      </c>
      <c r="B33" s="234" t="s">
        <v>4983</v>
      </c>
      <c r="C33" s="234">
        <v>6.22356569446E11</v>
      </c>
      <c r="D33" s="234">
        <v>8.097816E7</v>
      </c>
      <c r="E33" s="234">
        <v>1.301200377E9</v>
      </c>
      <c r="F33" s="234" t="s">
        <v>4984</v>
      </c>
      <c r="G33" s="234" t="s">
        <v>4879</v>
      </c>
      <c r="H33" s="234" t="s">
        <v>4938</v>
      </c>
      <c r="I33" s="235">
        <v>2999.0</v>
      </c>
      <c r="J33" s="215">
        <v>1599.0</v>
      </c>
      <c r="K33" s="213">
        <v>85.0</v>
      </c>
      <c r="L33" s="214">
        <v>3.0</v>
      </c>
      <c r="M33" s="216">
        <f t="shared" si="1"/>
        <v>0.01</v>
      </c>
      <c r="N33" s="213" t="s">
        <v>4882</v>
      </c>
      <c r="O33" s="235">
        <v>1439.99</v>
      </c>
      <c r="P33" s="218">
        <f t="shared" si="2"/>
        <v>127.92</v>
      </c>
      <c r="Q33" s="218">
        <f t="shared" si="3"/>
        <v>36.777</v>
      </c>
      <c r="R33" s="219">
        <f t="shared" si="4"/>
        <v>0.16</v>
      </c>
      <c r="S33" s="218">
        <f t="shared" si="5"/>
        <v>255.84</v>
      </c>
      <c r="T33" s="220">
        <f t="shared" si="6"/>
        <v>169</v>
      </c>
      <c r="U33" s="218">
        <f t="shared" si="7"/>
        <v>-430.527</v>
      </c>
      <c r="V33" s="221">
        <f t="shared" si="8"/>
        <v>-0.2989791596</v>
      </c>
      <c r="W33" s="234">
        <v>28.45</v>
      </c>
      <c r="X33" s="234">
        <v>21.34</v>
      </c>
      <c r="Y33" s="234">
        <v>24.13</v>
      </c>
      <c r="Z33" s="234">
        <v>3.27</v>
      </c>
      <c r="AA33" s="213">
        <f t="shared" si="9"/>
        <v>2.929975598</v>
      </c>
      <c r="AB33" s="213">
        <f t="shared" si="10"/>
        <v>3.27</v>
      </c>
    </row>
    <row r="34">
      <c r="A34" s="212" t="s">
        <v>4175</v>
      </c>
      <c r="B34" s="234" t="s">
        <v>4985</v>
      </c>
      <c r="C34" s="234">
        <v>6.22356557535E11</v>
      </c>
      <c r="D34" s="234">
        <v>8.0978157E7</v>
      </c>
      <c r="E34" s="234">
        <v>1.301200378E9</v>
      </c>
      <c r="F34" s="234" t="s">
        <v>4986</v>
      </c>
      <c r="G34" s="234" t="s">
        <v>4937</v>
      </c>
      <c r="H34" s="234" t="s">
        <v>4938</v>
      </c>
      <c r="I34" s="235">
        <v>5999.0</v>
      </c>
      <c r="J34" s="215">
        <v>4899.0</v>
      </c>
      <c r="K34" s="213">
        <v>85.0</v>
      </c>
      <c r="L34" s="214">
        <v>3.0</v>
      </c>
      <c r="M34" s="216">
        <f t="shared" si="1"/>
        <v>0.01</v>
      </c>
      <c r="N34" s="213" t="s">
        <v>4882</v>
      </c>
      <c r="O34" s="235">
        <v>3039.92</v>
      </c>
      <c r="P34" s="218">
        <f t="shared" si="2"/>
        <v>391.92</v>
      </c>
      <c r="Q34" s="218">
        <f t="shared" si="3"/>
        <v>112.677</v>
      </c>
      <c r="R34" s="219">
        <f t="shared" si="4"/>
        <v>0.16</v>
      </c>
      <c r="S34" s="218">
        <f t="shared" si="5"/>
        <v>783.84</v>
      </c>
      <c r="T34" s="220">
        <f t="shared" si="6"/>
        <v>209</v>
      </c>
      <c r="U34" s="218">
        <f t="shared" si="7"/>
        <v>361.643</v>
      </c>
      <c r="V34" s="221">
        <f t="shared" si="8"/>
        <v>0.1189646438</v>
      </c>
      <c r="W34" s="234">
        <v>34.2</v>
      </c>
      <c r="X34" s="234">
        <v>27.9</v>
      </c>
      <c r="Y34" s="234">
        <v>41.2</v>
      </c>
      <c r="Z34" s="234">
        <v>5.39</v>
      </c>
      <c r="AA34" s="213">
        <f t="shared" si="9"/>
        <v>7.8624432</v>
      </c>
      <c r="AB34" s="213">
        <f t="shared" si="10"/>
        <v>7.8624432</v>
      </c>
    </row>
    <row r="35">
      <c r="A35" s="212" t="s">
        <v>4175</v>
      </c>
      <c r="B35" s="234" t="s">
        <v>4987</v>
      </c>
      <c r="C35" s="234">
        <v>6.22356549271E11</v>
      </c>
      <c r="D35" s="234">
        <v>8.0978522E7</v>
      </c>
      <c r="E35" s="234">
        <v>1.301200698E9</v>
      </c>
      <c r="F35" s="234" t="s">
        <v>4988</v>
      </c>
      <c r="G35" s="234" t="s">
        <v>4879</v>
      </c>
      <c r="H35" s="234" t="s">
        <v>4938</v>
      </c>
      <c r="I35" s="235">
        <v>3999.0</v>
      </c>
      <c r="J35" s="215">
        <v>2399.0</v>
      </c>
      <c r="K35" s="213">
        <v>85.0</v>
      </c>
      <c r="L35" s="214">
        <v>3.0</v>
      </c>
      <c r="M35" s="216">
        <f t="shared" si="1"/>
        <v>0.01</v>
      </c>
      <c r="N35" s="213" t="s">
        <v>4882</v>
      </c>
      <c r="O35" s="236">
        <v>1404.41</v>
      </c>
      <c r="P35" s="218">
        <f t="shared" si="2"/>
        <v>191.92</v>
      </c>
      <c r="Q35" s="218">
        <f t="shared" si="3"/>
        <v>55.177</v>
      </c>
      <c r="R35" s="219">
        <f t="shared" si="4"/>
        <v>0.16</v>
      </c>
      <c r="S35" s="218">
        <f t="shared" si="5"/>
        <v>383.84</v>
      </c>
      <c r="T35" s="220">
        <f t="shared" si="6"/>
        <v>169</v>
      </c>
      <c r="U35" s="218">
        <f t="shared" si="7"/>
        <v>194.653</v>
      </c>
      <c r="V35" s="221">
        <f t="shared" si="8"/>
        <v>0.1386012632</v>
      </c>
      <c r="W35" s="234">
        <v>27.2</v>
      </c>
      <c r="X35" s="234">
        <v>21.01</v>
      </c>
      <c r="Y35" s="234">
        <v>40.5</v>
      </c>
      <c r="Z35" s="234">
        <v>4.21</v>
      </c>
      <c r="AA35" s="213">
        <f t="shared" si="9"/>
        <v>4.6289232</v>
      </c>
      <c r="AB35" s="213">
        <f t="shared" si="10"/>
        <v>4.6289232</v>
      </c>
    </row>
    <row r="36">
      <c r="A36" s="212" t="s">
        <v>4175</v>
      </c>
      <c r="B36" s="234">
        <v>2694276.0</v>
      </c>
      <c r="C36" s="234">
        <v>6.932554403867E12</v>
      </c>
      <c r="D36" s="234">
        <v>8.096568E7</v>
      </c>
      <c r="E36" s="234">
        <v>1.30118666E9</v>
      </c>
      <c r="F36" s="234" t="s">
        <v>4989</v>
      </c>
      <c r="G36" s="234" t="s">
        <v>4937</v>
      </c>
      <c r="H36" s="234" t="s">
        <v>4990</v>
      </c>
      <c r="I36" s="235">
        <v>3599.0</v>
      </c>
      <c r="J36" s="215">
        <v>2899.0</v>
      </c>
      <c r="K36" s="213">
        <v>85.0</v>
      </c>
      <c r="L36" s="214">
        <v>3.0</v>
      </c>
      <c r="M36" s="216">
        <f t="shared" si="1"/>
        <v>0.01</v>
      </c>
      <c r="N36" s="213" t="s">
        <v>4882</v>
      </c>
      <c r="O36" s="236">
        <v>1730.0</v>
      </c>
      <c r="P36" s="218">
        <f t="shared" si="2"/>
        <v>231.92</v>
      </c>
      <c r="Q36" s="218">
        <f t="shared" si="3"/>
        <v>66.677</v>
      </c>
      <c r="R36" s="219">
        <f t="shared" si="4"/>
        <v>0.16</v>
      </c>
      <c r="S36" s="218">
        <f t="shared" si="5"/>
        <v>463.84</v>
      </c>
      <c r="T36" s="220">
        <f t="shared" si="6"/>
        <v>169</v>
      </c>
      <c r="U36" s="218">
        <f t="shared" si="7"/>
        <v>237.563</v>
      </c>
      <c r="V36" s="221">
        <f t="shared" si="8"/>
        <v>0.1373196532</v>
      </c>
      <c r="W36" s="234">
        <v>35.0</v>
      </c>
      <c r="X36" s="234">
        <v>19.0</v>
      </c>
      <c r="Y36" s="234">
        <v>33.0</v>
      </c>
      <c r="Z36" s="234">
        <v>4.2</v>
      </c>
      <c r="AA36" s="213">
        <f t="shared" si="9"/>
        <v>4.389</v>
      </c>
      <c r="AB36" s="213">
        <f t="shared" si="10"/>
        <v>4.389</v>
      </c>
    </row>
    <row r="37">
      <c r="A37" s="212" t="s">
        <v>4175</v>
      </c>
      <c r="B37" s="234" t="s">
        <v>4991</v>
      </c>
      <c r="C37" s="234">
        <v>4.0094191048E10</v>
      </c>
      <c r="D37" s="234">
        <v>8.1032645E7</v>
      </c>
      <c r="E37" s="234">
        <v>1.30127651E9</v>
      </c>
      <c r="F37" s="234" t="s">
        <v>4992</v>
      </c>
      <c r="G37" s="234" t="s">
        <v>4993</v>
      </c>
      <c r="H37" s="234" t="s">
        <v>4994</v>
      </c>
      <c r="I37" s="234">
        <v>599.0</v>
      </c>
      <c r="J37" s="215">
        <v>419.0</v>
      </c>
      <c r="K37" s="214">
        <v>10.0</v>
      </c>
      <c r="L37" s="214">
        <v>3.0</v>
      </c>
      <c r="M37" s="216">
        <f t="shared" si="1"/>
        <v>0.01</v>
      </c>
      <c r="N37" s="213" t="s">
        <v>4882</v>
      </c>
      <c r="O37" s="234">
        <v>150.0</v>
      </c>
      <c r="P37" s="218">
        <f t="shared" si="2"/>
        <v>33.52</v>
      </c>
      <c r="Q37" s="218">
        <f t="shared" si="3"/>
        <v>9.637</v>
      </c>
      <c r="R37" s="219">
        <f t="shared" si="4"/>
        <v>0.16</v>
      </c>
      <c r="S37" s="218">
        <f t="shared" si="5"/>
        <v>67.04</v>
      </c>
      <c r="T37" s="220">
        <f t="shared" si="6"/>
        <v>139</v>
      </c>
      <c r="U37" s="218">
        <f t="shared" si="7"/>
        <v>19.803</v>
      </c>
      <c r="V37" s="221">
        <f t="shared" si="8"/>
        <v>0.13202</v>
      </c>
      <c r="W37" s="234">
        <v>30.1</v>
      </c>
      <c r="X37" s="234">
        <v>16.5</v>
      </c>
      <c r="Y37" s="234">
        <v>12.4</v>
      </c>
      <c r="Z37" s="234">
        <v>1.12</v>
      </c>
      <c r="AA37" s="213">
        <f t="shared" si="9"/>
        <v>1.231692</v>
      </c>
      <c r="AB37" s="213">
        <f t="shared" si="10"/>
        <v>1.231692</v>
      </c>
    </row>
    <row r="38">
      <c r="A38" s="212" t="s">
        <v>4175</v>
      </c>
      <c r="B38" s="234" t="s">
        <v>4995</v>
      </c>
      <c r="C38" s="234">
        <v>6.2235668842E11</v>
      </c>
      <c r="D38" s="234">
        <v>8.1035608E7</v>
      </c>
      <c r="E38" s="234">
        <v>1.301279704E9</v>
      </c>
      <c r="F38" s="234" t="s">
        <v>4996</v>
      </c>
      <c r="G38" s="234" t="s">
        <v>4997</v>
      </c>
      <c r="H38" s="234" t="s">
        <v>4944</v>
      </c>
      <c r="I38" s="238"/>
      <c r="J38" s="215">
        <v>4999.0</v>
      </c>
      <c r="K38" s="234">
        <v>10.0</v>
      </c>
      <c r="L38" s="234">
        <v>3.0</v>
      </c>
      <c r="M38" s="216">
        <f t="shared" si="1"/>
        <v>0.01</v>
      </c>
      <c r="N38" s="213" t="s">
        <v>4882</v>
      </c>
      <c r="O38" s="235">
        <v>2993.03</v>
      </c>
      <c r="P38" s="218">
        <f t="shared" si="2"/>
        <v>399.92</v>
      </c>
      <c r="Q38" s="218">
        <f t="shared" si="3"/>
        <v>114.977</v>
      </c>
      <c r="R38" s="219">
        <f t="shared" si="4"/>
        <v>0.16</v>
      </c>
      <c r="S38" s="218">
        <f t="shared" si="5"/>
        <v>799.84</v>
      </c>
      <c r="T38" s="220">
        <f t="shared" si="6"/>
        <v>299</v>
      </c>
      <c r="U38" s="218">
        <f t="shared" si="7"/>
        <v>392.233</v>
      </c>
      <c r="V38" s="221">
        <f t="shared" si="8"/>
        <v>0.1310488034</v>
      </c>
      <c r="W38" s="234">
        <v>44.0</v>
      </c>
      <c r="X38" s="234">
        <v>30.5</v>
      </c>
      <c r="Y38" s="234">
        <v>55.0</v>
      </c>
      <c r="Z38" s="234">
        <v>9.42</v>
      </c>
      <c r="AA38" s="213">
        <f t="shared" si="9"/>
        <v>14.762</v>
      </c>
      <c r="AB38" s="213">
        <f t="shared" si="10"/>
        <v>14.762</v>
      </c>
    </row>
    <row r="39">
      <c r="A39" s="212" t="s">
        <v>4175</v>
      </c>
      <c r="B39" s="234" t="s">
        <v>4998</v>
      </c>
      <c r="C39" s="234">
        <v>6.291100130498E12</v>
      </c>
      <c r="D39" s="234">
        <v>8.1035777E7</v>
      </c>
      <c r="E39" s="234">
        <v>1.30127992E9</v>
      </c>
      <c r="F39" s="234" t="s">
        <v>4999</v>
      </c>
      <c r="G39" s="234" t="s">
        <v>5000</v>
      </c>
      <c r="H39" s="234" t="s">
        <v>5001</v>
      </c>
      <c r="I39" s="234">
        <v>1599.0</v>
      </c>
      <c r="J39" s="215">
        <v>1329.0</v>
      </c>
      <c r="K39" s="238"/>
      <c r="L39" s="234">
        <v>3.0</v>
      </c>
      <c r="M39" s="216">
        <f t="shared" si="1"/>
        <v>0.01</v>
      </c>
      <c r="N39" s="213" t="s">
        <v>4882</v>
      </c>
      <c r="O39" s="236">
        <v>932.68</v>
      </c>
      <c r="P39" s="218">
        <f t="shared" si="2"/>
        <v>106.32</v>
      </c>
      <c r="Q39" s="218">
        <f t="shared" si="3"/>
        <v>30.567</v>
      </c>
      <c r="R39" s="219">
        <f t="shared" si="4"/>
        <v>0.16</v>
      </c>
      <c r="S39" s="218">
        <f t="shared" si="5"/>
        <v>212.64</v>
      </c>
      <c r="T39" s="220">
        <f t="shared" si="6"/>
        <v>129</v>
      </c>
      <c r="U39" s="218">
        <f t="shared" si="7"/>
        <v>-82.207</v>
      </c>
      <c r="V39" s="221">
        <f t="shared" si="8"/>
        <v>-0.08814062701</v>
      </c>
      <c r="W39" s="234">
        <v>9.0</v>
      </c>
      <c r="X39" s="234">
        <v>9.0</v>
      </c>
      <c r="Y39" s="234">
        <v>17.0</v>
      </c>
      <c r="Z39" s="234">
        <v>0.6</v>
      </c>
      <c r="AA39" s="213">
        <f t="shared" si="9"/>
        <v>0.2754</v>
      </c>
      <c r="AB39" s="213">
        <f t="shared" si="10"/>
        <v>0.6</v>
      </c>
    </row>
    <row r="40">
      <c r="A40" s="212" t="s">
        <v>4175</v>
      </c>
      <c r="B40" s="234" t="s">
        <v>5002</v>
      </c>
      <c r="C40" s="234">
        <v>5.003640585E10</v>
      </c>
      <c r="D40" s="234">
        <v>8.1035966E7</v>
      </c>
      <c r="E40" s="234">
        <v>1.301280067E9</v>
      </c>
      <c r="F40" s="234" t="s">
        <v>5003</v>
      </c>
      <c r="G40" s="234" t="s">
        <v>5004</v>
      </c>
      <c r="H40" s="234" t="s">
        <v>5005</v>
      </c>
      <c r="I40" s="235">
        <v>1999.0</v>
      </c>
      <c r="J40" s="215">
        <v>1899.0</v>
      </c>
      <c r="K40" s="234">
        <v>15.0</v>
      </c>
      <c r="L40" s="234">
        <v>3.0</v>
      </c>
      <c r="M40" s="216">
        <f t="shared" si="1"/>
        <v>0.01</v>
      </c>
      <c r="N40" s="213" t="s">
        <v>4882</v>
      </c>
      <c r="O40" s="235">
        <v>1203.69</v>
      </c>
      <c r="P40" s="218">
        <f t="shared" si="2"/>
        <v>151.92</v>
      </c>
      <c r="Q40" s="218">
        <f t="shared" si="3"/>
        <v>43.677</v>
      </c>
      <c r="R40" s="227">
        <f>11%+M40</f>
        <v>0.12</v>
      </c>
      <c r="S40" s="218">
        <f t="shared" si="5"/>
        <v>227.88</v>
      </c>
      <c r="T40" s="220">
        <f t="shared" si="6"/>
        <v>129</v>
      </c>
      <c r="U40" s="218">
        <f t="shared" si="7"/>
        <v>142.833</v>
      </c>
      <c r="V40" s="221">
        <f t="shared" si="8"/>
        <v>0.1186626125</v>
      </c>
      <c r="W40" s="234">
        <v>10.0</v>
      </c>
      <c r="X40" s="234">
        <v>10.0</v>
      </c>
      <c r="Y40" s="234">
        <v>4.5</v>
      </c>
      <c r="Z40" s="234">
        <v>0.2</v>
      </c>
      <c r="AA40" s="213">
        <f t="shared" si="9"/>
        <v>0.09</v>
      </c>
      <c r="AB40" s="213">
        <f t="shared" si="10"/>
        <v>0.2</v>
      </c>
    </row>
    <row r="41">
      <c r="A41" s="212" t="s">
        <v>4175</v>
      </c>
      <c r="B41" s="234"/>
      <c r="C41" s="234"/>
      <c r="D41" s="234"/>
      <c r="E41" s="234"/>
      <c r="F41" s="234" t="s">
        <v>5006</v>
      </c>
      <c r="G41" s="234"/>
      <c r="H41" s="234"/>
      <c r="I41" s="234"/>
      <c r="J41" s="215">
        <v>859.0</v>
      </c>
      <c r="K41" s="234">
        <v>20.0</v>
      </c>
      <c r="L41" s="234">
        <v>3.0</v>
      </c>
      <c r="M41" s="216">
        <f t="shared" si="1"/>
        <v>0.01</v>
      </c>
      <c r="N41" s="213" t="s">
        <v>4882</v>
      </c>
      <c r="O41" s="235">
        <v>432.37</v>
      </c>
      <c r="P41" s="218">
        <f t="shared" si="2"/>
        <v>68.72</v>
      </c>
      <c r="Q41" s="218">
        <f t="shared" si="3"/>
        <v>19.757</v>
      </c>
      <c r="R41" s="227">
        <f t="shared" ref="R41:R42" si="11">16%+M41</f>
        <v>0.17</v>
      </c>
      <c r="S41" s="218">
        <f t="shared" si="5"/>
        <v>146.03</v>
      </c>
      <c r="T41" s="220">
        <f t="shared" si="6"/>
        <v>129</v>
      </c>
      <c r="U41" s="218">
        <f t="shared" si="7"/>
        <v>63.123</v>
      </c>
      <c r="V41" s="221">
        <f t="shared" si="8"/>
        <v>0.1459930152</v>
      </c>
      <c r="W41" s="234">
        <v>10.5</v>
      </c>
      <c r="X41" s="234">
        <v>20.0</v>
      </c>
      <c r="Y41" s="234">
        <v>22.0</v>
      </c>
      <c r="Z41" s="234">
        <v>0.6</v>
      </c>
      <c r="AA41" s="213">
        <f t="shared" si="9"/>
        <v>0.924</v>
      </c>
      <c r="AB41" s="213">
        <f t="shared" si="10"/>
        <v>0.924</v>
      </c>
    </row>
    <row r="42">
      <c r="A42" s="212" t="s">
        <v>4175</v>
      </c>
      <c r="B42" s="234" t="s">
        <v>5007</v>
      </c>
      <c r="C42" s="234">
        <v>5.0036404709E10</v>
      </c>
      <c r="D42" s="234">
        <v>8.1054864E7</v>
      </c>
      <c r="E42" s="234">
        <v>1.301319043E9</v>
      </c>
      <c r="F42" s="234" t="s">
        <v>5008</v>
      </c>
      <c r="G42" s="234" t="s">
        <v>5004</v>
      </c>
      <c r="H42" s="234" t="s">
        <v>5009</v>
      </c>
      <c r="I42" s="234">
        <v>1999.0</v>
      </c>
      <c r="J42" s="215">
        <v>1579.0</v>
      </c>
      <c r="K42" s="234">
        <v>20.0</v>
      </c>
      <c r="L42" s="234">
        <v>3.0</v>
      </c>
      <c r="M42" s="216">
        <f t="shared" si="1"/>
        <v>0.01</v>
      </c>
      <c r="N42" s="213" t="s">
        <v>4882</v>
      </c>
      <c r="O42" s="235">
        <v>899.69</v>
      </c>
      <c r="P42" s="218">
        <f t="shared" si="2"/>
        <v>126.32</v>
      </c>
      <c r="Q42" s="218">
        <f t="shared" si="3"/>
        <v>36.317</v>
      </c>
      <c r="R42" s="227">
        <f t="shared" si="11"/>
        <v>0.17</v>
      </c>
      <c r="S42" s="218">
        <f t="shared" si="5"/>
        <v>268.43</v>
      </c>
      <c r="T42" s="220">
        <f t="shared" si="6"/>
        <v>129</v>
      </c>
      <c r="U42" s="218">
        <f t="shared" si="7"/>
        <v>119.243</v>
      </c>
      <c r="V42" s="221">
        <f t="shared" si="8"/>
        <v>0.1325378742</v>
      </c>
      <c r="W42" s="234">
        <v>10.5</v>
      </c>
      <c r="X42" s="234">
        <v>10.0</v>
      </c>
      <c r="Y42" s="234">
        <v>4.5</v>
      </c>
      <c r="Z42" s="234">
        <v>0.22</v>
      </c>
      <c r="AA42" s="213">
        <f t="shared" si="9"/>
        <v>0.0945</v>
      </c>
      <c r="AB42" s="213">
        <f t="shared" si="10"/>
        <v>0.22</v>
      </c>
    </row>
    <row r="43">
      <c r="A43" s="212" t="s">
        <v>4175</v>
      </c>
      <c r="B43" s="234" t="s">
        <v>5010</v>
      </c>
      <c r="C43" s="234">
        <v>2.8292290343E10</v>
      </c>
      <c r="D43" s="234">
        <v>8.1054857E7</v>
      </c>
      <c r="E43" s="234">
        <v>1.301319048E9</v>
      </c>
      <c r="F43" s="234" t="s">
        <v>5011</v>
      </c>
      <c r="G43" s="234" t="s">
        <v>5012</v>
      </c>
      <c r="H43" s="234" t="s">
        <v>5013</v>
      </c>
      <c r="I43" s="234">
        <v>7999.0</v>
      </c>
      <c r="J43" s="215">
        <v>5799.0</v>
      </c>
      <c r="K43" s="234">
        <v>20.0</v>
      </c>
      <c r="L43" s="234">
        <v>3.0</v>
      </c>
      <c r="M43" s="216">
        <f t="shared" si="1"/>
        <v>0.01</v>
      </c>
      <c r="N43" s="213" t="s">
        <v>4882</v>
      </c>
      <c r="O43" s="235">
        <v>3742.79</v>
      </c>
      <c r="P43" s="218">
        <f t="shared" si="2"/>
        <v>463.92</v>
      </c>
      <c r="Q43" s="218">
        <f t="shared" si="3"/>
        <v>133.377</v>
      </c>
      <c r="R43" s="227">
        <f t="shared" ref="R43:R46" si="12">11%+M43</f>
        <v>0.12</v>
      </c>
      <c r="S43" s="218">
        <f t="shared" si="5"/>
        <v>695.88</v>
      </c>
      <c r="T43" s="220">
        <f t="shared" si="6"/>
        <v>249</v>
      </c>
      <c r="U43" s="218">
        <f t="shared" si="7"/>
        <v>514.033</v>
      </c>
      <c r="V43" s="221">
        <f t="shared" si="8"/>
        <v>0.1373395248</v>
      </c>
      <c r="W43" s="234">
        <v>51.5</v>
      </c>
      <c r="X43" s="234">
        <v>27.5</v>
      </c>
      <c r="Y43" s="234">
        <v>32.5</v>
      </c>
      <c r="Z43" s="234">
        <v>6.3</v>
      </c>
      <c r="AA43" s="213">
        <f t="shared" si="9"/>
        <v>9.205625</v>
      </c>
      <c r="AB43" s="213">
        <f t="shared" si="10"/>
        <v>9.205625</v>
      </c>
    </row>
    <row r="44">
      <c r="A44" s="212" t="s">
        <v>4175</v>
      </c>
      <c r="B44" s="234" t="s">
        <v>5014</v>
      </c>
      <c r="C44" s="234">
        <v>5.0036390934E10</v>
      </c>
      <c r="D44" s="234">
        <v>8.1050755E7</v>
      </c>
      <c r="E44" s="234">
        <v>1.301293797E9</v>
      </c>
      <c r="F44" s="234" t="s">
        <v>5015</v>
      </c>
      <c r="G44" s="234" t="s">
        <v>5004</v>
      </c>
      <c r="H44" s="234" t="s">
        <v>5009</v>
      </c>
      <c r="I44" s="234">
        <v>1299.0</v>
      </c>
      <c r="J44" s="215">
        <v>749.0</v>
      </c>
      <c r="K44" s="234">
        <v>60.0</v>
      </c>
      <c r="L44" s="234">
        <v>3.0</v>
      </c>
      <c r="M44" s="216">
        <f t="shared" si="1"/>
        <v>0.01</v>
      </c>
      <c r="N44" s="213" t="s">
        <v>4882</v>
      </c>
      <c r="O44" s="235">
        <v>377.67</v>
      </c>
      <c r="P44" s="218">
        <f t="shared" si="2"/>
        <v>59.92</v>
      </c>
      <c r="Q44" s="218">
        <f t="shared" si="3"/>
        <v>17.227</v>
      </c>
      <c r="R44" s="227">
        <f t="shared" si="12"/>
        <v>0.12</v>
      </c>
      <c r="S44" s="218">
        <f t="shared" si="5"/>
        <v>89.88</v>
      </c>
      <c r="T44" s="220">
        <f t="shared" si="6"/>
        <v>129</v>
      </c>
      <c r="U44" s="218">
        <f t="shared" si="7"/>
        <v>75.303</v>
      </c>
      <c r="V44" s="221">
        <f t="shared" si="8"/>
        <v>0.1993883549</v>
      </c>
      <c r="W44" s="234">
        <v>10.5</v>
      </c>
      <c r="X44" s="234">
        <v>10.0</v>
      </c>
      <c r="Y44" s="234">
        <v>4.5</v>
      </c>
      <c r="Z44" s="234">
        <v>0.19</v>
      </c>
      <c r="AA44" s="213">
        <f t="shared" si="9"/>
        <v>0.0945</v>
      </c>
      <c r="AB44" s="213">
        <f t="shared" si="10"/>
        <v>0.19</v>
      </c>
    </row>
    <row r="45">
      <c r="A45" s="212" t="s">
        <v>4175</v>
      </c>
      <c r="B45" s="234" t="s">
        <v>5016</v>
      </c>
      <c r="C45" s="234">
        <v>5.0036382953E10</v>
      </c>
      <c r="D45" s="234">
        <v>8.1055647E7</v>
      </c>
      <c r="E45" s="234">
        <v>1.301319714E9</v>
      </c>
      <c r="F45" s="234" t="s">
        <v>5017</v>
      </c>
      <c r="G45" s="234" t="s">
        <v>5004</v>
      </c>
      <c r="H45" s="234" t="s">
        <v>5009</v>
      </c>
      <c r="I45" s="234">
        <v>1199.0</v>
      </c>
      <c r="J45" s="215">
        <v>659.0</v>
      </c>
      <c r="K45" s="234">
        <v>50.0</v>
      </c>
      <c r="L45" s="234">
        <v>3.0</v>
      </c>
      <c r="M45" s="216">
        <f t="shared" si="1"/>
        <v>0.01</v>
      </c>
      <c r="N45" s="213" t="s">
        <v>4882</v>
      </c>
      <c r="O45" s="235">
        <v>318.04</v>
      </c>
      <c r="P45" s="218">
        <f t="shared" si="2"/>
        <v>52.72</v>
      </c>
      <c r="Q45" s="218">
        <f t="shared" si="3"/>
        <v>15.157</v>
      </c>
      <c r="R45" s="227">
        <f t="shared" si="12"/>
        <v>0.12</v>
      </c>
      <c r="S45" s="218">
        <f t="shared" si="5"/>
        <v>79.08</v>
      </c>
      <c r="T45" s="220">
        <f t="shared" si="6"/>
        <v>129</v>
      </c>
      <c r="U45" s="218">
        <f t="shared" si="7"/>
        <v>65.003</v>
      </c>
      <c r="V45" s="221">
        <f t="shared" si="8"/>
        <v>0.2043862407</v>
      </c>
      <c r="W45" s="234">
        <v>10.0</v>
      </c>
      <c r="X45" s="234">
        <v>10.0</v>
      </c>
      <c r="Y45" s="234">
        <v>4.0</v>
      </c>
      <c r="Z45" s="234">
        <v>0.18</v>
      </c>
      <c r="AA45" s="213">
        <f t="shared" si="9"/>
        <v>0.08</v>
      </c>
      <c r="AB45" s="213">
        <f t="shared" si="10"/>
        <v>0.18</v>
      </c>
    </row>
    <row r="46">
      <c r="A46" s="212" t="s">
        <v>4175</v>
      </c>
      <c r="B46" s="234" t="s">
        <v>5018</v>
      </c>
      <c r="C46" s="234">
        <v>5.0036382946E10</v>
      </c>
      <c r="D46" s="234">
        <v>8.105565E7</v>
      </c>
      <c r="E46" s="234">
        <v>1.301319754E9</v>
      </c>
      <c r="F46" s="234" t="s">
        <v>5019</v>
      </c>
      <c r="G46" s="234" t="s">
        <v>5004</v>
      </c>
      <c r="H46" s="234" t="s">
        <v>5009</v>
      </c>
      <c r="I46" s="234">
        <v>1199.0</v>
      </c>
      <c r="J46" s="215">
        <v>659.0</v>
      </c>
      <c r="K46" s="234">
        <v>50.0</v>
      </c>
      <c r="L46" s="234">
        <v>3.0</v>
      </c>
      <c r="M46" s="216">
        <f t="shared" si="1"/>
        <v>0.01</v>
      </c>
      <c r="N46" s="213" t="s">
        <v>4882</v>
      </c>
      <c r="O46" s="235">
        <v>318.04</v>
      </c>
      <c r="P46" s="218">
        <f t="shared" si="2"/>
        <v>52.72</v>
      </c>
      <c r="Q46" s="218">
        <f t="shared" si="3"/>
        <v>15.157</v>
      </c>
      <c r="R46" s="227">
        <f t="shared" si="12"/>
        <v>0.12</v>
      </c>
      <c r="S46" s="218">
        <f t="shared" si="5"/>
        <v>79.08</v>
      </c>
      <c r="T46" s="220">
        <f t="shared" si="6"/>
        <v>129</v>
      </c>
      <c r="U46" s="218">
        <f t="shared" si="7"/>
        <v>65.003</v>
      </c>
      <c r="V46" s="221">
        <f t="shared" si="8"/>
        <v>0.2043862407</v>
      </c>
      <c r="W46" s="234">
        <v>10.0</v>
      </c>
      <c r="X46" s="234">
        <v>10.0</v>
      </c>
      <c r="Y46" s="234">
        <v>4.0</v>
      </c>
      <c r="Z46" s="234">
        <v>0.18</v>
      </c>
      <c r="AA46" s="213">
        <f t="shared" si="9"/>
        <v>0.08</v>
      </c>
      <c r="AB46" s="213">
        <f t="shared" si="10"/>
        <v>0.18</v>
      </c>
    </row>
    <row r="47">
      <c r="A47" s="212" t="s">
        <v>4175</v>
      </c>
      <c r="B47" s="234" t="s">
        <v>5020</v>
      </c>
      <c r="C47" s="234">
        <v>8.40080503653E11</v>
      </c>
      <c r="D47" s="234">
        <v>8.1055651E7</v>
      </c>
      <c r="E47" s="234">
        <v>1.301319773E9</v>
      </c>
      <c r="F47" s="234" t="s">
        <v>5021</v>
      </c>
      <c r="G47" s="234" t="s">
        <v>5022</v>
      </c>
      <c r="H47" s="234" t="s">
        <v>2716</v>
      </c>
      <c r="I47" s="234">
        <v>1799.0</v>
      </c>
      <c r="J47" s="232">
        <v>1389.0</v>
      </c>
      <c r="K47" s="234">
        <v>100.0</v>
      </c>
      <c r="L47" s="234">
        <v>3.0</v>
      </c>
      <c r="M47" s="216">
        <f t="shared" si="1"/>
        <v>0.01</v>
      </c>
      <c r="N47" s="213" t="s">
        <v>4882</v>
      </c>
      <c r="O47" s="235">
        <v>763.4</v>
      </c>
      <c r="P47" s="218">
        <f t="shared" si="2"/>
        <v>111.12</v>
      </c>
      <c r="Q47" s="218">
        <f t="shared" si="3"/>
        <v>31.947</v>
      </c>
      <c r="R47" s="227">
        <f t="shared" ref="R47:R48" si="13">16%+M47</f>
        <v>0.17</v>
      </c>
      <c r="S47" s="218">
        <f t="shared" si="5"/>
        <v>236.13</v>
      </c>
      <c r="T47" s="220">
        <f t="shared" si="6"/>
        <v>129</v>
      </c>
      <c r="U47" s="218">
        <f t="shared" si="7"/>
        <v>117.403</v>
      </c>
      <c r="V47" s="221">
        <f t="shared" si="8"/>
        <v>0.1537896254</v>
      </c>
      <c r="W47" s="234">
        <v>10.0</v>
      </c>
      <c r="X47" s="234">
        <v>10.0</v>
      </c>
      <c r="Y47" s="234">
        <v>9.0</v>
      </c>
      <c r="Z47" s="234">
        <v>0.45</v>
      </c>
      <c r="AA47" s="213">
        <f t="shared" si="9"/>
        <v>0.18</v>
      </c>
      <c r="AB47" s="213">
        <f t="shared" si="10"/>
        <v>0.45</v>
      </c>
    </row>
    <row r="48">
      <c r="A48" s="212" t="s">
        <v>4175</v>
      </c>
      <c r="B48" s="234" t="s">
        <v>5023</v>
      </c>
      <c r="C48" s="234">
        <v>6.941812743669E12</v>
      </c>
      <c r="D48" s="234">
        <v>8.1106537E7</v>
      </c>
      <c r="E48" s="234">
        <v>1.30136277E9</v>
      </c>
      <c r="F48" s="234" t="s">
        <v>5024</v>
      </c>
      <c r="G48" s="234" t="s">
        <v>5025</v>
      </c>
      <c r="H48" s="234" t="s">
        <v>4990</v>
      </c>
      <c r="I48" s="235">
        <v>999.0</v>
      </c>
      <c r="J48" s="232">
        <v>719.0</v>
      </c>
      <c r="K48" s="234">
        <v>5.0</v>
      </c>
      <c r="L48" s="234">
        <v>3.0</v>
      </c>
      <c r="M48" s="216">
        <f t="shared" si="1"/>
        <v>0.01</v>
      </c>
      <c r="N48" s="213" t="s">
        <v>4882</v>
      </c>
      <c r="O48" s="235">
        <v>350.0</v>
      </c>
      <c r="P48" s="218">
        <f t="shared" si="2"/>
        <v>57.52</v>
      </c>
      <c r="Q48" s="218">
        <f t="shared" si="3"/>
        <v>16.537</v>
      </c>
      <c r="R48" s="227">
        <f t="shared" si="13"/>
        <v>0.17</v>
      </c>
      <c r="S48" s="218">
        <f t="shared" si="5"/>
        <v>122.23</v>
      </c>
      <c r="T48" s="220">
        <f t="shared" si="6"/>
        <v>129</v>
      </c>
      <c r="U48" s="218">
        <f t="shared" si="7"/>
        <v>43.713</v>
      </c>
      <c r="V48" s="221">
        <f t="shared" si="8"/>
        <v>0.1248942857</v>
      </c>
      <c r="W48" s="234">
        <v>14.5</v>
      </c>
      <c r="X48" s="234">
        <v>9.0</v>
      </c>
      <c r="Y48" s="234">
        <v>3.0</v>
      </c>
      <c r="Z48" s="234">
        <v>0.3</v>
      </c>
      <c r="AA48" s="213">
        <f t="shared" si="9"/>
        <v>0.0783</v>
      </c>
      <c r="AB48" s="213">
        <f t="shared" si="10"/>
        <v>0.3</v>
      </c>
    </row>
    <row r="49">
      <c r="A49" s="212" t="s">
        <v>4175</v>
      </c>
      <c r="B49" s="234" t="s">
        <v>5026</v>
      </c>
      <c r="C49" s="234">
        <v>6.971408153473E12</v>
      </c>
      <c r="D49" s="234">
        <v>8.1106538E7</v>
      </c>
      <c r="E49" s="234">
        <v>1.301362679E9</v>
      </c>
      <c r="F49" s="234" t="s">
        <v>5027</v>
      </c>
      <c r="G49" s="234" t="s">
        <v>5012</v>
      </c>
      <c r="H49" s="234" t="s">
        <v>4990</v>
      </c>
      <c r="I49" s="235">
        <v>1299.0</v>
      </c>
      <c r="J49" s="232">
        <v>799.0</v>
      </c>
      <c r="K49" s="238"/>
      <c r="L49" s="234">
        <v>3.0</v>
      </c>
      <c r="M49" s="216">
        <f t="shared" si="1"/>
        <v>0.01</v>
      </c>
      <c r="N49" s="239" t="s">
        <v>4882</v>
      </c>
      <c r="O49" s="236">
        <v>440.0</v>
      </c>
      <c r="P49" s="218">
        <f t="shared" si="2"/>
        <v>63.92</v>
      </c>
      <c r="Q49" s="218">
        <f t="shared" si="3"/>
        <v>18.377</v>
      </c>
      <c r="R49" s="227">
        <f t="shared" ref="R49:R51" si="14">11%+M49</f>
        <v>0.12</v>
      </c>
      <c r="S49" s="218">
        <f t="shared" si="5"/>
        <v>95.88</v>
      </c>
      <c r="T49" s="220">
        <f t="shared" si="6"/>
        <v>139</v>
      </c>
      <c r="U49" s="218">
        <f t="shared" si="7"/>
        <v>41.823</v>
      </c>
      <c r="V49" s="221">
        <f t="shared" si="8"/>
        <v>0.09505227273</v>
      </c>
      <c r="W49" s="234">
        <v>24.0</v>
      </c>
      <c r="X49" s="234">
        <v>9.5</v>
      </c>
      <c r="Y49" s="234">
        <v>9.5</v>
      </c>
      <c r="Z49" s="234">
        <v>1.05</v>
      </c>
      <c r="AA49" s="213">
        <f t="shared" si="9"/>
        <v>0.4332</v>
      </c>
      <c r="AB49" s="213">
        <f t="shared" si="10"/>
        <v>1.05</v>
      </c>
    </row>
    <row r="50">
      <c r="A50" s="212" t="s">
        <v>4175</v>
      </c>
      <c r="B50" s="234" t="s">
        <v>5028</v>
      </c>
      <c r="C50" s="234">
        <v>1.9099700708E11</v>
      </c>
      <c r="D50" s="234">
        <v>8.1209724E7</v>
      </c>
      <c r="E50" s="234">
        <v>1.301466516E9</v>
      </c>
      <c r="F50" s="234" t="s">
        <v>5029</v>
      </c>
      <c r="G50" s="234" t="s">
        <v>5012</v>
      </c>
      <c r="H50" s="234" t="s">
        <v>4990</v>
      </c>
      <c r="I50" s="235">
        <v>1399.0</v>
      </c>
      <c r="J50" s="232">
        <v>1099.0</v>
      </c>
      <c r="K50" s="238"/>
      <c r="L50" s="234">
        <v>3.0</v>
      </c>
      <c r="M50" s="216">
        <f t="shared" si="1"/>
        <v>0.01</v>
      </c>
      <c r="N50" s="239" t="s">
        <v>4882</v>
      </c>
      <c r="O50" s="236">
        <v>630.0</v>
      </c>
      <c r="P50" s="218">
        <f t="shared" si="2"/>
        <v>87.92</v>
      </c>
      <c r="Q50" s="218">
        <f t="shared" si="3"/>
        <v>25.277</v>
      </c>
      <c r="R50" s="227">
        <f t="shared" si="14"/>
        <v>0.12</v>
      </c>
      <c r="S50" s="218">
        <f t="shared" si="5"/>
        <v>131.88</v>
      </c>
      <c r="T50" s="220">
        <f t="shared" si="6"/>
        <v>139</v>
      </c>
      <c r="U50" s="218">
        <f t="shared" si="7"/>
        <v>84.923</v>
      </c>
      <c r="V50" s="221">
        <f t="shared" si="8"/>
        <v>0.1347984127</v>
      </c>
      <c r="W50" s="234">
        <v>24.0</v>
      </c>
      <c r="X50" s="234">
        <v>9.5</v>
      </c>
      <c r="Y50" s="234">
        <v>9.5</v>
      </c>
      <c r="Z50" s="234">
        <v>1.05</v>
      </c>
      <c r="AA50" s="213">
        <f t="shared" si="9"/>
        <v>0.4332</v>
      </c>
      <c r="AB50" s="213">
        <f t="shared" si="10"/>
        <v>1.05</v>
      </c>
    </row>
    <row r="51">
      <c r="A51" s="212" t="s">
        <v>4175</v>
      </c>
      <c r="B51" s="234" t="s">
        <v>5030</v>
      </c>
      <c r="C51" s="234">
        <v>1.90997007103E11</v>
      </c>
      <c r="D51" s="234">
        <v>8.1209718E7</v>
      </c>
      <c r="E51" s="234">
        <v>1.301466526E9</v>
      </c>
      <c r="F51" s="234" t="s">
        <v>5031</v>
      </c>
      <c r="G51" s="234" t="s">
        <v>5012</v>
      </c>
      <c r="H51" s="234" t="s">
        <v>4990</v>
      </c>
      <c r="I51" s="235">
        <v>1399.0</v>
      </c>
      <c r="J51" s="232">
        <v>1099.0</v>
      </c>
      <c r="K51" s="238"/>
      <c r="L51" s="234">
        <v>3.0</v>
      </c>
      <c r="M51" s="216">
        <f t="shared" si="1"/>
        <v>0.01</v>
      </c>
      <c r="N51" s="239" t="s">
        <v>4882</v>
      </c>
      <c r="O51" s="236">
        <v>630.0</v>
      </c>
      <c r="P51" s="218">
        <f t="shared" si="2"/>
        <v>87.92</v>
      </c>
      <c r="Q51" s="218">
        <f t="shared" si="3"/>
        <v>25.277</v>
      </c>
      <c r="R51" s="227">
        <f t="shared" si="14"/>
        <v>0.12</v>
      </c>
      <c r="S51" s="218">
        <f t="shared" si="5"/>
        <v>131.88</v>
      </c>
      <c r="T51" s="220">
        <f t="shared" si="6"/>
        <v>139</v>
      </c>
      <c r="U51" s="218">
        <f t="shared" si="7"/>
        <v>84.923</v>
      </c>
      <c r="V51" s="221">
        <f t="shared" si="8"/>
        <v>0.1347984127</v>
      </c>
      <c r="W51" s="234">
        <v>24.0</v>
      </c>
      <c r="X51" s="234">
        <v>9.5</v>
      </c>
      <c r="Y51" s="234">
        <v>9.5</v>
      </c>
      <c r="Z51" s="234">
        <v>1.05</v>
      </c>
      <c r="AA51" s="213">
        <f t="shared" si="9"/>
        <v>0.4332</v>
      </c>
      <c r="AB51" s="213">
        <f t="shared" si="10"/>
        <v>1.05</v>
      </c>
    </row>
    <row r="52">
      <c r="A52" s="212" t="s">
        <v>4175</v>
      </c>
      <c r="B52" s="234" t="s">
        <v>5032</v>
      </c>
      <c r="C52" s="234">
        <v>6.941812743768E12</v>
      </c>
      <c r="D52" s="234">
        <v>8.1209719E7</v>
      </c>
      <c r="E52" s="234">
        <v>1.301466519E9</v>
      </c>
      <c r="F52" s="234" t="s">
        <v>5033</v>
      </c>
      <c r="G52" s="234" t="s">
        <v>5034</v>
      </c>
      <c r="H52" s="234" t="s">
        <v>4990</v>
      </c>
      <c r="I52" s="235">
        <v>1499.0</v>
      </c>
      <c r="J52" s="232">
        <v>1299.0</v>
      </c>
      <c r="K52" s="238"/>
      <c r="L52" s="234">
        <v>3.0</v>
      </c>
      <c r="M52" s="216">
        <f t="shared" si="1"/>
        <v>0.01</v>
      </c>
      <c r="N52" s="239" t="s">
        <v>4882</v>
      </c>
      <c r="O52" s="232">
        <v>700.0</v>
      </c>
      <c r="P52" s="218">
        <f t="shared" si="2"/>
        <v>103.92</v>
      </c>
      <c r="Q52" s="218">
        <f t="shared" si="3"/>
        <v>29.877</v>
      </c>
      <c r="R52" s="227">
        <f t="shared" ref="R52:R55" si="15">16%+M52</f>
        <v>0.17</v>
      </c>
      <c r="S52" s="218">
        <f t="shared" si="5"/>
        <v>220.83</v>
      </c>
      <c r="T52" s="220">
        <f t="shared" si="6"/>
        <v>139</v>
      </c>
      <c r="U52" s="218">
        <f t="shared" si="7"/>
        <v>105.373</v>
      </c>
      <c r="V52" s="221">
        <f t="shared" si="8"/>
        <v>0.1505328571</v>
      </c>
      <c r="W52" s="234">
        <v>20.5</v>
      </c>
      <c r="X52" s="234">
        <v>12.0</v>
      </c>
      <c r="Y52" s="234">
        <v>12.0</v>
      </c>
      <c r="Z52" s="234">
        <v>1.05</v>
      </c>
      <c r="AA52" s="213">
        <f t="shared" si="9"/>
        <v>0.5904</v>
      </c>
      <c r="AB52" s="213">
        <f t="shared" si="10"/>
        <v>1.05</v>
      </c>
    </row>
    <row r="53">
      <c r="A53" s="212" t="s">
        <v>4175</v>
      </c>
      <c r="B53" s="234" t="s">
        <v>5035</v>
      </c>
      <c r="C53" s="234">
        <v>6.932554418427E12</v>
      </c>
      <c r="D53" s="234">
        <v>8.1218861E7</v>
      </c>
      <c r="E53" s="234">
        <v>1.301473519E9</v>
      </c>
      <c r="F53" s="234" t="s">
        <v>5036</v>
      </c>
      <c r="G53" s="234" t="s">
        <v>5037</v>
      </c>
      <c r="H53" s="234" t="s">
        <v>4990</v>
      </c>
      <c r="I53" s="235">
        <v>1999.0</v>
      </c>
      <c r="J53" s="232">
        <v>1799.0</v>
      </c>
      <c r="K53" s="238"/>
      <c r="L53" s="234">
        <v>3.0</v>
      </c>
      <c r="M53" s="216">
        <f t="shared" si="1"/>
        <v>0.01</v>
      </c>
      <c r="N53" s="239" t="s">
        <v>4882</v>
      </c>
      <c r="O53" s="235">
        <v>1040.0</v>
      </c>
      <c r="P53" s="218">
        <f t="shared" si="2"/>
        <v>143.92</v>
      </c>
      <c r="Q53" s="218">
        <f t="shared" si="3"/>
        <v>41.377</v>
      </c>
      <c r="R53" s="227">
        <f t="shared" si="15"/>
        <v>0.17</v>
      </c>
      <c r="S53" s="218">
        <f t="shared" si="5"/>
        <v>305.83</v>
      </c>
      <c r="T53" s="220">
        <f t="shared" si="6"/>
        <v>139</v>
      </c>
      <c r="U53" s="218">
        <f t="shared" si="7"/>
        <v>128.873</v>
      </c>
      <c r="V53" s="221">
        <f t="shared" si="8"/>
        <v>0.1239163462</v>
      </c>
      <c r="W53" s="234">
        <v>15.5</v>
      </c>
      <c r="X53" s="234">
        <v>23.5</v>
      </c>
      <c r="Y53" s="234">
        <v>11.0</v>
      </c>
      <c r="Z53" s="234">
        <v>1.6</v>
      </c>
      <c r="AA53" s="213">
        <f t="shared" si="9"/>
        <v>0.80135</v>
      </c>
      <c r="AB53" s="213">
        <f t="shared" si="10"/>
        <v>1.6</v>
      </c>
    </row>
    <row r="54">
      <c r="A54" s="212" t="s">
        <v>4175</v>
      </c>
      <c r="B54" s="234" t="s">
        <v>5038</v>
      </c>
      <c r="C54" s="234">
        <v>7.91797074106E11</v>
      </c>
      <c r="D54" s="234">
        <v>8.1106573E7</v>
      </c>
      <c r="E54" s="234">
        <v>1.301362756E9</v>
      </c>
      <c r="F54" s="234" t="s">
        <v>5039</v>
      </c>
      <c r="G54" s="234" t="s">
        <v>5040</v>
      </c>
      <c r="H54" s="234" t="s">
        <v>1452</v>
      </c>
      <c r="I54" s="235">
        <v>999.0</v>
      </c>
      <c r="J54" s="232">
        <v>599.0</v>
      </c>
      <c r="K54" s="235"/>
      <c r="L54" s="234">
        <v>3.0</v>
      </c>
      <c r="M54" s="216">
        <f t="shared" si="1"/>
        <v>0.01</v>
      </c>
      <c r="N54" s="239" t="s">
        <v>4882</v>
      </c>
      <c r="O54" s="235">
        <v>276.75</v>
      </c>
      <c r="P54" s="218">
        <f t="shared" si="2"/>
        <v>47.92</v>
      </c>
      <c r="Q54" s="218">
        <f t="shared" si="3"/>
        <v>13.777</v>
      </c>
      <c r="R54" s="227">
        <f t="shared" si="15"/>
        <v>0.17</v>
      </c>
      <c r="S54" s="218">
        <f t="shared" si="5"/>
        <v>101.83</v>
      </c>
      <c r="T54" s="220">
        <f t="shared" si="6"/>
        <v>129</v>
      </c>
      <c r="U54" s="218">
        <f t="shared" si="7"/>
        <v>29.723</v>
      </c>
      <c r="V54" s="221">
        <f t="shared" si="8"/>
        <v>0.1074001807</v>
      </c>
      <c r="W54" s="234">
        <v>16.0</v>
      </c>
      <c r="X54" s="234">
        <v>10.0</v>
      </c>
      <c r="Y54" s="234">
        <v>5.5</v>
      </c>
      <c r="Z54" s="234">
        <v>0.18</v>
      </c>
      <c r="AA54" s="213">
        <f t="shared" si="9"/>
        <v>0.176</v>
      </c>
      <c r="AB54" s="213">
        <f t="shared" si="10"/>
        <v>0.18</v>
      </c>
    </row>
    <row r="55">
      <c r="A55" s="212" t="s">
        <v>4175</v>
      </c>
      <c r="B55" s="234" t="s">
        <v>5041</v>
      </c>
      <c r="C55" s="234">
        <v>7.91797074106E11</v>
      </c>
      <c r="D55" s="234">
        <v>8.1106573E7</v>
      </c>
      <c r="E55" s="234">
        <v>1.301362756E9</v>
      </c>
      <c r="F55" s="234" t="s">
        <v>5042</v>
      </c>
      <c r="G55" s="234" t="s">
        <v>5040</v>
      </c>
      <c r="H55" s="234" t="s">
        <v>1452</v>
      </c>
      <c r="I55" s="235">
        <v>999.0</v>
      </c>
      <c r="J55" s="232">
        <v>599.0</v>
      </c>
      <c r="K55" s="235"/>
      <c r="L55" s="234">
        <v>3.0</v>
      </c>
      <c r="M55" s="216">
        <f t="shared" si="1"/>
        <v>0.01</v>
      </c>
      <c r="N55" s="239" t="s">
        <v>4882</v>
      </c>
      <c r="O55" s="235">
        <v>276.75</v>
      </c>
      <c r="P55" s="218">
        <f t="shared" si="2"/>
        <v>47.92</v>
      </c>
      <c r="Q55" s="218">
        <f t="shared" si="3"/>
        <v>13.777</v>
      </c>
      <c r="R55" s="227">
        <f t="shared" si="15"/>
        <v>0.17</v>
      </c>
      <c r="S55" s="218">
        <f t="shared" si="5"/>
        <v>101.83</v>
      </c>
      <c r="T55" s="220">
        <f t="shared" si="6"/>
        <v>129</v>
      </c>
      <c r="U55" s="218">
        <f t="shared" si="7"/>
        <v>29.723</v>
      </c>
      <c r="V55" s="221">
        <f t="shared" si="8"/>
        <v>0.1074001807</v>
      </c>
      <c r="W55" s="234">
        <v>16.0</v>
      </c>
      <c r="X55" s="234">
        <v>10.0</v>
      </c>
      <c r="Y55" s="234">
        <v>5.5</v>
      </c>
      <c r="Z55" s="234">
        <v>0.18</v>
      </c>
      <c r="AA55" s="213">
        <f t="shared" si="9"/>
        <v>0.176</v>
      </c>
      <c r="AB55" s="213">
        <f t="shared" si="10"/>
        <v>0.18</v>
      </c>
    </row>
    <row r="56">
      <c r="A56" s="212" t="s">
        <v>4175</v>
      </c>
      <c r="B56" s="238"/>
      <c r="C56" s="238"/>
      <c r="D56" s="238"/>
      <c r="E56" s="238"/>
      <c r="F56" s="234" t="s">
        <v>5043</v>
      </c>
      <c r="G56" s="238"/>
      <c r="H56" s="238"/>
      <c r="I56" s="238"/>
      <c r="J56" s="232">
        <v>599.0</v>
      </c>
      <c r="K56" s="235"/>
      <c r="L56" s="234">
        <v>3.0</v>
      </c>
      <c r="M56" s="216">
        <f t="shared" si="1"/>
        <v>0.01</v>
      </c>
      <c r="N56" s="239" t="s">
        <v>4882</v>
      </c>
      <c r="O56" s="235">
        <v>276.75</v>
      </c>
      <c r="P56" s="218">
        <f t="shared" si="2"/>
        <v>47.92</v>
      </c>
      <c r="Q56" s="218">
        <f t="shared" si="3"/>
        <v>13.777</v>
      </c>
      <c r="R56" s="227">
        <f>17%+M56</f>
        <v>0.18</v>
      </c>
      <c r="S56" s="218">
        <f t="shared" si="5"/>
        <v>107.82</v>
      </c>
      <c r="T56" s="220">
        <f t="shared" si="6"/>
        <v>129</v>
      </c>
      <c r="U56" s="218">
        <f t="shared" si="7"/>
        <v>23.733</v>
      </c>
      <c r="V56" s="221">
        <f t="shared" si="8"/>
        <v>0.08575609756</v>
      </c>
      <c r="W56" s="234">
        <v>16.0</v>
      </c>
      <c r="X56" s="234">
        <v>10.0</v>
      </c>
      <c r="Y56" s="234">
        <v>5.5</v>
      </c>
      <c r="Z56" s="234">
        <v>0.18</v>
      </c>
      <c r="AA56" s="213">
        <f t="shared" si="9"/>
        <v>0.176</v>
      </c>
      <c r="AB56" s="213">
        <f t="shared" si="10"/>
        <v>0.18</v>
      </c>
    </row>
    <row r="57">
      <c r="A57" s="212" t="s">
        <v>4175</v>
      </c>
      <c r="B57" s="234" t="s">
        <v>5044</v>
      </c>
      <c r="C57" s="234">
        <v>5.0036414289E10</v>
      </c>
      <c r="D57" s="234">
        <v>8.1103634E7</v>
      </c>
      <c r="E57" s="234">
        <v>1.301385342E9</v>
      </c>
      <c r="F57" s="234" t="s">
        <v>5045</v>
      </c>
      <c r="G57" s="234" t="s">
        <v>5012</v>
      </c>
      <c r="H57" s="234" t="s">
        <v>5005</v>
      </c>
      <c r="I57" s="235">
        <v>21999.0</v>
      </c>
      <c r="J57" s="232">
        <v>18399.0</v>
      </c>
      <c r="K57" s="235"/>
      <c r="L57" s="234">
        <v>6.0</v>
      </c>
      <c r="M57" s="216">
        <f t="shared" si="1"/>
        <v>0.03</v>
      </c>
      <c r="N57" s="239" t="s">
        <v>4882</v>
      </c>
      <c r="O57" s="236">
        <v>11855.0</v>
      </c>
      <c r="P57" s="218">
        <f t="shared" si="2"/>
        <v>1471.92</v>
      </c>
      <c r="Q57" s="218">
        <f t="shared" si="3"/>
        <v>423.177</v>
      </c>
      <c r="R57" s="227">
        <f t="shared" ref="R57:R58" si="16">11%+M57</f>
        <v>0.14</v>
      </c>
      <c r="S57" s="218">
        <f t="shared" si="5"/>
        <v>2575.86</v>
      </c>
      <c r="T57" s="220">
        <f t="shared" si="6"/>
        <v>859</v>
      </c>
      <c r="U57" s="218">
        <f t="shared" si="7"/>
        <v>1214.043</v>
      </c>
      <c r="V57" s="221">
        <f t="shared" si="8"/>
        <v>0.1024076761</v>
      </c>
      <c r="W57" s="234">
        <v>46.8</v>
      </c>
      <c r="X57" s="234">
        <v>49.1</v>
      </c>
      <c r="Y57" s="234">
        <v>102.7</v>
      </c>
      <c r="Z57" s="234">
        <v>0.18</v>
      </c>
      <c r="AA57" s="213">
        <f t="shared" si="9"/>
        <v>47.1984552</v>
      </c>
      <c r="AB57" s="213">
        <f t="shared" si="10"/>
        <v>47.1984552</v>
      </c>
    </row>
    <row r="58">
      <c r="A58" s="212" t="s">
        <v>4175</v>
      </c>
      <c r="B58" s="234" t="s">
        <v>5046</v>
      </c>
      <c r="C58" s="234">
        <v>5.0036408608E10</v>
      </c>
      <c r="D58" s="234">
        <v>8.1103629E7</v>
      </c>
      <c r="E58" s="234">
        <v>1.301385343E9</v>
      </c>
      <c r="F58" s="234" t="s">
        <v>5047</v>
      </c>
      <c r="G58" s="234" t="s">
        <v>5012</v>
      </c>
      <c r="H58" s="234" t="s">
        <v>5005</v>
      </c>
      <c r="I58" s="238"/>
      <c r="J58" s="232">
        <v>13299.0</v>
      </c>
      <c r="K58" s="235"/>
      <c r="L58" s="234">
        <v>3.0</v>
      </c>
      <c r="M58" s="216">
        <f t="shared" si="1"/>
        <v>0.01</v>
      </c>
      <c r="N58" s="239" t="s">
        <v>4882</v>
      </c>
      <c r="O58" s="235">
        <v>8599.0</v>
      </c>
      <c r="P58" s="218">
        <f t="shared" si="2"/>
        <v>1063.92</v>
      </c>
      <c r="Q58" s="218">
        <f t="shared" si="3"/>
        <v>305.877</v>
      </c>
      <c r="R58" s="227">
        <f t="shared" si="16"/>
        <v>0.12</v>
      </c>
      <c r="S58" s="218">
        <f t="shared" si="5"/>
        <v>1595.88</v>
      </c>
      <c r="T58" s="220">
        <f t="shared" si="6"/>
        <v>859</v>
      </c>
      <c r="U58" s="218">
        <f t="shared" si="7"/>
        <v>875.323</v>
      </c>
      <c r="V58" s="221">
        <f t="shared" si="8"/>
        <v>0.1017935806</v>
      </c>
      <c r="W58" s="234">
        <v>48.9</v>
      </c>
      <c r="X58" s="234">
        <v>85.4</v>
      </c>
      <c r="Y58" s="234">
        <v>48.0</v>
      </c>
      <c r="Z58" s="234">
        <v>29.4</v>
      </c>
      <c r="AA58" s="213">
        <f t="shared" si="9"/>
        <v>40.090176</v>
      </c>
      <c r="AB58" s="213">
        <f t="shared" si="10"/>
        <v>40.090176</v>
      </c>
    </row>
    <row r="59">
      <c r="A59" s="212" t="s">
        <v>4175</v>
      </c>
      <c r="B59" s="234" t="s">
        <v>5048</v>
      </c>
      <c r="C59" s="234">
        <v>6.941812701867E12</v>
      </c>
      <c r="D59" s="234">
        <v>8.120973E7</v>
      </c>
      <c r="E59" s="234">
        <v>1.301466535E9</v>
      </c>
      <c r="F59" s="234" t="s">
        <v>5049</v>
      </c>
      <c r="G59" s="234" t="s">
        <v>4943</v>
      </c>
      <c r="H59" s="234" t="s">
        <v>4990</v>
      </c>
      <c r="I59" s="235">
        <v>4999.0</v>
      </c>
      <c r="J59" s="232">
        <v>3799.0</v>
      </c>
      <c r="K59" s="238"/>
      <c r="L59" s="234">
        <v>3.0</v>
      </c>
      <c r="M59" s="216">
        <f t="shared" si="1"/>
        <v>0.01</v>
      </c>
      <c r="N59" s="239" t="s">
        <v>4882</v>
      </c>
      <c r="O59" s="236">
        <v>2300.0</v>
      </c>
      <c r="P59" s="218">
        <f t="shared" si="2"/>
        <v>303.92</v>
      </c>
      <c r="Q59" s="218">
        <f t="shared" si="3"/>
        <v>87.377</v>
      </c>
      <c r="R59" s="227">
        <f t="shared" ref="R59:R60" si="17">15%+M59</f>
        <v>0.16</v>
      </c>
      <c r="S59" s="218">
        <f t="shared" si="5"/>
        <v>607.84</v>
      </c>
      <c r="T59" s="220">
        <f t="shared" si="6"/>
        <v>179</v>
      </c>
      <c r="U59" s="218">
        <f t="shared" si="7"/>
        <v>320.863</v>
      </c>
      <c r="V59" s="221">
        <f t="shared" si="8"/>
        <v>0.1395056522</v>
      </c>
      <c r="W59" s="234">
        <v>49.0</v>
      </c>
      <c r="X59" s="234">
        <v>39.0</v>
      </c>
      <c r="Y59" s="234">
        <v>14.0</v>
      </c>
      <c r="Z59" s="234">
        <v>5.2</v>
      </c>
      <c r="AA59" s="213">
        <f t="shared" si="9"/>
        <v>5.3508</v>
      </c>
      <c r="AB59" s="213">
        <f t="shared" si="10"/>
        <v>5.3508</v>
      </c>
    </row>
    <row r="60">
      <c r="A60" s="212" t="s">
        <v>4175</v>
      </c>
      <c r="B60" s="234" t="s">
        <v>5050</v>
      </c>
      <c r="C60" s="234">
        <v>6.941812708477E12</v>
      </c>
      <c r="D60" s="234">
        <v>8.1209728E7</v>
      </c>
      <c r="E60" s="234">
        <v>1.30146653E9</v>
      </c>
      <c r="F60" s="234" t="s">
        <v>5051</v>
      </c>
      <c r="G60" s="234" t="s">
        <v>4943</v>
      </c>
      <c r="H60" s="234" t="s">
        <v>4990</v>
      </c>
      <c r="I60" s="235">
        <v>5199.0</v>
      </c>
      <c r="J60" s="232">
        <v>3899.0</v>
      </c>
      <c r="K60" s="238"/>
      <c r="L60" s="234">
        <v>3.0</v>
      </c>
      <c r="M60" s="216">
        <f t="shared" si="1"/>
        <v>0.01</v>
      </c>
      <c r="N60" s="239" t="s">
        <v>4882</v>
      </c>
      <c r="O60" s="236">
        <v>2380.0</v>
      </c>
      <c r="P60" s="218">
        <f t="shared" si="2"/>
        <v>311.92</v>
      </c>
      <c r="Q60" s="218">
        <f t="shared" si="3"/>
        <v>89.677</v>
      </c>
      <c r="R60" s="227">
        <f t="shared" si="17"/>
        <v>0.16</v>
      </c>
      <c r="S60" s="218">
        <f t="shared" si="5"/>
        <v>623.84</v>
      </c>
      <c r="T60" s="220">
        <f t="shared" si="6"/>
        <v>169</v>
      </c>
      <c r="U60" s="218">
        <f t="shared" si="7"/>
        <v>324.563</v>
      </c>
      <c r="V60" s="221">
        <f t="shared" si="8"/>
        <v>0.1363710084</v>
      </c>
      <c r="W60" s="234">
        <v>40.0</v>
      </c>
      <c r="X60" s="234">
        <v>13.0</v>
      </c>
      <c r="Y60" s="234">
        <v>45.0</v>
      </c>
      <c r="Z60" s="234">
        <v>5.0</v>
      </c>
      <c r="AA60" s="213">
        <f t="shared" si="9"/>
        <v>4.68</v>
      </c>
      <c r="AB60" s="213">
        <f t="shared" si="10"/>
        <v>5</v>
      </c>
    </row>
    <row r="61">
      <c r="A61" s="212" t="s">
        <v>4175</v>
      </c>
      <c r="B61" s="234" t="s">
        <v>5052</v>
      </c>
      <c r="C61" s="234">
        <v>8.78615093218E11</v>
      </c>
      <c r="D61" s="234">
        <v>8.1106574E7</v>
      </c>
      <c r="E61" s="234">
        <v>1.301362843E9</v>
      </c>
      <c r="F61" s="234" t="s">
        <v>5053</v>
      </c>
      <c r="G61" s="234" t="s">
        <v>5004</v>
      </c>
      <c r="H61" s="234" t="s">
        <v>5054</v>
      </c>
      <c r="I61" s="235">
        <v>699.0</v>
      </c>
      <c r="J61" s="232">
        <v>479.0</v>
      </c>
      <c r="K61" s="238"/>
      <c r="L61" s="234">
        <v>3.0</v>
      </c>
      <c r="M61" s="216">
        <f t="shared" si="1"/>
        <v>0.01</v>
      </c>
      <c r="N61" s="239" t="s">
        <v>4882</v>
      </c>
      <c r="O61" s="240">
        <v>249.0</v>
      </c>
      <c r="P61" s="218">
        <f t="shared" si="2"/>
        <v>38.32</v>
      </c>
      <c r="Q61" s="218">
        <f t="shared" si="3"/>
        <v>11.017</v>
      </c>
      <c r="R61" s="227">
        <f>11%+M61</f>
        <v>0.12</v>
      </c>
      <c r="S61" s="218">
        <f t="shared" si="5"/>
        <v>57.48</v>
      </c>
      <c r="T61" s="220">
        <f t="shared" si="6"/>
        <v>129</v>
      </c>
      <c r="U61" s="218">
        <f t="shared" si="7"/>
        <v>-5.817</v>
      </c>
      <c r="V61" s="221">
        <f t="shared" si="8"/>
        <v>-0.02336144578</v>
      </c>
      <c r="W61" s="234">
        <v>19.5</v>
      </c>
      <c r="X61" s="234">
        <v>0.18</v>
      </c>
      <c r="Y61" s="234">
        <v>8.5</v>
      </c>
      <c r="Z61" s="234">
        <v>0.3</v>
      </c>
      <c r="AA61" s="213">
        <f t="shared" si="9"/>
        <v>0.005967</v>
      </c>
      <c r="AB61" s="213">
        <f t="shared" si="10"/>
        <v>0.3</v>
      </c>
    </row>
    <row r="62">
      <c r="A62" s="212" t="s">
        <v>4175</v>
      </c>
      <c r="B62" s="234" t="s">
        <v>5055</v>
      </c>
      <c r="C62" s="234">
        <v>6.941812706251E12</v>
      </c>
      <c r="D62" s="234">
        <v>8.1218865E7</v>
      </c>
      <c r="E62" s="234">
        <v>1.301473427E9</v>
      </c>
      <c r="F62" s="234" t="s">
        <v>5056</v>
      </c>
      <c r="G62" s="234" t="s">
        <v>5057</v>
      </c>
      <c r="H62" s="234" t="s">
        <v>4990</v>
      </c>
      <c r="I62" s="235">
        <v>999.0</v>
      </c>
      <c r="J62" s="232">
        <v>729.0</v>
      </c>
      <c r="K62" s="238"/>
      <c r="L62" s="234">
        <v>3.0</v>
      </c>
      <c r="M62" s="216">
        <f t="shared" si="1"/>
        <v>0.01</v>
      </c>
      <c r="N62" s="239" t="s">
        <v>4882</v>
      </c>
      <c r="O62" s="240">
        <v>360.98</v>
      </c>
      <c r="P62" s="218">
        <f t="shared" si="2"/>
        <v>58.32</v>
      </c>
      <c r="Q62" s="218">
        <f t="shared" si="3"/>
        <v>16.767</v>
      </c>
      <c r="R62" s="227">
        <f t="shared" ref="R62:R64" si="18">17%+M62</f>
        <v>0.18</v>
      </c>
      <c r="S62" s="218">
        <f t="shared" si="5"/>
        <v>131.22</v>
      </c>
      <c r="T62" s="220">
        <f t="shared" si="6"/>
        <v>129</v>
      </c>
      <c r="U62" s="218">
        <f t="shared" si="7"/>
        <v>32.713</v>
      </c>
      <c r="V62" s="221">
        <f t="shared" si="8"/>
        <v>0.09062274918</v>
      </c>
      <c r="W62" s="234">
        <v>9.0</v>
      </c>
      <c r="X62" s="234">
        <v>9.0</v>
      </c>
      <c r="Y62" s="234">
        <v>3.0</v>
      </c>
      <c r="Z62" s="234">
        <v>0.12</v>
      </c>
      <c r="AA62" s="213">
        <f t="shared" si="9"/>
        <v>0.0486</v>
      </c>
      <c r="AB62" s="213">
        <f t="shared" si="10"/>
        <v>0.12</v>
      </c>
    </row>
    <row r="63">
      <c r="A63" s="212" t="s">
        <v>4175</v>
      </c>
      <c r="B63" s="234" t="s">
        <v>5058</v>
      </c>
      <c r="C63" s="234">
        <v>6.932554415389E12</v>
      </c>
      <c r="D63" s="234">
        <v>8.1218875E7</v>
      </c>
      <c r="E63" s="234">
        <v>1.301473579E9</v>
      </c>
      <c r="F63" s="234" t="s">
        <v>5059</v>
      </c>
      <c r="G63" s="234" t="s">
        <v>5057</v>
      </c>
      <c r="H63" s="234" t="s">
        <v>4990</v>
      </c>
      <c r="I63" s="235">
        <v>999.0</v>
      </c>
      <c r="J63" s="232">
        <v>769.0</v>
      </c>
      <c r="K63" s="238"/>
      <c r="L63" s="234">
        <v>3.0</v>
      </c>
      <c r="M63" s="216">
        <f t="shared" si="1"/>
        <v>0.01</v>
      </c>
      <c r="N63" s="239" t="s">
        <v>4882</v>
      </c>
      <c r="O63" s="240">
        <v>389.0</v>
      </c>
      <c r="P63" s="218">
        <f t="shared" si="2"/>
        <v>61.52</v>
      </c>
      <c r="Q63" s="218">
        <f t="shared" si="3"/>
        <v>17.687</v>
      </c>
      <c r="R63" s="227">
        <f t="shared" si="18"/>
        <v>0.18</v>
      </c>
      <c r="S63" s="218">
        <f t="shared" si="5"/>
        <v>138.42</v>
      </c>
      <c r="T63" s="220">
        <f t="shared" si="6"/>
        <v>129</v>
      </c>
      <c r="U63" s="218">
        <f t="shared" si="7"/>
        <v>33.373</v>
      </c>
      <c r="V63" s="221">
        <f t="shared" si="8"/>
        <v>0.08579177378</v>
      </c>
      <c r="W63" s="234">
        <v>9.0</v>
      </c>
      <c r="X63" s="234">
        <v>9.0</v>
      </c>
      <c r="Y63" s="234">
        <v>3.0</v>
      </c>
      <c r="Z63" s="234">
        <v>0.12</v>
      </c>
      <c r="AA63" s="213">
        <f t="shared" si="9"/>
        <v>0.0486</v>
      </c>
      <c r="AB63" s="213">
        <f t="shared" si="10"/>
        <v>0.12</v>
      </c>
    </row>
    <row r="64">
      <c r="A64" s="212" t="s">
        <v>4175</v>
      </c>
      <c r="B64" s="234" t="s">
        <v>5060</v>
      </c>
      <c r="C64" s="234">
        <v>6.932554419813E12</v>
      </c>
      <c r="D64" s="234">
        <v>8.1218866E7</v>
      </c>
      <c r="E64" s="234">
        <v>1.30147347E9</v>
      </c>
      <c r="F64" s="234" t="s">
        <v>5061</v>
      </c>
      <c r="G64" s="234" t="s">
        <v>5057</v>
      </c>
      <c r="H64" s="234" t="s">
        <v>4990</v>
      </c>
      <c r="I64" s="235">
        <v>1499.0</v>
      </c>
      <c r="J64" s="232">
        <v>1149.0</v>
      </c>
      <c r="K64" s="214">
        <v>50.0</v>
      </c>
      <c r="L64" s="214">
        <v>3.0</v>
      </c>
      <c r="M64" s="216">
        <f t="shared" si="1"/>
        <v>0.01</v>
      </c>
      <c r="N64" s="213" t="s">
        <v>4882</v>
      </c>
      <c r="O64" s="236">
        <v>638.63</v>
      </c>
      <c r="P64" s="218">
        <f t="shared" si="2"/>
        <v>91.92</v>
      </c>
      <c r="Q64" s="218">
        <f t="shared" si="3"/>
        <v>26.427</v>
      </c>
      <c r="R64" s="227">
        <f t="shared" si="18"/>
        <v>0.18</v>
      </c>
      <c r="S64" s="218">
        <f t="shared" si="5"/>
        <v>206.82</v>
      </c>
      <c r="T64" s="220">
        <f t="shared" si="6"/>
        <v>129</v>
      </c>
      <c r="U64" s="218">
        <f t="shared" si="7"/>
        <v>56.203</v>
      </c>
      <c r="V64" s="221">
        <f t="shared" si="8"/>
        <v>0.08800557443</v>
      </c>
      <c r="W64" s="234">
        <v>12.5</v>
      </c>
      <c r="X64" s="234">
        <v>12.5</v>
      </c>
      <c r="Y64" s="234">
        <v>8.5</v>
      </c>
      <c r="Z64" s="234">
        <v>0.5</v>
      </c>
      <c r="AA64" s="213">
        <f t="shared" si="9"/>
        <v>0.265625</v>
      </c>
      <c r="AB64" s="213">
        <f t="shared" si="10"/>
        <v>0.5</v>
      </c>
    </row>
    <row r="65">
      <c r="A65" s="212" t="s">
        <v>4175</v>
      </c>
      <c r="B65" s="234" t="s">
        <v>5062</v>
      </c>
      <c r="C65" s="234">
        <v>6.941812784563E12</v>
      </c>
      <c r="D65" s="234">
        <v>8.1218867E7</v>
      </c>
      <c r="E65" s="234">
        <v>1.301473472E9</v>
      </c>
      <c r="F65" s="234" t="s">
        <v>5063</v>
      </c>
      <c r="G65" s="234" t="s">
        <v>5064</v>
      </c>
      <c r="H65" s="234" t="s">
        <v>4990</v>
      </c>
      <c r="I65" s="235">
        <v>2999.0</v>
      </c>
      <c r="J65" s="232">
        <v>2599.0</v>
      </c>
      <c r="K65" s="214"/>
      <c r="L65" s="214">
        <v>3.0</v>
      </c>
      <c r="M65" s="216">
        <f t="shared" si="1"/>
        <v>0.01</v>
      </c>
      <c r="N65" s="213" t="s">
        <v>4882</v>
      </c>
      <c r="O65" s="236">
        <v>1600.0</v>
      </c>
      <c r="P65" s="218">
        <f t="shared" si="2"/>
        <v>207.92</v>
      </c>
      <c r="Q65" s="218">
        <f t="shared" si="3"/>
        <v>59.777</v>
      </c>
      <c r="R65" s="227">
        <f>10%+M65</f>
        <v>0.11</v>
      </c>
      <c r="S65" s="218">
        <f t="shared" si="5"/>
        <v>285.89</v>
      </c>
      <c r="T65" s="220">
        <f t="shared" si="6"/>
        <v>129</v>
      </c>
      <c r="U65" s="218">
        <f t="shared" si="7"/>
        <v>316.413</v>
      </c>
      <c r="V65" s="221">
        <f t="shared" si="8"/>
        <v>0.197758125</v>
      </c>
      <c r="W65" s="234">
        <v>12.5</v>
      </c>
      <c r="X65" s="234">
        <v>12.5</v>
      </c>
      <c r="Y65" s="234">
        <v>8.5</v>
      </c>
      <c r="Z65" s="234">
        <v>0.15</v>
      </c>
      <c r="AA65" s="213">
        <f t="shared" si="9"/>
        <v>0.265625</v>
      </c>
      <c r="AB65" s="213">
        <f t="shared" si="10"/>
        <v>0.265625</v>
      </c>
    </row>
    <row r="66">
      <c r="A66" s="212" t="s">
        <v>4175</v>
      </c>
      <c r="B66" s="234" t="s">
        <v>5065</v>
      </c>
      <c r="C66" s="234">
        <v>4.897116931801E12</v>
      </c>
      <c r="D66" s="234">
        <v>8.1209726E7</v>
      </c>
      <c r="E66" s="234">
        <v>1.301466514E9</v>
      </c>
      <c r="F66" s="234" t="s">
        <v>5066</v>
      </c>
      <c r="G66" s="234" t="s">
        <v>5067</v>
      </c>
      <c r="H66" s="234" t="s">
        <v>5068</v>
      </c>
      <c r="I66" s="235">
        <v>1299.0</v>
      </c>
      <c r="J66" s="232">
        <v>979.0</v>
      </c>
      <c r="K66" s="234">
        <v>40.0</v>
      </c>
      <c r="L66" s="214">
        <v>3.0</v>
      </c>
      <c r="M66" s="216">
        <f t="shared" si="1"/>
        <v>0.01</v>
      </c>
      <c r="N66" s="213" t="s">
        <v>4882</v>
      </c>
      <c r="O66" s="241">
        <v>522.16</v>
      </c>
      <c r="P66" s="218">
        <f t="shared" si="2"/>
        <v>78.32</v>
      </c>
      <c r="Q66" s="218">
        <f t="shared" si="3"/>
        <v>22.517</v>
      </c>
      <c r="R66" s="227">
        <f>16%+M66</f>
        <v>0.17</v>
      </c>
      <c r="S66" s="218">
        <f t="shared" si="5"/>
        <v>166.43</v>
      </c>
      <c r="T66" s="220">
        <f t="shared" si="6"/>
        <v>129</v>
      </c>
      <c r="U66" s="218">
        <f t="shared" si="7"/>
        <v>60.573</v>
      </c>
      <c r="V66" s="221">
        <f t="shared" si="8"/>
        <v>0.1160046729</v>
      </c>
      <c r="W66" s="234">
        <v>10.5</v>
      </c>
      <c r="X66" s="234">
        <v>8.0</v>
      </c>
      <c r="Y66" s="234">
        <v>4.5</v>
      </c>
      <c r="Z66" s="234">
        <v>0.1</v>
      </c>
      <c r="AA66" s="213">
        <f t="shared" si="9"/>
        <v>0.0756</v>
      </c>
      <c r="AB66" s="213">
        <f t="shared" si="10"/>
        <v>0.1</v>
      </c>
    </row>
    <row r="67">
      <c r="A67" s="212" t="s">
        <v>4175</v>
      </c>
      <c r="B67" s="234" t="s">
        <v>5069</v>
      </c>
      <c r="C67" s="234">
        <v>8.720389033971E12</v>
      </c>
      <c r="D67" s="234">
        <v>8.1209727E7</v>
      </c>
      <c r="E67" s="234">
        <v>1.301466525E9</v>
      </c>
      <c r="F67" s="234" t="s">
        <v>5070</v>
      </c>
      <c r="G67" s="234" t="s">
        <v>4937</v>
      </c>
      <c r="H67" s="234" t="s">
        <v>5071</v>
      </c>
      <c r="I67" s="235">
        <v>7999.0</v>
      </c>
      <c r="J67" s="232">
        <v>5999.0</v>
      </c>
      <c r="K67" s="238"/>
      <c r="L67" s="214">
        <v>3.0</v>
      </c>
      <c r="M67" s="216">
        <f t="shared" si="1"/>
        <v>0.01</v>
      </c>
      <c r="N67" s="213" t="s">
        <v>4882</v>
      </c>
      <c r="O67" s="241">
        <v>3884.6</v>
      </c>
      <c r="P67" s="218">
        <f t="shared" si="2"/>
        <v>479.92</v>
      </c>
      <c r="Q67" s="218">
        <f t="shared" si="3"/>
        <v>137.977</v>
      </c>
      <c r="R67" s="227">
        <f>15%+M67</f>
        <v>0.16</v>
      </c>
      <c r="S67" s="218">
        <f t="shared" si="5"/>
        <v>959.84</v>
      </c>
      <c r="T67" s="220">
        <f t="shared" si="6"/>
        <v>249</v>
      </c>
      <c r="U67" s="218">
        <f t="shared" si="7"/>
        <v>287.663</v>
      </c>
      <c r="V67" s="221">
        <f t="shared" si="8"/>
        <v>0.07405215466</v>
      </c>
      <c r="W67" s="234">
        <v>48.0</v>
      </c>
      <c r="X67" s="234">
        <v>23.0</v>
      </c>
      <c r="Y67" s="234">
        <v>38.0</v>
      </c>
      <c r="Z67" s="234">
        <v>9.5</v>
      </c>
      <c r="AA67" s="213">
        <f t="shared" si="9"/>
        <v>8.3904</v>
      </c>
      <c r="AB67" s="213">
        <f t="shared" si="10"/>
        <v>9.5</v>
      </c>
    </row>
    <row r="68">
      <c r="A68" s="212" t="s">
        <v>4175</v>
      </c>
      <c r="B68" s="234" t="s">
        <v>5072</v>
      </c>
      <c r="C68" s="234">
        <v>6.94181279153E12</v>
      </c>
      <c r="D68" s="234">
        <v>8.1218869E7</v>
      </c>
      <c r="E68" s="234">
        <v>1.301473462E9</v>
      </c>
      <c r="F68" s="234" t="s">
        <v>5073</v>
      </c>
      <c r="G68" s="234" t="s">
        <v>5064</v>
      </c>
      <c r="H68" s="234" t="s">
        <v>4990</v>
      </c>
      <c r="I68" s="235">
        <v>1999.0</v>
      </c>
      <c r="J68" s="232">
        <v>1249.0</v>
      </c>
      <c r="K68" s="238"/>
      <c r="L68" s="214">
        <v>3.0</v>
      </c>
      <c r="M68" s="216">
        <f t="shared" si="1"/>
        <v>0.01</v>
      </c>
      <c r="N68" s="213" t="s">
        <v>4882</v>
      </c>
      <c r="O68" s="235">
        <v>700.0</v>
      </c>
      <c r="P68" s="218">
        <f t="shared" si="2"/>
        <v>99.92</v>
      </c>
      <c r="Q68" s="218">
        <f t="shared" si="3"/>
        <v>28.727</v>
      </c>
      <c r="R68" s="227">
        <f t="shared" ref="R68:R69" si="19">10%+M68</f>
        <v>0.11</v>
      </c>
      <c r="S68" s="218">
        <f t="shared" si="5"/>
        <v>137.39</v>
      </c>
      <c r="T68" s="220">
        <f t="shared" si="6"/>
        <v>129</v>
      </c>
      <c r="U68" s="218">
        <f t="shared" si="7"/>
        <v>153.963</v>
      </c>
      <c r="V68" s="221">
        <f t="shared" si="8"/>
        <v>0.2199471429</v>
      </c>
      <c r="W68" s="234">
        <v>3.0</v>
      </c>
      <c r="X68" s="234">
        <v>9.5</v>
      </c>
      <c r="Y68" s="234">
        <v>9.0</v>
      </c>
      <c r="Z68" s="234">
        <v>0.15</v>
      </c>
      <c r="AA68" s="213">
        <f t="shared" si="9"/>
        <v>0.0513</v>
      </c>
      <c r="AB68" s="213">
        <f t="shared" si="10"/>
        <v>0.15</v>
      </c>
    </row>
    <row r="69">
      <c r="A69" s="212" t="s">
        <v>4175</v>
      </c>
      <c r="B69" s="234" t="s">
        <v>5074</v>
      </c>
      <c r="C69" s="234">
        <v>6.941812791554E12</v>
      </c>
      <c r="D69" s="234">
        <v>8.1218868E7</v>
      </c>
      <c r="E69" s="234">
        <v>1.301473566E9</v>
      </c>
      <c r="F69" s="234" t="s">
        <v>5075</v>
      </c>
      <c r="G69" s="234" t="s">
        <v>5064</v>
      </c>
      <c r="H69" s="234" t="s">
        <v>4990</v>
      </c>
      <c r="I69" s="235">
        <v>1599.0</v>
      </c>
      <c r="J69" s="232">
        <v>1249.0</v>
      </c>
      <c r="K69" s="238"/>
      <c r="L69" s="214">
        <v>3.0</v>
      </c>
      <c r="M69" s="216">
        <f t="shared" si="1"/>
        <v>0.01</v>
      </c>
      <c r="N69" s="213" t="s">
        <v>4882</v>
      </c>
      <c r="O69" s="235">
        <v>700.0</v>
      </c>
      <c r="P69" s="218">
        <f t="shared" si="2"/>
        <v>99.92</v>
      </c>
      <c r="Q69" s="218">
        <f t="shared" si="3"/>
        <v>28.727</v>
      </c>
      <c r="R69" s="227">
        <f t="shared" si="19"/>
        <v>0.11</v>
      </c>
      <c r="S69" s="218">
        <f t="shared" si="5"/>
        <v>137.39</v>
      </c>
      <c r="T69" s="220">
        <f t="shared" si="6"/>
        <v>129</v>
      </c>
      <c r="U69" s="218">
        <f t="shared" si="7"/>
        <v>153.963</v>
      </c>
      <c r="V69" s="221">
        <f t="shared" si="8"/>
        <v>0.2199471429</v>
      </c>
      <c r="W69" s="234">
        <v>3.0</v>
      </c>
      <c r="X69" s="234">
        <v>9.5</v>
      </c>
      <c r="Y69" s="234">
        <v>9.0</v>
      </c>
      <c r="Z69" s="234">
        <v>0.15</v>
      </c>
      <c r="AA69" s="213">
        <f t="shared" si="9"/>
        <v>0.0513</v>
      </c>
      <c r="AB69" s="213">
        <f t="shared" si="10"/>
        <v>0.15</v>
      </c>
    </row>
    <row r="70">
      <c r="A70" s="212" t="s">
        <v>4175</v>
      </c>
      <c r="B70" s="234" t="s">
        <v>5076</v>
      </c>
      <c r="C70" s="234">
        <v>6.941812769454E12</v>
      </c>
      <c r="D70" s="234">
        <v>8.1218836E7</v>
      </c>
      <c r="E70" s="234">
        <v>1.301483065E9</v>
      </c>
      <c r="F70" s="234" t="s">
        <v>5077</v>
      </c>
      <c r="G70" s="234" t="s">
        <v>4943</v>
      </c>
      <c r="H70" s="234" t="s">
        <v>4990</v>
      </c>
      <c r="I70" s="235">
        <v>3499.0</v>
      </c>
      <c r="J70" s="232">
        <v>2799.0</v>
      </c>
      <c r="K70" s="238"/>
      <c r="L70" s="214">
        <v>3.0</v>
      </c>
      <c r="M70" s="216">
        <f t="shared" si="1"/>
        <v>0.01</v>
      </c>
      <c r="N70" s="213" t="s">
        <v>4882</v>
      </c>
      <c r="O70" s="235">
        <v>1670.0</v>
      </c>
      <c r="P70" s="218">
        <f t="shared" si="2"/>
        <v>223.92</v>
      </c>
      <c r="Q70" s="218">
        <f t="shared" si="3"/>
        <v>64.377</v>
      </c>
      <c r="R70" s="227">
        <f t="shared" ref="R70:R71" si="20">15%+M70</f>
        <v>0.16</v>
      </c>
      <c r="S70" s="218">
        <f t="shared" si="5"/>
        <v>447.84</v>
      </c>
      <c r="T70" s="220">
        <f t="shared" si="6"/>
        <v>169</v>
      </c>
      <c r="U70" s="218">
        <f t="shared" si="7"/>
        <v>223.863</v>
      </c>
      <c r="V70" s="221">
        <f t="shared" si="8"/>
        <v>0.1340497006</v>
      </c>
      <c r="W70" s="234">
        <v>36.5</v>
      </c>
      <c r="X70" s="234">
        <v>13.5</v>
      </c>
      <c r="Y70" s="234">
        <v>43.5</v>
      </c>
      <c r="Z70" s="234">
        <v>3.2</v>
      </c>
      <c r="AA70" s="213">
        <f t="shared" si="9"/>
        <v>4.286925</v>
      </c>
      <c r="AB70" s="213">
        <f t="shared" si="10"/>
        <v>4.286925</v>
      </c>
    </row>
    <row r="71">
      <c r="A71" s="212" t="s">
        <v>4175</v>
      </c>
      <c r="B71" s="234" t="s">
        <v>5078</v>
      </c>
      <c r="C71" s="234">
        <v>6.941812773147E12</v>
      </c>
      <c r="D71" s="234">
        <v>8.1218842E7</v>
      </c>
      <c r="E71" s="234">
        <v>1.301483042E9</v>
      </c>
      <c r="F71" s="234" t="s">
        <v>5079</v>
      </c>
      <c r="G71" s="234" t="s">
        <v>4943</v>
      </c>
      <c r="H71" s="234" t="s">
        <v>4990</v>
      </c>
      <c r="I71" s="235">
        <v>3999.0</v>
      </c>
      <c r="J71" s="232">
        <v>2899.0</v>
      </c>
      <c r="K71" s="238"/>
      <c r="L71" s="214">
        <v>3.0</v>
      </c>
      <c r="M71" s="216">
        <f t="shared" si="1"/>
        <v>0.01</v>
      </c>
      <c r="N71" s="213" t="s">
        <v>4882</v>
      </c>
      <c r="O71" s="235">
        <v>1650.0</v>
      </c>
      <c r="P71" s="218">
        <f t="shared" si="2"/>
        <v>231.92</v>
      </c>
      <c r="Q71" s="218">
        <f t="shared" si="3"/>
        <v>66.677</v>
      </c>
      <c r="R71" s="227">
        <f t="shared" si="20"/>
        <v>0.16</v>
      </c>
      <c r="S71" s="218">
        <f t="shared" si="5"/>
        <v>463.84</v>
      </c>
      <c r="T71" s="220">
        <f t="shared" si="6"/>
        <v>249</v>
      </c>
      <c r="U71" s="218">
        <f t="shared" si="7"/>
        <v>237.563</v>
      </c>
      <c r="V71" s="221">
        <f t="shared" si="8"/>
        <v>0.1439775758</v>
      </c>
      <c r="W71" s="234">
        <v>74.0</v>
      </c>
      <c r="X71" s="234">
        <v>29.0</v>
      </c>
      <c r="Y71" s="234">
        <v>21.5</v>
      </c>
      <c r="Z71" s="234">
        <v>3.6</v>
      </c>
      <c r="AA71" s="213">
        <f t="shared" si="9"/>
        <v>9.2278</v>
      </c>
      <c r="AB71" s="213">
        <f t="shared" si="10"/>
        <v>9.2278</v>
      </c>
    </row>
    <row r="72">
      <c r="A72" s="212" t="s">
        <v>4175</v>
      </c>
      <c r="B72" s="234" t="s">
        <v>5080</v>
      </c>
      <c r="C72" s="234">
        <v>7.99991620259E11</v>
      </c>
      <c r="D72" s="234">
        <v>8.1218843E7</v>
      </c>
      <c r="E72" s="234">
        <v>1.301483069E9</v>
      </c>
      <c r="F72" s="234" t="s">
        <v>5081</v>
      </c>
      <c r="G72" s="234" t="s">
        <v>5004</v>
      </c>
      <c r="H72" s="234" t="s">
        <v>5082</v>
      </c>
      <c r="I72" s="235">
        <v>499.0</v>
      </c>
      <c r="J72" s="232">
        <v>359.0</v>
      </c>
      <c r="K72" s="238"/>
      <c r="L72" s="214">
        <v>3.0</v>
      </c>
      <c r="M72" s="216">
        <f t="shared" si="1"/>
        <v>0.01</v>
      </c>
      <c r="N72" s="213" t="s">
        <v>4882</v>
      </c>
      <c r="O72" s="235">
        <v>133.26</v>
      </c>
      <c r="P72" s="218">
        <f t="shared" si="2"/>
        <v>28.72</v>
      </c>
      <c r="Q72" s="218">
        <f t="shared" si="3"/>
        <v>8.257</v>
      </c>
      <c r="R72" s="227">
        <f t="shared" ref="R72:R77" si="21">11%+M72</f>
        <v>0.12</v>
      </c>
      <c r="S72" s="218">
        <f t="shared" si="5"/>
        <v>43.08</v>
      </c>
      <c r="T72" s="220">
        <f t="shared" si="6"/>
        <v>129</v>
      </c>
      <c r="U72" s="218">
        <f t="shared" si="7"/>
        <v>16.683</v>
      </c>
      <c r="V72" s="221">
        <f t="shared" si="8"/>
        <v>0.1251913552</v>
      </c>
      <c r="W72" s="234">
        <v>9.0</v>
      </c>
      <c r="X72" s="234">
        <v>9.0</v>
      </c>
      <c r="Y72" s="234">
        <v>4.0</v>
      </c>
      <c r="Z72" s="234">
        <v>0.18</v>
      </c>
      <c r="AA72" s="213">
        <f t="shared" si="9"/>
        <v>0.0648</v>
      </c>
      <c r="AB72" s="213">
        <f t="shared" si="10"/>
        <v>0.18</v>
      </c>
    </row>
    <row r="73">
      <c r="A73" s="212" t="s">
        <v>4175</v>
      </c>
      <c r="B73" s="234" t="s">
        <v>5083</v>
      </c>
      <c r="C73" s="234">
        <v>6.941812777527E12</v>
      </c>
      <c r="D73" s="234">
        <v>8.1218844E7</v>
      </c>
      <c r="E73" s="234">
        <v>1.301483044E9</v>
      </c>
      <c r="F73" s="234" t="s">
        <v>5084</v>
      </c>
      <c r="G73" s="234" t="s">
        <v>5004</v>
      </c>
      <c r="H73" s="234" t="s">
        <v>4990</v>
      </c>
      <c r="I73" s="235">
        <v>699.0</v>
      </c>
      <c r="J73" s="232">
        <v>519.0</v>
      </c>
      <c r="K73" s="238"/>
      <c r="L73" s="214">
        <v>3.0</v>
      </c>
      <c r="M73" s="216">
        <f t="shared" si="1"/>
        <v>0.01</v>
      </c>
      <c r="N73" s="213" t="s">
        <v>4882</v>
      </c>
      <c r="O73" s="235">
        <v>242.0</v>
      </c>
      <c r="P73" s="218">
        <f t="shared" si="2"/>
        <v>41.52</v>
      </c>
      <c r="Q73" s="218">
        <f t="shared" si="3"/>
        <v>11.937</v>
      </c>
      <c r="R73" s="227">
        <f t="shared" si="21"/>
        <v>0.12</v>
      </c>
      <c r="S73" s="218">
        <f t="shared" si="5"/>
        <v>62.28</v>
      </c>
      <c r="T73" s="220">
        <f t="shared" si="6"/>
        <v>129</v>
      </c>
      <c r="U73" s="218">
        <f t="shared" si="7"/>
        <v>32.263</v>
      </c>
      <c r="V73" s="221">
        <f t="shared" si="8"/>
        <v>0.1333181818</v>
      </c>
      <c r="W73" s="234">
        <v>10.0</v>
      </c>
      <c r="X73" s="234">
        <v>10.0</v>
      </c>
      <c r="Y73" s="234">
        <v>4.5</v>
      </c>
      <c r="Z73" s="234">
        <v>0.16</v>
      </c>
      <c r="AA73" s="213">
        <f t="shared" si="9"/>
        <v>0.09</v>
      </c>
      <c r="AB73" s="213">
        <f t="shared" si="10"/>
        <v>0.16</v>
      </c>
    </row>
    <row r="74">
      <c r="A74" s="212" t="s">
        <v>4175</v>
      </c>
      <c r="B74" s="234" t="s">
        <v>5085</v>
      </c>
      <c r="C74" s="234">
        <v>6.941812777572E12</v>
      </c>
      <c r="D74" s="234">
        <v>8.1218849E7</v>
      </c>
      <c r="E74" s="234">
        <v>1.30148307E9</v>
      </c>
      <c r="F74" s="234" t="s">
        <v>5086</v>
      </c>
      <c r="G74" s="234" t="s">
        <v>5004</v>
      </c>
      <c r="H74" s="234" t="s">
        <v>4990</v>
      </c>
      <c r="I74" s="235">
        <v>599.0</v>
      </c>
      <c r="J74" s="232">
        <v>519.0</v>
      </c>
      <c r="K74" s="238"/>
      <c r="L74" s="214">
        <v>3.0</v>
      </c>
      <c r="M74" s="216">
        <f t="shared" si="1"/>
        <v>0.01</v>
      </c>
      <c r="N74" s="213" t="s">
        <v>4882</v>
      </c>
      <c r="O74" s="235">
        <v>220.0</v>
      </c>
      <c r="P74" s="218">
        <f t="shared" si="2"/>
        <v>41.52</v>
      </c>
      <c r="Q74" s="218">
        <f t="shared" si="3"/>
        <v>11.937</v>
      </c>
      <c r="R74" s="227">
        <f t="shared" si="21"/>
        <v>0.12</v>
      </c>
      <c r="S74" s="218">
        <f t="shared" si="5"/>
        <v>62.28</v>
      </c>
      <c r="T74" s="220">
        <f t="shared" si="6"/>
        <v>129</v>
      </c>
      <c r="U74" s="218">
        <f t="shared" si="7"/>
        <v>54.263</v>
      </c>
      <c r="V74" s="221">
        <f t="shared" si="8"/>
        <v>0.24665</v>
      </c>
      <c r="W74" s="234">
        <v>10.0</v>
      </c>
      <c r="X74" s="234">
        <v>10.0</v>
      </c>
      <c r="Y74" s="234">
        <v>4.5</v>
      </c>
      <c r="Z74" s="234">
        <v>0.16</v>
      </c>
      <c r="AA74" s="213">
        <f t="shared" si="9"/>
        <v>0.09</v>
      </c>
      <c r="AB74" s="213">
        <f t="shared" si="10"/>
        <v>0.16</v>
      </c>
    </row>
    <row r="75">
      <c r="A75" s="212" t="s">
        <v>4175</v>
      </c>
      <c r="B75" s="234" t="s">
        <v>5087</v>
      </c>
      <c r="C75" s="234">
        <v>6.932554471897E12</v>
      </c>
      <c r="D75" s="234">
        <v>8.1218845E7</v>
      </c>
      <c r="E75" s="234">
        <v>1.301483036E9</v>
      </c>
      <c r="F75" s="234" t="s">
        <v>5088</v>
      </c>
      <c r="G75" s="234" t="s">
        <v>5004</v>
      </c>
      <c r="H75" s="234" t="s">
        <v>4990</v>
      </c>
      <c r="I75" s="235">
        <v>999.0</v>
      </c>
      <c r="J75" s="232">
        <v>699.0</v>
      </c>
      <c r="K75" s="238"/>
      <c r="L75" s="214">
        <v>3.0</v>
      </c>
      <c r="M75" s="216">
        <f t="shared" si="1"/>
        <v>0.01</v>
      </c>
      <c r="N75" s="213" t="s">
        <v>4882</v>
      </c>
      <c r="O75" s="235">
        <v>359.0</v>
      </c>
      <c r="P75" s="218">
        <f t="shared" si="2"/>
        <v>55.92</v>
      </c>
      <c r="Q75" s="218">
        <f t="shared" si="3"/>
        <v>16.077</v>
      </c>
      <c r="R75" s="227">
        <f t="shared" si="21"/>
        <v>0.12</v>
      </c>
      <c r="S75" s="218">
        <f t="shared" si="5"/>
        <v>83.88</v>
      </c>
      <c r="T75" s="220">
        <f t="shared" si="6"/>
        <v>129</v>
      </c>
      <c r="U75" s="218">
        <f t="shared" si="7"/>
        <v>55.123</v>
      </c>
      <c r="V75" s="221">
        <f t="shared" si="8"/>
        <v>0.153545961</v>
      </c>
      <c r="W75" s="234">
        <v>9.5</v>
      </c>
      <c r="X75" s="234">
        <v>9.5</v>
      </c>
      <c r="Y75" s="234">
        <v>4.0</v>
      </c>
      <c r="Z75" s="234">
        <v>0.15</v>
      </c>
      <c r="AA75" s="213">
        <f t="shared" si="9"/>
        <v>0.0722</v>
      </c>
      <c r="AB75" s="213">
        <f t="shared" si="10"/>
        <v>0.15</v>
      </c>
    </row>
    <row r="76">
      <c r="A76" s="212" t="s">
        <v>4175</v>
      </c>
      <c r="B76" s="234" t="s">
        <v>5089</v>
      </c>
      <c r="C76" s="234">
        <v>6.932554471897E12</v>
      </c>
      <c r="D76" s="234">
        <v>8.1218845E7</v>
      </c>
      <c r="E76" s="234">
        <v>1.301483036E9</v>
      </c>
      <c r="F76" s="234" t="s">
        <v>5088</v>
      </c>
      <c r="G76" s="234" t="s">
        <v>5004</v>
      </c>
      <c r="H76" s="234" t="s">
        <v>4990</v>
      </c>
      <c r="I76" s="235">
        <v>999.0</v>
      </c>
      <c r="J76" s="232">
        <v>699.0</v>
      </c>
      <c r="K76" s="238"/>
      <c r="L76" s="214">
        <v>3.0</v>
      </c>
      <c r="M76" s="216">
        <f t="shared" si="1"/>
        <v>0.01</v>
      </c>
      <c r="N76" s="213" t="s">
        <v>4882</v>
      </c>
      <c r="O76" s="235">
        <v>359.0</v>
      </c>
      <c r="P76" s="218">
        <f t="shared" si="2"/>
        <v>55.92</v>
      </c>
      <c r="Q76" s="218">
        <f t="shared" si="3"/>
        <v>16.077</v>
      </c>
      <c r="R76" s="227">
        <f t="shared" si="21"/>
        <v>0.12</v>
      </c>
      <c r="S76" s="218">
        <f t="shared" si="5"/>
        <v>83.88</v>
      </c>
      <c r="T76" s="220">
        <f t="shared" si="6"/>
        <v>129</v>
      </c>
      <c r="U76" s="218">
        <f t="shared" si="7"/>
        <v>55.123</v>
      </c>
      <c r="V76" s="221">
        <f t="shared" si="8"/>
        <v>0.153545961</v>
      </c>
      <c r="W76" s="234">
        <v>9.5</v>
      </c>
      <c r="X76" s="234">
        <v>9.5</v>
      </c>
      <c r="Y76" s="234">
        <v>4.0</v>
      </c>
      <c r="Z76" s="234">
        <v>0.15</v>
      </c>
      <c r="AA76" s="213">
        <f t="shared" si="9"/>
        <v>0.0722</v>
      </c>
      <c r="AB76" s="213">
        <f t="shared" si="10"/>
        <v>0.15</v>
      </c>
    </row>
    <row r="77">
      <c r="A77" s="212" t="s">
        <v>4175</v>
      </c>
      <c r="B77" s="234" t="s">
        <v>5090</v>
      </c>
      <c r="C77" s="234">
        <v>6.94181279124E12</v>
      </c>
      <c r="D77" s="234">
        <v>8.1218848E7</v>
      </c>
      <c r="E77" s="234">
        <v>1.301483066E9</v>
      </c>
      <c r="F77" s="234" t="s">
        <v>5091</v>
      </c>
      <c r="G77" s="234" t="s">
        <v>5004</v>
      </c>
      <c r="H77" s="234" t="s">
        <v>4990</v>
      </c>
      <c r="I77" s="235">
        <v>599.0</v>
      </c>
      <c r="J77" s="232">
        <v>389.0</v>
      </c>
      <c r="K77" s="238"/>
      <c r="L77" s="214">
        <v>3.0</v>
      </c>
      <c r="M77" s="216">
        <f t="shared" si="1"/>
        <v>0.01</v>
      </c>
      <c r="N77" s="213" t="s">
        <v>4882</v>
      </c>
      <c r="O77" s="235">
        <v>153.0</v>
      </c>
      <c r="P77" s="218">
        <f t="shared" si="2"/>
        <v>31.12</v>
      </c>
      <c r="Q77" s="218">
        <f t="shared" si="3"/>
        <v>8.947</v>
      </c>
      <c r="R77" s="227">
        <f t="shared" si="21"/>
        <v>0.12</v>
      </c>
      <c r="S77" s="218">
        <f t="shared" si="5"/>
        <v>46.68</v>
      </c>
      <c r="T77" s="220">
        <f t="shared" si="6"/>
        <v>129</v>
      </c>
      <c r="U77" s="218">
        <f t="shared" si="7"/>
        <v>20.253</v>
      </c>
      <c r="V77" s="221">
        <f t="shared" si="8"/>
        <v>0.132372549</v>
      </c>
      <c r="W77" s="234">
        <v>9.5</v>
      </c>
      <c r="X77" s="234">
        <v>9.5</v>
      </c>
      <c r="Y77" s="234">
        <v>4.0</v>
      </c>
      <c r="Z77" s="234">
        <v>0.15</v>
      </c>
      <c r="AA77" s="213">
        <f t="shared" si="9"/>
        <v>0.0722</v>
      </c>
      <c r="AB77" s="213">
        <f t="shared" si="10"/>
        <v>0.15</v>
      </c>
    </row>
    <row r="78">
      <c r="A78" s="212" t="s">
        <v>4175</v>
      </c>
      <c r="B78" s="238"/>
      <c r="C78" s="238"/>
      <c r="D78" s="238"/>
      <c r="E78" s="238"/>
      <c r="F78" s="234" t="s">
        <v>5092</v>
      </c>
      <c r="G78" s="238"/>
      <c r="H78" s="238"/>
      <c r="I78" s="238"/>
      <c r="J78" s="220"/>
      <c r="K78" s="238"/>
      <c r="L78" s="214">
        <v>3.0</v>
      </c>
      <c r="M78" s="216">
        <f t="shared" si="1"/>
        <v>0.01</v>
      </c>
      <c r="N78" s="213" t="s">
        <v>4882</v>
      </c>
      <c r="O78" s="235">
        <v>610.0</v>
      </c>
      <c r="P78" s="218">
        <f t="shared" si="2"/>
        <v>0</v>
      </c>
      <c r="Q78" s="218">
        <f t="shared" si="3"/>
        <v>0</v>
      </c>
      <c r="R78" s="227">
        <f>15%+M78</f>
        <v>0.16</v>
      </c>
      <c r="S78" s="218">
        <f t="shared" si="5"/>
        <v>0</v>
      </c>
      <c r="T78" s="220">
        <f t="shared" si="6"/>
        <v>169</v>
      </c>
      <c r="U78" s="218">
        <f t="shared" si="7"/>
        <v>-779</v>
      </c>
      <c r="V78" s="221">
        <f t="shared" si="8"/>
        <v>-1.27704918</v>
      </c>
      <c r="W78" s="234">
        <v>31.2</v>
      </c>
      <c r="X78" s="234">
        <v>32.2</v>
      </c>
      <c r="Y78" s="234">
        <v>17.2</v>
      </c>
      <c r="Z78" s="234">
        <v>4.2</v>
      </c>
      <c r="AA78" s="213">
        <f t="shared" si="9"/>
        <v>3.4559616</v>
      </c>
      <c r="AB78" s="213">
        <f t="shared" si="10"/>
        <v>4.2</v>
      </c>
    </row>
    <row r="79">
      <c r="A79" s="212" t="s">
        <v>4175</v>
      </c>
      <c r="B79" s="238"/>
      <c r="C79" s="238"/>
      <c r="D79" s="238"/>
      <c r="E79" s="238"/>
      <c r="F79" s="234" t="s">
        <v>1159</v>
      </c>
      <c r="G79" s="238"/>
      <c r="H79" s="238"/>
      <c r="I79" s="238"/>
      <c r="J79" s="232">
        <v>1099.0</v>
      </c>
      <c r="K79" s="238"/>
      <c r="L79" s="214">
        <v>3.0</v>
      </c>
      <c r="M79" s="216">
        <f t="shared" si="1"/>
        <v>0.01</v>
      </c>
      <c r="N79" s="213" t="s">
        <v>4882</v>
      </c>
      <c r="O79" s="235">
        <v>590.31</v>
      </c>
      <c r="P79" s="218">
        <f t="shared" si="2"/>
        <v>87.92</v>
      </c>
      <c r="Q79" s="218">
        <f t="shared" si="3"/>
        <v>25.277</v>
      </c>
      <c r="R79" s="227">
        <f t="shared" ref="R79:R84" si="22">11%+M79</f>
        <v>0.12</v>
      </c>
      <c r="S79" s="218">
        <f t="shared" si="5"/>
        <v>131.88</v>
      </c>
      <c r="T79" s="220">
        <f t="shared" si="6"/>
        <v>129</v>
      </c>
      <c r="U79" s="218">
        <f t="shared" si="7"/>
        <v>134.613</v>
      </c>
      <c r="V79" s="221">
        <f t="shared" si="8"/>
        <v>0.2280378106</v>
      </c>
      <c r="W79" s="234">
        <v>12.5</v>
      </c>
      <c r="X79" s="234">
        <v>10.5</v>
      </c>
      <c r="Y79" s="234">
        <v>5.0</v>
      </c>
      <c r="Z79" s="234">
        <v>0.35</v>
      </c>
      <c r="AA79" s="213">
        <f t="shared" si="9"/>
        <v>0.13125</v>
      </c>
      <c r="AB79" s="213">
        <f t="shared" si="10"/>
        <v>0.35</v>
      </c>
    </row>
    <row r="80">
      <c r="A80" s="212" t="s">
        <v>237</v>
      </c>
      <c r="B80" s="234" t="s">
        <v>5093</v>
      </c>
      <c r="C80" s="234">
        <v>6.932554457631E12</v>
      </c>
      <c r="D80" s="234">
        <v>8.150487E7</v>
      </c>
      <c r="E80" s="234">
        <v>1.301753916E9</v>
      </c>
      <c r="F80" s="234" t="s">
        <v>5094</v>
      </c>
      <c r="G80" s="234" t="s">
        <v>5012</v>
      </c>
      <c r="H80" s="234" t="s">
        <v>4990</v>
      </c>
      <c r="I80" s="235">
        <v>699.0</v>
      </c>
      <c r="J80" s="232">
        <v>479.0</v>
      </c>
      <c r="K80" s="238"/>
      <c r="L80" s="214">
        <v>3.0</v>
      </c>
      <c r="M80" s="216">
        <f t="shared" si="1"/>
        <v>0.01</v>
      </c>
      <c r="N80" s="213" t="s">
        <v>4882</v>
      </c>
      <c r="O80" s="235">
        <v>220.01</v>
      </c>
      <c r="P80" s="218">
        <f t="shared" si="2"/>
        <v>38.32</v>
      </c>
      <c r="Q80" s="218">
        <f t="shared" si="3"/>
        <v>11.017</v>
      </c>
      <c r="R80" s="227">
        <f t="shared" si="22"/>
        <v>0.12</v>
      </c>
      <c r="S80" s="218">
        <f t="shared" si="5"/>
        <v>57.48</v>
      </c>
      <c r="T80" s="220">
        <f t="shared" si="6"/>
        <v>129</v>
      </c>
      <c r="U80" s="218">
        <f t="shared" si="7"/>
        <v>23.173</v>
      </c>
      <c r="V80" s="221">
        <f t="shared" si="8"/>
        <v>0.1053270306</v>
      </c>
      <c r="W80" s="234">
        <v>12.0</v>
      </c>
      <c r="X80" s="234">
        <v>9.0</v>
      </c>
      <c r="Y80" s="234">
        <v>6.0</v>
      </c>
      <c r="Z80" s="234">
        <v>0.3</v>
      </c>
      <c r="AA80" s="213">
        <f t="shared" si="9"/>
        <v>0.1296</v>
      </c>
      <c r="AB80" s="213">
        <f t="shared" si="10"/>
        <v>0.3</v>
      </c>
    </row>
    <row r="81">
      <c r="A81" s="212" t="s">
        <v>237</v>
      </c>
      <c r="B81" s="234" t="s">
        <v>5095</v>
      </c>
      <c r="C81" s="234">
        <v>6.932554457563E12</v>
      </c>
      <c r="D81" s="234">
        <v>8.1504865E7</v>
      </c>
      <c r="E81" s="234">
        <v>1.301753995E9</v>
      </c>
      <c r="F81" s="234" t="s">
        <v>5096</v>
      </c>
      <c r="G81" s="234" t="s">
        <v>5012</v>
      </c>
      <c r="H81" s="234" t="s">
        <v>4990</v>
      </c>
      <c r="I81" s="235">
        <v>699.0</v>
      </c>
      <c r="J81" s="232">
        <v>479.0</v>
      </c>
      <c r="K81" s="238"/>
      <c r="L81" s="214">
        <v>3.0</v>
      </c>
      <c r="M81" s="216">
        <f t="shared" si="1"/>
        <v>0.01</v>
      </c>
      <c r="N81" s="213" t="s">
        <v>4882</v>
      </c>
      <c r="O81" s="235">
        <v>220.01</v>
      </c>
      <c r="P81" s="218">
        <f t="shared" si="2"/>
        <v>38.32</v>
      </c>
      <c r="Q81" s="218">
        <f t="shared" si="3"/>
        <v>11.017</v>
      </c>
      <c r="R81" s="227">
        <f t="shared" si="22"/>
        <v>0.12</v>
      </c>
      <c r="S81" s="218">
        <f t="shared" si="5"/>
        <v>57.48</v>
      </c>
      <c r="T81" s="220">
        <f t="shared" si="6"/>
        <v>129</v>
      </c>
      <c r="U81" s="218">
        <f t="shared" si="7"/>
        <v>23.173</v>
      </c>
      <c r="V81" s="221">
        <f t="shared" si="8"/>
        <v>0.1053270306</v>
      </c>
      <c r="W81" s="234">
        <v>12.0</v>
      </c>
      <c r="X81" s="234">
        <v>9.0</v>
      </c>
      <c r="Y81" s="234">
        <v>6.0</v>
      </c>
      <c r="Z81" s="234">
        <v>0.3</v>
      </c>
      <c r="AA81" s="213">
        <f t="shared" si="9"/>
        <v>0.1296</v>
      </c>
      <c r="AB81" s="213">
        <f t="shared" si="10"/>
        <v>0.3</v>
      </c>
    </row>
    <row r="82">
      <c r="A82" s="212" t="s">
        <v>4175</v>
      </c>
      <c r="B82" s="234" t="s">
        <v>5097</v>
      </c>
      <c r="C82" s="234">
        <v>5.0036405898E10</v>
      </c>
      <c r="D82" s="234">
        <v>8.1510768E7</v>
      </c>
      <c r="E82" s="234">
        <v>1.301759756E9</v>
      </c>
      <c r="F82" s="234" t="s">
        <v>5098</v>
      </c>
      <c r="G82" s="234" t="s">
        <v>5004</v>
      </c>
      <c r="H82" s="234" t="s">
        <v>5005</v>
      </c>
      <c r="I82" s="235">
        <v>2299.0</v>
      </c>
      <c r="J82" s="232">
        <v>1899.0</v>
      </c>
      <c r="K82" s="238"/>
      <c r="L82" s="214">
        <v>3.0</v>
      </c>
      <c r="M82" s="216">
        <f t="shared" si="1"/>
        <v>0.01</v>
      </c>
      <c r="N82" s="213" t="s">
        <v>4882</v>
      </c>
      <c r="O82" s="235">
        <v>1203.69</v>
      </c>
      <c r="P82" s="218">
        <f t="shared" si="2"/>
        <v>151.92</v>
      </c>
      <c r="Q82" s="218">
        <f t="shared" si="3"/>
        <v>43.677</v>
      </c>
      <c r="R82" s="227">
        <f t="shared" si="22"/>
        <v>0.12</v>
      </c>
      <c r="S82" s="218">
        <f t="shared" si="5"/>
        <v>227.88</v>
      </c>
      <c r="T82" s="220">
        <f t="shared" si="6"/>
        <v>129</v>
      </c>
      <c r="U82" s="218">
        <f t="shared" si="7"/>
        <v>142.833</v>
      </c>
      <c r="V82" s="221">
        <f t="shared" si="8"/>
        <v>0.1186626125</v>
      </c>
      <c r="W82" s="234">
        <v>22.0</v>
      </c>
      <c r="X82" s="234">
        <v>3.0</v>
      </c>
      <c r="Y82" s="234">
        <v>9.0</v>
      </c>
      <c r="Z82" s="234">
        <v>0.3</v>
      </c>
      <c r="AA82" s="213">
        <f t="shared" si="9"/>
        <v>0.1188</v>
      </c>
      <c r="AB82" s="213">
        <f t="shared" si="10"/>
        <v>0.3</v>
      </c>
    </row>
    <row r="83">
      <c r="A83" s="212" t="s">
        <v>4175</v>
      </c>
      <c r="B83" s="231" t="s">
        <v>5099</v>
      </c>
      <c r="C83" s="238"/>
      <c r="D83" s="238"/>
      <c r="E83" s="238"/>
      <c r="F83" s="234" t="s">
        <v>5100</v>
      </c>
      <c r="G83" s="238"/>
      <c r="H83" s="238"/>
      <c r="I83" s="238"/>
      <c r="J83" s="232">
        <v>599.0</v>
      </c>
      <c r="K83" s="238"/>
      <c r="L83" s="214">
        <v>3.0</v>
      </c>
      <c r="M83" s="216">
        <f t="shared" si="1"/>
        <v>0.01</v>
      </c>
      <c r="N83" s="213" t="s">
        <v>4882</v>
      </c>
      <c r="O83" s="236">
        <v>291.07</v>
      </c>
      <c r="P83" s="218">
        <f t="shared" si="2"/>
        <v>47.92</v>
      </c>
      <c r="Q83" s="218">
        <f t="shared" si="3"/>
        <v>13.777</v>
      </c>
      <c r="R83" s="227">
        <f t="shared" si="22"/>
        <v>0.12</v>
      </c>
      <c r="S83" s="218">
        <f t="shared" si="5"/>
        <v>71.88</v>
      </c>
      <c r="T83" s="220">
        <f t="shared" si="6"/>
        <v>129</v>
      </c>
      <c r="U83" s="218">
        <f t="shared" si="7"/>
        <v>45.353</v>
      </c>
      <c r="V83" s="221">
        <f t="shared" si="8"/>
        <v>0.1558147525</v>
      </c>
      <c r="W83" s="234">
        <v>10.0</v>
      </c>
      <c r="X83" s="234">
        <v>10.0</v>
      </c>
      <c r="Y83" s="234">
        <v>4.0</v>
      </c>
      <c r="Z83" s="234">
        <v>0.16</v>
      </c>
      <c r="AA83" s="213">
        <f t="shared" si="9"/>
        <v>0.08</v>
      </c>
      <c r="AB83" s="213">
        <f t="shared" si="10"/>
        <v>0.16</v>
      </c>
    </row>
    <row r="84">
      <c r="A84" s="212" t="s">
        <v>4175</v>
      </c>
      <c r="B84" s="231" t="s">
        <v>5101</v>
      </c>
      <c r="C84" s="234">
        <v>8.40414663046E11</v>
      </c>
      <c r="D84" s="234">
        <v>8.1520502E7</v>
      </c>
      <c r="E84" s="234">
        <v>1.30178319E9</v>
      </c>
      <c r="F84" s="234" t="s">
        <v>5102</v>
      </c>
      <c r="G84" s="234" t="s">
        <v>5022</v>
      </c>
      <c r="H84" s="234" t="s">
        <v>5103</v>
      </c>
      <c r="I84" s="235">
        <v>6499.0</v>
      </c>
      <c r="J84" s="232">
        <v>5199.0</v>
      </c>
      <c r="K84" s="238"/>
      <c r="L84" s="214">
        <v>3.0</v>
      </c>
      <c r="M84" s="216">
        <f t="shared" si="1"/>
        <v>0.01</v>
      </c>
      <c r="N84" s="213" t="s">
        <v>4882</v>
      </c>
      <c r="O84" s="235">
        <v>3447.8</v>
      </c>
      <c r="P84" s="218">
        <f t="shared" si="2"/>
        <v>415.92</v>
      </c>
      <c r="Q84" s="218">
        <f t="shared" si="3"/>
        <v>119.577</v>
      </c>
      <c r="R84" s="227">
        <f t="shared" si="22"/>
        <v>0.12</v>
      </c>
      <c r="S84" s="218">
        <f t="shared" si="5"/>
        <v>623.88</v>
      </c>
      <c r="T84" s="220">
        <f t="shared" si="6"/>
        <v>169</v>
      </c>
      <c r="U84" s="218">
        <f t="shared" si="7"/>
        <v>422.823</v>
      </c>
      <c r="V84" s="221">
        <f t="shared" si="8"/>
        <v>0.1226355937</v>
      </c>
      <c r="W84" s="234">
        <v>25.0</v>
      </c>
      <c r="X84" s="234">
        <v>33.0</v>
      </c>
      <c r="Y84" s="234">
        <v>20.0</v>
      </c>
      <c r="Z84" s="234">
        <v>1.8</v>
      </c>
      <c r="AA84" s="213">
        <f t="shared" si="9"/>
        <v>3.3</v>
      </c>
      <c r="AB84" s="213">
        <f t="shared" si="10"/>
        <v>3.3</v>
      </c>
    </row>
    <row r="85">
      <c r="A85" s="212" t="s">
        <v>4175</v>
      </c>
      <c r="B85" s="238"/>
      <c r="C85" s="238"/>
      <c r="D85" s="238"/>
      <c r="E85" s="238"/>
      <c r="F85" s="234" t="s">
        <v>5104</v>
      </c>
      <c r="G85" s="238"/>
      <c r="H85" s="238"/>
      <c r="I85" s="238"/>
      <c r="J85" s="220"/>
      <c r="K85" s="238"/>
      <c r="L85" s="214">
        <v>3.0</v>
      </c>
      <c r="M85" s="216">
        <f t="shared" si="1"/>
        <v>0.01</v>
      </c>
      <c r="N85" s="213" t="s">
        <v>4882</v>
      </c>
      <c r="O85" s="235">
        <v>3447.8</v>
      </c>
      <c r="P85" s="218">
        <f t="shared" si="2"/>
        <v>0</v>
      </c>
      <c r="Q85" s="218">
        <f t="shared" si="3"/>
        <v>0</v>
      </c>
      <c r="R85" s="227">
        <f t="shared" ref="R85:R88" si="23">15%+M85</f>
        <v>0.16</v>
      </c>
      <c r="S85" s="218">
        <f t="shared" si="5"/>
        <v>0</v>
      </c>
      <c r="T85" s="220">
        <f t="shared" si="6"/>
        <v>169</v>
      </c>
      <c r="U85" s="218">
        <f t="shared" si="7"/>
        <v>-3616.8</v>
      </c>
      <c r="V85" s="221">
        <f t="shared" si="8"/>
        <v>-1.049016764</v>
      </c>
      <c r="W85" s="234">
        <v>31.0</v>
      </c>
      <c r="X85" s="234">
        <v>35.0</v>
      </c>
      <c r="Y85" s="234">
        <v>15.0</v>
      </c>
      <c r="Z85" s="234">
        <v>2.5</v>
      </c>
      <c r="AA85" s="213">
        <f t="shared" si="9"/>
        <v>3.255</v>
      </c>
      <c r="AB85" s="213">
        <f t="shared" si="10"/>
        <v>3.255</v>
      </c>
    </row>
    <row r="86">
      <c r="A86" s="212" t="s">
        <v>4175</v>
      </c>
      <c r="B86" s="238"/>
      <c r="C86" s="238"/>
      <c r="D86" s="238"/>
      <c r="E86" s="238"/>
      <c r="F86" s="234" t="s">
        <v>5105</v>
      </c>
      <c r="G86" s="238"/>
      <c r="H86" s="238"/>
      <c r="I86" s="238"/>
      <c r="J86" s="220"/>
      <c r="K86" s="238"/>
      <c r="L86" s="214">
        <v>3.0</v>
      </c>
      <c r="M86" s="216">
        <f t="shared" si="1"/>
        <v>0.01</v>
      </c>
      <c r="N86" s="213" t="s">
        <v>4882</v>
      </c>
      <c r="O86" s="235">
        <v>3447.8</v>
      </c>
      <c r="P86" s="218">
        <f t="shared" si="2"/>
        <v>0</v>
      </c>
      <c r="Q86" s="218">
        <f t="shared" si="3"/>
        <v>0</v>
      </c>
      <c r="R86" s="227">
        <f t="shared" si="23"/>
        <v>0.16</v>
      </c>
      <c r="S86" s="218">
        <f t="shared" si="5"/>
        <v>0</v>
      </c>
      <c r="T86" s="220">
        <f t="shared" si="6"/>
        <v>169</v>
      </c>
      <c r="U86" s="218">
        <f t="shared" si="7"/>
        <v>-3616.8</v>
      </c>
      <c r="V86" s="221">
        <f t="shared" si="8"/>
        <v>-1.049016764</v>
      </c>
      <c r="W86" s="234">
        <v>31.0</v>
      </c>
      <c r="X86" s="234">
        <v>35.0</v>
      </c>
      <c r="Y86" s="234">
        <v>15.0</v>
      </c>
      <c r="Z86" s="234">
        <v>2.5</v>
      </c>
      <c r="AA86" s="213">
        <f t="shared" si="9"/>
        <v>3.255</v>
      </c>
      <c r="AB86" s="213">
        <f t="shared" si="10"/>
        <v>3.255</v>
      </c>
    </row>
    <row r="87">
      <c r="A87" s="212" t="s">
        <v>4175</v>
      </c>
      <c r="B87" s="238"/>
      <c r="C87" s="238"/>
      <c r="D87" s="238"/>
      <c r="E87" s="238"/>
      <c r="F87" s="234" t="s">
        <v>5106</v>
      </c>
      <c r="G87" s="238"/>
      <c r="H87" s="238"/>
      <c r="I87" s="238"/>
      <c r="J87" s="220"/>
      <c r="K87" s="238"/>
      <c r="L87" s="214">
        <v>3.0</v>
      </c>
      <c r="M87" s="216">
        <f t="shared" si="1"/>
        <v>0.01</v>
      </c>
      <c r="N87" s="213" t="s">
        <v>4882</v>
      </c>
      <c r="O87" s="235">
        <v>3447.8</v>
      </c>
      <c r="P87" s="218">
        <f t="shared" si="2"/>
        <v>0</v>
      </c>
      <c r="Q87" s="218">
        <f t="shared" si="3"/>
        <v>0</v>
      </c>
      <c r="R87" s="227">
        <f t="shared" si="23"/>
        <v>0.16</v>
      </c>
      <c r="S87" s="218">
        <f t="shared" si="5"/>
        <v>0</v>
      </c>
      <c r="T87" s="220">
        <f t="shared" si="6"/>
        <v>169</v>
      </c>
      <c r="U87" s="218">
        <f t="shared" si="7"/>
        <v>-3616.8</v>
      </c>
      <c r="V87" s="221">
        <f t="shared" si="8"/>
        <v>-1.049016764</v>
      </c>
      <c r="W87" s="234">
        <v>41.0</v>
      </c>
      <c r="X87" s="234">
        <v>22.0</v>
      </c>
      <c r="Y87" s="234">
        <v>22.0</v>
      </c>
      <c r="Z87" s="234">
        <v>2.5</v>
      </c>
      <c r="AA87" s="213">
        <f t="shared" si="9"/>
        <v>3.9688</v>
      </c>
      <c r="AB87" s="213">
        <f t="shared" si="10"/>
        <v>3.9688</v>
      </c>
    </row>
    <row r="88">
      <c r="A88" s="212" t="s">
        <v>4175</v>
      </c>
      <c r="B88" s="238"/>
      <c r="C88" s="238"/>
      <c r="D88" s="238"/>
      <c r="E88" s="238"/>
      <c r="F88" s="242" t="s">
        <v>5107</v>
      </c>
      <c r="G88" s="238"/>
      <c r="H88" s="238"/>
      <c r="I88" s="238"/>
      <c r="J88" s="220"/>
      <c r="K88" s="238"/>
      <c r="L88" s="214">
        <v>3.0</v>
      </c>
      <c r="M88" s="216">
        <f t="shared" si="1"/>
        <v>0.01</v>
      </c>
      <c r="N88" s="213" t="s">
        <v>4882</v>
      </c>
      <c r="O88" s="235">
        <v>3447.8</v>
      </c>
      <c r="P88" s="218">
        <f t="shared" si="2"/>
        <v>0</v>
      </c>
      <c r="Q88" s="218">
        <f t="shared" si="3"/>
        <v>0</v>
      </c>
      <c r="R88" s="227">
        <f t="shared" si="23"/>
        <v>0.16</v>
      </c>
      <c r="S88" s="218">
        <f t="shared" si="5"/>
        <v>0</v>
      </c>
      <c r="T88" s="220">
        <f t="shared" si="6"/>
        <v>149</v>
      </c>
      <c r="U88" s="218">
        <f t="shared" si="7"/>
        <v>-3596.8</v>
      </c>
      <c r="V88" s="221">
        <f t="shared" si="8"/>
        <v>-1.043215964</v>
      </c>
      <c r="W88" s="234">
        <v>28.0</v>
      </c>
      <c r="X88" s="234">
        <v>25.0</v>
      </c>
      <c r="Y88" s="234">
        <v>15.0</v>
      </c>
      <c r="Z88" s="234">
        <v>2.5</v>
      </c>
      <c r="AA88" s="213">
        <f t="shared" si="9"/>
        <v>2.1</v>
      </c>
      <c r="AB88" s="213">
        <f t="shared" si="10"/>
        <v>2.5</v>
      </c>
    </row>
    <row r="89">
      <c r="A89" s="212" t="s">
        <v>4175</v>
      </c>
      <c r="B89" s="238"/>
      <c r="C89" s="238"/>
      <c r="D89" s="238"/>
      <c r="E89" s="238"/>
      <c r="F89" s="234"/>
      <c r="G89" s="238"/>
      <c r="H89" s="238"/>
      <c r="I89" s="238"/>
      <c r="J89" s="220"/>
      <c r="K89" s="238"/>
      <c r="L89" s="214"/>
      <c r="M89" s="216"/>
      <c r="N89" s="213"/>
      <c r="O89" s="235"/>
      <c r="P89" s="213"/>
      <c r="Q89" s="213"/>
      <c r="R89" s="227"/>
      <c r="S89" s="213"/>
      <c r="T89" s="220"/>
      <c r="U89" s="213"/>
      <c r="V89" s="221"/>
      <c r="W89" s="234"/>
      <c r="X89" s="234"/>
      <c r="Y89" s="234"/>
      <c r="Z89" s="234"/>
      <c r="AA89" s="213"/>
      <c r="AB89" s="213"/>
    </row>
    <row r="90">
      <c r="A90" s="212" t="s">
        <v>4175</v>
      </c>
      <c r="B90" s="243" t="s">
        <v>5108</v>
      </c>
      <c r="C90" s="234">
        <v>1.3803302721E10</v>
      </c>
      <c r="D90" s="238"/>
      <c r="E90" s="238"/>
      <c r="F90" s="234" t="s">
        <v>5109</v>
      </c>
      <c r="G90" s="238"/>
      <c r="H90" s="234" t="s">
        <v>5110</v>
      </c>
      <c r="I90" s="234">
        <v>10799.0</v>
      </c>
      <c r="J90" s="232">
        <v>10099.0</v>
      </c>
      <c r="K90" s="238"/>
      <c r="L90" s="234">
        <v>3.0</v>
      </c>
      <c r="M90" s="216">
        <f t="shared" ref="M90:M155" si="24">IFS(L90=0,0,L90=3,0.01,L90=6,0.03,L90=12,0.06)</f>
        <v>0.01</v>
      </c>
      <c r="N90" s="213" t="s">
        <v>4882</v>
      </c>
      <c r="O90" s="236">
        <v>6578.65</v>
      </c>
      <c r="P90" s="218">
        <f t="shared" ref="P90:P155" si="25">J90*0.08</f>
        <v>807.92</v>
      </c>
      <c r="Q90" s="218">
        <f t="shared" ref="Q90:Q155" si="26">(J90-P90)*0.025</f>
        <v>232.277</v>
      </c>
      <c r="R90" s="227">
        <f>11%+M89</f>
        <v>0.11</v>
      </c>
      <c r="S90" s="218">
        <f t="shared" ref="S90:S155" si="27">J90*R90</f>
        <v>1110.89</v>
      </c>
      <c r="T90" s="220">
        <f t="shared" ref="T90:T152" si="28">IF(AND(ISNUMBER(AB90)=TRUE(),AB90&gt;0),SWITCH(TRUE(),AB90 &lt;= 1,  129, AB90 &lt;= 2, 139, AB90 &lt;= 3, 149, AB90 &lt;= 5, 169, AB90 &lt;= 7, 179, AB90 &lt;= 9, 209, AB90 &lt;= 12, 249, AB90 &lt;= 15, 299, AB90 &lt;= 20, 390, AB90 &lt;= 30, 420, AB90 &lt;= 40, 525, AB90 &lt;= 50, 859, AB90 &lt;= 60, 1049, AB90 &lt;= 70, 1099, AB90 &lt;= 80, 1149, AB90 &lt;= 90, 1169, AB90 &lt;= 100, 1199, AB90 &lt;= 125, 1449,AB90 &lt;= 150, 1899, AB90 &lt;= 175, 2349, AB90 &lt;= 200, 2799, AB90 &lt;= 225, 3299, AB90 &lt;= 250, 379, AB90 &lt;= 275, 4199, AB90 &lt;= 300, 4699, AB90 &lt;= 325, 5199, "Exceso de peso"),"Error")</f>
        <v>139</v>
      </c>
      <c r="U90" s="218">
        <f t="shared" ref="U90:U155" si="29">J90-O90-P90-Q90-S90-T90</f>
        <v>1230.263</v>
      </c>
      <c r="V90" s="221">
        <f t="shared" ref="V90:V155" si="30">U90/O90</f>
        <v>0.1870084288</v>
      </c>
      <c r="W90" s="234">
        <v>22.0</v>
      </c>
      <c r="X90" s="234">
        <v>18.0</v>
      </c>
      <c r="Y90" s="234">
        <v>15.0</v>
      </c>
      <c r="Z90" s="234">
        <v>1.2</v>
      </c>
      <c r="AA90" s="234">
        <v>1.19</v>
      </c>
      <c r="AB90" s="234">
        <v>1.2</v>
      </c>
    </row>
    <row r="91">
      <c r="A91" s="212" t="s">
        <v>237</v>
      </c>
      <c r="B91" s="243" t="s">
        <v>5111</v>
      </c>
      <c r="C91" s="234">
        <v>6.22356635202E11</v>
      </c>
      <c r="D91" s="238"/>
      <c r="E91" s="238"/>
      <c r="F91" s="234" t="s">
        <v>5112</v>
      </c>
      <c r="G91" s="238"/>
      <c r="H91" s="234" t="s">
        <v>4880</v>
      </c>
      <c r="I91" s="238"/>
      <c r="J91" s="232">
        <v>3499.0</v>
      </c>
      <c r="K91" s="238"/>
      <c r="L91" s="234">
        <v>3.0</v>
      </c>
      <c r="M91" s="216">
        <f t="shared" si="24"/>
        <v>0.01</v>
      </c>
      <c r="N91" s="213" t="s">
        <v>4882</v>
      </c>
      <c r="O91" s="234">
        <v>1713.0</v>
      </c>
      <c r="P91" s="218">
        <f t="shared" si="25"/>
        <v>279.92</v>
      </c>
      <c r="Q91" s="218">
        <f t="shared" si="26"/>
        <v>80.477</v>
      </c>
      <c r="R91" s="227">
        <f>15%+M90</f>
        <v>0.16</v>
      </c>
      <c r="S91" s="218">
        <f t="shared" si="27"/>
        <v>559.84</v>
      </c>
      <c r="T91" s="220">
        <f t="shared" si="28"/>
        <v>390</v>
      </c>
      <c r="U91" s="218">
        <f t="shared" si="29"/>
        <v>475.763</v>
      </c>
      <c r="V91" s="221">
        <f t="shared" si="30"/>
        <v>0.2777367192</v>
      </c>
      <c r="W91" s="234">
        <v>47.0</v>
      </c>
      <c r="X91" s="234">
        <v>38.0</v>
      </c>
      <c r="Y91" s="234">
        <v>43.0</v>
      </c>
      <c r="Z91" s="234">
        <v>10.0</v>
      </c>
      <c r="AA91" s="234">
        <v>15.35</v>
      </c>
      <c r="AB91" s="234">
        <v>15.35</v>
      </c>
    </row>
    <row r="92">
      <c r="A92" s="212" t="s">
        <v>237</v>
      </c>
      <c r="B92" s="213" t="s">
        <v>5113</v>
      </c>
      <c r="C92" s="213" t="s">
        <v>5114</v>
      </c>
      <c r="D92" s="213" t="s">
        <v>5115</v>
      </c>
      <c r="E92" s="213" t="s">
        <v>5116</v>
      </c>
      <c r="F92" s="213" t="s">
        <v>5117</v>
      </c>
      <c r="G92" s="213" t="s">
        <v>5118</v>
      </c>
      <c r="H92" s="213" t="s">
        <v>4880</v>
      </c>
      <c r="I92" s="213" t="s">
        <v>5119</v>
      </c>
      <c r="J92" s="223">
        <v>12500.0</v>
      </c>
      <c r="K92" s="214"/>
      <c r="L92" s="214">
        <v>12.0</v>
      </c>
      <c r="M92" s="216">
        <f t="shared" si="24"/>
        <v>0.06</v>
      </c>
      <c r="N92" s="213" t="s">
        <v>4882</v>
      </c>
      <c r="O92" s="217">
        <v>7474.09</v>
      </c>
      <c r="P92" s="218">
        <f t="shared" si="25"/>
        <v>1000</v>
      </c>
      <c r="Q92" s="218">
        <f t="shared" si="26"/>
        <v>287.5</v>
      </c>
      <c r="R92" s="219">
        <f t="shared" ref="R92:R93" si="31">15%+M92</f>
        <v>0.21</v>
      </c>
      <c r="S92" s="218">
        <f t="shared" si="27"/>
        <v>2625</v>
      </c>
      <c r="T92" s="220">
        <f t="shared" si="28"/>
        <v>299</v>
      </c>
      <c r="U92" s="218">
        <f t="shared" si="29"/>
        <v>814.41</v>
      </c>
      <c r="V92" s="221">
        <f t="shared" si="30"/>
        <v>0.1089644358</v>
      </c>
      <c r="W92" s="214">
        <v>38.61</v>
      </c>
      <c r="X92" s="214">
        <v>37.31</v>
      </c>
      <c r="Y92" s="214">
        <v>49.61</v>
      </c>
      <c r="Z92" s="214">
        <v>13.83</v>
      </c>
      <c r="AA92" s="213">
        <f t="shared" ref="AA92:AA140" si="32">(W92*X92*Y92)/5000</f>
        <v>14.29302895</v>
      </c>
      <c r="AB92" s="213">
        <f t="shared" ref="AB92:AB139" si="33">IF(Z92&gt;AA92,Z92,AA92)</f>
        <v>14.29302895</v>
      </c>
    </row>
    <row r="93">
      <c r="A93" s="212" t="s">
        <v>237</v>
      </c>
      <c r="B93" s="234" t="s">
        <v>5120</v>
      </c>
      <c r="C93" s="244">
        <v>6.22356304894E11</v>
      </c>
      <c r="D93" s="234">
        <v>8.0971219E7</v>
      </c>
      <c r="E93" s="234">
        <v>1.3011929E9</v>
      </c>
      <c r="F93" s="234" t="s">
        <v>5121</v>
      </c>
      <c r="G93" s="234" t="s">
        <v>4879</v>
      </c>
      <c r="H93" s="234" t="s">
        <v>4938</v>
      </c>
      <c r="I93" s="235">
        <v>5999.0</v>
      </c>
      <c r="J93" s="245">
        <v>4999.0</v>
      </c>
      <c r="K93" s="213"/>
      <c r="L93" s="214">
        <v>3.0</v>
      </c>
      <c r="M93" s="216">
        <f t="shared" si="24"/>
        <v>0.01</v>
      </c>
      <c r="N93" s="213" t="s">
        <v>4882</v>
      </c>
      <c r="O93" s="236">
        <v>2999.14</v>
      </c>
      <c r="P93" s="218">
        <f t="shared" si="25"/>
        <v>399.92</v>
      </c>
      <c r="Q93" s="218">
        <f t="shared" si="26"/>
        <v>114.977</v>
      </c>
      <c r="R93" s="219">
        <f t="shared" si="31"/>
        <v>0.16</v>
      </c>
      <c r="S93" s="218">
        <f t="shared" si="27"/>
        <v>799.84</v>
      </c>
      <c r="T93" s="220">
        <f t="shared" si="28"/>
        <v>299</v>
      </c>
      <c r="U93" s="218">
        <f t="shared" si="29"/>
        <v>386.123</v>
      </c>
      <c r="V93" s="221">
        <f t="shared" si="30"/>
        <v>0.1287445734</v>
      </c>
      <c r="W93" s="234">
        <v>46.0</v>
      </c>
      <c r="X93" s="234">
        <v>30.0</v>
      </c>
      <c r="Y93" s="234">
        <v>46.5</v>
      </c>
      <c r="Z93" s="234">
        <v>8.2</v>
      </c>
      <c r="AA93" s="213">
        <f t="shared" si="32"/>
        <v>12.834</v>
      </c>
      <c r="AB93" s="213">
        <f t="shared" si="33"/>
        <v>12.834</v>
      </c>
    </row>
    <row r="94">
      <c r="A94" s="212" t="s">
        <v>237</v>
      </c>
      <c r="B94" s="234" t="s">
        <v>5122</v>
      </c>
      <c r="C94" s="234">
        <v>6.941948702349E12</v>
      </c>
      <c r="D94" s="234">
        <v>8.1032652E7</v>
      </c>
      <c r="E94" s="234">
        <v>1.301276594E9</v>
      </c>
      <c r="F94" s="234" t="s">
        <v>5123</v>
      </c>
      <c r="G94" s="234" t="s">
        <v>5012</v>
      </c>
      <c r="H94" s="234" t="s">
        <v>4990</v>
      </c>
      <c r="I94" s="234">
        <v>699.0</v>
      </c>
      <c r="J94" s="245">
        <v>479.0</v>
      </c>
      <c r="K94" s="214"/>
      <c r="L94" s="214">
        <v>3.0</v>
      </c>
      <c r="M94" s="216">
        <f t="shared" si="24"/>
        <v>0.01</v>
      </c>
      <c r="N94" s="213" t="s">
        <v>4882</v>
      </c>
      <c r="O94" s="235">
        <v>212.83</v>
      </c>
      <c r="P94" s="218">
        <f t="shared" si="25"/>
        <v>38.32</v>
      </c>
      <c r="Q94" s="218">
        <f t="shared" si="26"/>
        <v>11.017</v>
      </c>
      <c r="R94" s="219">
        <f t="shared" ref="R94:R97" si="34">11%+M94</f>
        <v>0.12</v>
      </c>
      <c r="S94" s="218">
        <f t="shared" si="27"/>
        <v>57.48</v>
      </c>
      <c r="T94" s="220">
        <f t="shared" si="28"/>
        <v>129</v>
      </c>
      <c r="U94" s="218">
        <f t="shared" si="29"/>
        <v>30.353</v>
      </c>
      <c r="V94" s="221">
        <f t="shared" si="30"/>
        <v>0.1426161725</v>
      </c>
      <c r="W94" s="234">
        <v>10.0</v>
      </c>
      <c r="X94" s="234">
        <v>5.5</v>
      </c>
      <c r="Y94" s="234">
        <v>11.5</v>
      </c>
      <c r="Z94" s="234">
        <v>0.3</v>
      </c>
      <c r="AA94" s="213">
        <f t="shared" si="32"/>
        <v>0.1265</v>
      </c>
      <c r="AB94" s="213">
        <f t="shared" si="33"/>
        <v>0.3</v>
      </c>
    </row>
    <row r="95">
      <c r="A95" s="212" t="s">
        <v>237</v>
      </c>
      <c r="B95" s="234" t="s">
        <v>5124</v>
      </c>
      <c r="C95" s="234">
        <v>6.941948709218E12</v>
      </c>
      <c r="D95" s="234">
        <v>8.1209717E7</v>
      </c>
      <c r="E95" s="234">
        <v>1.301466536E9</v>
      </c>
      <c r="F95" s="234" t="s">
        <v>5125</v>
      </c>
      <c r="G95" s="234" t="s">
        <v>5012</v>
      </c>
      <c r="H95" s="234" t="s">
        <v>4990</v>
      </c>
      <c r="I95" s="235">
        <v>899.0</v>
      </c>
      <c r="J95" s="245">
        <v>499.0</v>
      </c>
      <c r="K95" s="214"/>
      <c r="L95" s="214">
        <v>3.0</v>
      </c>
      <c r="M95" s="216">
        <f t="shared" si="24"/>
        <v>0.01</v>
      </c>
      <c r="N95" s="213" t="s">
        <v>4882</v>
      </c>
      <c r="O95" s="235">
        <v>235.0</v>
      </c>
      <c r="P95" s="218">
        <f t="shared" si="25"/>
        <v>39.92</v>
      </c>
      <c r="Q95" s="218">
        <f t="shared" si="26"/>
        <v>11.477</v>
      </c>
      <c r="R95" s="219">
        <f t="shared" si="34"/>
        <v>0.12</v>
      </c>
      <c r="S95" s="218">
        <f t="shared" si="27"/>
        <v>59.88</v>
      </c>
      <c r="T95" s="220">
        <f t="shared" si="28"/>
        <v>129</v>
      </c>
      <c r="U95" s="218">
        <f t="shared" si="29"/>
        <v>23.723</v>
      </c>
      <c r="V95" s="221">
        <f t="shared" si="30"/>
        <v>0.1009489362</v>
      </c>
      <c r="W95" s="234">
        <v>10.0</v>
      </c>
      <c r="X95" s="234">
        <v>5.5</v>
      </c>
      <c r="Y95" s="234">
        <v>11.5</v>
      </c>
      <c r="Z95" s="234">
        <v>0.3</v>
      </c>
      <c r="AA95" s="213">
        <f t="shared" si="32"/>
        <v>0.1265</v>
      </c>
      <c r="AB95" s="213">
        <f t="shared" si="33"/>
        <v>0.3</v>
      </c>
    </row>
    <row r="96">
      <c r="A96" s="212" t="s">
        <v>237</v>
      </c>
      <c r="B96" s="246" t="s">
        <v>5126</v>
      </c>
      <c r="C96" s="234"/>
      <c r="D96" s="234"/>
      <c r="E96" s="234"/>
      <c r="F96" s="234" t="s">
        <v>5127</v>
      </c>
      <c r="G96" s="234"/>
      <c r="H96" s="234"/>
      <c r="I96" s="235"/>
      <c r="J96" s="245">
        <v>479.0</v>
      </c>
      <c r="K96" s="214"/>
      <c r="L96" s="214">
        <v>3.0</v>
      </c>
      <c r="M96" s="216">
        <f t="shared" si="24"/>
        <v>0.01</v>
      </c>
      <c r="N96" s="213" t="s">
        <v>4882</v>
      </c>
      <c r="O96" s="235">
        <v>213.53</v>
      </c>
      <c r="P96" s="218">
        <f t="shared" si="25"/>
        <v>38.32</v>
      </c>
      <c r="Q96" s="218">
        <f t="shared" si="26"/>
        <v>11.017</v>
      </c>
      <c r="R96" s="219">
        <f t="shared" si="34"/>
        <v>0.12</v>
      </c>
      <c r="S96" s="218">
        <f t="shared" si="27"/>
        <v>57.48</v>
      </c>
      <c r="T96" s="220">
        <f t="shared" si="28"/>
        <v>129</v>
      </c>
      <c r="U96" s="218">
        <f t="shared" si="29"/>
        <v>29.653</v>
      </c>
      <c r="V96" s="221">
        <f t="shared" si="30"/>
        <v>0.1388704163</v>
      </c>
      <c r="W96" s="234">
        <v>10.0</v>
      </c>
      <c r="X96" s="234">
        <v>5.5</v>
      </c>
      <c r="Y96" s="234">
        <v>11.5</v>
      </c>
      <c r="Z96" s="234">
        <v>0.3</v>
      </c>
      <c r="AA96" s="213">
        <f t="shared" si="32"/>
        <v>0.1265</v>
      </c>
      <c r="AB96" s="213">
        <f t="shared" si="33"/>
        <v>0.3</v>
      </c>
    </row>
    <row r="97">
      <c r="A97" s="212" t="s">
        <v>237</v>
      </c>
      <c r="B97" s="234" t="s">
        <v>5128</v>
      </c>
      <c r="C97" s="234">
        <v>8.40268951313E11</v>
      </c>
      <c r="D97" s="234">
        <v>8.1050577E7</v>
      </c>
      <c r="E97" s="234">
        <v>1.30129395E9</v>
      </c>
      <c r="F97" s="234" t="s">
        <v>5129</v>
      </c>
      <c r="G97" s="234" t="s">
        <v>5130</v>
      </c>
      <c r="H97" s="234" t="s">
        <v>2716</v>
      </c>
      <c r="I97" s="234">
        <v>999.0</v>
      </c>
      <c r="J97" s="245">
        <v>789.0</v>
      </c>
      <c r="K97" s="234"/>
      <c r="L97" s="234">
        <v>3.0</v>
      </c>
      <c r="M97" s="216">
        <f t="shared" si="24"/>
        <v>0.01</v>
      </c>
      <c r="N97" s="213" t="s">
        <v>4882</v>
      </c>
      <c r="O97" s="235">
        <v>437.55</v>
      </c>
      <c r="P97" s="218">
        <f t="shared" si="25"/>
        <v>63.12</v>
      </c>
      <c r="Q97" s="218">
        <f t="shared" si="26"/>
        <v>18.147</v>
      </c>
      <c r="R97" s="227">
        <f t="shared" si="34"/>
        <v>0.12</v>
      </c>
      <c r="S97" s="218">
        <f t="shared" si="27"/>
        <v>94.68</v>
      </c>
      <c r="T97" s="220">
        <f t="shared" si="28"/>
        <v>129</v>
      </c>
      <c r="U97" s="218">
        <f t="shared" si="29"/>
        <v>46.503</v>
      </c>
      <c r="V97" s="221">
        <f t="shared" si="30"/>
        <v>0.1062804251</v>
      </c>
      <c r="W97" s="234">
        <v>15.0</v>
      </c>
      <c r="X97" s="234">
        <v>15.0</v>
      </c>
      <c r="Y97" s="234">
        <v>9.0</v>
      </c>
      <c r="Z97" s="234">
        <v>0.18</v>
      </c>
      <c r="AA97" s="213">
        <f t="shared" si="32"/>
        <v>0.405</v>
      </c>
      <c r="AB97" s="213">
        <f t="shared" si="33"/>
        <v>0.405</v>
      </c>
    </row>
    <row r="98">
      <c r="A98" s="212" t="s">
        <v>237</v>
      </c>
      <c r="B98" s="234" t="s">
        <v>5131</v>
      </c>
      <c r="C98" s="234">
        <v>5.00364053E10</v>
      </c>
      <c r="D98" s="234">
        <v>8.1054856E7</v>
      </c>
      <c r="E98" s="234">
        <v>1.301319045E9</v>
      </c>
      <c r="F98" s="234" t="s">
        <v>5132</v>
      </c>
      <c r="G98" s="234" t="s">
        <v>5004</v>
      </c>
      <c r="H98" s="234" t="s">
        <v>5009</v>
      </c>
      <c r="I98" s="234">
        <v>1199.0</v>
      </c>
      <c r="J98" s="245">
        <v>859.0</v>
      </c>
      <c r="K98" s="234"/>
      <c r="L98" s="234">
        <v>3.0</v>
      </c>
      <c r="M98" s="216">
        <f t="shared" si="24"/>
        <v>0.01</v>
      </c>
      <c r="N98" s="213" t="s">
        <v>4882</v>
      </c>
      <c r="O98" s="235">
        <v>432.37</v>
      </c>
      <c r="P98" s="218">
        <f t="shared" si="25"/>
        <v>68.72</v>
      </c>
      <c r="Q98" s="218">
        <f t="shared" si="26"/>
        <v>19.757</v>
      </c>
      <c r="R98" s="227">
        <f t="shared" ref="R98:R100" si="35">16%+M98</f>
        <v>0.17</v>
      </c>
      <c r="S98" s="218">
        <f t="shared" si="27"/>
        <v>146.03</v>
      </c>
      <c r="T98" s="220">
        <f t="shared" si="28"/>
        <v>129</v>
      </c>
      <c r="U98" s="218">
        <f t="shared" si="29"/>
        <v>63.123</v>
      </c>
      <c r="V98" s="221">
        <f t="shared" si="30"/>
        <v>0.1459930152</v>
      </c>
      <c r="W98" s="234">
        <v>9.0</v>
      </c>
      <c r="X98" s="234">
        <v>20.0</v>
      </c>
      <c r="Y98" s="234">
        <v>22.0</v>
      </c>
      <c r="Z98" s="234">
        <v>0.6</v>
      </c>
      <c r="AA98" s="213">
        <f t="shared" si="32"/>
        <v>0.792</v>
      </c>
      <c r="AB98" s="213">
        <f t="shared" si="33"/>
        <v>0.792</v>
      </c>
    </row>
    <row r="99">
      <c r="A99" s="212" t="s">
        <v>237</v>
      </c>
      <c r="B99" s="234" t="s">
        <v>5133</v>
      </c>
      <c r="C99" s="234">
        <v>5.0036405331E10</v>
      </c>
      <c r="D99" s="234">
        <v>8.1514178E7</v>
      </c>
      <c r="E99" s="234">
        <v>1.301769758E9</v>
      </c>
      <c r="F99" s="234" t="s">
        <v>5134</v>
      </c>
      <c r="G99" s="234" t="s">
        <v>5004</v>
      </c>
      <c r="H99" s="234" t="s">
        <v>5009</v>
      </c>
      <c r="I99" s="235">
        <v>1199.0</v>
      </c>
      <c r="J99" s="245">
        <v>859.0</v>
      </c>
      <c r="K99" s="234"/>
      <c r="L99" s="234">
        <v>3.0</v>
      </c>
      <c r="M99" s="216">
        <f t="shared" si="24"/>
        <v>0.01</v>
      </c>
      <c r="N99" s="213" t="s">
        <v>4882</v>
      </c>
      <c r="O99" s="235">
        <v>432.37</v>
      </c>
      <c r="P99" s="218">
        <f t="shared" si="25"/>
        <v>68.72</v>
      </c>
      <c r="Q99" s="218">
        <f t="shared" si="26"/>
        <v>19.757</v>
      </c>
      <c r="R99" s="227">
        <f t="shared" si="35"/>
        <v>0.17</v>
      </c>
      <c r="S99" s="218">
        <f t="shared" si="27"/>
        <v>146.03</v>
      </c>
      <c r="T99" s="220">
        <f t="shared" si="28"/>
        <v>129</v>
      </c>
      <c r="U99" s="218">
        <f t="shared" si="29"/>
        <v>63.123</v>
      </c>
      <c r="V99" s="221">
        <f t="shared" si="30"/>
        <v>0.1459930152</v>
      </c>
      <c r="W99" s="234">
        <v>10.5</v>
      </c>
      <c r="X99" s="234">
        <v>20.0</v>
      </c>
      <c r="Y99" s="234">
        <v>22.0</v>
      </c>
      <c r="Z99" s="234">
        <v>0.6</v>
      </c>
      <c r="AA99" s="213">
        <f t="shared" si="32"/>
        <v>0.924</v>
      </c>
      <c r="AB99" s="213">
        <f t="shared" si="33"/>
        <v>0.924</v>
      </c>
    </row>
    <row r="100">
      <c r="A100" s="212" t="s">
        <v>237</v>
      </c>
      <c r="B100" s="234" t="s">
        <v>5135</v>
      </c>
      <c r="C100" s="234">
        <v>8.40080586786E11</v>
      </c>
      <c r="D100" s="234">
        <v>8.1209723E7</v>
      </c>
      <c r="E100" s="234">
        <v>1.301466521E9</v>
      </c>
      <c r="F100" s="234" t="s">
        <v>5136</v>
      </c>
      <c r="G100" s="234" t="s">
        <v>5022</v>
      </c>
      <c r="H100" s="234" t="s">
        <v>2716</v>
      </c>
      <c r="I100" s="235">
        <v>1799.0</v>
      </c>
      <c r="J100" s="232">
        <v>1279.0</v>
      </c>
      <c r="K100" s="234"/>
      <c r="L100" s="234">
        <v>3.0</v>
      </c>
      <c r="M100" s="216">
        <f t="shared" si="24"/>
        <v>0.01</v>
      </c>
      <c r="N100" s="239" t="s">
        <v>4882</v>
      </c>
      <c r="O100" s="235">
        <v>771.51</v>
      </c>
      <c r="P100" s="218">
        <f t="shared" si="25"/>
        <v>102.32</v>
      </c>
      <c r="Q100" s="218">
        <f t="shared" si="26"/>
        <v>29.417</v>
      </c>
      <c r="R100" s="227">
        <f t="shared" si="35"/>
        <v>0.17</v>
      </c>
      <c r="S100" s="218">
        <f t="shared" si="27"/>
        <v>217.43</v>
      </c>
      <c r="T100" s="220">
        <f t="shared" si="28"/>
        <v>129</v>
      </c>
      <c r="U100" s="218">
        <f t="shared" si="29"/>
        <v>29.323</v>
      </c>
      <c r="V100" s="221">
        <f t="shared" si="30"/>
        <v>0.03800728442</v>
      </c>
      <c r="W100" s="234">
        <v>10.0</v>
      </c>
      <c r="X100" s="234">
        <v>10.0</v>
      </c>
      <c r="Y100" s="234">
        <v>9.0</v>
      </c>
      <c r="Z100" s="234">
        <v>0.45</v>
      </c>
      <c r="AA100" s="213">
        <f t="shared" si="32"/>
        <v>0.18</v>
      </c>
      <c r="AB100" s="213">
        <f t="shared" si="33"/>
        <v>0.45</v>
      </c>
    </row>
    <row r="101">
      <c r="A101" s="212" t="s">
        <v>237</v>
      </c>
      <c r="B101" s="234" t="s">
        <v>5137</v>
      </c>
      <c r="C101" s="234">
        <v>8.40080512204E11</v>
      </c>
      <c r="D101" s="234">
        <v>8.1106546E7</v>
      </c>
      <c r="E101" s="234">
        <v>1.301362822E9</v>
      </c>
      <c r="F101" s="234" t="s">
        <v>5138</v>
      </c>
      <c r="G101" s="234" t="s">
        <v>5022</v>
      </c>
      <c r="H101" s="234" t="s">
        <v>2716</v>
      </c>
      <c r="I101" s="235">
        <v>1799.0</v>
      </c>
      <c r="J101" s="232">
        <v>1229.0</v>
      </c>
      <c r="K101" s="234"/>
      <c r="L101" s="234">
        <v>3.0</v>
      </c>
      <c r="M101" s="216">
        <f t="shared" si="24"/>
        <v>0.01</v>
      </c>
      <c r="N101" s="239" t="s">
        <v>4882</v>
      </c>
      <c r="O101" s="235">
        <v>771.51</v>
      </c>
      <c r="P101" s="218">
        <f t="shared" si="25"/>
        <v>98.32</v>
      </c>
      <c r="Q101" s="218">
        <f t="shared" si="26"/>
        <v>28.267</v>
      </c>
      <c r="R101" s="227">
        <f>11%+M101</f>
        <v>0.12</v>
      </c>
      <c r="S101" s="218">
        <f t="shared" si="27"/>
        <v>147.48</v>
      </c>
      <c r="T101" s="220">
        <f t="shared" si="28"/>
        <v>129</v>
      </c>
      <c r="U101" s="218">
        <f t="shared" si="29"/>
        <v>54.423</v>
      </c>
      <c r="V101" s="221">
        <f t="shared" si="30"/>
        <v>0.07054088735</v>
      </c>
      <c r="W101" s="234">
        <v>10.0</v>
      </c>
      <c r="X101" s="234">
        <v>10.0</v>
      </c>
      <c r="Y101" s="234">
        <v>9.0</v>
      </c>
      <c r="Z101" s="234">
        <v>0.45</v>
      </c>
      <c r="AA101" s="213">
        <f t="shared" si="32"/>
        <v>0.18</v>
      </c>
      <c r="AB101" s="213">
        <f t="shared" si="33"/>
        <v>0.45</v>
      </c>
    </row>
    <row r="102">
      <c r="A102" s="212" t="s">
        <v>237</v>
      </c>
      <c r="B102" s="234" t="s">
        <v>5139</v>
      </c>
      <c r="C102" s="234">
        <v>8.40268907235E11</v>
      </c>
      <c r="D102" s="234">
        <v>8.1209716E7</v>
      </c>
      <c r="E102" s="234">
        <v>1.301466513E9</v>
      </c>
      <c r="F102" s="234" t="s">
        <v>5140</v>
      </c>
      <c r="G102" s="234" t="s">
        <v>5022</v>
      </c>
      <c r="H102" s="234" t="s">
        <v>2716</v>
      </c>
      <c r="I102" s="235">
        <v>1299.0</v>
      </c>
      <c r="J102" s="232">
        <v>989.0</v>
      </c>
      <c r="K102" s="238"/>
      <c r="L102" s="234">
        <v>3.0</v>
      </c>
      <c r="M102" s="216">
        <f t="shared" si="24"/>
        <v>0.01</v>
      </c>
      <c r="N102" s="239" t="s">
        <v>4882</v>
      </c>
      <c r="O102" s="247">
        <v>517.8929603027206</v>
      </c>
      <c r="P102" s="218">
        <f t="shared" si="25"/>
        <v>79.12</v>
      </c>
      <c r="Q102" s="218">
        <f t="shared" si="26"/>
        <v>22.747</v>
      </c>
      <c r="R102" s="227">
        <f>16%+M102</f>
        <v>0.17</v>
      </c>
      <c r="S102" s="218">
        <f t="shared" si="27"/>
        <v>168.13</v>
      </c>
      <c r="T102" s="220">
        <f t="shared" si="28"/>
        <v>129</v>
      </c>
      <c r="U102" s="218">
        <f t="shared" si="29"/>
        <v>72.1100397</v>
      </c>
      <c r="V102" s="221">
        <f t="shared" si="30"/>
        <v>0.1392373429</v>
      </c>
      <c r="W102" s="234">
        <v>12.0</v>
      </c>
      <c r="X102" s="234">
        <v>10.0</v>
      </c>
      <c r="Y102" s="234">
        <v>9.5</v>
      </c>
      <c r="Z102" s="234">
        <v>0.38</v>
      </c>
      <c r="AA102" s="213">
        <f t="shared" si="32"/>
        <v>0.228</v>
      </c>
      <c r="AB102" s="213">
        <f t="shared" si="33"/>
        <v>0.38</v>
      </c>
    </row>
    <row r="103">
      <c r="A103" s="212" t="s">
        <v>237</v>
      </c>
      <c r="B103" s="234" t="s">
        <v>5141</v>
      </c>
      <c r="C103" s="234">
        <v>6.941948709164E12</v>
      </c>
      <c r="D103" s="234">
        <v>8.1106569E7</v>
      </c>
      <c r="E103" s="234">
        <v>1.301362738E9</v>
      </c>
      <c r="F103" s="234" t="s">
        <v>5142</v>
      </c>
      <c r="G103" s="234" t="s">
        <v>5012</v>
      </c>
      <c r="H103" s="234" t="s">
        <v>4990</v>
      </c>
      <c r="I103" s="235">
        <v>1199.0</v>
      </c>
      <c r="J103" s="232">
        <v>1059.0</v>
      </c>
      <c r="K103" s="238"/>
      <c r="L103" s="234">
        <v>3.0</v>
      </c>
      <c r="M103" s="216">
        <f t="shared" si="24"/>
        <v>0.01</v>
      </c>
      <c r="N103" s="239" t="s">
        <v>4882</v>
      </c>
      <c r="O103" s="236">
        <v>620.0</v>
      </c>
      <c r="P103" s="218">
        <f t="shared" si="25"/>
        <v>84.72</v>
      </c>
      <c r="Q103" s="218">
        <f t="shared" si="26"/>
        <v>24.357</v>
      </c>
      <c r="R103" s="227">
        <f t="shared" ref="R103:R104" si="36">11%+M103</f>
        <v>0.12</v>
      </c>
      <c r="S103" s="218">
        <f t="shared" si="27"/>
        <v>127.08</v>
      </c>
      <c r="T103" s="220">
        <f t="shared" si="28"/>
        <v>139</v>
      </c>
      <c r="U103" s="218">
        <f t="shared" si="29"/>
        <v>63.843</v>
      </c>
      <c r="V103" s="221">
        <f t="shared" si="30"/>
        <v>0.1029725806</v>
      </c>
      <c r="W103" s="234">
        <v>24.0</v>
      </c>
      <c r="X103" s="234">
        <v>9.5</v>
      </c>
      <c r="Y103" s="234">
        <v>9.5</v>
      </c>
      <c r="Z103" s="234">
        <v>1.05</v>
      </c>
      <c r="AA103" s="213">
        <f t="shared" si="32"/>
        <v>0.4332</v>
      </c>
      <c r="AB103" s="213">
        <f t="shared" si="33"/>
        <v>1.05</v>
      </c>
    </row>
    <row r="104">
      <c r="A104" s="212" t="s">
        <v>237</v>
      </c>
      <c r="B104" s="234" t="s">
        <v>5143</v>
      </c>
      <c r="C104" s="234">
        <v>6.941948709171E12</v>
      </c>
      <c r="D104" s="234">
        <v>8.1209725E7</v>
      </c>
      <c r="E104" s="234">
        <v>1.301466527E9</v>
      </c>
      <c r="F104" s="234" t="s">
        <v>5144</v>
      </c>
      <c r="G104" s="234" t="s">
        <v>5012</v>
      </c>
      <c r="H104" s="234" t="s">
        <v>4990</v>
      </c>
      <c r="I104" s="235">
        <v>1399.0</v>
      </c>
      <c r="J104" s="232">
        <v>999.0</v>
      </c>
      <c r="K104" s="238"/>
      <c r="L104" s="234">
        <v>3.0</v>
      </c>
      <c r="M104" s="216">
        <f t="shared" si="24"/>
        <v>0.01</v>
      </c>
      <c r="N104" s="239" t="s">
        <v>4882</v>
      </c>
      <c r="O104" s="236">
        <v>620.0</v>
      </c>
      <c r="P104" s="218">
        <f t="shared" si="25"/>
        <v>79.92</v>
      </c>
      <c r="Q104" s="218">
        <f t="shared" si="26"/>
        <v>22.977</v>
      </c>
      <c r="R104" s="227">
        <f t="shared" si="36"/>
        <v>0.12</v>
      </c>
      <c r="S104" s="218">
        <f t="shared" si="27"/>
        <v>119.88</v>
      </c>
      <c r="T104" s="220">
        <f t="shared" si="28"/>
        <v>139</v>
      </c>
      <c r="U104" s="218">
        <f t="shared" si="29"/>
        <v>17.223</v>
      </c>
      <c r="V104" s="221">
        <f t="shared" si="30"/>
        <v>0.02777903226</v>
      </c>
      <c r="W104" s="234">
        <v>24.0</v>
      </c>
      <c r="X104" s="234">
        <v>9.5</v>
      </c>
      <c r="Y104" s="234">
        <v>9.5</v>
      </c>
      <c r="Z104" s="234">
        <v>1.05</v>
      </c>
      <c r="AA104" s="213">
        <f t="shared" si="32"/>
        <v>0.4332</v>
      </c>
      <c r="AB104" s="213">
        <f t="shared" si="33"/>
        <v>1.05</v>
      </c>
    </row>
    <row r="105">
      <c r="A105" s="212" t="s">
        <v>4175</v>
      </c>
      <c r="B105" s="234" t="s">
        <v>5145</v>
      </c>
      <c r="C105" s="234">
        <v>6.941812791585E12</v>
      </c>
      <c r="D105" s="234">
        <v>8.110658E7</v>
      </c>
      <c r="E105" s="234">
        <v>1.301362724E9</v>
      </c>
      <c r="F105" s="234" t="s">
        <v>5146</v>
      </c>
      <c r="G105" s="234" t="s">
        <v>5147</v>
      </c>
      <c r="H105" s="234" t="s">
        <v>4990</v>
      </c>
      <c r="I105" s="235">
        <v>1199.0</v>
      </c>
      <c r="J105" s="232">
        <v>859.0</v>
      </c>
      <c r="K105" s="238"/>
      <c r="L105" s="234">
        <v>3.0</v>
      </c>
      <c r="M105" s="216">
        <f t="shared" si="24"/>
        <v>0.01</v>
      </c>
      <c r="N105" s="239" t="s">
        <v>4882</v>
      </c>
      <c r="O105" s="248">
        <v>388.39</v>
      </c>
      <c r="P105" s="218">
        <f t="shared" si="25"/>
        <v>68.72</v>
      </c>
      <c r="Q105" s="218">
        <f t="shared" si="26"/>
        <v>19.757</v>
      </c>
      <c r="R105" s="227">
        <f t="shared" ref="R105:R106" si="37">10%+M105</f>
        <v>0.11</v>
      </c>
      <c r="S105" s="218">
        <f t="shared" si="27"/>
        <v>94.49</v>
      </c>
      <c r="T105" s="220">
        <f t="shared" si="28"/>
        <v>129</v>
      </c>
      <c r="U105" s="218">
        <f t="shared" si="29"/>
        <v>158.643</v>
      </c>
      <c r="V105" s="221">
        <f t="shared" si="30"/>
        <v>0.4084631427</v>
      </c>
      <c r="W105" s="234">
        <v>9.0</v>
      </c>
      <c r="X105" s="234">
        <v>9.0</v>
      </c>
      <c r="Y105" s="234">
        <v>3.0</v>
      </c>
      <c r="Z105" s="234">
        <v>0.15</v>
      </c>
      <c r="AA105" s="213">
        <f t="shared" si="32"/>
        <v>0.0486</v>
      </c>
      <c r="AB105" s="213">
        <f t="shared" si="33"/>
        <v>0.15</v>
      </c>
    </row>
    <row r="106">
      <c r="A106" s="212" t="s">
        <v>237</v>
      </c>
      <c r="B106" s="234" t="s">
        <v>5148</v>
      </c>
      <c r="C106" s="234">
        <v>6.941812791547E12</v>
      </c>
      <c r="D106" s="234">
        <v>8.1218864E7</v>
      </c>
      <c r="E106" s="234">
        <v>1.301473585E9</v>
      </c>
      <c r="F106" s="234" t="s">
        <v>5149</v>
      </c>
      <c r="G106" s="234" t="s">
        <v>5147</v>
      </c>
      <c r="H106" s="234" t="s">
        <v>4990</v>
      </c>
      <c r="I106" s="235">
        <v>1199.0</v>
      </c>
      <c r="J106" s="232">
        <v>859.0</v>
      </c>
      <c r="K106" s="238"/>
      <c r="L106" s="234">
        <v>3.0</v>
      </c>
      <c r="M106" s="216">
        <f t="shared" si="24"/>
        <v>0.01</v>
      </c>
      <c r="N106" s="239" t="s">
        <v>4882</v>
      </c>
      <c r="O106" s="248">
        <v>426.36</v>
      </c>
      <c r="P106" s="218">
        <f t="shared" si="25"/>
        <v>68.72</v>
      </c>
      <c r="Q106" s="218">
        <f t="shared" si="26"/>
        <v>19.757</v>
      </c>
      <c r="R106" s="227">
        <f t="shared" si="37"/>
        <v>0.11</v>
      </c>
      <c r="S106" s="218">
        <f t="shared" si="27"/>
        <v>94.49</v>
      </c>
      <c r="T106" s="220">
        <f t="shared" si="28"/>
        <v>129</v>
      </c>
      <c r="U106" s="218">
        <f t="shared" si="29"/>
        <v>120.673</v>
      </c>
      <c r="V106" s="221">
        <f t="shared" si="30"/>
        <v>0.2830307721</v>
      </c>
      <c r="W106" s="234">
        <v>9.0</v>
      </c>
      <c r="X106" s="234">
        <v>9.0</v>
      </c>
      <c r="Y106" s="234">
        <v>3.0</v>
      </c>
      <c r="Z106" s="234">
        <v>0.15</v>
      </c>
      <c r="AA106" s="213">
        <f t="shared" si="32"/>
        <v>0.0486</v>
      </c>
      <c r="AB106" s="213">
        <f t="shared" si="33"/>
        <v>0.15</v>
      </c>
    </row>
    <row r="107">
      <c r="A107" s="212" t="s">
        <v>237</v>
      </c>
      <c r="B107" s="234" t="s">
        <v>5055</v>
      </c>
      <c r="C107" s="234">
        <v>6.941812706251E12</v>
      </c>
      <c r="D107" s="234">
        <v>8.1218865E7</v>
      </c>
      <c r="E107" s="234">
        <v>1.301473427E9</v>
      </c>
      <c r="F107" s="234" t="s">
        <v>5150</v>
      </c>
      <c r="G107" s="234" t="s">
        <v>5057</v>
      </c>
      <c r="H107" s="234" t="s">
        <v>4990</v>
      </c>
      <c r="I107" s="235">
        <v>999.0</v>
      </c>
      <c r="J107" s="232">
        <v>659.0</v>
      </c>
      <c r="K107" s="238"/>
      <c r="L107" s="234">
        <v>3.0</v>
      </c>
      <c r="M107" s="216">
        <f t="shared" si="24"/>
        <v>0.01</v>
      </c>
      <c r="N107" s="239" t="s">
        <v>4882</v>
      </c>
      <c r="O107" s="240">
        <v>309.62</v>
      </c>
      <c r="P107" s="218">
        <f t="shared" si="25"/>
        <v>52.72</v>
      </c>
      <c r="Q107" s="218">
        <f t="shared" si="26"/>
        <v>15.157</v>
      </c>
      <c r="R107" s="227">
        <f>17%+M107</f>
        <v>0.18</v>
      </c>
      <c r="S107" s="218">
        <f t="shared" si="27"/>
        <v>118.62</v>
      </c>
      <c r="T107" s="220">
        <f t="shared" si="28"/>
        <v>129</v>
      </c>
      <c r="U107" s="218">
        <f t="shared" si="29"/>
        <v>33.883</v>
      </c>
      <c r="V107" s="221">
        <f t="shared" si="30"/>
        <v>0.1094341451</v>
      </c>
      <c r="W107" s="234">
        <v>9.0</v>
      </c>
      <c r="X107" s="234">
        <v>9.0</v>
      </c>
      <c r="Y107" s="234">
        <v>3.0</v>
      </c>
      <c r="Z107" s="234">
        <v>0.12</v>
      </c>
      <c r="AA107" s="213">
        <f t="shared" si="32"/>
        <v>0.0486</v>
      </c>
      <c r="AB107" s="213">
        <f t="shared" si="33"/>
        <v>0.12</v>
      </c>
    </row>
    <row r="108">
      <c r="A108" s="212" t="s">
        <v>237</v>
      </c>
      <c r="B108" s="234" t="s">
        <v>5151</v>
      </c>
      <c r="C108" s="238"/>
      <c r="D108" s="238"/>
      <c r="E108" s="238"/>
      <c r="F108" s="234" t="s">
        <v>5152</v>
      </c>
      <c r="G108" s="238"/>
      <c r="H108" s="238"/>
      <c r="I108" s="238"/>
      <c r="J108" s="232">
        <v>799.0</v>
      </c>
      <c r="K108" s="238"/>
      <c r="L108" s="214">
        <v>3.0</v>
      </c>
      <c r="M108" s="216">
        <f t="shared" si="24"/>
        <v>0.01</v>
      </c>
      <c r="N108" s="213" t="s">
        <v>4882</v>
      </c>
      <c r="O108" s="235">
        <v>407.27</v>
      </c>
      <c r="P108" s="218">
        <f t="shared" si="25"/>
        <v>63.92</v>
      </c>
      <c r="Q108" s="218">
        <f t="shared" si="26"/>
        <v>18.377</v>
      </c>
      <c r="R108" s="227">
        <f>16%+M108</f>
        <v>0.17</v>
      </c>
      <c r="S108" s="218">
        <f t="shared" si="27"/>
        <v>135.83</v>
      </c>
      <c r="T108" s="220">
        <f t="shared" si="28"/>
        <v>129</v>
      </c>
      <c r="U108" s="218">
        <f t="shared" si="29"/>
        <v>44.603</v>
      </c>
      <c r="V108" s="221">
        <f t="shared" si="30"/>
        <v>0.109517028</v>
      </c>
      <c r="W108" s="234">
        <v>12.0</v>
      </c>
      <c r="X108" s="234">
        <v>9.0</v>
      </c>
      <c r="Y108" s="234">
        <v>4.0</v>
      </c>
      <c r="Z108" s="234">
        <v>0.2</v>
      </c>
      <c r="AA108" s="213">
        <f t="shared" si="32"/>
        <v>0.0864</v>
      </c>
      <c r="AB108" s="213">
        <f t="shared" si="33"/>
        <v>0.2</v>
      </c>
    </row>
    <row r="109">
      <c r="A109" s="212" t="s">
        <v>237</v>
      </c>
      <c r="B109" s="234" t="s">
        <v>5153</v>
      </c>
      <c r="C109" s="234">
        <v>6.941812737071E12</v>
      </c>
      <c r="D109" s="234">
        <v>8.1218847E7</v>
      </c>
      <c r="E109" s="234">
        <v>1.301483053E9</v>
      </c>
      <c r="F109" s="234" t="s">
        <v>5154</v>
      </c>
      <c r="G109" s="234" t="s">
        <v>5004</v>
      </c>
      <c r="H109" s="234" t="s">
        <v>4990</v>
      </c>
      <c r="I109" s="235">
        <v>599.0</v>
      </c>
      <c r="J109" s="232">
        <v>380.0</v>
      </c>
      <c r="K109" s="238"/>
      <c r="L109" s="214">
        <v>3.0</v>
      </c>
      <c r="M109" s="216">
        <f t="shared" si="24"/>
        <v>0.01</v>
      </c>
      <c r="N109" s="213" t="s">
        <v>4882</v>
      </c>
      <c r="O109" s="235">
        <v>153.0</v>
      </c>
      <c r="P109" s="218">
        <f t="shared" si="25"/>
        <v>30.4</v>
      </c>
      <c r="Q109" s="218">
        <f t="shared" si="26"/>
        <v>8.74</v>
      </c>
      <c r="R109" s="227">
        <f t="shared" ref="R109:R111" si="38">11%+M109</f>
        <v>0.12</v>
      </c>
      <c r="S109" s="218">
        <f t="shared" si="27"/>
        <v>45.6</v>
      </c>
      <c r="T109" s="220">
        <f t="shared" si="28"/>
        <v>129</v>
      </c>
      <c r="U109" s="218">
        <f t="shared" si="29"/>
        <v>13.26</v>
      </c>
      <c r="V109" s="221">
        <f t="shared" si="30"/>
        <v>0.08666666667</v>
      </c>
      <c r="W109" s="234">
        <v>9.5</v>
      </c>
      <c r="X109" s="234">
        <v>9.5</v>
      </c>
      <c r="Y109" s="234">
        <v>4.0</v>
      </c>
      <c r="Z109" s="234">
        <v>0.15</v>
      </c>
      <c r="AA109" s="213">
        <f t="shared" si="32"/>
        <v>0.0722</v>
      </c>
      <c r="AB109" s="213">
        <f t="shared" si="33"/>
        <v>0.15</v>
      </c>
    </row>
    <row r="110">
      <c r="A110" s="212" t="s">
        <v>237</v>
      </c>
      <c r="B110" s="234" t="s">
        <v>5155</v>
      </c>
      <c r="C110" s="234"/>
      <c r="D110" s="234"/>
      <c r="E110" s="234"/>
      <c r="F110" s="234" t="s">
        <v>5156</v>
      </c>
      <c r="G110" s="234"/>
      <c r="H110" s="234"/>
      <c r="I110" s="235"/>
      <c r="J110" s="232">
        <v>349.0</v>
      </c>
      <c r="K110" s="238"/>
      <c r="L110" s="214">
        <v>3.0</v>
      </c>
      <c r="M110" s="216">
        <f t="shared" si="24"/>
        <v>0.01</v>
      </c>
      <c r="N110" s="213" t="s">
        <v>4882</v>
      </c>
      <c r="O110" s="235">
        <v>125.36</v>
      </c>
      <c r="P110" s="218">
        <f t="shared" si="25"/>
        <v>27.92</v>
      </c>
      <c r="Q110" s="218">
        <f t="shared" si="26"/>
        <v>8.027</v>
      </c>
      <c r="R110" s="227">
        <f t="shared" si="38"/>
        <v>0.12</v>
      </c>
      <c r="S110" s="218">
        <f t="shared" si="27"/>
        <v>41.88</v>
      </c>
      <c r="T110" s="220">
        <f t="shared" si="28"/>
        <v>129</v>
      </c>
      <c r="U110" s="218">
        <f t="shared" si="29"/>
        <v>16.813</v>
      </c>
      <c r="V110" s="221">
        <f t="shared" si="30"/>
        <v>0.1341177409</v>
      </c>
      <c r="W110" s="234">
        <v>9.5</v>
      </c>
      <c r="X110" s="234">
        <v>9.5</v>
      </c>
      <c r="Y110" s="234">
        <v>4.0</v>
      </c>
      <c r="Z110" s="234">
        <v>0.15</v>
      </c>
      <c r="AA110" s="213">
        <f t="shared" si="32"/>
        <v>0.0722</v>
      </c>
      <c r="AB110" s="213">
        <f t="shared" si="33"/>
        <v>0.15</v>
      </c>
    </row>
    <row r="111">
      <c r="A111" s="212" t="s">
        <v>237</v>
      </c>
      <c r="B111" s="234" t="s">
        <v>5157</v>
      </c>
      <c r="C111" s="234">
        <v>6.941948704213E12</v>
      </c>
      <c r="D111" s="234">
        <v>8.121886E7</v>
      </c>
      <c r="E111" s="234">
        <v>1.301483067E9</v>
      </c>
      <c r="F111" s="234" t="s">
        <v>5158</v>
      </c>
      <c r="G111" s="234" t="s">
        <v>5159</v>
      </c>
      <c r="H111" s="234" t="s">
        <v>4990</v>
      </c>
      <c r="I111" s="235">
        <v>1499.0</v>
      </c>
      <c r="J111" s="232">
        <v>1059.0</v>
      </c>
      <c r="K111" s="238"/>
      <c r="L111" s="214">
        <v>3.0</v>
      </c>
      <c r="M111" s="216">
        <f t="shared" si="24"/>
        <v>0.01</v>
      </c>
      <c r="N111" s="213" t="s">
        <v>4882</v>
      </c>
      <c r="O111" s="235">
        <v>610.0</v>
      </c>
      <c r="P111" s="218">
        <f t="shared" si="25"/>
        <v>84.72</v>
      </c>
      <c r="Q111" s="218">
        <f t="shared" si="26"/>
        <v>24.357</v>
      </c>
      <c r="R111" s="227">
        <f t="shared" si="38"/>
        <v>0.12</v>
      </c>
      <c r="S111" s="218">
        <f t="shared" si="27"/>
        <v>127.08</v>
      </c>
      <c r="T111" s="220">
        <f t="shared" si="28"/>
        <v>149</v>
      </c>
      <c r="U111" s="218">
        <f t="shared" si="29"/>
        <v>63.843</v>
      </c>
      <c r="V111" s="221">
        <f t="shared" si="30"/>
        <v>0.1046606557</v>
      </c>
      <c r="W111" s="234">
        <v>84.0</v>
      </c>
      <c r="X111" s="234">
        <v>10.0</v>
      </c>
      <c r="Y111" s="234">
        <v>10.0</v>
      </c>
      <c r="Z111" s="234">
        <v>2.1</v>
      </c>
      <c r="AA111" s="213">
        <f t="shared" si="32"/>
        <v>1.68</v>
      </c>
      <c r="AB111" s="213">
        <f t="shared" si="33"/>
        <v>2.1</v>
      </c>
    </row>
    <row r="112">
      <c r="A112" s="212" t="s">
        <v>237</v>
      </c>
      <c r="B112" s="234" t="s">
        <v>5160</v>
      </c>
      <c r="C112" s="234">
        <v>6.290360595771E12</v>
      </c>
      <c r="D112" s="234">
        <v>8.1508971E7</v>
      </c>
      <c r="E112" s="234">
        <v>1.301758013E9</v>
      </c>
      <c r="F112" s="234" t="s">
        <v>5161</v>
      </c>
      <c r="G112" s="234" t="s">
        <v>5162</v>
      </c>
      <c r="H112" s="234" t="s">
        <v>5163</v>
      </c>
      <c r="I112" s="235">
        <v>1299.0</v>
      </c>
      <c r="J112" s="232">
        <v>749.0</v>
      </c>
      <c r="K112" s="238"/>
      <c r="L112" s="214">
        <v>3.0</v>
      </c>
      <c r="M112" s="216">
        <f t="shared" si="24"/>
        <v>0.01</v>
      </c>
      <c r="N112" s="213" t="s">
        <v>4882</v>
      </c>
      <c r="O112" s="235">
        <v>352.56</v>
      </c>
      <c r="P112" s="218">
        <f t="shared" si="25"/>
        <v>59.92</v>
      </c>
      <c r="Q112" s="218">
        <f t="shared" si="26"/>
        <v>17.227</v>
      </c>
      <c r="R112" s="227">
        <f t="shared" ref="R112:R115" si="39">15%+M112</f>
        <v>0.16</v>
      </c>
      <c r="S112" s="218">
        <f t="shared" si="27"/>
        <v>119.84</v>
      </c>
      <c r="T112" s="220">
        <f t="shared" si="28"/>
        <v>129</v>
      </c>
      <c r="U112" s="218">
        <f t="shared" si="29"/>
        <v>70.453</v>
      </c>
      <c r="V112" s="221">
        <f t="shared" si="30"/>
        <v>0.1998326526</v>
      </c>
      <c r="W112" s="234">
        <v>9.5</v>
      </c>
      <c r="X112" s="234">
        <v>9.5</v>
      </c>
      <c r="Y112" s="234">
        <v>17.0</v>
      </c>
      <c r="Z112" s="234">
        <v>0.3</v>
      </c>
      <c r="AA112" s="213">
        <f t="shared" si="32"/>
        <v>0.30685</v>
      </c>
      <c r="AB112" s="213">
        <f t="shared" si="33"/>
        <v>0.30685</v>
      </c>
    </row>
    <row r="113">
      <c r="A113" s="212" t="s">
        <v>237</v>
      </c>
      <c r="B113" s="234" t="s">
        <v>5164</v>
      </c>
      <c r="C113" s="234">
        <v>6.290171072836E12</v>
      </c>
      <c r="D113" s="234">
        <v>8.1508982E7</v>
      </c>
      <c r="E113" s="234">
        <v>1.301758032E9</v>
      </c>
      <c r="F113" s="234" t="s">
        <v>5165</v>
      </c>
      <c r="G113" s="234" t="s">
        <v>5000</v>
      </c>
      <c r="H113" s="234" t="s">
        <v>5166</v>
      </c>
      <c r="I113" s="235">
        <v>999.0</v>
      </c>
      <c r="J113" s="232">
        <v>749.0</v>
      </c>
      <c r="K113" s="238"/>
      <c r="L113" s="214">
        <v>3.0</v>
      </c>
      <c r="M113" s="216">
        <f t="shared" si="24"/>
        <v>0.01</v>
      </c>
      <c r="N113" s="213" t="s">
        <v>4882</v>
      </c>
      <c r="O113" s="235">
        <v>366.86</v>
      </c>
      <c r="P113" s="218">
        <f t="shared" si="25"/>
        <v>59.92</v>
      </c>
      <c r="Q113" s="218">
        <f t="shared" si="26"/>
        <v>17.227</v>
      </c>
      <c r="R113" s="227">
        <f t="shared" si="39"/>
        <v>0.16</v>
      </c>
      <c r="S113" s="218">
        <f t="shared" si="27"/>
        <v>119.84</v>
      </c>
      <c r="T113" s="220">
        <f t="shared" si="28"/>
        <v>129</v>
      </c>
      <c r="U113" s="218">
        <f t="shared" si="29"/>
        <v>56.153</v>
      </c>
      <c r="V113" s="221">
        <f t="shared" si="30"/>
        <v>0.1530638391</v>
      </c>
      <c r="W113" s="234">
        <v>9.5</v>
      </c>
      <c r="X113" s="234">
        <v>9.5</v>
      </c>
      <c r="Y113" s="234">
        <v>17.0</v>
      </c>
      <c r="Z113" s="234">
        <v>0.3</v>
      </c>
      <c r="AA113" s="213">
        <f t="shared" si="32"/>
        <v>0.30685</v>
      </c>
      <c r="AB113" s="213">
        <f t="shared" si="33"/>
        <v>0.30685</v>
      </c>
    </row>
    <row r="114">
      <c r="A114" s="212" t="s">
        <v>237</v>
      </c>
      <c r="B114" s="234" t="s">
        <v>5167</v>
      </c>
      <c r="C114" s="234">
        <v>6.294015195361E12</v>
      </c>
      <c r="D114" s="234">
        <v>8.1510776E7</v>
      </c>
      <c r="E114" s="234">
        <v>1.301759755E9</v>
      </c>
      <c r="F114" s="234" t="s">
        <v>5168</v>
      </c>
      <c r="G114" s="234" t="s">
        <v>5169</v>
      </c>
      <c r="H114" s="234" t="s">
        <v>5170</v>
      </c>
      <c r="I114" s="235">
        <v>1599.0</v>
      </c>
      <c r="J114" s="232">
        <v>1199.0</v>
      </c>
      <c r="K114" s="238"/>
      <c r="L114" s="214">
        <v>3.0</v>
      </c>
      <c r="M114" s="216">
        <f t="shared" si="24"/>
        <v>0.01</v>
      </c>
      <c r="N114" s="213" t="s">
        <v>4882</v>
      </c>
      <c r="O114" s="247">
        <v>647.9565393013239</v>
      </c>
      <c r="P114" s="218">
        <f t="shared" si="25"/>
        <v>95.92</v>
      </c>
      <c r="Q114" s="218">
        <f t="shared" si="26"/>
        <v>27.577</v>
      </c>
      <c r="R114" s="227">
        <f t="shared" si="39"/>
        <v>0.16</v>
      </c>
      <c r="S114" s="218">
        <f t="shared" si="27"/>
        <v>191.84</v>
      </c>
      <c r="T114" s="220">
        <f t="shared" si="28"/>
        <v>129</v>
      </c>
      <c r="U114" s="218">
        <f t="shared" si="29"/>
        <v>106.7064607</v>
      </c>
      <c r="V114" s="221">
        <f t="shared" si="30"/>
        <v>0.1646815091</v>
      </c>
      <c r="W114" s="234">
        <v>22.0</v>
      </c>
      <c r="X114" s="234">
        <v>3.0</v>
      </c>
      <c r="Y114" s="234">
        <v>9.0</v>
      </c>
      <c r="Z114" s="234">
        <v>0.3</v>
      </c>
      <c r="AA114" s="213">
        <f t="shared" si="32"/>
        <v>0.1188</v>
      </c>
      <c r="AB114" s="213">
        <f t="shared" si="33"/>
        <v>0.3</v>
      </c>
    </row>
    <row r="115">
      <c r="A115" s="212" t="s">
        <v>237</v>
      </c>
      <c r="B115" s="234" t="s">
        <v>5171</v>
      </c>
      <c r="C115" s="234">
        <v>6.290360378053E12</v>
      </c>
      <c r="D115" s="234">
        <v>8.1511384E7</v>
      </c>
      <c r="E115" s="234">
        <v>1.301760387E9</v>
      </c>
      <c r="F115" s="234" t="s">
        <v>5172</v>
      </c>
      <c r="G115" s="234" t="s">
        <v>5162</v>
      </c>
      <c r="H115" s="234" t="s">
        <v>5173</v>
      </c>
      <c r="I115" s="235">
        <v>1499.0</v>
      </c>
      <c r="J115" s="232">
        <v>1099.0</v>
      </c>
      <c r="K115" s="238"/>
      <c r="L115" s="214">
        <v>3.0</v>
      </c>
      <c r="M115" s="216">
        <f t="shared" si="24"/>
        <v>0.01</v>
      </c>
      <c r="N115" s="213" t="s">
        <v>4882</v>
      </c>
      <c r="O115" s="247">
        <v>590.7839034806188</v>
      </c>
      <c r="P115" s="218">
        <f t="shared" si="25"/>
        <v>87.92</v>
      </c>
      <c r="Q115" s="218">
        <f t="shared" si="26"/>
        <v>25.277</v>
      </c>
      <c r="R115" s="227">
        <f t="shared" si="39"/>
        <v>0.16</v>
      </c>
      <c r="S115" s="218">
        <f t="shared" si="27"/>
        <v>175.84</v>
      </c>
      <c r="T115" s="220">
        <f t="shared" si="28"/>
        <v>129</v>
      </c>
      <c r="U115" s="218">
        <f t="shared" si="29"/>
        <v>90.17909652</v>
      </c>
      <c r="V115" s="221">
        <f t="shared" si="30"/>
        <v>0.152643117</v>
      </c>
      <c r="W115" s="234">
        <v>22.0</v>
      </c>
      <c r="X115" s="234">
        <v>3.0</v>
      </c>
      <c r="Y115" s="234">
        <v>9.0</v>
      </c>
      <c r="Z115" s="234">
        <v>0.3</v>
      </c>
      <c r="AA115" s="213">
        <f t="shared" si="32"/>
        <v>0.1188</v>
      </c>
      <c r="AB115" s="213">
        <f t="shared" si="33"/>
        <v>0.3</v>
      </c>
    </row>
    <row r="116">
      <c r="A116" s="212" t="s">
        <v>237</v>
      </c>
      <c r="B116" s="234" t="s">
        <v>5174</v>
      </c>
      <c r="C116" s="234">
        <v>5.0036405058E10</v>
      </c>
      <c r="D116" s="234">
        <v>8.1520489E7</v>
      </c>
      <c r="E116" s="234">
        <v>1.301783176E9</v>
      </c>
      <c r="F116" s="234" t="s">
        <v>5175</v>
      </c>
      <c r="G116" s="234" t="s">
        <v>5004</v>
      </c>
      <c r="H116" s="234" t="s">
        <v>5009</v>
      </c>
      <c r="I116" s="235">
        <v>1199.0</v>
      </c>
      <c r="J116" s="232">
        <v>949.0</v>
      </c>
      <c r="K116" s="238"/>
      <c r="L116" s="214">
        <v>3.0</v>
      </c>
      <c r="M116" s="216">
        <f t="shared" si="24"/>
        <v>0.01</v>
      </c>
      <c r="N116" s="213" t="s">
        <v>4882</v>
      </c>
      <c r="O116" s="236">
        <v>549.25</v>
      </c>
      <c r="P116" s="218">
        <f t="shared" si="25"/>
        <v>75.92</v>
      </c>
      <c r="Q116" s="218">
        <f t="shared" si="26"/>
        <v>21.827</v>
      </c>
      <c r="R116" s="227">
        <f t="shared" ref="R116:R121" si="40">11%+M116</f>
        <v>0.12</v>
      </c>
      <c r="S116" s="218">
        <f t="shared" si="27"/>
        <v>113.88</v>
      </c>
      <c r="T116" s="220">
        <f t="shared" si="28"/>
        <v>129</v>
      </c>
      <c r="U116" s="218">
        <f t="shared" si="29"/>
        <v>59.123</v>
      </c>
      <c r="V116" s="221">
        <f t="shared" si="30"/>
        <v>0.1076431497</v>
      </c>
      <c r="W116" s="234">
        <v>10.5</v>
      </c>
      <c r="X116" s="234">
        <v>10.0</v>
      </c>
      <c r="Y116" s="234">
        <v>4.5</v>
      </c>
      <c r="Z116" s="234">
        <v>0.3</v>
      </c>
      <c r="AA116" s="213">
        <f t="shared" si="32"/>
        <v>0.0945</v>
      </c>
      <c r="AB116" s="213">
        <f t="shared" si="33"/>
        <v>0.3</v>
      </c>
    </row>
    <row r="117">
      <c r="A117" s="212" t="s">
        <v>4175</v>
      </c>
      <c r="B117" s="246" t="s">
        <v>5176</v>
      </c>
      <c r="C117" s="234">
        <v>6.932554464233E12</v>
      </c>
      <c r="D117" s="234">
        <v>8.1514188E7</v>
      </c>
      <c r="E117" s="234">
        <v>1.301769749E9</v>
      </c>
      <c r="F117" s="234" t="s">
        <v>5177</v>
      </c>
      <c r="G117" s="234" t="s">
        <v>5004</v>
      </c>
      <c r="H117" s="234" t="s">
        <v>5178</v>
      </c>
      <c r="I117" s="235">
        <v>899.0</v>
      </c>
      <c r="J117" s="249">
        <v>599.0</v>
      </c>
      <c r="K117" s="250"/>
      <c r="L117" s="251">
        <v>3.0</v>
      </c>
      <c r="M117" s="252">
        <f t="shared" si="24"/>
        <v>0.01</v>
      </c>
      <c r="N117" s="253" t="s">
        <v>4882</v>
      </c>
      <c r="O117" s="254">
        <v>291.07</v>
      </c>
      <c r="P117" s="255">
        <f t="shared" si="25"/>
        <v>47.92</v>
      </c>
      <c r="Q117" s="255">
        <f t="shared" si="26"/>
        <v>13.777</v>
      </c>
      <c r="R117" s="256">
        <f t="shared" si="40"/>
        <v>0.12</v>
      </c>
      <c r="S117" s="255">
        <f t="shared" si="27"/>
        <v>71.88</v>
      </c>
      <c r="T117" s="257">
        <f t="shared" si="28"/>
        <v>129</v>
      </c>
      <c r="U117" s="255">
        <f t="shared" si="29"/>
        <v>45.353</v>
      </c>
      <c r="V117" s="258">
        <f t="shared" si="30"/>
        <v>0.1558147525</v>
      </c>
      <c r="W117" s="246">
        <v>10.0</v>
      </c>
      <c r="X117" s="246">
        <v>10.0</v>
      </c>
      <c r="Y117" s="246">
        <v>4.0</v>
      </c>
      <c r="Z117" s="246">
        <v>0.16</v>
      </c>
      <c r="AA117" s="253">
        <f t="shared" si="32"/>
        <v>0.08</v>
      </c>
      <c r="AB117" s="253">
        <f t="shared" si="33"/>
        <v>0.16</v>
      </c>
    </row>
    <row r="118">
      <c r="A118" s="212" t="s">
        <v>237</v>
      </c>
      <c r="B118" s="246" t="s">
        <v>5179</v>
      </c>
      <c r="C118" s="234">
        <v>6.941948704916E12</v>
      </c>
      <c r="D118" s="234">
        <v>8.1520497E7</v>
      </c>
      <c r="E118" s="234">
        <v>1.301783181E9</v>
      </c>
      <c r="F118" s="234" t="s">
        <v>5180</v>
      </c>
      <c r="G118" s="234" t="s">
        <v>5130</v>
      </c>
      <c r="H118" s="234" t="s">
        <v>5178</v>
      </c>
      <c r="I118" s="235">
        <v>1699.0</v>
      </c>
      <c r="J118" s="232">
        <v>1349.0</v>
      </c>
      <c r="K118" s="238"/>
      <c r="L118" s="214">
        <v>3.0</v>
      </c>
      <c r="M118" s="216">
        <f t="shared" si="24"/>
        <v>0.01</v>
      </c>
      <c r="N118" s="213" t="s">
        <v>4882</v>
      </c>
      <c r="O118" s="235">
        <v>833.66</v>
      </c>
      <c r="P118" s="218">
        <f t="shared" si="25"/>
        <v>107.92</v>
      </c>
      <c r="Q118" s="218">
        <f t="shared" si="26"/>
        <v>31.027</v>
      </c>
      <c r="R118" s="227">
        <f t="shared" si="40"/>
        <v>0.12</v>
      </c>
      <c r="S118" s="218">
        <f t="shared" si="27"/>
        <v>161.88</v>
      </c>
      <c r="T118" s="220">
        <f t="shared" si="28"/>
        <v>129</v>
      </c>
      <c r="U118" s="218">
        <f t="shared" si="29"/>
        <v>85.513</v>
      </c>
      <c r="V118" s="221">
        <f t="shared" si="30"/>
        <v>0.1025753904</v>
      </c>
      <c r="W118" s="234">
        <v>13.5</v>
      </c>
      <c r="X118" s="234">
        <v>10.5</v>
      </c>
      <c r="Y118" s="234">
        <v>5.0</v>
      </c>
      <c r="Z118" s="234">
        <v>0.35</v>
      </c>
      <c r="AA118" s="213">
        <f t="shared" si="32"/>
        <v>0.14175</v>
      </c>
      <c r="AB118" s="213">
        <f t="shared" si="33"/>
        <v>0.35</v>
      </c>
    </row>
    <row r="119">
      <c r="A119" s="212" t="s">
        <v>237</v>
      </c>
      <c r="B119" s="234" t="s">
        <v>5181</v>
      </c>
      <c r="C119" s="238"/>
      <c r="D119" s="238"/>
      <c r="E119" s="238"/>
      <c r="F119" s="234" t="s">
        <v>5182</v>
      </c>
      <c r="G119" s="238"/>
      <c r="H119" s="238"/>
      <c r="I119" s="238"/>
      <c r="J119" s="232">
        <v>1559.0</v>
      </c>
      <c r="K119" s="238"/>
      <c r="L119" s="214">
        <v>3.0</v>
      </c>
      <c r="M119" s="216">
        <f t="shared" si="24"/>
        <v>0.01</v>
      </c>
      <c r="N119" s="213" t="s">
        <v>4882</v>
      </c>
      <c r="O119" s="235">
        <v>950.83</v>
      </c>
      <c r="P119" s="218">
        <f t="shared" si="25"/>
        <v>124.72</v>
      </c>
      <c r="Q119" s="218">
        <f t="shared" si="26"/>
        <v>35.857</v>
      </c>
      <c r="R119" s="227">
        <f t="shared" si="40"/>
        <v>0.12</v>
      </c>
      <c r="S119" s="218">
        <f t="shared" si="27"/>
        <v>187.08</v>
      </c>
      <c r="T119" s="220">
        <f t="shared" si="28"/>
        <v>129</v>
      </c>
      <c r="U119" s="218">
        <f t="shared" si="29"/>
        <v>131.513</v>
      </c>
      <c r="V119" s="221">
        <f t="shared" si="30"/>
        <v>0.1383138942</v>
      </c>
      <c r="W119" s="234">
        <v>10.0</v>
      </c>
      <c r="X119" s="234">
        <v>10.5</v>
      </c>
      <c r="Y119" s="234">
        <v>4.5</v>
      </c>
      <c r="Z119" s="234">
        <v>0.35</v>
      </c>
      <c r="AA119" s="213">
        <f t="shared" si="32"/>
        <v>0.0945</v>
      </c>
      <c r="AB119" s="213">
        <f t="shared" si="33"/>
        <v>0.35</v>
      </c>
    </row>
    <row r="120">
      <c r="A120" s="212" t="s">
        <v>237</v>
      </c>
      <c r="B120" s="234" t="s">
        <v>5183</v>
      </c>
      <c r="C120" s="238"/>
      <c r="D120" s="238"/>
      <c r="E120" s="238"/>
      <c r="F120" s="234" t="s">
        <v>5184</v>
      </c>
      <c r="G120" s="238"/>
      <c r="H120" s="238"/>
      <c r="I120" s="238"/>
      <c r="J120" s="232">
        <v>1599.0</v>
      </c>
      <c r="K120" s="238"/>
      <c r="L120" s="214">
        <v>3.0</v>
      </c>
      <c r="M120" s="216">
        <f t="shared" si="24"/>
        <v>0.01</v>
      </c>
      <c r="N120" s="213" t="s">
        <v>4882</v>
      </c>
      <c r="O120" s="235">
        <v>1031.57</v>
      </c>
      <c r="P120" s="218">
        <f t="shared" si="25"/>
        <v>127.92</v>
      </c>
      <c r="Q120" s="218">
        <f t="shared" si="26"/>
        <v>36.777</v>
      </c>
      <c r="R120" s="227">
        <f t="shared" si="40"/>
        <v>0.12</v>
      </c>
      <c r="S120" s="218">
        <f t="shared" si="27"/>
        <v>191.88</v>
      </c>
      <c r="T120" s="220">
        <f t="shared" si="28"/>
        <v>129</v>
      </c>
      <c r="U120" s="218">
        <f t="shared" si="29"/>
        <v>81.853</v>
      </c>
      <c r="V120" s="221">
        <f t="shared" si="30"/>
        <v>0.07934798414</v>
      </c>
      <c r="W120" s="234">
        <v>18.0</v>
      </c>
      <c r="X120" s="234">
        <v>13.0</v>
      </c>
      <c r="Y120" s="234">
        <v>6.0</v>
      </c>
      <c r="Z120" s="234">
        <v>0.2</v>
      </c>
      <c r="AA120" s="213">
        <f t="shared" si="32"/>
        <v>0.2808</v>
      </c>
      <c r="AB120" s="213">
        <f t="shared" si="33"/>
        <v>0.2808</v>
      </c>
    </row>
    <row r="121">
      <c r="A121" s="212" t="s">
        <v>237</v>
      </c>
      <c r="B121" s="234" t="s">
        <v>5185</v>
      </c>
      <c r="C121" s="234">
        <v>8.40268971229E11</v>
      </c>
      <c r="D121" s="234">
        <v>8.1520498E7</v>
      </c>
      <c r="E121" s="234">
        <v>1.301783166E9</v>
      </c>
      <c r="F121" s="234" t="s">
        <v>5186</v>
      </c>
      <c r="G121" s="234" t="s">
        <v>5022</v>
      </c>
      <c r="H121" s="234" t="s">
        <v>5103</v>
      </c>
      <c r="I121" s="235">
        <v>7999.0</v>
      </c>
      <c r="J121" s="232">
        <v>6499.0</v>
      </c>
      <c r="K121" s="238"/>
      <c r="L121" s="214">
        <v>3.0</v>
      </c>
      <c r="M121" s="216">
        <f t="shared" si="24"/>
        <v>0.01</v>
      </c>
      <c r="N121" s="213" t="s">
        <v>4882</v>
      </c>
      <c r="O121" s="235">
        <v>4359.92</v>
      </c>
      <c r="P121" s="218">
        <f t="shared" si="25"/>
        <v>519.92</v>
      </c>
      <c r="Q121" s="218">
        <f t="shared" si="26"/>
        <v>149.477</v>
      </c>
      <c r="R121" s="227">
        <f t="shared" si="40"/>
        <v>0.12</v>
      </c>
      <c r="S121" s="218">
        <f t="shared" si="27"/>
        <v>779.88</v>
      </c>
      <c r="T121" s="220">
        <f t="shared" si="28"/>
        <v>149</v>
      </c>
      <c r="U121" s="218">
        <f t="shared" si="29"/>
        <v>540.803</v>
      </c>
      <c r="V121" s="221">
        <f t="shared" si="30"/>
        <v>0.1240396613</v>
      </c>
      <c r="W121" s="234">
        <v>45.0</v>
      </c>
      <c r="X121" s="234">
        <v>30.0</v>
      </c>
      <c r="Y121" s="234">
        <v>8.0</v>
      </c>
      <c r="Z121" s="234">
        <v>3.0</v>
      </c>
      <c r="AA121" s="213">
        <f t="shared" si="32"/>
        <v>2.16</v>
      </c>
      <c r="AB121" s="213">
        <f t="shared" si="33"/>
        <v>3</v>
      </c>
    </row>
    <row r="122">
      <c r="A122" s="212" t="s">
        <v>4175</v>
      </c>
      <c r="B122" s="234" t="s">
        <v>5187</v>
      </c>
      <c r="C122" s="234">
        <v>6.974824281454E12</v>
      </c>
      <c r="D122" s="234">
        <v>8.1527572E7</v>
      </c>
      <c r="E122" s="234">
        <v>1.301782612E9</v>
      </c>
      <c r="F122" s="234" t="s">
        <v>5188</v>
      </c>
      <c r="G122" s="234" t="s">
        <v>4931</v>
      </c>
      <c r="H122" s="234" t="s">
        <v>5189</v>
      </c>
      <c r="I122" s="235">
        <v>1199.0</v>
      </c>
      <c r="J122" s="232">
        <v>899.0</v>
      </c>
      <c r="K122" s="238"/>
      <c r="L122" s="214">
        <v>3.0</v>
      </c>
      <c r="M122" s="216">
        <f t="shared" si="24"/>
        <v>0.01</v>
      </c>
      <c r="N122" s="213" t="s">
        <v>4882</v>
      </c>
      <c r="O122" s="235">
        <v>383.99</v>
      </c>
      <c r="P122" s="218">
        <f t="shared" si="25"/>
        <v>71.92</v>
      </c>
      <c r="Q122" s="218">
        <f t="shared" si="26"/>
        <v>20.677</v>
      </c>
      <c r="R122" s="227">
        <f t="shared" ref="R122:R125" si="41">15%+M122</f>
        <v>0.16</v>
      </c>
      <c r="S122" s="218">
        <f t="shared" si="27"/>
        <v>143.84</v>
      </c>
      <c r="T122" s="220">
        <f t="shared" si="28"/>
        <v>179</v>
      </c>
      <c r="U122" s="218">
        <f t="shared" si="29"/>
        <v>99.573</v>
      </c>
      <c r="V122" s="221">
        <f t="shared" si="30"/>
        <v>0.2593114404</v>
      </c>
      <c r="W122" s="234">
        <v>49.0</v>
      </c>
      <c r="X122" s="234">
        <v>23.0</v>
      </c>
      <c r="Y122" s="234">
        <v>26.0</v>
      </c>
      <c r="Z122" s="234">
        <v>3.5</v>
      </c>
      <c r="AA122" s="213">
        <f t="shared" si="32"/>
        <v>5.8604</v>
      </c>
      <c r="AB122" s="213">
        <f t="shared" si="33"/>
        <v>5.8604</v>
      </c>
    </row>
    <row r="123">
      <c r="A123" s="212" t="s">
        <v>237</v>
      </c>
      <c r="B123" s="231" t="s">
        <v>5190</v>
      </c>
      <c r="C123" s="234">
        <v>7.503059800681E12</v>
      </c>
      <c r="D123" s="234">
        <v>8.1533571E7</v>
      </c>
      <c r="E123" s="234">
        <v>1.301793604E9</v>
      </c>
      <c r="F123" s="234" t="s">
        <v>5191</v>
      </c>
      <c r="G123" s="234" t="s">
        <v>4879</v>
      </c>
      <c r="H123" s="234" t="s">
        <v>5189</v>
      </c>
      <c r="I123" s="235">
        <v>1199.0</v>
      </c>
      <c r="J123" s="232">
        <v>899.0</v>
      </c>
      <c r="K123" s="238"/>
      <c r="L123" s="214">
        <v>3.0</v>
      </c>
      <c r="M123" s="216">
        <f t="shared" si="24"/>
        <v>0.01</v>
      </c>
      <c r="N123" s="213" t="s">
        <v>4882</v>
      </c>
      <c r="O123" s="235">
        <v>399.83</v>
      </c>
      <c r="P123" s="218">
        <f t="shared" si="25"/>
        <v>71.92</v>
      </c>
      <c r="Q123" s="218">
        <f t="shared" si="26"/>
        <v>20.677</v>
      </c>
      <c r="R123" s="227">
        <f t="shared" si="41"/>
        <v>0.16</v>
      </c>
      <c r="S123" s="218">
        <f t="shared" si="27"/>
        <v>143.84</v>
      </c>
      <c r="T123" s="220">
        <f t="shared" si="28"/>
        <v>169</v>
      </c>
      <c r="U123" s="218">
        <f t="shared" si="29"/>
        <v>93.733</v>
      </c>
      <c r="V123" s="221">
        <f t="shared" si="30"/>
        <v>0.2344321337</v>
      </c>
      <c r="W123" s="234">
        <v>33.0</v>
      </c>
      <c r="X123" s="234">
        <v>20.0</v>
      </c>
      <c r="Y123" s="234">
        <v>28.0</v>
      </c>
      <c r="Z123" s="234">
        <v>3.22</v>
      </c>
      <c r="AA123" s="213">
        <f t="shared" si="32"/>
        <v>3.696</v>
      </c>
      <c r="AB123" s="213">
        <f t="shared" si="33"/>
        <v>3.696</v>
      </c>
    </row>
    <row r="124">
      <c r="A124" s="212" t="s">
        <v>4175</v>
      </c>
      <c r="B124" s="234" t="s">
        <v>5192</v>
      </c>
      <c r="C124" s="234">
        <v>6.995156899155E12</v>
      </c>
      <c r="D124" s="234">
        <v>8.1533563E7</v>
      </c>
      <c r="E124" s="234">
        <v>1.301793599E9</v>
      </c>
      <c r="F124" s="234" t="s">
        <v>5193</v>
      </c>
      <c r="G124" s="234" t="s">
        <v>4913</v>
      </c>
      <c r="H124" s="234" t="s">
        <v>5189</v>
      </c>
      <c r="I124" s="235">
        <v>1199.0</v>
      </c>
      <c r="J124" s="232">
        <v>799.0</v>
      </c>
      <c r="K124" s="238"/>
      <c r="L124" s="214">
        <v>3.0</v>
      </c>
      <c r="M124" s="216">
        <f t="shared" si="24"/>
        <v>0.01</v>
      </c>
      <c r="N124" s="213" t="s">
        <v>4882</v>
      </c>
      <c r="O124" s="235">
        <v>348.21</v>
      </c>
      <c r="P124" s="218">
        <f t="shared" si="25"/>
        <v>63.92</v>
      </c>
      <c r="Q124" s="218">
        <f t="shared" si="26"/>
        <v>18.377</v>
      </c>
      <c r="R124" s="227">
        <f t="shared" si="41"/>
        <v>0.16</v>
      </c>
      <c r="S124" s="218">
        <f t="shared" si="27"/>
        <v>127.84</v>
      </c>
      <c r="T124" s="220">
        <f t="shared" si="28"/>
        <v>149</v>
      </c>
      <c r="U124" s="218">
        <f t="shared" si="29"/>
        <v>91.653</v>
      </c>
      <c r="V124" s="221">
        <f t="shared" si="30"/>
        <v>0.2632118549</v>
      </c>
      <c r="W124" s="234">
        <v>23.0</v>
      </c>
      <c r="X124" s="234">
        <v>18.0</v>
      </c>
      <c r="Y124" s="234">
        <v>29.0</v>
      </c>
      <c r="Z124" s="234">
        <v>2.8</v>
      </c>
      <c r="AA124" s="213">
        <f t="shared" si="32"/>
        <v>2.4012</v>
      </c>
      <c r="AB124" s="213">
        <f t="shared" si="33"/>
        <v>2.8</v>
      </c>
    </row>
    <row r="125">
      <c r="A125" s="212" t="s">
        <v>237</v>
      </c>
      <c r="B125" s="234" t="s">
        <v>5194</v>
      </c>
      <c r="C125" s="234">
        <v>6.974824282055E12</v>
      </c>
      <c r="D125" s="234">
        <v>8.1533572E7</v>
      </c>
      <c r="E125" s="234">
        <v>1.301793602E9</v>
      </c>
      <c r="F125" s="234" t="s">
        <v>5195</v>
      </c>
      <c r="G125" s="234" t="s">
        <v>5196</v>
      </c>
      <c r="H125" s="234" t="s">
        <v>5189</v>
      </c>
      <c r="I125" s="235">
        <v>1199.0</v>
      </c>
      <c r="J125" s="232">
        <v>599.0</v>
      </c>
      <c r="K125" s="238"/>
      <c r="L125" s="214">
        <v>3.0</v>
      </c>
      <c r="M125" s="216">
        <f t="shared" si="24"/>
        <v>0.01</v>
      </c>
      <c r="N125" s="213" t="s">
        <v>4882</v>
      </c>
      <c r="O125" s="235">
        <v>229.68</v>
      </c>
      <c r="P125" s="218">
        <f t="shared" si="25"/>
        <v>47.92</v>
      </c>
      <c r="Q125" s="218">
        <f t="shared" si="26"/>
        <v>13.777</v>
      </c>
      <c r="R125" s="227">
        <f t="shared" si="41"/>
        <v>0.16</v>
      </c>
      <c r="S125" s="218">
        <f t="shared" si="27"/>
        <v>95.84</v>
      </c>
      <c r="T125" s="220">
        <f t="shared" si="28"/>
        <v>169</v>
      </c>
      <c r="U125" s="218">
        <f t="shared" si="29"/>
        <v>42.783</v>
      </c>
      <c r="V125" s="221">
        <f t="shared" si="30"/>
        <v>0.1862722048</v>
      </c>
      <c r="W125" s="234">
        <v>18.0</v>
      </c>
      <c r="X125" s="234">
        <v>35.0</v>
      </c>
      <c r="Y125" s="234">
        <v>35.0</v>
      </c>
      <c r="Z125" s="234">
        <v>3.5</v>
      </c>
      <c r="AA125" s="213">
        <f t="shared" si="32"/>
        <v>4.41</v>
      </c>
      <c r="AB125" s="213">
        <f t="shared" si="33"/>
        <v>4.41</v>
      </c>
    </row>
    <row r="126">
      <c r="A126" s="212" t="s">
        <v>237</v>
      </c>
      <c r="B126" s="246" t="s">
        <v>5197</v>
      </c>
      <c r="C126" s="238"/>
      <c r="D126" s="238"/>
      <c r="E126" s="238"/>
      <c r="F126" s="234" t="s">
        <v>5198</v>
      </c>
      <c r="G126" s="238"/>
      <c r="H126" s="238"/>
      <c r="I126" s="238"/>
      <c r="J126" s="232">
        <v>1699.0</v>
      </c>
      <c r="K126" s="238"/>
      <c r="L126" s="214">
        <v>3.0</v>
      </c>
      <c r="M126" s="216">
        <f t="shared" si="24"/>
        <v>0.01</v>
      </c>
      <c r="N126" s="213" t="s">
        <v>4882</v>
      </c>
      <c r="O126" s="235">
        <v>1076.3</v>
      </c>
      <c r="P126" s="218">
        <f t="shared" si="25"/>
        <v>135.92</v>
      </c>
      <c r="Q126" s="218">
        <f t="shared" si="26"/>
        <v>39.077</v>
      </c>
      <c r="R126" s="227">
        <f t="shared" ref="R126:R133" si="42">11%+M126</f>
        <v>0.12</v>
      </c>
      <c r="S126" s="218">
        <f t="shared" si="27"/>
        <v>203.88</v>
      </c>
      <c r="T126" s="220">
        <f t="shared" si="28"/>
        <v>139</v>
      </c>
      <c r="U126" s="218">
        <f t="shared" si="29"/>
        <v>104.823</v>
      </c>
      <c r="V126" s="221">
        <f t="shared" si="30"/>
        <v>0.09739199108</v>
      </c>
      <c r="W126" s="234">
        <v>23.0</v>
      </c>
      <c r="X126" s="234">
        <v>10.0</v>
      </c>
      <c r="Y126" s="234">
        <v>10.0</v>
      </c>
      <c r="Z126" s="234">
        <v>1.1</v>
      </c>
      <c r="AA126" s="213">
        <f t="shared" si="32"/>
        <v>0.46</v>
      </c>
      <c r="AB126" s="213">
        <f t="shared" si="33"/>
        <v>1.1</v>
      </c>
    </row>
    <row r="127">
      <c r="A127" s="212" t="s">
        <v>237</v>
      </c>
      <c r="B127" s="234" t="s">
        <v>5199</v>
      </c>
      <c r="C127" s="238"/>
      <c r="D127" s="238"/>
      <c r="E127" s="238"/>
      <c r="F127" s="234" t="s">
        <v>5200</v>
      </c>
      <c r="G127" s="238"/>
      <c r="H127" s="234" t="s">
        <v>5201</v>
      </c>
      <c r="I127" s="238"/>
      <c r="J127" s="232">
        <v>1269.0</v>
      </c>
      <c r="K127" s="238"/>
      <c r="L127" s="214">
        <v>3.0</v>
      </c>
      <c r="M127" s="216">
        <f t="shared" si="24"/>
        <v>0.01</v>
      </c>
      <c r="N127" s="213" t="s">
        <v>4882</v>
      </c>
      <c r="O127" s="236">
        <v>774.19</v>
      </c>
      <c r="P127" s="218">
        <f t="shared" si="25"/>
        <v>101.52</v>
      </c>
      <c r="Q127" s="218">
        <f t="shared" si="26"/>
        <v>29.187</v>
      </c>
      <c r="R127" s="227">
        <f t="shared" si="42"/>
        <v>0.12</v>
      </c>
      <c r="S127" s="218">
        <f t="shared" si="27"/>
        <v>152.28</v>
      </c>
      <c r="T127" s="220">
        <f t="shared" si="28"/>
        <v>129</v>
      </c>
      <c r="U127" s="218">
        <f t="shared" si="29"/>
        <v>82.823</v>
      </c>
      <c r="V127" s="221">
        <f t="shared" si="30"/>
        <v>0.1069801987</v>
      </c>
      <c r="W127" s="234">
        <v>14.0</v>
      </c>
      <c r="X127" s="234">
        <v>10.0</v>
      </c>
      <c r="Y127" s="234">
        <v>4.0</v>
      </c>
      <c r="Z127" s="234">
        <v>0.18</v>
      </c>
      <c r="AA127" s="213">
        <f t="shared" si="32"/>
        <v>0.112</v>
      </c>
      <c r="AB127" s="213">
        <f t="shared" si="33"/>
        <v>0.18</v>
      </c>
    </row>
    <row r="128">
      <c r="A128" s="212" t="s">
        <v>237</v>
      </c>
      <c r="B128" s="234" t="s">
        <v>5202</v>
      </c>
      <c r="C128" s="238"/>
      <c r="D128" s="238"/>
      <c r="E128" s="238"/>
      <c r="F128" s="259" t="s">
        <v>5203</v>
      </c>
      <c r="G128" s="238"/>
      <c r="H128" s="238"/>
      <c r="I128" s="238"/>
      <c r="J128" s="232">
        <v>999.0</v>
      </c>
      <c r="K128" s="238"/>
      <c r="L128" s="214">
        <v>3.0</v>
      </c>
      <c r="M128" s="216">
        <f t="shared" si="24"/>
        <v>0.01</v>
      </c>
      <c r="N128" s="213" t="s">
        <v>4882</v>
      </c>
      <c r="O128" s="236">
        <v>582.44</v>
      </c>
      <c r="P128" s="218">
        <f t="shared" si="25"/>
        <v>79.92</v>
      </c>
      <c r="Q128" s="218">
        <f t="shared" si="26"/>
        <v>22.977</v>
      </c>
      <c r="R128" s="227">
        <f t="shared" si="42"/>
        <v>0.12</v>
      </c>
      <c r="S128" s="218">
        <f t="shared" si="27"/>
        <v>119.88</v>
      </c>
      <c r="T128" s="220">
        <f t="shared" si="28"/>
        <v>129</v>
      </c>
      <c r="U128" s="218">
        <f t="shared" si="29"/>
        <v>64.783</v>
      </c>
      <c r="V128" s="221">
        <f t="shared" si="30"/>
        <v>0.1112269075</v>
      </c>
      <c r="W128" s="234">
        <v>14.0</v>
      </c>
      <c r="X128" s="234">
        <v>10.0</v>
      </c>
      <c r="Y128" s="234">
        <v>4.0</v>
      </c>
      <c r="Z128" s="234">
        <v>0.18</v>
      </c>
      <c r="AA128" s="213">
        <f t="shared" si="32"/>
        <v>0.112</v>
      </c>
      <c r="AB128" s="213">
        <f t="shared" si="33"/>
        <v>0.18</v>
      </c>
    </row>
    <row r="129">
      <c r="A129" s="212" t="s">
        <v>237</v>
      </c>
      <c r="B129" s="231" t="s">
        <v>5108</v>
      </c>
      <c r="C129" s="238"/>
      <c r="D129" s="238"/>
      <c r="E129" s="238"/>
      <c r="F129" s="242" t="s">
        <v>5204</v>
      </c>
      <c r="G129" s="234" t="s">
        <v>5205</v>
      </c>
      <c r="H129" s="238"/>
      <c r="I129" s="238"/>
      <c r="J129" s="232">
        <v>9499.0</v>
      </c>
      <c r="K129" s="238"/>
      <c r="L129" s="214">
        <v>3.0</v>
      </c>
      <c r="M129" s="216">
        <f t="shared" si="24"/>
        <v>0.01</v>
      </c>
      <c r="N129" s="213" t="s">
        <v>4882</v>
      </c>
      <c r="O129" s="236">
        <v>6147.0</v>
      </c>
      <c r="P129" s="218">
        <f t="shared" si="25"/>
        <v>759.92</v>
      </c>
      <c r="Q129" s="218">
        <f t="shared" si="26"/>
        <v>218.477</v>
      </c>
      <c r="R129" s="227">
        <f t="shared" si="42"/>
        <v>0.12</v>
      </c>
      <c r="S129" s="218">
        <f t="shared" si="27"/>
        <v>1139.88</v>
      </c>
      <c r="T129" s="220">
        <f t="shared" si="28"/>
        <v>139</v>
      </c>
      <c r="U129" s="218">
        <f t="shared" si="29"/>
        <v>1094.723</v>
      </c>
      <c r="V129" s="221">
        <f t="shared" si="30"/>
        <v>0.1780906133</v>
      </c>
      <c r="W129" s="234">
        <v>22.0</v>
      </c>
      <c r="X129" s="234">
        <v>18.0</v>
      </c>
      <c r="Y129" s="234">
        <v>15.0</v>
      </c>
      <c r="Z129" s="234">
        <v>0.18</v>
      </c>
      <c r="AA129" s="213">
        <f t="shared" si="32"/>
        <v>1.188</v>
      </c>
      <c r="AB129" s="213">
        <f t="shared" si="33"/>
        <v>1.188</v>
      </c>
    </row>
    <row r="130">
      <c r="A130" s="212" t="s">
        <v>237</v>
      </c>
      <c r="B130" s="231" t="s">
        <v>5206</v>
      </c>
      <c r="C130" s="234">
        <v>5.0036399302E10</v>
      </c>
      <c r="D130" s="238"/>
      <c r="E130" s="238"/>
      <c r="F130" s="260" t="s">
        <v>5207</v>
      </c>
      <c r="G130" s="234" t="s">
        <v>5208</v>
      </c>
      <c r="H130" s="234" t="s">
        <v>5009</v>
      </c>
      <c r="I130" s="238"/>
      <c r="J130" s="232">
        <v>849.0</v>
      </c>
      <c r="K130" s="238"/>
      <c r="L130" s="214">
        <v>3.0</v>
      </c>
      <c r="M130" s="216">
        <f t="shared" si="24"/>
        <v>0.01</v>
      </c>
      <c r="N130" s="213" t="s">
        <v>4882</v>
      </c>
      <c r="O130" s="247">
        <v>477.5686123633349</v>
      </c>
      <c r="P130" s="218">
        <f t="shared" si="25"/>
        <v>67.92</v>
      </c>
      <c r="Q130" s="218">
        <f t="shared" si="26"/>
        <v>19.527</v>
      </c>
      <c r="R130" s="227">
        <f t="shared" si="42"/>
        <v>0.12</v>
      </c>
      <c r="S130" s="218">
        <f t="shared" si="27"/>
        <v>101.88</v>
      </c>
      <c r="T130" s="220">
        <f t="shared" si="28"/>
        <v>129</v>
      </c>
      <c r="U130" s="218">
        <f t="shared" si="29"/>
        <v>53.10438764</v>
      </c>
      <c r="V130" s="221">
        <f t="shared" si="30"/>
        <v>0.1111973992</v>
      </c>
      <c r="W130" s="234">
        <v>11.5</v>
      </c>
      <c r="X130" s="234">
        <v>9.5</v>
      </c>
      <c r="Y130" s="234">
        <v>5.5</v>
      </c>
      <c r="Z130" s="234">
        <v>0.3</v>
      </c>
      <c r="AA130" s="213">
        <f t="shared" si="32"/>
        <v>0.120175</v>
      </c>
      <c r="AB130" s="213">
        <f t="shared" si="33"/>
        <v>0.3</v>
      </c>
    </row>
    <row r="131">
      <c r="A131" s="212" t="s">
        <v>237</v>
      </c>
      <c r="B131" s="234" t="s">
        <v>5209</v>
      </c>
      <c r="C131" s="234">
        <v>5.0036399289E10</v>
      </c>
      <c r="D131" s="238"/>
      <c r="E131" s="238"/>
      <c r="F131" s="259" t="s">
        <v>5210</v>
      </c>
      <c r="G131" s="234" t="s">
        <v>5208</v>
      </c>
      <c r="H131" s="234" t="s">
        <v>5009</v>
      </c>
      <c r="I131" s="238"/>
      <c r="J131" s="232">
        <v>949.0</v>
      </c>
      <c r="K131" s="238"/>
      <c r="L131" s="214">
        <v>3.0</v>
      </c>
      <c r="M131" s="216">
        <f t="shared" si="24"/>
        <v>0.01</v>
      </c>
      <c r="N131" s="213" t="s">
        <v>4882</v>
      </c>
      <c r="O131" s="236">
        <v>529.73</v>
      </c>
      <c r="P131" s="218">
        <f t="shared" si="25"/>
        <v>75.92</v>
      </c>
      <c r="Q131" s="218">
        <f t="shared" si="26"/>
        <v>21.827</v>
      </c>
      <c r="R131" s="227">
        <f t="shared" si="42"/>
        <v>0.12</v>
      </c>
      <c r="S131" s="218">
        <f t="shared" si="27"/>
        <v>113.88</v>
      </c>
      <c r="T131" s="220">
        <f t="shared" si="28"/>
        <v>129</v>
      </c>
      <c r="U131" s="218">
        <f t="shared" si="29"/>
        <v>78.643</v>
      </c>
      <c r="V131" s="221">
        <f t="shared" si="30"/>
        <v>0.1484586487</v>
      </c>
      <c r="W131" s="234">
        <v>11.5</v>
      </c>
      <c r="X131" s="234">
        <v>9.5</v>
      </c>
      <c r="Y131" s="234">
        <v>5.5</v>
      </c>
      <c r="Z131" s="234">
        <v>0.3</v>
      </c>
      <c r="AA131" s="213">
        <f t="shared" si="32"/>
        <v>0.120175</v>
      </c>
      <c r="AB131" s="213">
        <f t="shared" si="33"/>
        <v>0.3</v>
      </c>
    </row>
    <row r="132">
      <c r="A132" s="212" t="s">
        <v>237</v>
      </c>
      <c r="B132" s="243" t="s">
        <v>5211</v>
      </c>
      <c r="C132" s="238"/>
      <c r="D132" s="238"/>
      <c r="E132" s="238"/>
      <c r="F132" s="231" t="s">
        <v>5212</v>
      </c>
      <c r="G132" s="238"/>
      <c r="H132" s="234" t="s">
        <v>4880</v>
      </c>
      <c r="I132" s="238"/>
      <c r="J132" s="232">
        <v>1839.0</v>
      </c>
      <c r="K132" s="238"/>
      <c r="L132" s="214">
        <v>3.0</v>
      </c>
      <c r="M132" s="216">
        <f t="shared" si="24"/>
        <v>0.01</v>
      </c>
      <c r="N132" s="213" t="s">
        <v>4882</v>
      </c>
      <c r="O132" s="261">
        <v>1105.42</v>
      </c>
      <c r="P132" s="218">
        <f t="shared" si="25"/>
        <v>147.12</v>
      </c>
      <c r="Q132" s="218">
        <f t="shared" si="26"/>
        <v>42.297</v>
      </c>
      <c r="R132" s="227">
        <f t="shared" si="42"/>
        <v>0.12</v>
      </c>
      <c r="S132" s="218">
        <f t="shared" si="27"/>
        <v>220.68</v>
      </c>
      <c r="T132" s="220">
        <f t="shared" si="28"/>
        <v>209</v>
      </c>
      <c r="U132" s="218">
        <f t="shared" si="29"/>
        <v>114.483</v>
      </c>
      <c r="V132" s="221">
        <f t="shared" si="30"/>
        <v>0.1035651608</v>
      </c>
      <c r="W132" s="234">
        <v>36.0</v>
      </c>
      <c r="X132" s="234">
        <v>26.0</v>
      </c>
      <c r="Y132" s="234">
        <v>40.0</v>
      </c>
      <c r="Z132" s="234">
        <v>3.5</v>
      </c>
      <c r="AA132" s="213">
        <f t="shared" si="32"/>
        <v>7.488</v>
      </c>
      <c r="AB132" s="213">
        <f t="shared" si="33"/>
        <v>7.488</v>
      </c>
    </row>
    <row r="133">
      <c r="A133" s="212" t="s">
        <v>237</v>
      </c>
      <c r="B133" s="234" t="s">
        <v>5213</v>
      </c>
      <c r="C133" s="234">
        <v>1.94644397531E11</v>
      </c>
      <c r="D133" s="238"/>
      <c r="E133" s="238"/>
      <c r="F133" s="262" t="s">
        <v>5214</v>
      </c>
      <c r="G133" s="238"/>
      <c r="H133" s="238"/>
      <c r="I133" s="238"/>
      <c r="J133" s="232">
        <v>1699.0</v>
      </c>
      <c r="K133" s="238"/>
      <c r="L133" s="214">
        <v>3.0</v>
      </c>
      <c r="M133" s="216">
        <f t="shared" si="24"/>
        <v>0.01</v>
      </c>
      <c r="N133" s="213" t="s">
        <v>4882</v>
      </c>
      <c r="O133" s="247">
        <v>1076.2970497759477</v>
      </c>
      <c r="P133" s="218">
        <f t="shared" si="25"/>
        <v>135.92</v>
      </c>
      <c r="Q133" s="218">
        <f t="shared" si="26"/>
        <v>39.077</v>
      </c>
      <c r="R133" s="227">
        <f t="shared" si="42"/>
        <v>0.12</v>
      </c>
      <c r="S133" s="218">
        <f t="shared" si="27"/>
        <v>203.88</v>
      </c>
      <c r="T133" s="220">
        <f t="shared" si="28"/>
        <v>139</v>
      </c>
      <c r="U133" s="218">
        <f t="shared" si="29"/>
        <v>104.8259502</v>
      </c>
      <c r="V133" s="221">
        <f t="shared" si="30"/>
        <v>0.09739499913</v>
      </c>
      <c r="W133" s="234">
        <v>10.0</v>
      </c>
      <c r="X133" s="234">
        <v>10.0</v>
      </c>
      <c r="Y133" s="234">
        <v>23.0</v>
      </c>
      <c r="Z133" s="234">
        <v>1.1</v>
      </c>
      <c r="AA133" s="213">
        <f t="shared" si="32"/>
        <v>0.46</v>
      </c>
      <c r="AB133" s="213">
        <f t="shared" si="33"/>
        <v>1.1</v>
      </c>
    </row>
    <row r="134">
      <c r="A134" s="212" t="s">
        <v>237</v>
      </c>
      <c r="B134" s="234" t="s">
        <v>5215</v>
      </c>
      <c r="C134" s="234">
        <v>1.0622356698235E13</v>
      </c>
      <c r="D134" s="238"/>
      <c r="E134" s="238"/>
      <c r="F134" s="260" t="s">
        <v>5216</v>
      </c>
      <c r="G134" s="238"/>
      <c r="H134" s="234" t="s">
        <v>4880</v>
      </c>
      <c r="I134" s="238"/>
      <c r="J134" s="232">
        <v>3499.0</v>
      </c>
      <c r="K134" s="238"/>
      <c r="L134" s="214">
        <v>3.0</v>
      </c>
      <c r="M134" s="216">
        <f t="shared" si="24"/>
        <v>0.01</v>
      </c>
      <c r="N134" s="213" t="s">
        <v>4882</v>
      </c>
      <c r="O134" s="247">
        <v>2149.9858786666664</v>
      </c>
      <c r="P134" s="218">
        <f t="shared" si="25"/>
        <v>279.92</v>
      </c>
      <c r="Q134" s="218">
        <f t="shared" si="26"/>
        <v>80.477</v>
      </c>
      <c r="R134" s="227">
        <f t="shared" ref="R134:R135" si="43">15%+M134</f>
        <v>0.16</v>
      </c>
      <c r="S134" s="218">
        <f t="shared" si="27"/>
        <v>559.84</v>
      </c>
      <c r="T134" s="220">
        <f t="shared" si="28"/>
        <v>209</v>
      </c>
      <c r="U134" s="218">
        <f t="shared" si="29"/>
        <v>219.7771213</v>
      </c>
      <c r="V134" s="221">
        <f t="shared" si="30"/>
        <v>0.1022225883</v>
      </c>
      <c r="W134" s="234">
        <v>28.0</v>
      </c>
      <c r="X134" s="234">
        <v>30.0</v>
      </c>
      <c r="Y134" s="234">
        <v>48.0</v>
      </c>
      <c r="Z134" s="234">
        <v>5.5</v>
      </c>
      <c r="AA134" s="213">
        <f t="shared" si="32"/>
        <v>8.064</v>
      </c>
      <c r="AB134" s="213">
        <f t="shared" si="33"/>
        <v>8.064</v>
      </c>
    </row>
    <row r="135">
      <c r="A135" s="212" t="s">
        <v>4175</v>
      </c>
      <c r="B135" s="238"/>
      <c r="C135" s="238"/>
      <c r="D135" s="238"/>
      <c r="E135" s="238"/>
      <c r="F135" s="234" t="s">
        <v>5217</v>
      </c>
      <c r="G135" s="238"/>
      <c r="H135" s="234" t="s">
        <v>5218</v>
      </c>
      <c r="I135" s="238"/>
      <c r="J135" s="232">
        <v>1049.0</v>
      </c>
      <c r="K135" s="238"/>
      <c r="L135" s="214">
        <v>3.0</v>
      </c>
      <c r="M135" s="216">
        <f t="shared" si="24"/>
        <v>0.01</v>
      </c>
      <c r="N135" s="213" t="s">
        <v>4882</v>
      </c>
      <c r="O135" s="236">
        <v>540.0</v>
      </c>
      <c r="P135" s="218">
        <f t="shared" si="25"/>
        <v>83.92</v>
      </c>
      <c r="Q135" s="218">
        <f t="shared" si="26"/>
        <v>24.127</v>
      </c>
      <c r="R135" s="227">
        <f t="shared" si="43"/>
        <v>0.16</v>
      </c>
      <c r="S135" s="218">
        <f t="shared" si="27"/>
        <v>167.84</v>
      </c>
      <c r="T135" s="220">
        <f t="shared" si="28"/>
        <v>179</v>
      </c>
      <c r="U135" s="218">
        <f t="shared" si="29"/>
        <v>54.113</v>
      </c>
      <c r="V135" s="221">
        <f t="shared" si="30"/>
        <v>0.1002092593</v>
      </c>
      <c r="W135" s="234">
        <v>34.0</v>
      </c>
      <c r="X135" s="234">
        <v>24.0</v>
      </c>
      <c r="Y135" s="234">
        <v>36.0</v>
      </c>
      <c r="Z135" s="234">
        <v>2.8</v>
      </c>
      <c r="AA135" s="213">
        <f t="shared" si="32"/>
        <v>5.8752</v>
      </c>
      <c r="AB135" s="253">
        <f t="shared" si="33"/>
        <v>5.8752</v>
      </c>
    </row>
    <row r="136">
      <c r="A136" s="212" t="s">
        <v>237</v>
      </c>
      <c r="B136" s="243" t="s">
        <v>5219</v>
      </c>
      <c r="C136" s="238"/>
      <c r="D136" s="238"/>
      <c r="E136" s="238"/>
      <c r="F136" s="234" t="s">
        <v>5220</v>
      </c>
      <c r="G136" s="238"/>
      <c r="H136" s="234" t="s">
        <v>5221</v>
      </c>
      <c r="I136" s="234">
        <v>5999.0</v>
      </c>
      <c r="J136" s="232">
        <v>5049.0</v>
      </c>
      <c r="K136" s="238"/>
      <c r="L136" s="214">
        <v>3.0</v>
      </c>
      <c r="M136" s="216">
        <f t="shared" si="24"/>
        <v>0.01</v>
      </c>
      <c r="N136" s="213" t="s">
        <v>4882</v>
      </c>
      <c r="O136" s="247">
        <v>3418.4237839999996</v>
      </c>
      <c r="P136" s="218">
        <f t="shared" si="25"/>
        <v>403.92</v>
      </c>
      <c r="Q136" s="218">
        <f t="shared" si="26"/>
        <v>116.127</v>
      </c>
      <c r="R136" s="227">
        <f t="shared" ref="R136:R137" si="44">10%+M135</f>
        <v>0.11</v>
      </c>
      <c r="S136" s="218">
        <f t="shared" si="27"/>
        <v>555.39</v>
      </c>
      <c r="T136" s="220">
        <f t="shared" si="28"/>
        <v>129</v>
      </c>
      <c r="U136" s="218">
        <f t="shared" si="29"/>
        <v>426.139216</v>
      </c>
      <c r="V136" s="221">
        <f t="shared" si="30"/>
        <v>0.1246595633</v>
      </c>
      <c r="W136" s="234">
        <v>9.5</v>
      </c>
      <c r="X136" s="234">
        <v>9.0</v>
      </c>
      <c r="Y136" s="234">
        <v>3.5</v>
      </c>
      <c r="Z136" s="234">
        <v>0.15</v>
      </c>
      <c r="AA136" s="213">
        <f t="shared" si="32"/>
        <v>0.05985</v>
      </c>
      <c r="AB136" s="253">
        <f t="shared" si="33"/>
        <v>0.15</v>
      </c>
    </row>
    <row r="137">
      <c r="A137" s="212" t="s">
        <v>237</v>
      </c>
      <c r="B137" s="243" t="s">
        <v>5222</v>
      </c>
      <c r="C137" s="238"/>
      <c r="D137" s="238"/>
      <c r="E137" s="238"/>
      <c r="F137" s="234" t="s">
        <v>5223</v>
      </c>
      <c r="G137" s="238"/>
      <c r="H137" s="234" t="s">
        <v>5221</v>
      </c>
      <c r="I137" s="234">
        <v>5999.0</v>
      </c>
      <c r="J137" s="232">
        <v>5049.0</v>
      </c>
      <c r="K137" s="238"/>
      <c r="L137" s="214">
        <v>3.0</v>
      </c>
      <c r="M137" s="216">
        <f t="shared" si="24"/>
        <v>0.01</v>
      </c>
      <c r="N137" s="213" t="s">
        <v>4882</v>
      </c>
      <c r="O137" s="247">
        <v>3418.4237839999996</v>
      </c>
      <c r="P137" s="218">
        <f t="shared" si="25"/>
        <v>403.92</v>
      </c>
      <c r="Q137" s="218">
        <f t="shared" si="26"/>
        <v>116.127</v>
      </c>
      <c r="R137" s="227">
        <f t="shared" si="44"/>
        <v>0.11</v>
      </c>
      <c r="S137" s="218">
        <f t="shared" si="27"/>
        <v>555.39</v>
      </c>
      <c r="T137" s="220">
        <f t="shared" si="28"/>
        <v>129</v>
      </c>
      <c r="U137" s="218">
        <f t="shared" si="29"/>
        <v>426.139216</v>
      </c>
      <c r="V137" s="221">
        <f t="shared" si="30"/>
        <v>0.1246595633</v>
      </c>
      <c r="W137" s="234">
        <v>9.5</v>
      </c>
      <c r="X137" s="234">
        <v>9.0</v>
      </c>
      <c r="Y137" s="234">
        <v>3.5</v>
      </c>
      <c r="Z137" s="234">
        <v>0.15</v>
      </c>
      <c r="AA137" s="253">
        <f t="shared" si="32"/>
        <v>0.05985</v>
      </c>
      <c r="AB137" s="253">
        <f t="shared" si="33"/>
        <v>0.15</v>
      </c>
    </row>
    <row r="138">
      <c r="A138" s="212" t="s">
        <v>237</v>
      </c>
      <c r="B138" s="263" t="s">
        <v>5224</v>
      </c>
      <c r="C138" s="238"/>
      <c r="D138" s="238"/>
      <c r="E138" s="238"/>
      <c r="F138" s="234" t="s">
        <v>5225</v>
      </c>
      <c r="G138" s="234" t="s">
        <v>5208</v>
      </c>
      <c r="H138" s="234" t="s">
        <v>5009</v>
      </c>
      <c r="I138" s="234">
        <v>1799.0</v>
      </c>
      <c r="J138" s="232">
        <v>1379.0</v>
      </c>
      <c r="K138" s="238"/>
      <c r="L138" s="214">
        <v>3.0</v>
      </c>
      <c r="M138" s="216">
        <f t="shared" si="24"/>
        <v>0.01</v>
      </c>
      <c r="N138" s="213" t="s">
        <v>4882</v>
      </c>
      <c r="O138" s="236">
        <v>856.02</v>
      </c>
      <c r="P138" s="218">
        <f t="shared" si="25"/>
        <v>110.32</v>
      </c>
      <c r="Q138" s="218">
        <f t="shared" si="26"/>
        <v>31.717</v>
      </c>
      <c r="R138" s="227">
        <f t="shared" ref="R138:R139" si="45">11%+M137</f>
        <v>0.12</v>
      </c>
      <c r="S138" s="218">
        <f t="shared" si="27"/>
        <v>165.48</v>
      </c>
      <c r="T138" s="220">
        <f t="shared" si="28"/>
        <v>129</v>
      </c>
      <c r="U138" s="218">
        <f t="shared" si="29"/>
        <v>86.463</v>
      </c>
      <c r="V138" s="221">
        <f t="shared" si="30"/>
        <v>0.1010058176</v>
      </c>
      <c r="W138" s="234">
        <v>22.0</v>
      </c>
      <c r="X138" s="234">
        <v>10.0</v>
      </c>
      <c r="Y138" s="234">
        <v>10.0</v>
      </c>
      <c r="Z138" s="234">
        <v>0.9</v>
      </c>
      <c r="AA138" s="253">
        <f t="shared" si="32"/>
        <v>0.44</v>
      </c>
      <c r="AB138" s="253">
        <f t="shared" si="33"/>
        <v>0.9</v>
      </c>
    </row>
    <row r="139">
      <c r="A139" s="212" t="s">
        <v>237</v>
      </c>
      <c r="B139" s="243" t="s">
        <v>5226</v>
      </c>
      <c r="C139" s="238"/>
      <c r="D139" s="238"/>
      <c r="E139" s="238"/>
      <c r="F139" s="234" t="s">
        <v>5227</v>
      </c>
      <c r="G139" s="234" t="s">
        <v>5208</v>
      </c>
      <c r="H139" s="234" t="s">
        <v>5009</v>
      </c>
      <c r="I139" s="234">
        <v>1799.0</v>
      </c>
      <c r="J139" s="232">
        <v>1399.0</v>
      </c>
      <c r="K139" s="238"/>
      <c r="L139" s="214">
        <v>3.0</v>
      </c>
      <c r="M139" s="216">
        <f t="shared" si="24"/>
        <v>0.01</v>
      </c>
      <c r="N139" s="213" t="s">
        <v>4882</v>
      </c>
      <c r="O139" s="236">
        <v>856.02</v>
      </c>
      <c r="P139" s="218">
        <f t="shared" si="25"/>
        <v>111.92</v>
      </c>
      <c r="Q139" s="218">
        <f t="shared" si="26"/>
        <v>32.177</v>
      </c>
      <c r="R139" s="227">
        <f t="shared" si="45"/>
        <v>0.12</v>
      </c>
      <c r="S139" s="218">
        <f t="shared" si="27"/>
        <v>167.88</v>
      </c>
      <c r="T139" s="220">
        <f t="shared" si="28"/>
        <v>129</v>
      </c>
      <c r="U139" s="218">
        <f t="shared" si="29"/>
        <v>102.003</v>
      </c>
      <c r="V139" s="221">
        <f t="shared" si="30"/>
        <v>0.1191595991</v>
      </c>
      <c r="W139" s="234">
        <v>22.0</v>
      </c>
      <c r="X139" s="234">
        <v>10.0</v>
      </c>
      <c r="Y139" s="234">
        <v>10.0</v>
      </c>
      <c r="Z139" s="234">
        <v>0.9</v>
      </c>
      <c r="AA139" s="253">
        <f t="shared" si="32"/>
        <v>0.44</v>
      </c>
      <c r="AB139" s="253">
        <f t="shared" si="33"/>
        <v>0.9</v>
      </c>
    </row>
    <row r="140">
      <c r="A140" s="212" t="s">
        <v>237</v>
      </c>
      <c r="B140" s="243" t="s">
        <v>5228</v>
      </c>
      <c r="C140" s="238"/>
      <c r="D140" s="238"/>
      <c r="E140" s="238"/>
      <c r="F140" s="264" t="s">
        <v>5229</v>
      </c>
      <c r="G140" s="234" t="s">
        <v>5230</v>
      </c>
      <c r="H140" s="234" t="s">
        <v>5231</v>
      </c>
      <c r="I140" s="234">
        <v>1049.0</v>
      </c>
      <c r="J140" s="232">
        <v>849.0</v>
      </c>
      <c r="K140" s="238"/>
      <c r="L140" s="214">
        <v>3.0</v>
      </c>
      <c r="M140" s="216">
        <f t="shared" si="24"/>
        <v>0.01</v>
      </c>
      <c r="N140" s="213" t="s">
        <v>4882</v>
      </c>
      <c r="O140" s="236">
        <v>450.39</v>
      </c>
      <c r="P140" s="218">
        <f t="shared" si="25"/>
        <v>67.92</v>
      </c>
      <c r="Q140" s="218">
        <f t="shared" si="26"/>
        <v>19.527</v>
      </c>
      <c r="R140" s="227">
        <f>15%+M139</f>
        <v>0.16</v>
      </c>
      <c r="S140" s="218">
        <f t="shared" si="27"/>
        <v>135.84</v>
      </c>
      <c r="T140" s="220">
        <f t="shared" si="28"/>
        <v>129</v>
      </c>
      <c r="U140" s="218">
        <f t="shared" si="29"/>
        <v>46.323</v>
      </c>
      <c r="V140" s="221">
        <f t="shared" si="30"/>
        <v>0.1028508626</v>
      </c>
      <c r="W140" s="234">
        <v>10.0</v>
      </c>
      <c r="X140" s="234">
        <v>10.0</v>
      </c>
      <c r="Y140" s="234">
        <v>22.0</v>
      </c>
      <c r="Z140" s="234">
        <v>0.6</v>
      </c>
      <c r="AA140" s="253">
        <f t="shared" si="32"/>
        <v>0.44</v>
      </c>
      <c r="AB140" s="246">
        <v>0.6</v>
      </c>
    </row>
    <row r="141">
      <c r="A141" s="212" t="s">
        <v>237</v>
      </c>
      <c r="B141" s="243" t="s">
        <v>5232</v>
      </c>
      <c r="C141" s="234">
        <v>6.34868924637E11</v>
      </c>
      <c r="D141" s="238"/>
      <c r="E141" s="238"/>
      <c r="F141" s="265" t="s">
        <v>5233</v>
      </c>
      <c r="G141" s="238"/>
      <c r="H141" s="234" t="s">
        <v>4960</v>
      </c>
      <c r="I141" s="234">
        <v>899.0</v>
      </c>
      <c r="J141" s="232">
        <v>399.0</v>
      </c>
      <c r="K141" s="238"/>
      <c r="L141" s="214">
        <v>3.0</v>
      </c>
      <c r="M141" s="216">
        <f t="shared" si="24"/>
        <v>0.01</v>
      </c>
      <c r="N141" s="213" t="s">
        <v>4882</v>
      </c>
      <c r="O141" s="236">
        <v>52.71</v>
      </c>
      <c r="P141" s="218">
        <f t="shared" si="25"/>
        <v>31.92</v>
      </c>
      <c r="Q141" s="218">
        <f t="shared" si="26"/>
        <v>9.177</v>
      </c>
      <c r="R141" s="227">
        <f>16%+M140</f>
        <v>0.17</v>
      </c>
      <c r="S141" s="218">
        <f t="shared" si="27"/>
        <v>67.83</v>
      </c>
      <c r="T141" s="220">
        <f t="shared" si="28"/>
        <v>129</v>
      </c>
      <c r="U141" s="218">
        <f t="shared" si="29"/>
        <v>108.363</v>
      </c>
      <c r="V141" s="221">
        <f t="shared" si="30"/>
        <v>2.055833808</v>
      </c>
      <c r="W141" s="234">
        <v>13.0</v>
      </c>
      <c r="X141" s="234">
        <v>12.0</v>
      </c>
      <c r="Y141" s="234">
        <v>22.0</v>
      </c>
      <c r="Z141" s="234">
        <v>0.4</v>
      </c>
      <c r="AA141" s="214">
        <v>0.6864</v>
      </c>
      <c r="AB141" s="234">
        <v>0.6864</v>
      </c>
    </row>
    <row r="142">
      <c r="A142" s="212" t="s">
        <v>237</v>
      </c>
      <c r="B142" s="243" t="s">
        <v>5234</v>
      </c>
      <c r="C142" s="238"/>
      <c r="D142" s="238"/>
      <c r="E142" s="238"/>
      <c r="F142" s="266" t="s">
        <v>5235</v>
      </c>
      <c r="G142" s="238"/>
      <c r="H142" s="234" t="s">
        <v>4960</v>
      </c>
      <c r="I142" s="234">
        <v>399.0</v>
      </c>
      <c r="J142" s="232">
        <v>349.0</v>
      </c>
      <c r="K142" s="238"/>
      <c r="L142" s="214">
        <v>3.0</v>
      </c>
      <c r="M142" s="216">
        <f t="shared" si="24"/>
        <v>0.01</v>
      </c>
      <c r="N142" s="213" t="s">
        <v>4882</v>
      </c>
      <c r="O142" s="236">
        <v>78.11</v>
      </c>
      <c r="P142" s="218">
        <f t="shared" si="25"/>
        <v>27.92</v>
      </c>
      <c r="Q142" s="218">
        <f t="shared" si="26"/>
        <v>8.027</v>
      </c>
      <c r="R142" s="227">
        <f>15%+M141</f>
        <v>0.16</v>
      </c>
      <c r="S142" s="218">
        <f t="shared" si="27"/>
        <v>55.84</v>
      </c>
      <c r="T142" s="220">
        <f t="shared" si="28"/>
        <v>129</v>
      </c>
      <c r="U142" s="218">
        <f t="shared" si="29"/>
        <v>50.103</v>
      </c>
      <c r="V142" s="221">
        <f t="shared" si="30"/>
        <v>0.6414415568</v>
      </c>
      <c r="W142" s="234">
        <v>12.0</v>
      </c>
      <c r="X142" s="234">
        <v>12.0</v>
      </c>
      <c r="Y142" s="234">
        <v>13.5</v>
      </c>
      <c r="Z142" s="234">
        <v>0.5</v>
      </c>
      <c r="AA142" s="234">
        <v>0.39</v>
      </c>
      <c r="AB142" s="234">
        <v>0.5</v>
      </c>
    </row>
    <row r="143">
      <c r="A143" s="212" t="s">
        <v>237</v>
      </c>
      <c r="B143" s="263" t="s">
        <v>5236</v>
      </c>
      <c r="C143" s="234">
        <v>6.93255446424E12</v>
      </c>
      <c r="D143" s="238"/>
      <c r="E143" s="238"/>
      <c r="F143" s="231" t="s">
        <v>5237</v>
      </c>
      <c r="G143" s="238"/>
      <c r="H143" s="238"/>
      <c r="I143" s="238"/>
      <c r="J143" s="267">
        <v>599.0</v>
      </c>
      <c r="K143" s="238"/>
      <c r="L143" s="214">
        <v>3.0</v>
      </c>
      <c r="M143" s="216">
        <f t="shared" si="24"/>
        <v>0.01</v>
      </c>
      <c r="N143" s="213" t="s">
        <v>4882</v>
      </c>
      <c r="O143" s="236">
        <v>291.07</v>
      </c>
      <c r="P143" s="218">
        <f t="shared" si="25"/>
        <v>47.92</v>
      </c>
      <c r="Q143" s="218">
        <f t="shared" si="26"/>
        <v>13.777</v>
      </c>
      <c r="R143" s="227">
        <f>11%+M143</f>
        <v>0.12</v>
      </c>
      <c r="S143" s="218">
        <f t="shared" si="27"/>
        <v>71.88</v>
      </c>
      <c r="T143" s="220">
        <f t="shared" si="28"/>
        <v>129</v>
      </c>
      <c r="U143" s="218">
        <f t="shared" si="29"/>
        <v>45.353</v>
      </c>
      <c r="V143" s="221">
        <f t="shared" si="30"/>
        <v>0.1558147525</v>
      </c>
      <c r="W143" s="234">
        <v>10.0</v>
      </c>
      <c r="X143" s="234">
        <v>10.0</v>
      </c>
      <c r="Y143" s="234">
        <v>4.0</v>
      </c>
      <c r="Z143" s="234">
        <v>0.16</v>
      </c>
      <c r="AA143" s="213">
        <f t="shared" ref="AA143:AA155" si="46">(W143*X143*Y143)/5000</f>
        <v>0.08</v>
      </c>
      <c r="AB143" s="213">
        <f>IF(Z143&gt;AA143,Z143,AA143)</f>
        <v>0.16</v>
      </c>
    </row>
    <row r="144">
      <c r="A144" s="268" t="s">
        <v>237</v>
      </c>
      <c r="B144" s="269" t="s">
        <v>5238</v>
      </c>
      <c r="C144" s="270">
        <v>6.22356589246E11</v>
      </c>
      <c r="D144" s="269"/>
      <c r="E144" s="269"/>
      <c r="F144" s="271" t="s">
        <v>5239</v>
      </c>
      <c r="G144" s="269"/>
      <c r="H144" s="269" t="s">
        <v>4880</v>
      </c>
      <c r="I144" s="269"/>
      <c r="J144" s="272">
        <v>2279.0</v>
      </c>
      <c r="K144" s="269"/>
      <c r="L144" s="270">
        <v>3.0</v>
      </c>
      <c r="M144" s="273">
        <f t="shared" si="24"/>
        <v>0.01</v>
      </c>
      <c r="N144" s="269" t="s">
        <v>4882</v>
      </c>
      <c r="O144" s="274">
        <v>1287.0</v>
      </c>
      <c r="P144" s="274">
        <f t="shared" si="25"/>
        <v>182.32</v>
      </c>
      <c r="Q144" s="274">
        <f t="shared" si="26"/>
        <v>52.417</v>
      </c>
      <c r="R144" s="256">
        <f>15%+M144</f>
        <v>0.16</v>
      </c>
      <c r="S144" s="275">
        <f t="shared" si="27"/>
        <v>364.64</v>
      </c>
      <c r="T144" s="274">
        <f t="shared" si="28"/>
        <v>179</v>
      </c>
      <c r="U144" s="275">
        <f t="shared" si="29"/>
        <v>213.623</v>
      </c>
      <c r="V144" s="276">
        <f t="shared" si="30"/>
        <v>0.165985237</v>
      </c>
      <c r="W144" s="270">
        <v>39.0</v>
      </c>
      <c r="X144" s="270">
        <v>21.0</v>
      </c>
      <c r="Y144" s="270">
        <v>35.0</v>
      </c>
      <c r="Z144" s="270">
        <v>4.3</v>
      </c>
      <c r="AA144" s="213">
        <f t="shared" si="46"/>
        <v>5.733</v>
      </c>
      <c r="AB144" s="270">
        <v>5.73</v>
      </c>
    </row>
    <row r="145">
      <c r="A145" s="212" t="s">
        <v>237</v>
      </c>
      <c r="B145" s="234" t="s">
        <v>5065</v>
      </c>
      <c r="C145" s="238"/>
      <c r="D145" s="238"/>
      <c r="E145" s="238"/>
      <c r="F145" s="277" t="s">
        <v>5240</v>
      </c>
      <c r="G145" s="238"/>
      <c r="H145" s="234" t="s">
        <v>5241</v>
      </c>
      <c r="I145" s="238"/>
      <c r="J145" s="232">
        <v>979.0</v>
      </c>
      <c r="K145" s="238"/>
      <c r="L145" s="270">
        <v>3.0</v>
      </c>
      <c r="M145" s="273">
        <f t="shared" si="24"/>
        <v>0.01</v>
      </c>
      <c r="N145" s="269" t="s">
        <v>4882</v>
      </c>
      <c r="O145" s="278">
        <v>451.62</v>
      </c>
      <c r="P145" s="274">
        <f t="shared" si="25"/>
        <v>78.32</v>
      </c>
      <c r="Q145" s="274">
        <f t="shared" si="26"/>
        <v>22.517</v>
      </c>
      <c r="R145" s="256">
        <f t="shared" ref="R145:R149" si="47">11%+M145</f>
        <v>0.12</v>
      </c>
      <c r="S145" s="275">
        <f t="shared" si="27"/>
        <v>117.48</v>
      </c>
      <c r="T145" s="274">
        <f t="shared" si="28"/>
        <v>129</v>
      </c>
      <c r="U145" s="275">
        <f t="shared" si="29"/>
        <v>180.063</v>
      </c>
      <c r="V145" s="276">
        <f t="shared" si="30"/>
        <v>0.3987046632</v>
      </c>
      <c r="W145" s="246">
        <v>5.8</v>
      </c>
      <c r="X145" s="246">
        <v>2.0</v>
      </c>
      <c r="Y145" s="246">
        <v>2.45</v>
      </c>
      <c r="Z145" s="246">
        <v>0.03</v>
      </c>
      <c r="AA145" s="213">
        <f t="shared" si="46"/>
        <v>0.005684</v>
      </c>
      <c r="AB145" s="246">
        <v>0.03</v>
      </c>
    </row>
    <row r="146">
      <c r="A146" s="212" t="s">
        <v>237</v>
      </c>
      <c r="B146" s="234" t="s">
        <v>5242</v>
      </c>
      <c r="C146" s="238"/>
      <c r="D146" s="238"/>
      <c r="E146" s="238"/>
      <c r="F146" s="234" t="s">
        <v>5243</v>
      </c>
      <c r="G146" s="234" t="s">
        <v>5244</v>
      </c>
      <c r="H146" s="234" t="s">
        <v>5009</v>
      </c>
      <c r="I146" s="238"/>
      <c r="J146" s="232">
        <v>5399.0</v>
      </c>
      <c r="K146" s="238"/>
      <c r="L146" s="270">
        <v>3.0</v>
      </c>
      <c r="M146" s="273">
        <f t="shared" si="24"/>
        <v>0.01</v>
      </c>
      <c r="N146" s="269" t="s">
        <v>4882</v>
      </c>
      <c r="O146" s="278">
        <v>3475.09</v>
      </c>
      <c r="P146" s="274">
        <f t="shared" si="25"/>
        <v>431.92</v>
      </c>
      <c r="Q146" s="274">
        <f t="shared" si="26"/>
        <v>124.177</v>
      </c>
      <c r="R146" s="256">
        <f t="shared" si="47"/>
        <v>0.12</v>
      </c>
      <c r="S146" s="275">
        <f t="shared" si="27"/>
        <v>647.88</v>
      </c>
      <c r="T146" s="274">
        <f t="shared" si="28"/>
        <v>149</v>
      </c>
      <c r="U146" s="275">
        <f t="shared" si="29"/>
        <v>570.933</v>
      </c>
      <c r="V146" s="276">
        <f t="shared" si="30"/>
        <v>0.1642930111</v>
      </c>
      <c r="W146" s="246">
        <v>29.7</v>
      </c>
      <c r="X146" s="246">
        <v>14.1</v>
      </c>
      <c r="Y146" s="246">
        <v>14.9</v>
      </c>
      <c r="Z146" s="246">
        <v>2.1</v>
      </c>
      <c r="AA146" s="213">
        <f t="shared" si="46"/>
        <v>1.2479346</v>
      </c>
      <c r="AB146" s="246">
        <v>2.1</v>
      </c>
    </row>
    <row r="147">
      <c r="A147" s="212" t="s">
        <v>237</v>
      </c>
      <c r="B147" s="234" t="s">
        <v>5245</v>
      </c>
      <c r="C147" s="238"/>
      <c r="D147" s="238"/>
      <c r="E147" s="238"/>
      <c r="F147" s="234" t="s">
        <v>5246</v>
      </c>
      <c r="G147" s="234" t="s">
        <v>5244</v>
      </c>
      <c r="H147" s="234" t="s">
        <v>5009</v>
      </c>
      <c r="I147" s="234">
        <v>5999.0</v>
      </c>
      <c r="J147" s="232">
        <v>5399.0</v>
      </c>
      <c r="K147" s="238"/>
      <c r="L147" s="270">
        <v>3.0</v>
      </c>
      <c r="M147" s="273">
        <f t="shared" si="24"/>
        <v>0.01</v>
      </c>
      <c r="N147" s="269" t="s">
        <v>4882</v>
      </c>
      <c r="O147" s="278">
        <v>3475.09</v>
      </c>
      <c r="P147" s="274">
        <f t="shared" si="25"/>
        <v>431.92</v>
      </c>
      <c r="Q147" s="274">
        <f t="shared" si="26"/>
        <v>124.177</v>
      </c>
      <c r="R147" s="256">
        <f t="shared" si="47"/>
        <v>0.12</v>
      </c>
      <c r="S147" s="275">
        <f t="shared" si="27"/>
        <v>647.88</v>
      </c>
      <c r="T147" s="274">
        <f t="shared" si="28"/>
        <v>149</v>
      </c>
      <c r="U147" s="275">
        <f t="shared" si="29"/>
        <v>570.933</v>
      </c>
      <c r="V147" s="276">
        <f t="shared" si="30"/>
        <v>0.1642930111</v>
      </c>
      <c r="W147" s="246">
        <v>29.7</v>
      </c>
      <c r="X147" s="246">
        <v>14.1</v>
      </c>
      <c r="Y147" s="246">
        <v>14.9</v>
      </c>
      <c r="Z147" s="246">
        <v>2.1</v>
      </c>
      <c r="AA147" s="213">
        <f t="shared" si="46"/>
        <v>1.2479346</v>
      </c>
      <c r="AB147" s="246">
        <v>2.1</v>
      </c>
    </row>
    <row r="148">
      <c r="A148" s="212" t="s">
        <v>237</v>
      </c>
      <c r="B148" s="234" t="s">
        <v>5247</v>
      </c>
      <c r="C148" s="234">
        <v>7.340055384971E12</v>
      </c>
      <c r="D148" s="238"/>
      <c r="E148" s="238"/>
      <c r="F148" s="234" t="s">
        <v>5248</v>
      </c>
      <c r="G148" s="234" t="s">
        <v>5244</v>
      </c>
      <c r="H148" s="234" t="s">
        <v>5249</v>
      </c>
      <c r="I148" s="238"/>
      <c r="J148" s="232">
        <v>5999.0</v>
      </c>
      <c r="K148" s="234">
        <v>3.0</v>
      </c>
      <c r="L148" s="270">
        <v>3.0</v>
      </c>
      <c r="M148" s="273">
        <f t="shared" si="24"/>
        <v>0.01</v>
      </c>
      <c r="N148" s="269" t="s">
        <v>4882</v>
      </c>
      <c r="O148" s="278">
        <v>3994.26</v>
      </c>
      <c r="P148" s="274">
        <f t="shared" si="25"/>
        <v>479.92</v>
      </c>
      <c r="Q148" s="274">
        <f t="shared" si="26"/>
        <v>137.977</v>
      </c>
      <c r="R148" s="256">
        <f t="shared" si="47"/>
        <v>0.12</v>
      </c>
      <c r="S148" s="275">
        <f t="shared" si="27"/>
        <v>719.88</v>
      </c>
      <c r="T148" s="274">
        <f t="shared" si="28"/>
        <v>149</v>
      </c>
      <c r="U148" s="275">
        <f t="shared" si="29"/>
        <v>517.963</v>
      </c>
      <c r="V148" s="276">
        <f t="shared" si="30"/>
        <v>0.1296768363</v>
      </c>
      <c r="W148" s="246">
        <v>26.0</v>
      </c>
      <c r="X148" s="246">
        <v>17.0</v>
      </c>
      <c r="Y148" s="246">
        <v>15.0</v>
      </c>
      <c r="Z148" s="246">
        <v>2.85</v>
      </c>
      <c r="AA148" s="213">
        <f t="shared" si="46"/>
        <v>1.326</v>
      </c>
      <c r="AB148" s="246">
        <v>2.85</v>
      </c>
    </row>
    <row r="149">
      <c r="A149" s="212" t="s">
        <v>237</v>
      </c>
      <c r="B149" s="279" t="s">
        <v>5250</v>
      </c>
      <c r="C149" s="271">
        <v>7.34005538494E12</v>
      </c>
      <c r="D149" s="269"/>
      <c r="E149" s="269"/>
      <c r="F149" s="271" t="s">
        <v>5251</v>
      </c>
      <c r="G149" s="269" t="s">
        <v>5244</v>
      </c>
      <c r="H149" s="269" t="s">
        <v>5249</v>
      </c>
      <c r="I149" s="269"/>
      <c r="J149" s="272">
        <v>5889.0</v>
      </c>
      <c r="K149" s="271">
        <v>3.0</v>
      </c>
      <c r="L149" s="270">
        <v>3.0</v>
      </c>
      <c r="M149" s="273">
        <f t="shared" si="24"/>
        <v>0.01</v>
      </c>
      <c r="N149" s="269" t="s">
        <v>4882</v>
      </c>
      <c r="O149" s="280">
        <v>3994.26</v>
      </c>
      <c r="P149" s="274">
        <f t="shared" si="25"/>
        <v>471.12</v>
      </c>
      <c r="Q149" s="274">
        <f t="shared" si="26"/>
        <v>135.447</v>
      </c>
      <c r="R149" s="281">
        <f t="shared" si="47"/>
        <v>0.12</v>
      </c>
      <c r="S149" s="275">
        <f t="shared" si="27"/>
        <v>706.68</v>
      </c>
      <c r="T149" s="274">
        <f t="shared" si="28"/>
        <v>149</v>
      </c>
      <c r="U149" s="275">
        <f t="shared" si="29"/>
        <v>432.493</v>
      </c>
      <c r="V149" s="276">
        <f t="shared" si="30"/>
        <v>0.1082786298</v>
      </c>
      <c r="W149" s="282">
        <v>26.0</v>
      </c>
      <c r="X149" s="282">
        <v>17.0</v>
      </c>
      <c r="Y149" s="282">
        <v>15.0</v>
      </c>
      <c r="Z149" s="282">
        <v>2.85</v>
      </c>
      <c r="AA149" s="213">
        <f t="shared" si="46"/>
        <v>1.326</v>
      </c>
      <c r="AB149" s="282">
        <v>2.85</v>
      </c>
    </row>
    <row r="150">
      <c r="A150" s="212" t="s">
        <v>5252</v>
      </c>
      <c r="B150" s="283" t="s">
        <v>5253</v>
      </c>
      <c r="C150" s="284"/>
      <c r="D150" s="284"/>
      <c r="E150" s="284"/>
      <c r="F150" s="285" t="s">
        <v>5254</v>
      </c>
      <c r="G150" s="283" t="s">
        <v>5255</v>
      </c>
      <c r="H150" s="283" t="s">
        <v>4880</v>
      </c>
      <c r="I150" s="286"/>
      <c r="J150" s="278">
        <v>5999.0</v>
      </c>
      <c r="K150" s="250"/>
      <c r="L150" s="246">
        <v>0.0</v>
      </c>
      <c r="M150" s="273">
        <f t="shared" si="24"/>
        <v>0</v>
      </c>
      <c r="N150" s="269" t="s">
        <v>4882</v>
      </c>
      <c r="O150" s="287">
        <v>3868.99</v>
      </c>
      <c r="P150" s="274">
        <f t="shared" si="25"/>
        <v>479.92</v>
      </c>
      <c r="Q150" s="274">
        <f t="shared" si="26"/>
        <v>137.977</v>
      </c>
      <c r="R150" s="281">
        <f t="shared" ref="R150:R151" si="48">15%+M150</f>
        <v>0.15</v>
      </c>
      <c r="S150" s="275">
        <f t="shared" si="27"/>
        <v>899.85</v>
      </c>
      <c r="T150" s="274">
        <f t="shared" si="28"/>
        <v>169</v>
      </c>
      <c r="U150" s="275">
        <f t="shared" si="29"/>
        <v>443.263</v>
      </c>
      <c r="V150" s="276">
        <f t="shared" si="30"/>
        <v>0.1145681431</v>
      </c>
      <c r="W150" s="246">
        <v>30.0</v>
      </c>
      <c r="X150" s="246">
        <v>27.0</v>
      </c>
      <c r="Y150" s="246">
        <v>19.5</v>
      </c>
      <c r="Z150" s="246">
        <v>2.5</v>
      </c>
      <c r="AA150" s="213">
        <f t="shared" si="46"/>
        <v>3.159</v>
      </c>
      <c r="AB150" s="246">
        <v>3.16</v>
      </c>
    </row>
    <row r="151">
      <c r="A151" s="212" t="s">
        <v>237</v>
      </c>
      <c r="B151" s="288" t="s">
        <v>5256</v>
      </c>
      <c r="C151" s="286"/>
      <c r="D151" s="286"/>
      <c r="E151" s="286"/>
      <c r="F151" s="288" t="s">
        <v>5257</v>
      </c>
      <c r="G151" s="286"/>
      <c r="H151" s="288" t="s">
        <v>5258</v>
      </c>
      <c r="I151" s="286"/>
      <c r="J151" s="278">
        <v>4999.0</v>
      </c>
      <c r="K151" s="250"/>
      <c r="L151" s="246">
        <v>0.0</v>
      </c>
      <c r="M151" s="273">
        <f t="shared" si="24"/>
        <v>0</v>
      </c>
      <c r="N151" s="269" t="s">
        <v>4882</v>
      </c>
      <c r="O151" s="246">
        <v>3335.34</v>
      </c>
      <c r="P151" s="274">
        <f t="shared" si="25"/>
        <v>399.92</v>
      </c>
      <c r="Q151" s="274">
        <f t="shared" si="26"/>
        <v>114.977</v>
      </c>
      <c r="R151" s="281">
        <f t="shared" si="48"/>
        <v>0.15</v>
      </c>
      <c r="S151" s="275">
        <f t="shared" si="27"/>
        <v>749.85</v>
      </c>
      <c r="T151" s="274">
        <f t="shared" si="28"/>
        <v>149</v>
      </c>
      <c r="U151" s="275">
        <f t="shared" si="29"/>
        <v>249.913</v>
      </c>
      <c r="V151" s="276">
        <f t="shared" si="30"/>
        <v>0.07492879287</v>
      </c>
      <c r="W151" s="246">
        <v>30.0</v>
      </c>
      <c r="X151" s="246">
        <v>27.0</v>
      </c>
      <c r="Y151" s="246">
        <v>19.5</v>
      </c>
      <c r="Z151" s="246">
        <v>2.5</v>
      </c>
      <c r="AA151" s="213">
        <f t="shared" si="46"/>
        <v>3.159</v>
      </c>
      <c r="AB151" s="246">
        <v>2.63</v>
      </c>
    </row>
    <row r="152">
      <c r="A152" s="212" t="s">
        <v>237</v>
      </c>
      <c r="B152" s="288" t="s">
        <v>5259</v>
      </c>
      <c r="C152" s="286"/>
      <c r="D152" s="286"/>
      <c r="E152" s="286"/>
      <c r="F152" s="288" t="s">
        <v>5260</v>
      </c>
      <c r="G152" s="286"/>
      <c r="H152" s="288" t="s">
        <v>5009</v>
      </c>
      <c r="I152" s="286"/>
      <c r="J152" s="278">
        <v>7999.0</v>
      </c>
      <c r="K152" s="250"/>
      <c r="L152" s="246">
        <v>3.0</v>
      </c>
      <c r="M152" s="273">
        <f t="shared" si="24"/>
        <v>0.01</v>
      </c>
      <c r="N152" s="269" t="s">
        <v>4882</v>
      </c>
      <c r="O152" s="287">
        <v>4887.45</v>
      </c>
      <c r="P152" s="274">
        <f t="shared" si="25"/>
        <v>639.92</v>
      </c>
      <c r="Q152" s="274">
        <f t="shared" si="26"/>
        <v>183.977</v>
      </c>
      <c r="R152" s="281">
        <f t="shared" ref="R152:R153" si="49">11%+M152</f>
        <v>0.12</v>
      </c>
      <c r="S152" s="275">
        <f t="shared" si="27"/>
        <v>959.88</v>
      </c>
      <c r="T152" s="289">
        <f t="shared" si="28"/>
        <v>420</v>
      </c>
      <c r="U152" s="275">
        <f t="shared" si="29"/>
        <v>907.773</v>
      </c>
      <c r="V152" s="276">
        <f t="shared" si="30"/>
        <v>0.1857355062</v>
      </c>
      <c r="W152" s="246">
        <v>30.0</v>
      </c>
      <c r="X152" s="246">
        <v>60.0</v>
      </c>
      <c r="Y152" s="246">
        <v>32.4</v>
      </c>
      <c r="Z152" s="246">
        <v>8.0</v>
      </c>
      <c r="AA152" s="213">
        <f t="shared" si="46"/>
        <v>11.664</v>
      </c>
      <c r="AB152" s="246">
        <v>25.2</v>
      </c>
    </row>
    <row r="153">
      <c r="A153" s="212" t="s">
        <v>237</v>
      </c>
      <c r="B153" s="288" t="s">
        <v>5261</v>
      </c>
      <c r="C153" s="286"/>
      <c r="D153" s="286"/>
      <c r="E153" s="286"/>
      <c r="F153" s="288" t="s">
        <v>5262</v>
      </c>
      <c r="G153" s="286"/>
      <c r="H153" s="288" t="s">
        <v>5009</v>
      </c>
      <c r="I153" s="286"/>
      <c r="J153" s="278">
        <v>8099.0</v>
      </c>
      <c r="K153" s="250"/>
      <c r="L153" s="246">
        <v>3.0</v>
      </c>
      <c r="M153" s="273">
        <f t="shared" si="24"/>
        <v>0.01</v>
      </c>
      <c r="N153" s="269" t="s">
        <v>4882</v>
      </c>
      <c r="O153" s="290">
        <v>4900.253852648108</v>
      </c>
      <c r="P153" s="274">
        <f t="shared" si="25"/>
        <v>647.92</v>
      </c>
      <c r="Q153" s="274">
        <f t="shared" si="26"/>
        <v>186.277</v>
      </c>
      <c r="R153" s="281">
        <f t="shared" si="49"/>
        <v>0.12</v>
      </c>
      <c r="S153" s="275">
        <f t="shared" si="27"/>
        <v>971.88</v>
      </c>
      <c r="T153" s="272">
        <v>180.0</v>
      </c>
      <c r="U153" s="275">
        <f t="shared" si="29"/>
        <v>1212.669147</v>
      </c>
      <c r="V153" s="276">
        <f t="shared" si="30"/>
        <v>0.2474706788</v>
      </c>
      <c r="W153" s="246">
        <v>30.0</v>
      </c>
      <c r="X153" s="246">
        <v>60.0</v>
      </c>
      <c r="Y153" s="246">
        <v>32.4</v>
      </c>
      <c r="Z153" s="246">
        <v>8.0</v>
      </c>
      <c r="AA153" s="213">
        <f t="shared" si="46"/>
        <v>11.664</v>
      </c>
      <c r="AB153" s="246">
        <v>11.59</v>
      </c>
    </row>
    <row r="154">
      <c r="A154" s="212" t="s">
        <v>237</v>
      </c>
      <c r="B154" s="286"/>
      <c r="C154" s="286"/>
      <c r="D154" s="286"/>
      <c r="E154" s="286"/>
      <c r="F154" s="288" t="s">
        <v>5263</v>
      </c>
      <c r="G154" s="286"/>
      <c r="H154" s="288" t="s">
        <v>4960</v>
      </c>
      <c r="I154" s="286"/>
      <c r="J154" s="278">
        <v>599.0</v>
      </c>
      <c r="K154" s="250"/>
      <c r="L154" s="246">
        <v>0.0</v>
      </c>
      <c r="M154" s="273">
        <f t="shared" si="24"/>
        <v>0</v>
      </c>
      <c r="N154" s="269" t="s">
        <v>4882</v>
      </c>
      <c r="O154" s="287">
        <v>141.7</v>
      </c>
      <c r="P154" s="274">
        <f t="shared" si="25"/>
        <v>47.92</v>
      </c>
      <c r="Q154" s="274">
        <f t="shared" si="26"/>
        <v>13.777</v>
      </c>
      <c r="R154" s="281">
        <f t="shared" ref="R154:R155" si="50">15%+M154</f>
        <v>0.15</v>
      </c>
      <c r="S154" s="275">
        <f t="shared" si="27"/>
        <v>89.85</v>
      </c>
      <c r="T154" s="274">
        <f t="shared" ref="T154:T155" si="51">IF(AND(ISNUMBER(AB154)=TRUE(),AB154&gt;0),SWITCH(TRUE(),AB154 &lt;= 1,  129, AB154 &lt;= 2, 139, AB154 &lt;= 3, 149, AB154 &lt;= 5, 169, AB154 &lt;= 7, 179, AB154 &lt;= 9, 209, AB154 &lt;= 12, 249, AB154 &lt;= 15, 299, AB154 &lt;= 20, 390, AB154 &lt;= 30, 420, AB154 &lt;= 40, 525, AB154 &lt;= 50, 859, AB154 &lt;= 60, 1049, AB154 &lt;= 70, 1099, AB154 &lt;= 80, 1149, AB154 &lt;= 90, 1169, AB154 &lt;= 100, 1199, AB154 &lt;= 125, 1449,AB154 &lt;= 150, 1899, AB154 &lt;= 175, 2349, AB154 &lt;= 200, 2799, AB154 &lt;= 225, 3299, AB154 &lt;= 250, 379, AB154 &lt;= 275, 4199, AB154 &lt;= 300, 4699, AB154 &lt;= 325, 5199, "Exceso de peso"),"Error")</f>
        <v>179</v>
      </c>
      <c r="U154" s="275">
        <f t="shared" si="29"/>
        <v>126.753</v>
      </c>
      <c r="V154" s="276">
        <f t="shared" si="30"/>
        <v>0.8945165843</v>
      </c>
      <c r="W154" s="246">
        <v>33.0</v>
      </c>
      <c r="X154" s="246">
        <v>30.0</v>
      </c>
      <c r="Y154" s="246">
        <v>33.0</v>
      </c>
      <c r="Z154" s="246">
        <v>4.0</v>
      </c>
      <c r="AA154" s="213">
        <f t="shared" si="46"/>
        <v>6.534</v>
      </c>
      <c r="AB154" s="246">
        <v>6.53</v>
      </c>
    </row>
    <row r="155">
      <c r="A155" s="212" t="s">
        <v>237</v>
      </c>
      <c r="B155" s="286"/>
      <c r="C155" s="286"/>
      <c r="D155" s="286"/>
      <c r="E155" s="286"/>
      <c r="F155" s="291" t="s">
        <v>5264</v>
      </c>
      <c r="G155" s="291"/>
      <c r="H155" s="292" t="s">
        <v>4960</v>
      </c>
      <c r="I155" s="286"/>
      <c r="J155" s="278">
        <v>559.0</v>
      </c>
      <c r="K155" s="250"/>
      <c r="L155" s="246">
        <v>0.0</v>
      </c>
      <c r="M155" s="273">
        <f t="shared" si="24"/>
        <v>0</v>
      </c>
      <c r="N155" s="269" t="s">
        <v>4882</v>
      </c>
      <c r="O155" s="287">
        <v>248.91</v>
      </c>
      <c r="P155" s="274">
        <f t="shared" si="25"/>
        <v>44.72</v>
      </c>
      <c r="Q155" s="274">
        <f t="shared" si="26"/>
        <v>12.857</v>
      </c>
      <c r="R155" s="281">
        <f t="shared" si="50"/>
        <v>0.15</v>
      </c>
      <c r="S155" s="275">
        <f t="shared" si="27"/>
        <v>83.85</v>
      </c>
      <c r="T155" s="274">
        <f t="shared" si="51"/>
        <v>139</v>
      </c>
      <c r="U155" s="275">
        <f t="shared" si="29"/>
        <v>29.663</v>
      </c>
      <c r="V155" s="276">
        <f t="shared" si="30"/>
        <v>0.1191715881</v>
      </c>
      <c r="W155" s="246">
        <v>25.0</v>
      </c>
      <c r="X155" s="246">
        <v>22.0</v>
      </c>
      <c r="Y155" s="246">
        <v>15.0</v>
      </c>
      <c r="Z155" s="246">
        <v>1.15</v>
      </c>
      <c r="AA155" s="213">
        <f t="shared" si="46"/>
        <v>1.65</v>
      </c>
      <c r="AB155" s="246">
        <v>1.65</v>
      </c>
    </row>
    <row r="156">
      <c r="B156" s="1" t="s">
        <v>5265</v>
      </c>
      <c r="F156" s="1" t="s">
        <v>5266</v>
      </c>
      <c r="H156" s="292" t="s">
        <v>4960</v>
      </c>
      <c r="J156" s="257"/>
      <c r="K156" s="250"/>
      <c r="L156" s="250"/>
      <c r="M156" s="250"/>
      <c r="N156" s="250"/>
      <c r="O156" s="250"/>
      <c r="P156" s="250"/>
      <c r="Q156" s="250"/>
      <c r="R156" s="250"/>
      <c r="S156" s="250"/>
      <c r="T156" s="250"/>
      <c r="U156" s="250"/>
      <c r="V156" s="293"/>
      <c r="W156" s="250"/>
      <c r="X156" s="250"/>
      <c r="Y156" s="250"/>
      <c r="Z156" s="250"/>
      <c r="AA156" s="250"/>
      <c r="AB156" s="250"/>
    </row>
    <row r="157">
      <c r="F157" s="1" t="s">
        <v>5267</v>
      </c>
      <c r="H157" s="292" t="s">
        <v>4960</v>
      </c>
      <c r="J157" s="168"/>
      <c r="V157" s="2"/>
    </row>
    <row r="158">
      <c r="F158" s="1" t="s">
        <v>5268</v>
      </c>
      <c r="H158" s="292" t="s">
        <v>4960</v>
      </c>
      <c r="J158" s="168"/>
      <c r="V158" s="2"/>
    </row>
    <row r="159">
      <c r="F159" s="1" t="s">
        <v>5269</v>
      </c>
      <c r="H159" s="292" t="s">
        <v>4960</v>
      </c>
      <c r="J159" s="168"/>
      <c r="V159" s="2"/>
      <c r="W159" s="1">
        <v>19.0</v>
      </c>
      <c r="X159" s="1">
        <v>15.0</v>
      </c>
      <c r="Y159" s="1">
        <v>12.0</v>
      </c>
      <c r="Z159" s="1">
        <v>0.45</v>
      </c>
      <c r="AA159" s="1">
        <v>0.68</v>
      </c>
      <c r="AB159" s="1">
        <v>0.68</v>
      </c>
    </row>
    <row r="160">
      <c r="J160" s="168"/>
      <c r="V160" s="2"/>
    </row>
    <row r="161">
      <c r="J161" s="168"/>
      <c r="V161" s="2"/>
    </row>
    <row r="162">
      <c r="J162" s="168"/>
      <c r="V162" s="2"/>
    </row>
    <row r="163">
      <c r="J163" s="168"/>
      <c r="V163" s="2"/>
    </row>
    <row r="164">
      <c r="J164" s="168"/>
      <c r="V164" s="2"/>
    </row>
    <row r="165">
      <c r="J165" s="168"/>
      <c r="V165" s="2"/>
    </row>
    <row r="166">
      <c r="J166" s="168"/>
      <c r="V166" s="2"/>
    </row>
    <row r="167">
      <c r="J167" s="168"/>
      <c r="V167" s="2"/>
    </row>
    <row r="168">
      <c r="J168" s="168"/>
      <c r="V168" s="2"/>
    </row>
    <row r="169">
      <c r="J169" s="168"/>
      <c r="V169" s="2"/>
    </row>
    <row r="170">
      <c r="J170" s="168"/>
      <c r="V170" s="2"/>
    </row>
    <row r="171">
      <c r="J171" s="168"/>
      <c r="V171" s="2"/>
    </row>
    <row r="172">
      <c r="J172" s="168"/>
      <c r="V172" s="2"/>
    </row>
    <row r="173">
      <c r="J173" s="168"/>
      <c r="V173" s="2"/>
    </row>
    <row r="174">
      <c r="J174" s="168"/>
      <c r="V174" s="2"/>
    </row>
    <row r="175">
      <c r="J175" s="168"/>
      <c r="V175" s="2"/>
    </row>
    <row r="176">
      <c r="J176" s="168"/>
      <c r="V176" s="2"/>
    </row>
    <row r="177">
      <c r="J177" s="168"/>
      <c r="V177" s="2"/>
    </row>
    <row r="178">
      <c r="J178" s="168"/>
      <c r="V178" s="2"/>
    </row>
    <row r="179">
      <c r="J179" s="168"/>
      <c r="V179" s="2"/>
    </row>
    <row r="180">
      <c r="J180" s="168"/>
      <c r="V180" s="2"/>
    </row>
    <row r="181">
      <c r="J181" s="168"/>
      <c r="V181" s="2"/>
    </row>
    <row r="182">
      <c r="J182" s="168"/>
      <c r="V182" s="2"/>
    </row>
    <row r="183">
      <c r="J183" s="168"/>
      <c r="V183" s="2"/>
    </row>
    <row r="184">
      <c r="J184" s="168"/>
      <c r="V184" s="2"/>
    </row>
    <row r="185">
      <c r="J185" s="168"/>
      <c r="V185" s="2"/>
    </row>
    <row r="186">
      <c r="J186" s="168"/>
      <c r="V186" s="2"/>
    </row>
    <row r="187">
      <c r="J187" s="168"/>
      <c r="V187" s="2"/>
    </row>
    <row r="188">
      <c r="J188" s="168"/>
      <c r="V188" s="2"/>
    </row>
    <row r="189">
      <c r="J189" s="168"/>
      <c r="V189" s="2"/>
    </row>
    <row r="190">
      <c r="J190" s="168"/>
      <c r="V190" s="2"/>
    </row>
    <row r="191">
      <c r="J191" s="168"/>
      <c r="V191" s="2"/>
    </row>
    <row r="192">
      <c r="J192" s="168"/>
      <c r="V192" s="2"/>
    </row>
    <row r="193">
      <c r="J193" s="168"/>
      <c r="V193" s="2"/>
    </row>
    <row r="194">
      <c r="J194" s="168"/>
      <c r="V194" s="2"/>
    </row>
    <row r="195">
      <c r="J195" s="168"/>
      <c r="V195" s="2"/>
    </row>
    <row r="196">
      <c r="J196" s="168"/>
      <c r="V196" s="2"/>
    </row>
    <row r="197">
      <c r="J197" s="168"/>
      <c r="V197" s="2"/>
    </row>
    <row r="198">
      <c r="J198" s="168"/>
      <c r="V198" s="2"/>
    </row>
    <row r="199">
      <c r="J199" s="168"/>
      <c r="V199" s="2"/>
    </row>
    <row r="200">
      <c r="J200" s="168"/>
      <c r="V200" s="2"/>
    </row>
    <row r="201">
      <c r="J201" s="168"/>
      <c r="V201" s="2"/>
    </row>
    <row r="202">
      <c r="J202" s="168"/>
      <c r="V202" s="2"/>
    </row>
    <row r="203">
      <c r="J203" s="168"/>
      <c r="V203" s="2"/>
    </row>
    <row r="204">
      <c r="J204" s="168"/>
      <c r="V204" s="2"/>
    </row>
    <row r="205">
      <c r="J205" s="168"/>
      <c r="V205" s="2"/>
    </row>
    <row r="206">
      <c r="J206" s="168"/>
      <c r="V206" s="2"/>
    </row>
    <row r="207">
      <c r="J207" s="168"/>
      <c r="V207" s="2"/>
    </row>
    <row r="208">
      <c r="J208" s="168"/>
      <c r="V208" s="2"/>
    </row>
    <row r="209">
      <c r="J209" s="168"/>
      <c r="V209" s="2"/>
    </row>
    <row r="210">
      <c r="J210" s="168"/>
      <c r="V210" s="2"/>
    </row>
    <row r="211">
      <c r="J211" s="168"/>
      <c r="V211" s="2"/>
    </row>
    <row r="212">
      <c r="J212" s="168"/>
      <c r="V212" s="2"/>
    </row>
    <row r="213">
      <c r="J213" s="168"/>
      <c r="V213" s="2"/>
    </row>
    <row r="214">
      <c r="J214" s="168"/>
      <c r="V214" s="2"/>
    </row>
    <row r="215">
      <c r="J215" s="168"/>
      <c r="V215" s="2"/>
    </row>
    <row r="216">
      <c r="J216" s="168"/>
      <c r="V216" s="2"/>
    </row>
    <row r="217">
      <c r="J217" s="168"/>
      <c r="V217" s="2"/>
    </row>
    <row r="218">
      <c r="J218" s="168"/>
      <c r="V218" s="2"/>
    </row>
    <row r="219">
      <c r="J219" s="168"/>
      <c r="V219" s="2"/>
    </row>
    <row r="220">
      <c r="J220" s="168"/>
      <c r="V220" s="2"/>
    </row>
    <row r="221">
      <c r="J221" s="168"/>
      <c r="V221" s="2"/>
    </row>
    <row r="222">
      <c r="J222" s="168"/>
      <c r="V222" s="2"/>
    </row>
    <row r="223">
      <c r="J223" s="168"/>
      <c r="V223" s="2"/>
    </row>
    <row r="224">
      <c r="J224" s="168"/>
      <c r="V224" s="2"/>
    </row>
    <row r="225">
      <c r="J225" s="168"/>
      <c r="V225" s="2"/>
    </row>
    <row r="226">
      <c r="J226" s="168"/>
      <c r="V226" s="2"/>
    </row>
    <row r="227">
      <c r="J227" s="168"/>
      <c r="V227" s="2"/>
    </row>
    <row r="228">
      <c r="J228" s="168"/>
      <c r="V228" s="2"/>
    </row>
    <row r="229">
      <c r="J229" s="168"/>
      <c r="V229" s="2"/>
    </row>
    <row r="230">
      <c r="J230" s="168"/>
      <c r="V230" s="2"/>
    </row>
    <row r="231">
      <c r="J231" s="168"/>
      <c r="V231" s="2"/>
    </row>
    <row r="232">
      <c r="J232" s="168"/>
      <c r="V232" s="2"/>
    </row>
    <row r="233">
      <c r="J233" s="168"/>
      <c r="V233" s="2"/>
    </row>
    <row r="234">
      <c r="J234" s="168"/>
      <c r="V234" s="2"/>
    </row>
    <row r="235">
      <c r="J235" s="168"/>
      <c r="V235" s="2"/>
    </row>
    <row r="236">
      <c r="J236" s="168"/>
      <c r="V236" s="2"/>
    </row>
    <row r="237">
      <c r="J237" s="168"/>
      <c r="V237" s="2"/>
    </row>
    <row r="238">
      <c r="J238" s="168"/>
      <c r="V238" s="2"/>
    </row>
    <row r="239">
      <c r="J239" s="168"/>
      <c r="V239" s="2"/>
    </row>
    <row r="240">
      <c r="J240" s="168"/>
      <c r="V240" s="2"/>
    </row>
    <row r="241">
      <c r="J241" s="168"/>
      <c r="V241" s="2"/>
    </row>
    <row r="242">
      <c r="J242" s="168"/>
      <c r="V242" s="2"/>
    </row>
    <row r="243">
      <c r="J243" s="168"/>
      <c r="V243" s="2"/>
    </row>
    <row r="244">
      <c r="J244" s="168"/>
      <c r="V244" s="2"/>
    </row>
    <row r="245">
      <c r="J245" s="168"/>
      <c r="V245" s="2"/>
    </row>
    <row r="246">
      <c r="J246" s="168"/>
      <c r="V246" s="2"/>
    </row>
    <row r="247">
      <c r="J247" s="168"/>
      <c r="V247" s="2"/>
    </row>
    <row r="248">
      <c r="J248" s="168"/>
      <c r="V248" s="2"/>
    </row>
    <row r="249">
      <c r="J249" s="168"/>
      <c r="V249" s="2"/>
    </row>
    <row r="250">
      <c r="J250" s="168"/>
      <c r="V250" s="2"/>
    </row>
    <row r="251">
      <c r="J251" s="168"/>
      <c r="V251" s="2"/>
    </row>
    <row r="252">
      <c r="J252" s="168"/>
      <c r="V252" s="2"/>
    </row>
    <row r="253">
      <c r="J253" s="168"/>
      <c r="V253" s="2"/>
    </row>
    <row r="254">
      <c r="J254" s="168"/>
      <c r="V254" s="2"/>
    </row>
    <row r="255">
      <c r="J255" s="168"/>
      <c r="V255" s="2"/>
    </row>
    <row r="256">
      <c r="J256" s="168"/>
      <c r="V256" s="2"/>
    </row>
    <row r="257">
      <c r="J257" s="168"/>
      <c r="V257" s="2"/>
    </row>
    <row r="258">
      <c r="J258" s="168"/>
      <c r="V258" s="2"/>
    </row>
    <row r="259">
      <c r="J259" s="168"/>
      <c r="V259" s="2"/>
    </row>
    <row r="260">
      <c r="J260" s="168"/>
      <c r="V260" s="2"/>
    </row>
    <row r="261">
      <c r="J261" s="168"/>
      <c r="V261" s="2"/>
    </row>
    <row r="262">
      <c r="J262" s="168"/>
      <c r="V262" s="2"/>
    </row>
    <row r="263">
      <c r="J263" s="168"/>
      <c r="V263" s="2"/>
    </row>
    <row r="264">
      <c r="J264" s="168"/>
      <c r="V264" s="2"/>
    </row>
    <row r="265">
      <c r="J265" s="168"/>
      <c r="V265" s="2"/>
    </row>
    <row r="266">
      <c r="J266" s="168"/>
      <c r="V266" s="2"/>
    </row>
    <row r="267">
      <c r="J267" s="168"/>
      <c r="V267" s="2"/>
    </row>
    <row r="268">
      <c r="J268" s="168"/>
      <c r="V268" s="2"/>
    </row>
    <row r="269">
      <c r="J269" s="168"/>
      <c r="V269" s="2"/>
    </row>
    <row r="270">
      <c r="J270" s="168"/>
      <c r="V270" s="2"/>
    </row>
    <row r="271">
      <c r="J271" s="168"/>
      <c r="V271" s="2"/>
    </row>
    <row r="272">
      <c r="J272" s="168"/>
      <c r="V272" s="2"/>
    </row>
    <row r="273">
      <c r="J273" s="168"/>
      <c r="V273" s="2"/>
    </row>
    <row r="274">
      <c r="J274" s="168"/>
      <c r="V274" s="2"/>
    </row>
    <row r="275">
      <c r="J275" s="168"/>
      <c r="V275" s="2"/>
    </row>
    <row r="276">
      <c r="J276" s="168"/>
      <c r="V276" s="2"/>
    </row>
    <row r="277">
      <c r="J277" s="168"/>
      <c r="V277" s="2"/>
    </row>
    <row r="278">
      <c r="J278" s="168"/>
      <c r="V278" s="2"/>
    </row>
    <row r="279">
      <c r="J279" s="168"/>
      <c r="V279" s="2"/>
    </row>
    <row r="280">
      <c r="J280" s="168"/>
      <c r="V280" s="2"/>
    </row>
    <row r="281">
      <c r="J281" s="168"/>
      <c r="V281" s="2"/>
    </row>
    <row r="282">
      <c r="J282" s="168"/>
      <c r="V282" s="2"/>
    </row>
    <row r="283">
      <c r="J283" s="168"/>
      <c r="V283" s="2"/>
    </row>
    <row r="284">
      <c r="J284" s="168"/>
      <c r="V284" s="2"/>
    </row>
    <row r="285">
      <c r="J285" s="168"/>
      <c r="V285" s="2"/>
    </row>
    <row r="286">
      <c r="J286" s="168"/>
      <c r="V286" s="2"/>
    </row>
    <row r="287">
      <c r="J287" s="168"/>
      <c r="V287" s="2"/>
    </row>
    <row r="288">
      <c r="J288" s="168"/>
      <c r="V288" s="2"/>
    </row>
    <row r="289">
      <c r="J289" s="168"/>
      <c r="V289" s="2"/>
    </row>
    <row r="290">
      <c r="J290" s="168"/>
      <c r="V290" s="2"/>
    </row>
    <row r="291">
      <c r="J291" s="168"/>
      <c r="V291" s="2"/>
    </row>
    <row r="292">
      <c r="J292" s="168"/>
      <c r="V292" s="2"/>
    </row>
    <row r="293">
      <c r="J293" s="168"/>
      <c r="V293" s="2"/>
    </row>
    <row r="294">
      <c r="J294" s="168"/>
      <c r="V294" s="2"/>
    </row>
    <row r="295">
      <c r="J295" s="168"/>
      <c r="V295" s="2"/>
    </row>
    <row r="296">
      <c r="J296" s="168"/>
      <c r="V296" s="2"/>
    </row>
    <row r="297">
      <c r="J297" s="168"/>
      <c r="V297" s="2"/>
    </row>
    <row r="298">
      <c r="J298" s="168"/>
      <c r="V298" s="2"/>
    </row>
    <row r="299">
      <c r="J299" s="168"/>
      <c r="V299" s="2"/>
    </row>
    <row r="300">
      <c r="J300" s="168"/>
      <c r="V300" s="2"/>
    </row>
    <row r="301">
      <c r="J301" s="168"/>
      <c r="V301" s="2"/>
    </row>
    <row r="302">
      <c r="J302" s="168"/>
      <c r="V302" s="2"/>
    </row>
    <row r="303">
      <c r="J303" s="168"/>
      <c r="V303" s="2"/>
    </row>
    <row r="304">
      <c r="J304" s="168"/>
      <c r="V304" s="2"/>
    </row>
    <row r="305">
      <c r="J305" s="168"/>
      <c r="V305" s="2"/>
    </row>
    <row r="306">
      <c r="J306" s="168"/>
      <c r="V306" s="2"/>
    </row>
    <row r="307">
      <c r="J307" s="168"/>
      <c r="V307" s="2"/>
    </row>
    <row r="308">
      <c r="J308" s="168"/>
      <c r="V308" s="2"/>
    </row>
    <row r="309">
      <c r="J309" s="168"/>
      <c r="V309" s="2"/>
    </row>
    <row r="310">
      <c r="J310" s="168"/>
      <c r="V310" s="2"/>
    </row>
    <row r="311">
      <c r="J311" s="168"/>
      <c r="V311" s="2"/>
    </row>
    <row r="312">
      <c r="J312" s="168"/>
      <c r="V312" s="2"/>
    </row>
    <row r="313">
      <c r="J313" s="168"/>
      <c r="V313" s="2"/>
    </row>
    <row r="314">
      <c r="J314" s="168"/>
      <c r="V314" s="2"/>
    </row>
    <row r="315">
      <c r="J315" s="168"/>
      <c r="V315" s="2"/>
    </row>
    <row r="316">
      <c r="J316" s="168"/>
      <c r="V316" s="2"/>
    </row>
    <row r="317">
      <c r="J317" s="168"/>
      <c r="V317" s="2"/>
    </row>
    <row r="318">
      <c r="J318" s="168"/>
      <c r="V318" s="2"/>
    </row>
    <row r="319">
      <c r="J319" s="168"/>
      <c r="V319" s="2"/>
    </row>
    <row r="320">
      <c r="J320" s="168"/>
      <c r="V320" s="2"/>
    </row>
    <row r="321">
      <c r="J321" s="168"/>
      <c r="V321" s="2"/>
    </row>
    <row r="322">
      <c r="J322" s="168"/>
      <c r="V322" s="2"/>
    </row>
    <row r="323">
      <c r="J323" s="168"/>
      <c r="V323" s="2"/>
    </row>
    <row r="324">
      <c r="J324" s="168"/>
      <c r="V324" s="2"/>
    </row>
    <row r="325">
      <c r="J325" s="168"/>
      <c r="V325" s="2"/>
    </row>
    <row r="326">
      <c r="J326" s="168"/>
      <c r="V326" s="2"/>
    </row>
    <row r="327">
      <c r="J327" s="168"/>
      <c r="V327" s="2"/>
    </row>
    <row r="328">
      <c r="J328" s="168"/>
      <c r="V328" s="2"/>
    </row>
    <row r="329">
      <c r="J329" s="168"/>
      <c r="V329" s="2"/>
    </row>
    <row r="330">
      <c r="J330" s="168"/>
      <c r="V330" s="2"/>
    </row>
    <row r="331">
      <c r="J331" s="168"/>
      <c r="V331" s="2"/>
    </row>
    <row r="332">
      <c r="J332" s="168"/>
      <c r="V332" s="2"/>
    </row>
    <row r="333">
      <c r="J333" s="168"/>
      <c r="V333" s="2"/>
    </row>
    <row r="334">
      <c r="J334" s="168"/>
      <c r="V334" s="2"/>
    </row>
    <row r="335">
      <c r="J335" s="168"/>
      <c r="V335" s="2"/>
    </row>
    <row r="336">
      <c r="J336" s="168"/>
      <c r="V336" s="2"/>
    </row>
    <row r="337">
      <c r="J337" s="168"/>
      <c r="V337" s="2"/>
    </row>
    <row r="338">
      <c r="J338" s="168"/>
      <c r="V338" s="2"/>
    </row>
    <row r="339">
      <c r="J339" s="168"/>
      <c r="V339" s="2"/>
    </row>
    <row r="340">
      <c r="J340" s="168"/>
      <c r="V340" s="2"/>
    </row>
    <row r="341">
      <c r="J341" s="168"/>
      <c r="V341" s="2"/>
    </row>
    <row r="342">
      <c r="J342" s="168"/>
      <c r="V342" s="2"/>
    </row>
    <row r="343">
      <c r="J343" s="168"/>
      <c r="V343" s="2"/>
    </row>
    <row r="344">
      <c r="J344" s="168"/>
      <c r="V344" s="2"/>
    </row>
    <row r="345">
      <c r="J345" s="168"/>
      <c r="V345" s="2"/>
    </row>
    <row r="346">
      <c r="J346" s="168"/>
      <c r="V346" s="2"/>
    </row>
    <row r="347">
      <c r="J347" s="168"/>
      <c r="V347" s="2"/>
    </row>
    <row r="348">
      <c r="J348" s="168"/>
      <c r="V348" s="2"/>
    </row>
    <row r="349">
      <c r="J349" s="168"/>
      <c r="V349" s="2"/>
    </row>
    <row r="350">
      <c r="J350" s="168"/>
      <c r="V350" s="2"/>
    </row>
    <row r="351">
      <c r="J351" s="168"/>
      <c r="V351" s="2"/>
    </row>
    <row r="352">
      <c r="J352" s="168"/>
      <c r="V352" s="2"/>
    </row>
    <row r="353">
      <c r="J353" s="168"/>
      <c r="V353" s="2"/>
    </row>
    <row r="354">
      <c r="J354" s="168"/>
      <c r="V354" s="2"/>
    </row>
    <row r="355">
      <c r="J355" s="168"/>
      <c r="V355" s="2"/>
    </row>
    <row r="356">
      <c r="J356" s="168"/>
      <c r="V356" s="2"/>
    </row>
    <row r="357">
      <c r="J357" s="168"/>
      <c r="V357" s="2"/>
    </row>
    <row r="358">
      <c r="J358" s="168"/>
      <c r="V358" s="2"/>
    </row>
    <row r="359">
      <c r="J359" s="168"/>
      <c r="V359" s="2"/>
    </row>
    <row r="360">
      <c r="J360" s="168"/>
      <c r="V360" s="2"/>
    </row>
    <row r="361">
      <c r="J361" s="168"/>
      <c r="V361" s="2"/>
    </row>
    <row r="362">
      <c r="J362" s="168"/>
      <c r="V362" s="2"/>
    </row>
    <row r="363">
      <c r="J363" s="168"/>
      <c r="V363" s="2"/>
    </row>
    <row r="364">
      <c r="J364" s="168"/>
      <c r="V364" s="2"/>
    </row>
    <row r="365">
      <c r="J365" s="168"/>
      <c r="V365" s="2"/>
    </row>
    <row r="366">
      <c r="J366" s="168"/>
      <c r="V366" s="2"/>
    </row>
    <row r="367">
      <c r="J367" s="168"/>
      <c r="V367" s="2"/>
    </row>
    <row r="368">
      <c r="J368" s="168"/>
      <c r="V368" s="2"/>
    </row>
    <row r="369">
      <c r="J369" s="168"/>
      <c r="V369" s="2"/>
    </row>
    <row r="370">
      <c r="J370" s="168"/>
      <c r="V370" s="2"/>
    </row>
    <row r="371">
      <c r="J371" s="168"/>
      <c r="V371" s="2"/>
    </row>
    <row r="372">
      <c r="J372" s="168"/>
      <c r="V372" s="2"/>
    </row>
    <row r="373">
      <c r="J373" s="168"/>
      <c r="V373" s="2"/>
    </row>
    <row r="374">
      <c r="J374" s="168"/>
      <c r="V374" s="2"/>
    </row>
    <row r="375">
      <c r="J375" s="168"/>
      <c r="V375" s="2"/>
    </row>
    <row r="376">
      <c r="J376" s="168"/>
      <c r="V376" s="2"/>
    </row>
    <row r="377">
      <c r="J377" s="168"/>
      <c r="V377" s="2"/>
    </row>
    <row r="378">
      <c r="J378" s="168"/>
      <c r="V378" s="2"/>
    </row>
    <row r="379">
      <c r="J379" s="168"/>
      <c r="V379" s="2"/>
    </row>
    <row r="380">
      <c r="J380" s="168"/>
      <c r="V380" s="2"/>
    </row>
    <row r="381">
      <c r="J381" s="168"/>
      <c r="V381" s="2"/>
    </row>
    <row r="382">
      <c r="J382" s="168"/>
      <c r="V382" s="2"/>
    </row>
    <row r="383">
      <c r="J383" s="168"/>
      <c r="V383" s="2"/>
    </row>
    <row r="384">
      <c r="J384" s="168"/>
      <c r="V384" s="2"/>
    </row>
    <row r="385">
      <c r="J385" s="168"/>
      <c r="V385" s="2"/>
    </row>
    <row r="386">
      <c r="J386" s="168"/>
      <c r="V386" s="2"/>
    </row>
    <row r="387">
      <c r="J387" s="168"/>
      <c r="V387" s="2"/>
    </row>
    <row r="388">
      <c r="J388" s="168"/>
      <c r="V388" s="2"/>
    </row>
    <row r="389">
      <c r="J389" s="168"/>
      <c r="V389" s="2"/>
    </row>
    <row r="390">
      <c r="J390" s="168"/>
      <c r="V390" s="2"/>
    </row>
    <row r="391">
      <c r="J391" s="168"/>
      <c r="V391" s="2"/>
    </row>
    <row r="392">
      <c r="J392" s="168"/>
      <c r="V392" s="2"/>
    </row>
    <row r="393">
      <c r="J393" s="168"/>
      <c r="V393" s="2"/>
    </row>
    <row r="394">
      <c r="J394" s="168"/>
      <c r="V394" s="2"/>
    </row>
    <row r="395">
      <c r="J395" s="168"/>
      <c r="V395" s="2"/>
    </row>
    <row r="396">
      <c r="J396" s="168"/>
      <c r="V396" s="2"/>
    </row>
    <row r="397">
      <c r="J397" s="168"/>
      <c r="V397" s="2"/>
    </row>
    <row r="398">
      <c r="J398" s="168"/>
      <c r="V398" s="2"/>
    </row>
    <row r="399">
      <c r="J399" s="168"/>
      <c r="V399" s="2"/>
    </row>
    <row r="400">
      <c r="J400" s="168"/>
      <c r="V400" s="2"/>
    </row>
    <row r="401">
      <c r="J401" s="168"/>
      <c r="V401" s="2"/>
    </row>
    <row r="402">
      <c r="J402" s="168"/>
      <c r="V402" s="2"/>
    </row>
    <row r="403">
      <c r="J403" s="168"/>
      <c r="V403" s="2"/>
    </row>
    <row r="404">
      <c r="J404" s="168"/>
      <c r="V404" s="2"/>
    </row>
    <row r="405">
      <c r="J405" s="168"/>
      <c r="V405" s="2"/>
    </row>
    <row r="406">
      <c r="J406" s="168"/>
      <c r="V406" s="2"/>
    </row>
    <row r="407">
      <c r="J407" s="168"/>
      <c r="V407" s="2"/>
    </row>
    <row r="408">
      <c r="J408" s="168"/>
      <c r="V408" s="2"/>
    </row>
    <row r="409">
      <c r="J409" s="168"/>
      <c r="V409" s="2"/>
    </row>
    <row r="410">
      <c r="J410" s="168"/>
      <c r="V410" s="2"/>
    </row>
    <row r="411">
      <c r="J411" s="168"/>
      <c r="V411" s="2"/>
    </row>
    <row r="412">
      <c r="J412" s="168"/>
      <c r="V412" s="2"/>
    </row>
    <row r="413">
      <c r="J413" s="168"/>
      <c r="V413" s="2"/>
    </row>
    <row r="414">
      <c r="J414" s="168"/>
      <c r="V414" s="2"/>
    </row>
    <row r="415">
      <c r="J415" s="168"/>
      <c r="V415" s="2"/>
    </row>
    <row r="416">
      <c r="J416" s="168"/>
      <c r="V416" s="2"/>
    </row>
    <row r="417">
      <c r="J417" s="168"/>
      <c r="V417" s="2"/>
    </row>
    <row r="418">
      <c r="J418" s="168"/>
      <c r="V418" s="2"/>
    </row>
    <row r="419">
      <c r="J419" s="168"/>
      <c r="V419" s="2"/>
    </row>
    <row r="420">
      <c r="J420" s="168"/>
      <c r="V420" s="2"/>
    </row>
    <row r="421">
      <c r="J421" s="168"/>
      <c r="V421" s="2"/>
    </row>
    <row r="422">
      <c r="J422" s="168"/>
      <c r="V422" s="2"/>
    </row>
    <row r="423">
      <c r="J423" s="168"/>
      <c r="V423" s="2"/>
    </row>
    <row r="424">
      <c r="J424" s="168"/>
      <c r="V424" s="2"/>
    </row>
    <row r="425">
      <c r="J425" s="168"/>
      <c r="V425" s="2"/>
    </row>
    <row r="426">
      <c r="J426" s="168"/>
      <c r="V426" s="2"/>
    </row>
    <row r="427">
      <c r="J427" s="168"/>
      <c r="V427" s="2"/>
    </row>
    <row r="428">
      <c r="J428" s="168"/>
      <c r="V428" s="2"/>
    </row>
    <row r="429">
      <c r="J429" s="168"/>
      <c r="V429" s="2"/>
    </row>
    <row r="430">
      <c r="J430" s="168"/>
      <c r="V430" s="2"/>
    </row>
    <row r="431">
      <c r="J431" s="168"/>
      <c r="V431" s="2"/>
    </row>
    <row r="432">
      <c r="J432" s="168"/>
      <c r="V432" s="2"/>
    </row>
    <row r="433">
      <c r="J433" s="168"/>
      <c r="V433" s="2"/>
    </row>
    <row r="434">
      <c r="J434" s="168"/>
      <c r="V434" s="2"/>
    </row>
    <row r="435">
      <c r="J435" s="168"/>
      <c r="V435" s="2"/>
    </row>
    <row r="436">
      <c r="J436" s="168"/>
      <c r="V436" s="2"/>
    </row>
    <row r="437">
      <c r="J437" s="168"/>
      <c r="V437" s="2"/>
    </row>
    <row r="438">
      <c r="J438" s="168"/>
      <c r="V438" s="2"/>
    </row>
    <row r="439">
      <c r="J439" s="168"/>
      <c r="V439" s="2"/>
    </row>
    <row r="440">
      <c r="J440" s="168"/>
      <c r="V440" s="2"/>
    </row>
    <row r="441">
      <c r="J441" s="168"/>
      <c r="V441" s="2"/>
    </row>
    <row r="442">
      <c r="J442" s="168"/>
      <c r="V442" s="2"/>
    </row>
    <row r="443">
      <c r="J443" s="168"/>
      <c r="V443" s="2"/>
    </row>
    <row r="444">
      <c r="J444" s="168"/>
      <c r="V444" s="2"/>
    </row>
    <row r="445">
      <c r="J445" s="168"/>
      <c r="V445" s="2"/>
    </row>
    <row r="446">
      <c r="J446" s="168"/>
      <c r="V446" s="2"/>
    </row>
    <row r="447">
      <c r="J447" s="168"/>
      <c r="V447" s="2"/>
    </row>
    <row r="448">
      <c r="J448" s="168"/>
      <c r="V448" s="2"/>
    </row>
    <row r="449">
      <c r="J449" s="168"/>
      <c r="V449" s="2"/>
    </row>
    <row r="450">
      <c r="J450" s="168"/>
      <c r="V450" s="2"/>
    </row>
    <row r="451">
      <c r="J451" s="168"/>
      <c r="V451" s="2"/>
    </row>
    <row r="452">
      <c r="J452" s="168"/>
      <c r="V452" s="2"/>
    </row>
    <row r="453">
      <c r="J453" s="168"/>
      <c r="V453" s="2"/>
    </row>
    <row r="454">
      <c r="J454" s="168"/>
      <c r="V454" s="2"/>
    </row>
    <row r="455">
      <c r="J455" s="168"/>
      <c r="V455" s="2"/>
    </row>
    <row r="456">
      <c r="J456" s="168"/>
      <c r="V456" s="2"/>
    </row>
    <row r="457">
      <c r="J457" s="168"/>
      <c r="V457" s="2"/>
    </row>
    <row r="458">
      <c r="J458" s="168"/>
      <c r="V458" s="2"/>
    </row>
    <row r="459">
      <c r="J459" s="168"/>
      <c r="V459" s="2"/>
    </row>
    <row r="460">
      <c r="J460" s="168"/>
      <c r="V460" s="2"/>
    </row>
    <row r="461">
      <c r="J461" s="168"/>
      <c r="V461" s="2"/>
    </row>
    <row r="462">
      <c r="J462" s="168"/>
      <c r="V462" s="2"/>
    </row>
    <row r="463">
      <c r="J463" s="168"/>
      <c r="V463" s="2"/>
    </row>
    <row r="464">
      <c r="J464" s="168"/>
      <c r="V464" s="2"/>
    </row>
    <row r="465">
      <c r="J465" s="168"/>
      <c r="V465" s="2"/>
    </row>
    <row r="466">
      <c r="J466" s="168"/>
      <c r="V466" s="2"/>
    </row>
    <row r="467">
      <c r="J467" s="168"/>
      <c r="V467" s="2"/>
    </row>
    <row r="468">
      <c r="J468" s="168"/>
      <c r="V468" s="2"/>
    </row>
    <row r="469">
      <c r="J469" s="168"/>
      <c r="V469" s="2"/>
    </row>
    <row r="470">
      <c r="J470" s="168"/>
      <c r="V470" s="2"/>
    </row>
    <row r="471">
      <c r="J471" s="168"/>
      <c r="V471" s="2"/>
    </row>
    <row r="472">
      <c r="J472" s="168"/>
      <c r="V472" s="2"/>
    </row>
    <row r="473">
      <c r="J473" s="168"/>
      <c r="V473" s="2"/>
    </row>
    <row r="474">
      <c r="J474" s="168"/>
      <c r="V474" s="2"/>
    </row>
    <row r="475">
      <c r="J475" s="168"/>
      <c r="V475" s="2"/>
    </row>
    <row r="476">
      <c r="J476" s="168"/>
      <c r="V476" s="2"/>
    </row>
    <row r="477">
      <c r="J477" s="168"/>
      <c r="V477" s="2"/>
    </row>
    <row r="478">
      <c r="J478" s="168"/>
      <c r="V478" s="2"/>
    </row>
    <row r="479">
      <c r="J479" s="168"/>
      <c r="V479" s="2"/>
    </row>
    <row r="480">
      <c r="J480" s="168"/>
      <c r="V480" s="2"/>
    </row>
    <row r="481">
      <c r="J481" s="168"/>
      <c r="V481" s="2"/>
    </row>
    <row r="482">
      <c r="J482" s="168"/>
      <c r="V482" s="2"/>
    </row>
    <row r="483">
      <c r="J483" s="168"/>
      <c r="V483" s="2"/>
    </row>
    <row r="484">
      <c r="J484" s="168"/>
      <c r="V484" s="2"/>
    </row>
    <row r="485">
      <c r="J485" s="168"/>
      <c r="V485" s="2"/>
    </row>
    <row r="486">
      <c r="J486" s="168"/>
      <c r="V486" s="2"/>
    </row>
    <row r="487">
      <c r="J487" s="168"/>
      <c r="V487" s="2"/>
    </row>
    <row r="488">
      <c r="J488" s="168"/>
      <c r="V488" s="2"/>
    </row>
    <row r="489">
      <c r="J489" s="168"/>
      <c r="V489" s="2"/>
    </row>
    <row r="490">
      <c r="J490" s="168"/>
      <c r="V490" s="2"/>
    </row>
    <row r="491">
      <c r="J491" s="168"/>
      <c r="V491" s="2"/>
    </row>
    <row r="492">
      <c r="J492" s="168"/>
      <c r="V492" s="2"/>
    </row>
    <row r="493">
      <c r="J493" s="168"/>
      <c r="V493" s="2"/>
    </row>
    <row r="494">
      <c r="J494" s="168"/>
      <c r="V494" s="2"/>
    </row>
    <row r="495">
      <c r="J495" s="168"/>
      <c r="V495" s="2"/>
    </row>
    <row r="496">
      <c r="J496" s="168"/>
      <c r="V496" s="2"/>
    </row>
    <row r="497">
      <c r="J497" s="168"/>
      <c r="V497" s="2"/>
    </row>
    <row r="498">
      <c r="J498" s="168"/>
      <c r="V498" s="2"/>
    </row>
    <row r="499">
      <c r="J499" s="168"/>
      <c r="V499" s="2"/>
    </row>
    <row r="500">
      <c r="J500" s="168"/>
      <c r="V500" s="2"/>
    </row>
    <row r="501">
      <c r="J501" s="168"/>
      <c r="V501" s="2"/>
    </row>
    <row r="502">
      <c r="J502" s="168"/>
      <c r="V502" s="2"/>
    </row>
    <row r="503">
      <c r="J503" s="168"/>
      <c r="V503" s="2"/>
    </row>
    <row r="504">
      <c r="J504" s="168"/>
      <c r="V504" s="2"/>
    </row>
    <row r="505">
      <c r="J505" s="168"/>
      <c r="V505" s="2"/>
    </row>
    <row r="506">
      <c r="J506" s="168"/>
      <c r="V506" s="2"/>
    </row>
    <row r="507">
      <c r="J507" s="168"/>
      <c r="V507" s="2"/>
    </row>
    <row r="508">
      <c r="J508" s="168"/>
      <c r="V508" s="2"/>
    </row>
    <row r="509">
      <c r="J509" s="168"/>
      <c r="V509" s="2"/>
    </row>
    <row r="510">
      <c r="J510" s="168"/>
      <c r="V510" s="2"/>
    </row>
    <row r="511">
      <c r="J511" s="168"/>
      <c r="V511" s="2"/>
    </row>
    <row r="512">
      <c r="J512" s="168"/>
      <c r="V512" s="2"/>
    </row>
    <row r="513">
      <c r="J513" s="168"/>
      <c r="V513" s="2"/>
    </row>
    <row r="514">
      <c r="J514" s="168"/>
      <c r="V514" s="2"/>
    </row>
    <row r="515">
      <c r="J515" s="168"/>
      <c r="V515" s="2"/>
    </row>
    <row r="516">
      <c r="J516" s="168"/>
      <c r="V516" s="2"/>
    </row>
    <row r="517">
      <c r="J517" s="168"/>
      <c r="V517" s="2"/>
    </row>
    <row r="518">
      <c r="J518" s="168"/>
      <c r="V518" s="2"/>
    </row>
    <row r="519">
      <c r="J519" s="168"/>
      <c r="V519" s="2"/>
    </row>
    <row r="520">
      <c r="J520" s="168"/>
      <c r="V520" s="2"/>
    </row>
    <row r="521">
      <c r="J521" s="168"/>
      <c r="V521" s="2"/>
    </row>
    <row r="522">
      <c r="J522" s="168"/>
      <c r="V522" s="2"/>
    </row>
    <row r="523">
      <c r="J523" s="168"/>
      <c r="V523" s="2"/>
    </row>
    <row r="524">
      <c r="J524" s="168"/>
      <c r="V524" s="2"/>
    </row>
    <row r="525">
      <c r="J525" s="168"/>
      <c r="V525" s="2"/>
    </row>
    <row r="526">
      <c r="J526" s="168"/>
      <c r="V526" s="2"/>
    </row>
    <row r="527">
      <c r="J527" s="168"/>
      <c r="V527" s="2"/>
    </row>
    <row r="528">
      <c r="J528" s="168"/>
      <c r="V528" s="2"/>
    </row>
    <row r="529">
      <c r="J529" s="168"/>
      <c r="V529" s="2"/>
    </row>
    <row r="530">
      <c r="J530" s="168"/>
      <c r="V530" s="2"/>
    </row>
    <row r="531">
      <c r="J531" s="168"/>
      <c r="V531" s="2"/>
    </row>
    <row r="532">
      <c r="J532" s="168"/>
      <c r="V532" s="2"/>
    </row>
    <row r="533">
      <c r="J533" s="168"/>
      <c r="V533" s="2"/>
    </row>
    <row r="534">
      <c r="J534" s="168"/>
      <c r="V534" s="2"/>
    </row>
    <row r="535">
      <c r="J535" s="168"/>
      <c r="V535" s="2"/>
    </row>
    <row r="536">
      <c r="J536" s="168"/>
      <c r="V536" s="2"/>
    </row>
    <row r="537">
      <c r="J537" s="168"/>
      <c r="V537" s="2"/>
    </row>
    <row r="538">
      <c r="J538" s="168"/>
      <c r="V538" s="2"/>
    </row>
    <row r="539">
      <c r="J539" s="168"/>
      <c r="V539" s="2"/>
    </row>
    <row r="540">
      <c r="J540" s="168"/>
      <c r="V540" s="2"/>
    </row>
    <row r="541">
      <c r="J541" s="168"/>
      <c r="V541" s="2"/>
    </row>
    <row r="542">
      <c r="J542" s="168"/>
      <c r="V542" s="2"/>
    </row>
    <row r="543">
      <c r="J543" s="168"/>
      <c r="V543" s="2"/>
    </row>
    <row r="544">
      <c r="J544" s="168"/>
      <c r="V544" s="2"/>
    </row>
    <row r="545">
      <c r="J545" s="168"/>
      <c r="V545" s="2"/>
    </row>
    <row r="546">
      <c r="J546" s="168"/>
      <c r="V546" s="2"/>
    </row>
    <row r="547">
      <c r="J547" s="168"/>
      <c r="V547" s="2"/>
    </row>
    <row r="548">
      <c r="J548" s="168"/>
      <c r="V548" s="2"/>
    </row>
    <row r="549">
      <c r="J549" s="168"/>
      <c r="V549" s="2"/>
    </row>
    <row r="550">
      <c r="J550" s="168"/>
      <c r="V550" s="2"/>
    </row>
    <row r="551">
      <c r="J551" s="168"/>
      <c r="V551" s="2"/>
    </row>
    <row r="552">
      <c r="J552" s="168"/>
      <c r="V552" s="2"/>
    </row>
    <row r="553">
      <c r="J553" s="168"/>
      <c r="V553" s="2"/>
    </row>
    <row r="554">
      <c r="J554" s="168"/>
      <c r="V554" s="2"/>
    </row>
    <row r="555">
      <c r="J555" s="168"/>
      <c r="V555" s="2"/>
    </row>
    <row r="556">
      <c r="J556" s="168"/>
      <c r="V556" s="2"/>
    </row>
    <row r="557">
      <c r="J557" s="168"/>
      <c r="V557" s="2"/>
    </row>
    <row r="558">
      <c r="J558" s="168"/>
      <c r="V558" s="2"/>
    </row>
    <row r="559">
      <c r="J559" s="168"/>
      <c r="V559" s="2"/>
    </row>
    <row r="560">
      <c r="J560" s="168"/>
      <c r="V560" s="2"/>
    </row>
    <row r="561">
      <c r="J561" s="168"/>
      <c r="V561" s="2"/>
    </row>
    <row r="562">
      <c r="J562" s="168"/>
      <c r="V562" s="2"/>
    </row>
    <row r="563">
      <c r="J563" s="168"/>
      <c r="V563" s="2"/>
    </row>
    <row r="564">
      <c r="J564" s="168"/>
      <c r="V564" s="2"/>
    </row>
    <row r="565">
      <c r="J565" s="168"/>
      <c r="V565" s="2"/>
    </row>
    <row r="566">
      <c r="J566" s="168"/>
      <c r="V566" s="2"/>
    </row>
    <row r="567">
      <c r="J567" s="168"/>
      <c r="V567" s="2"/>
    </row>
    <row r="568">
      <c r="J568" s="168"/>
      <c r="V568" s="2"/>
    </row>
    <row r="569">
      <c r="J569" s="168"/>
      <c r="V569" s="2"/>
    </row>
    <row r="570">
      <c r="J570" s="168"/>
      <c r="V570" s="2"/>
    </row>
    <row r="571">
      <c r="J571" s="168"/>
      <c r="V571" s="2"/>
    </row>
    <row r="572">
      <c r="J572" s="168"/>
      <c r="V572" s="2"/>
    </row>
    <row r="573">
      <c r="J573" s="168"/>
      <c r="V573" s="2"/>
    </row>
    <row r="574">
      <c r="J574" s="168"/>
      <c r="V574" s="2"/>
    </row>
    <row r="575">
      <c r="J575" s="168"/>
      <c r="V575" s="2"/>
    </row>
    <row r="576">
      <c r="J576" s="168"/>
      <c r="V576" s="2"/>
    </row>
    <row r="577">
      <c r="J577" s="168"/>
      <c r="V577" s="2"/>
    </row>
    <row r="578">
      <c r="J578" s="168"/>
      <c r="V578" s="2"/>
    </row>
    <row r="579">
      <c r="J579" s="168"/>
      <c r="V579" s="2"/>
    </row>
    <row r="580">
      <c r="J580" s="168"/>
      <c r="V580" s="2"/>
    </row>
    <row r="581">
      <c r="J581" s="168"/>
      <c r="V581" s="2"/>
    </row>
    <row r="582">
      <c r="J582" s="168"/>
      <c r="V582" s="2"/>
    </row>
    <row r="583">
      <c r="J583" s="168"/>
      <c r="V583" s="2"/>
    </row>
    <row r="584">
      <c r="J584" s="168"/>
      <c r="V584" s="2"/>
    </row>
    <row r="585">
      <c r="J585" s="168"/>
      <c r="V585" s="2"/>
    </row>
    <row r="586">
      <c r="J586" s="168"/>
      <c r="V586" s="2"/>
    </row>
    <row r="587">
      <c r="J587" s="168"/>
      <c r="V587" s="2"/>
    </row>
    <row r="588">
      <c r="J588" s="168"/>
      <c r="V588" s="2"/>
    </row>
    <row r="589">
      <c r="J589" s="168"/>
      <c r="V589" s="2"/>
    </row>
    <row r="590">
      <c r="J590" s="168"/>
      <c r="V590" s="2"/>
    </row>
    <row r="591">
      <c r="J591" s="168"/>
      <c r="V591" s="2"/>
    </row>
    <row r="592">
      <c r="J592" s="168"/>
      <c r="V592" s="2"/>
    </row>
    <row r="593">
      <c r="J593" s="168"/>
      <c r="V593" s="2"/>
    </row>
    <row r="594">
      <c r="J594" s="168"/>
      <c r="V594" s="2"/>
    </row>
    <row r="595">
      <c r="J595" s="168"/>
      <c r="V595" s="2"/>
    </row>
    <row r="596">
      <c r="J596" s="168"/>
      <c r="V596" s="2"/>
    </row>
    <row r="597">
      <c r="J597" s="168"/>
      <c r="V597" s="2"/>
    </row>
    <row r="598">
      <c r="J598" s="168"/>
      <c r="V598" s="2"/>
    </row>
    <row r="599">
      <c r="J599" s="168"/>
      <c r="V599" s="2"/>
    </row>
    <row r="600">
      <c r="J600" s="168"/>
      <c r="V600" s="2"/>
    </row>
    <row r="601">
      <c r="J601" s="168"/>
      <c r="V601" s="2"/>
    </row>
    <row r="602">
      <c r="J602" s="168"/>
      <c r="V602" s="2"/>
    </row>
    <row r="603">
      <c r="J603" s="168"/>
      <c r="V603" s="2"/>
    </row>
    <row r="604">
      <c r="J604" s="168"/>
      <c r="V604" s="2"/>
    </row>
    <row r="605">
      <c r="J605" s="168"/>
      <c r="V605" s="2"/>
    </row>
    <row r="606">
      <c r="J606" s="168"/>
      <c r="V606" s="2"/>
    </row>
    <row r="607">
      <c r="J607" s="168"/>
      <c r="V607" s="2"/>
    </row>
    <row r="608">
      <c r="J608" s="168"/>
      <c r="V608" s="2"/>
    </row>
    <row r="609">
      <c r="J609" s="168"/>
      <c r="V609" s="2"/>
    </row>
    <row r="610">
      <c r="J610" s="168"/>
      <c r="V610" s="2"/>
    </row>
    <row r="611">
      <c r="J611" s="168"/>
      <c r="V611" s="2"/>
    </row>
    <row r="612">
      <c r="J612" s="168"/>
      <c r="V612" s="2"/>
    </row>
    <row r="613">
      <c r="J613" s="168"/>
      <c r="V613" s="2"/>
    </row>
    <row r="614">
      <c r="J614" s="168"/>
      <c r="V614" s="2"/>
    </row>
    <row r="615">
      <c r="J615" s="168"/>
      <c r="V615" s="2"/>
    </row>
    <row r="616">
      <c r="J616" s="168"/>
      <c r="V616" s="2"/>
    </row>
    <row r="617">
      <c r="J617" s="168"/>
      <c r="V617" s="2"/>
    </row>
    <row r="618">
      <c r="J618" s="168"/>
      <c r="V618" s="2"/>
    </row>
    <row r="619">
      <c r="J619" s="168"/>
      <c r="V619" s="2"/>
    </row>
    <row r="620">
      <c r="J620" s="168"/>
      <c r="V620" s="2"/>
    </row>
    <row r="621">
      <c r="J621" s="168"/>
      <c r="V621" s="2"/>
    </row>
    <row r="622">
      <c r="J622" s="168"/>
      <c r="V622" s="2"/>
    </row>
    <row r="623">
      <c r="J623" s="168"/>
      <c r="V623" s="2"/>
    </row>
    <row r="624">
      <c r="J624" s="168"/>
      <c r="V624" s="2"/>
    </row>
    <row r="625">
      <c r="J625" s="168"/>
      <c r="V625" s="2"/>
    </row>
    <row r="626">
      <c r="J626" s="168"/>
      <c r="V626" s="2"/>
    </row>
    <row r="627">
      <c r="J627" s="168"/>
      <c r="V627" s="2"/>
    </row>
    <row r="628">
      <c r="J628" s="168"/>
      <c r="V628" s="2"/>
    </row>
    <row r="629">
      <c r="J629" s="168"/>
      <c r="V629" s="2"/>
    </row>
    <row r="630">
      <c r="J630" s="168"/>
      <c r="V630" s="2"/>
    </row>
    <row r="631">
      <c r="J631" s="168"/>
      <c r="V631" s="2"/>
    </row>
    <row r="632">
      <c r="J632" s="168"/>
      <c r="V632" s="2"/>
    </row>
    <row r="633">
      <c r="J633" s="168"/>
      <c r="V633" s="2"/>
    </row>
    <row r="634">
      <c r="J634" s="168"/>
      <c r="V634" s="2"/>
    </row>
    <row r="635">
      <c r="J635" s="168"/>
      <c r="V635" s="2"/>
    </row>
    <row r="636">
      <c r="J636" s="168"/>
      <c r="V636" s="2"/>
    </row>
    <row r="637">
      <c r="J637" s="168"/>
      <c r="V637" s="2"/>
    </row>
    <row r="638">
      <c r="J638" s="168"/>
      <c r="V638" s="2"/>
    </row>
    <row r="639">
      <c r="J639" s="168"/>
      <c r="V639" s="2"/>
    </row>
    <row r="640">
      <c r="J640" s="168"/>
      <c r="V640" s="2"/>
    </row>
    <row r="641">
      <c r="J641" s="168"/>
      <c r="V641" s="2"/>
    </row>
    <row r="642">
      <c r="J642" s="168"/>
      <c r="V642" s="2"/>
    </row>
    <row r="643">
      <c r="J643" s="168"/>
      <c r="V643" s="2"/>
    </row>
    <row r="644">
      <c r="J644" s="168"/>
      <c r="V644" s="2"/>
    </row>
    <row r="645">
      <c r="J645" s="168"/>
      <c r="V645" s="2"/>
    </row>
    <row r="646">
      <c r="J646" s="168"/>
      <c r="V646" s="2"/>
    </row>
    <row r="647">
      <c r="J647" s="168"/>
      <c r="V647" s="2"/>
    </row>
    <row r="648">
      <c r="J648" s="168"/>
      <c r="V648" s="2"/>
    </row>
    <row r="649">
      <c r="J649" s="168"/>
      <c r="V649" s="2"/>
    </row>
    <row r="650">
      <c r="J650" s="168"/>
      <c r="V650" s="2"/>
    </row>
    <row r="651">
      <c r="J651" s="168"/>
      <c r="V651" s="2"/>
    </row>
    <row r="652">
      <c r="J652" s="168"/>
      <c r="V652" s="2"/>
    </row>
    <row r="653">
      <c r="J653" s="168"/>
      <c r="V653" s="2"/>
    </row>
    <row r="654">
      <c r="J654" s="168"/>
      <c r="V654" s="2"/>
    </row>
    <row r="655">
      <c r="J655" s="168"/>
      <c r="V655" s="2"/>
    </row>
    <row r="656">
      <c r="J656" s="168"/>
      <c r="V656" s="2"/>
    </row>
    <row r="657">
      <c r="J657" s="168"/>
      <c r="V657" s="2"/>
    </row>
    <row r="658">
      <c r="J658" s="168"/>
      <c r="V658" s="2"/>
    </row>
    <row r="659">
      <c r="J659" s="168"/>
      <c r="V659" s="2"/>
    </row>
    <row r="660">
      <c r="J660" s="168"/>
      <c r="V660" s="2"/>
    </row>
    <row r="661">
      <c r="J661" s="168"/>
      <c r="V661" s="2"/>
    </row>
    <row r="662">
      <c r="J662" s="168"/>
      <c r="V662" s="2"/>
    </row>
    <row r="663">
      <c r="J663" s="168"/>
      <c r="V663" s="2"/>
    </row>
    <row r="664">
      <c r="J664" s="168"/>
      <c r="V664" s="2"/>
    </row>
    <row r="665">
      <c r="J665" s="168"/>
      <c r="V665" s="2"/>
    </row>
    <row r="666">
      <c r="J666" s="168"/>
      <c r="V666" s="2"/>
    </row>
    <row r="667">
      <c r="J667" s="168"/>
      <c r="V667" s="2"/>
    </row>
    <row r="668">
      <c r="J668" s="168"/>
      <c r="V668" s="2"/>
    </row>
    <row r="669">
      <c r="J669" s="168"/>
      <c r="V669" s="2"/>
    </row>
    <row r="670">
      <c r="J670" s="168"/>
      <c r="V670" s="2"/>
    </row>
    <row r="671">
      <c r="J671" s="168"/>
      <c r="V671" s="2"/>
    </row>
    <row r="672">
      <c r="J672" s="168"/>
      <c r="V672" s="2"/>
    </row>
    <row r="673">
      <c r="J673" s="168"/>
      <c r="V673" s="2"/>
    </row>
    <row r="674">
      <c r="J674" s="168"/>
      <c r="V674" s="2"/>
    </row>
    <row r="675">
      <c r="J675" s="168"/>
      <c r="V675" s="2"/>
    </row>
    <row r="676">
      <c r="J676" s="168"/>
      <c r="V676" s="2"/>
    </row>
    <row r="677">
      <c r="J677" s="168"/>
      <c r="V677" s="2"/>
    </row>
    <row r="678">
      <c r="J678" s="168"/>
      <c r="V678" s="2"/>
    </row>
    <row r="679">
      <c r="J679" s="168"/>
      <c r="V679" s="2"/>
    </row>
    <row r="680">
      <c r="J680" s="168"/>
      <c r="V680" s="2"/>
    </row>
    <row r="681">
      <c r="J681" s="168"/>
      <c r="V681" s="2"/>
    </row>
    <row r="682">
      <c r="J682" s="168"/>
      <c r="V682" s="2"/>
    </row>
    <row r="683">
      <c r="J683" s="168"/>
      <c r="V683" s="2"/>
    </row>
    <row r="684">
      <c r="J684" s="168"/>
      <c r="V684" s="2"/>
    </row>
    <row r="685">
      <c r="J685" s="168"/>
      <c r="V685" s="2"/>
    </row>
    <row r="686">
      <c r="J686" s="168"/>
      <c r="V686" s="2"/>
    </row>
    <row r="687">
      <c r="J687" s="168"/>
      <c r="V687" s="2"/>
    </row>
    <row r="688">
      <c r="J688" s="168"/>
      <c r="V688" s="2"/>
    </row>
    <row r="689">
      <c r="J689" s="168"/>
      <c r="V689" s="2"/>
    </row>
    <row r="690">
      <c r="J690" s="168"/>
      <c r="V690" s="2"/>
    </row>
    <row r="691">
      <c r="J691" s="168"/>
      <c r="V691" s="2"/>
    </row>
    <row r="692">
      <c r="J692" s="168"/>
      <c r="V692" s="2"/>
    </row>
    <row r="693">
      <c r="J693" s="168"/>
      <c r="V693" s="2"/>
    </row>
    <row r="694">
      <c r="J694" s="168"/>
      <c r="V694" s="2"/>
    </row>
    <row r="695">
      <c r="J695" s="168"/>
      <c r="V695" s="2"/>
    </row>
    <row r="696">
      <c r="J696" s="168"/>
      <c r="V696" s="2"/>
    </row>
    <row r="697">
      <c r="J697" s="168"/>
      <c r="V697" s="2"/>
    </row>
    <row r="698">
      <c r="J698" s="168"/>
      <c r="V698" s="2"/>
    </row>
    <row r="699">
      <c r="J699" s="168"/>
      <c r="V699" s="2"/>
    </row>
    <row r="700">
      <c r="J700" s="168"/>
      <c r="V700" s="2"/>
    </row>
    <row r="701">
      <c r="J701" s="168"/>
      <c r="V701" s="2"/>
    </row>
    <row r="702">
      <c r="J702" s="168"/>
      <c r="V702" s="2"/>
    </row>
    <row r="703">
      <c r="J703" s="168"/>
      <c r="V703" s="2"/>
    </row>
    <row r="704">
      <c r="J704" s="168"/>
      <c r="V704" s="2"/>
    </row>
    <row r="705">
      <c r="J705" s="168"/>
      <c r="V705" s="2"/>
    </row>
    <row r="706">
      <c r="J706" s="168"/>
      <c r="V706" s="2"/>
    </row>
    <row r="707">
      <c r="J707" s="168"/>
      <c r="V707" s="2"/>
    </row>
    <row r="708">
      <c r="J708" s="168"/>
      <c r="V708" s="2"/>
    </row>
    <row r="709">
      <c r="J709" s="168"/>
      <c r="V709" s="2"/>
    </row>
    <row r="710">
      <c r="J710" s="168"/>
      <c r="V710" s="2"/>
    </row>
    <row r="711">
      <c r="J711" s="168"/>
      <c r="V711" s="2"/>
    </row>
    <row r="712">
      <c r="J712" s="168"/>
      <c r="V712" s="2"/>
    </row>
    <row r="713">
      <c r="J713" s="168"/>
      <c r="V713" s="2"/>
    </row>
    <row r="714">
      <c r="J714" s="168"/>
      <c r="V714" s="2"/>
    </row>
    <row r="715">
      <c r="J715" s="168"/>
      <c r="V715" s="2"/>
    </row>
    <row r="716">
      <c r="J716" s="168"/>
      <c r="V716" s="2"/>
    </row>
    <row r="717">
      <c r="J717" s="168"/>
      <c r="V717" s="2"/>
    </row>
    <row r="718">
      <c r="J718" s="168"/>
      <c r="V718" s="2"/>
    </row>
    <row r="719">
      <c r="J719" s="168"/>
      <c r="V719" s="2"/>
    </row>
    <row r="720">
      <c r="J720" s="168"/>
      <c r="V720" s="2"/>
    </row>
    <row r="721">
      <c r="J721" s="168"/>
      <c r="V721" s="2"/>
    </row>
    <row r="722">
      <c r="J722" s="168"/>
      <c r="V722" s="2"/>
    </row>
    <row r="723">
      <c r="J723" s="168"/>
      <c r="V723" s="2"/>
    </row>
    <row r="724">
      <c r="J724" s="168"/>
      <c r="V724" s="2"/>
    </row>
    <row r="725">
      <c r="J725" s="168"/>
      <c r="V725" s="2"/>
    </row>
    <row r="726">
      <c r="J726" s="168"/>
      <c r="V726" s="2"/>
    </row>
    <row r="727">
      <c r="J727" s="168"/>
      <c r="V727" s="2"/>
    </row>
    <row r="728">
      <c r="J728" s="168"/>
      <c r="V728" s="2"/>
    </row>
    <row r="729">
      <c r="J729" s="168"/>
      <c r="V729" s="2"/>
    </row>
    <row r="730">
      <c r="J730" s="168"/>
      <c r="V730" s="2"/>
    </row>
    <row r="731">
      <c r="J731" s="168"/>
      <c r="V731" s="2"/>
    </row>
    <row r="732">
      <c r="J732" s="168"/>
      <c r="V732" s="2"/>
    </row>
    <row r="733">
      <c r="J733" s="168"/>
      <c r="V733" s="2"/>
    </row>
    <row r="734">
      <c r="J734" s="168"/>
      <c r="V734" s="2"/>
    </row>
    <row r="735">
      <c r="J735" s="168"/>
      <c r="V735" s="2"/>
    </row>
    <row r="736">
      <c r="J736" s="168"/>
      <c r="V736" s="2"/>
    </row>
    <row r="737">
      <c r="J737" s="168"/>
      <c r="V737" s="2"/>
    </row>
    <row r="738">
      <c r="J738" s="168"/>
      <c r="V738" s="2"/>
    </row>
    <row r="739">
      <c r="J739" s="168"/>
      <c r="V739" s="2"/>
    </row>
    <row r="740">
      <c r="J740" s="168"/>
      <c r="V740" s="2"/>
    </row>
    <row r="741">
      <c r="J741" s="168"/>
      <c r="V741" s="2"/>
    </row>
    <row r="742">
      <c r="J742" s="168"/>
      <c r="V742" s="2"/>
    </row>
    <row r="743">
      <c r="J743" s="168"/>
      <c r="V743" s="2"/>
    </row>
    <row r="744">
      <c r="J744" s="168"/>
      <c r="V744" s="2"/>
    </row>
    <row r="745">
      <c r="J745" s="168"/>
      <c r="V745" s="2"/>
    </row>
    <row r="746">
      <c r="J746" s="168"/>
      <c r="V746" s="2"/>
    </row>
    <row r="747">
      <c r="J747" s="168"/>
      <c r="V747" s="2"/>
    </row>
    <row r="748">
      <c r="J748" s="168"/>
      <c r="V748" s="2"/>
    </row>
    <row r="749">
      <c r="J749" s="168"/>
      <c r="V749" s="2"/>
    </row>
    <row r="750">
      <c r="J750" s="168"/>
      <c r="V750" s="2"/>
    </row>
    <row r="751">
      <c r="J751" s="168"/>
      <c r="V751" s="2"/>
    </row>
    <row r="752">
      <c r="J752" s="168"/>
      <c r="V752" s="2"/>
    </row>
    <row r="753">
      <c r="J753" s="168"/>
      <c r="V753" s="2"/>
    </row>
    <row r="754">
      <c r="J754" s="168"/>
      <c r="V754" s="2"/>
    </row>
    <row r="755">
      <c r="J755" s="168"/>
      <c r="V755" s="2"/>
    </row>
    <row r="756">
      <c r="J756" s="168"/>
      <c r="V756" s="2"/>
    </row>
    <row r="757">
      <c r="J757" s="168"/>
      <c r="V757" s="2"/>
    </row>
    <row r="758">
      <c r="J758" s="168"/>
      <c r="V758" s="2"/>
    </row>
    <row r="759">
      <c r="J759" s="168"/>
      <c r="V759" s="2"/>
    </row>
    <row r="760">
      <c r="J760" s="168"/>
      <c r="V760" s="2"/>
    </row>
    <row r="761">
      <c r="J761" s="168"/>
      <c r="V761" s="2"/>
    </row>
    <row r="762">
      <c r="J762" s="168"/>
      <c r="V762" s="2"/>
    </row>
    <row r="763">
      <c r="J763" s="168"/>
      <c r="V763" s="2"/>
    </row>
    <row r="764">
      <c r="J764" s="168"/>
      <c r="V764" s="2"/>
    </row>
    <row r="765">
      <c r="J765" s="168"/>
      <c r="V765" s="2"/>
    </row>
    <row r="766">
      <c r="J766" s="168"/>
      <c r="V766" s="2"/>
    </row>
    <row r="767">
      <c r="J767" s="168"/>
      <c r="V767" s="2"/>
    </row>
    <row r="768">
      <c r="J768" s="168"/>
      <c r="V768" s="2"/>
    </row>
    <row r="769">
      <c r="J769" s="168"/>
      <c r="V769" s="2"/>
    </row>
    <row r="770">
      <c r="J770" s="168"/>
      <c r="V770" s="2"/>
    </row>
    <row r="771">
      <c r="J771" s="168"/>
      <c r="V771" s="2"/>
    </row>
    <row r="772">
      <c r="J772" s="168"/>
      <c r="V772" s="2"/>
    </row>
    <row r="773">
      <c r="J773" s="168"/>
      <c r="V773" s="2"/>
    </row>
    <row r="774">
      <c r="J774" s="168"/>
      <c r="V774" s="2"/>
    </row>
    <row r="775">
      <c r="J775" s="168"/>
      <c r="V775" s="2"/>
    </row>
    <row r="776">
      <c r="J776" s="168"/>
      <c r="V776" s="2"/>
    </row>
    <row r="777">
      <c r="J777" s="168"/>
      <c r="V777" s="2"/>
    </row>
    <row r="778">
      <c r="J778" s="168"/>
      <c r="V778" s="2"/>
    </row>
    <row r="779">
      <c r="J779" s="168"/>
      <c r="V779" s="2"/>
    </row>
    <row r="780">
      <c r="J780" s="168"/>
      <c r="V780" s="2"/>
    </row>
    <row r="781">
      <c r="J781" s="168"/>
      <c r="V781" s="2"/>
    </row>
    <row r="782">
      <c r="J782" s="168"/>
      <c r="V782" s="2"/>
    </row>
    <row r="783">
      <c r="J783" s="168"/>
      <c r="V783" s="2"/>
    </row>
    <row r="784">
      <c r="J784" s="168"/>
      <c r="V784" s="2"/>
    </row>
    <row r="785">
      <c r="J785" s="168"/>
      <c r="V785" s="2"/>
    </row>
    <row r="786">
      <c r="J786" s="168"/>
      <c r="V786" s="2"/>
    </row>
    <row r="787">
      <c r="J787" s="168"/>
      <c r="V787" s="2"/>
    </row>
    <row r="788">
      <c r="J788" s="168"/>
      <c r="V788" s="2"/>
    </row>
    <row r="789">
      <c r="J789" s="168"/>
      <c r="V789" s="2"/>
    </row>
    <row r="790">
      <c r="J790" s="168"/>
      <c r="V790" s="2"/>
    </row>
    <row r="791">
      <c r="J791" s="168"/>
      <c r="V791" s="2"/>
    </row>
    <row r="792">
      <c r="J792" s="168"/>
      <c r="V792" s="2"/>
    </row>
    <row r="793">
      <c r="J793" s="168"/>
      <c r="V793" s="2"/>
    </row>
    <row r="794">
      <c r="J794" s="168"/>
      <c r="V794" s="2"/>
    </row>
    <row r="795">
      <c r="J795" s="168"/>
      <c r="V795" s="2"/>
    </row>
    <row r="796">
      <c r="J796" s="168"/>
      <c r="V796" s="2"/>
    </row>
    <row r="797">
      <c r="J797" s="168"/>
      <c r="V797" s="2"/>
    </row>
    <row r="798">
      <c r="J798" s="168"/>
      <c r="V798" s="2"/>
    </row>
    <row r="799">
      <c r="J799" s="168"/>
      <c r="V799" s="2"/>
    </row>
    <row r="800">
      <c r="J800" s="168"/>
      <c r="V800" s="2"/>
    </row>
    <row r="801">
      <c r="J801" s="168"/>
      <c r="V801" s="2"/>
    </row>
    <row r="802">
      <c r="J802" s="168"/>
      <c r="V802" s="2"/>
    </row>
    <row r="803">
      <c r="J803" s="168"/>
      <c r="V803" s="2"/>
    </row>
    <row r="804">
      <c r="J804" s="168"/>
      <c r="V804" s="2"/>
    </row>
    <row r="805">
      <c r="J805" s="168"/>
      <c r="V805" s="2"/>
    </row>
    <row r="806">
      <c r="J806" s="168"/>
      <c r="V806" s="2"/>
    </row>
    <row r="807">
      <c r="J807" s="168"/>
      <c r="V807" s="2"/>
    </row>
    <row r="808">
      <c r="J808" s="168"/>
      <c r="V808" s="2"/>
    </row>
    <row r="809">
      <c r="J809" s="168"/>
      <c r="V809" s="2"/>
    </row>
    <row r="810">
      <c r="J810" s="168"/>
      <c r="V810" s="2"/>
    </row>
    <row r="811">
      <c r="J811" s="168"/>
      <c r="V811" s="2"/>
    </row>
    <row r="812">
      <c r="J812" s="168"/>
      <c r="V812" s="2"/>
    </row>
    <row r="813">
      <c r="J813" s="168"/>
      <c r="V813" s="2"/>
    </row>
    <row r="814">
      <c r="J814" s="168"/>
      <c r="V814" s="2"/>
    </row>
    <row r="815">
      <c r="J815" s="168"/>
      <c r="V815" s="2"/>
    </row>
    <row r="816">
      <c r="J816" s="168"/>
      <c r="V816" s="2"/>
    </row>
    <row r="817">
      <c r="J817" s="168"/>
      <c r="V817" s="2"/>
    </row>
    <row r="818">
      <c r="J818" s="168"/>
      <c r="V818" s="2"/>
    </row>
    <row r="819">
      <c r="J819" s="168"/>
      <c r="V819" s="2"/>
    </row>
    <row r="820">
      <c r="J820" s="168"/>
      <c r="V820" s="2"/>
    </row>
    <row r="821">
      <c r="J821" s="168"/>
      <c r="V821" s="2"/>
    </row>
    <row r="822">
      <c r="J822" s="168"/>
      <c r="V822" s="2"/>
    </row>
    <row r="823">
      <c r="J823" s="168"/>
      <c r="V823" s="2"/>
    </row>
    <row r="824">
      <c r="J824" s="168"/>
      <c r="V824" s="2"/>
    </row>
    <row r="825">
      <c r="J825" s="168"/>
      <c r="V825" s="2"/>
    </row>
    <row r="826">
      <c r="J826" s="168"/>
      <c r="V826" s="2"/>
    </row>
    <row r="827">
      <c r="J827" s="168"/>
      <c r="V827" s="2"/>
    </row>
    <row r="828">
      <c r="J828" s="168"/>
      <c r="V828" s="2"/>
    </row>
    <row r="829">
      <c r="J829" s="168"/>
      <c r="V829" s="2"/>
    </row>
    <row r="830">
      <c r="J830" s="168"/>
      <c r="V830" s="2"/>
    </row>
    <row r="831">
      <c r="J831" s="168"/>
      <c r="V831" s="2"/>
    </row>
    <row r="832">
      <c r="J832" s="168"/>
      <c r="V832" s="2"/>
    </row>
    <row r="833">
      <c r="J833" s="168"/>
      <c r="V833" s="2"/>
    </row>
    <row r="834">
      <c r="J834" s="168"/>
      <c r="V834" s="2"/>
    </row>
    <row r="835">
      <c r="J835" s="168"/>
      <c r="V835" s="2"/>
    </row>
    <row r="836">
      <c r="J836" s="168"/>
      <c r="V836" s="2"/>
    </row>
    <row r="837">
      <c r="J837" s="168"/>
      <c r="V837" s="2"/>
    </row>
    <row r="838">
      <c r="J838" s="168"/>
      <c r="V838" s="2"/>
    </row>
    <row r="839">
      <c r="J839" s="168"/>
      <c r="V839" s="2"/>
    </row>
    <row r="840">
      <c r="J840" s="168"/>
      <c r="V840" s="2"/>
    </row>
    <row r="841">
      <c r="J841" s="168"/>
      <c r="V841" s="2"/>
    </row>
    <row r="842">
      <c r="J842" s="168"/>
      <c r="V842" s="2"/>
    </row>
    <row r="843">
      <c r="J843" s="168"/>
      <c r="V843" s="2"/>
    </row>
    <row r="844">
      <c r="J844" s="168"/>
      <c r="V844" s="2"/>
    </row>
    <row r="845">
      <c r="J845" s="168"/>
      <c r="V845" s="2"/>
    </row>
    <row r="846">
      <c r="J846" s="168"/>
      <c r="V846" s="2"/>
    </row>
    <row r="847">
      <c r="J847" s="168"/>
      <c r="V847" s="2"/>
    </row>
    <row r="848">
      <c r="J848" s="168"/>
      <c r="V848" s="2"/>
    </row>
    <row r="849">
      <c r="J849" s="168"/>
      <c r="V849" s="2"/>
    </row>
    <row r="850">
      <c r="J850" s="168"/>
      <c r="V850" s="2"/>
    </row>
    <row r="851">
      <c r="J851" s="168"/>
      <c r="V851" s="2"/>
    </row>
    <row r="852">
      <c r="J852" s="168"/>
      <c r="V852" s="2"/>
    </row>
    <row r="853">
      <c r="J853" s="168"/>
      <c r="V853" s="2"/>
    </row>
    <row r="854">
      <c r="J854" s="168"/>
      <c r="V854" s="2"/>
    </row>
    <row r="855">
      <c r="J855" s="168"/>
      <c r="V855" s="2"/>
    </row>
    <row r="856">
      <c r="J856" s="168"/>
      <c r="V856" s="2"/>
    </row>
    <row r="857">
      <c r="J857" s="168"/>
      <c r="V857" s="2"/>
    </row>
    <row r="858">
      <c r="J858" s="168"/>
      <c r="V858" s="2"/>
    </row>
    <row r="859">
      <c r="J859" s="168"/>
      <c r="V859" s="2"/>
    </row>
    <row r="860">
      <c r="J860" s="168"/>
      <c r="V860" s="2"/>
    </row>
    <row r="861">
      <c r="J861" s="168"/>
      <c r="V861" s="2"/>
    </row>
    <row r="862">
      <c r="J862" s="168"/>
      <c r="V862" s="2"/>
    </row>
    <row r="863">
      <c r="J863" s="168"/>
      <c r="V863" s="2"/>
    </row>
    <row r="864">
      <c r="J864" s="168"/>
      <c r="V864" s="2"/>
    </row>
    <row r="865">
      <c r="J865" s="168"/>
      <c r="V865" s="2"/>
    </row>
    <row r="866">
      <c r="J866" s="168"/>
      <c r="V866" s="2"/>
    </row>
    <row r="867">
      <c r="J867" s="168"/>
      <c r="V867" s="2"/>
    </row>
    <row r="868">
      <c r="J868" s="168"/>
      <c r="V868" s="2"/>
    </row>
    <row r="869">
      <c r="J869" s="168"/>
      <c r="V869" s="2"/>
    </row>
    <row r="870">
      <c r="J870" s="168"/>
      <c r="V870" s="2"/>
    </row>
    <row r="871">
      <c r="J871" s="168"/>
      <c r="V871" s="2"/>
    </row>
    <row r="872">
      <c r="J872" s="168"/>
      <c r="V872" s="2"/>
    </row>
    <row r="873">
      <c r="J873" s="168"/>
      <c r="V873" s="2"/>
    </row>
    <row r="874">
      <c r="J874" s="168"/>
      <c r="V874" s="2"/>
    </row>
    <row r="875">
      <c r="J875" s="168"/>
      <c r="V875" s="2"/>
    </row>
    <row r="876">
      <c r="J876" s="168"/>
      <c r="V876" s="2"/>
    </row>
    <row r="877">
      <c r="J877" s="168"/>
      <c r="V877" s="2"/>
    </row>
    <row r="878">
      <c r="J878" s="168"/>
      <c r="V878" s="2"/>
    </row>
    <row r="879">
      <c r="J879" s="168"/>
      <c r="V879" s="2"/>
    </row>
    <row r="880">
      <c r="J880" s="168"/>
      <c r="V880" s="2"/>
    </row>
    <row r="881">
      <c r="J881" s="168"/>
      <c r="V881" s="2"/>
    </row>
    <row r="882">
      <c r="J882" s="168"/>
      <c r="V882" s="2"/>
    </row>
    <row r="883">
      <c r="J883" s="168"/>
      <c r="V883" s="2"/>
    </row>
    <row r="884">
      <c r="J884" s="168"/>
      <c r="V884" s="2"/>
    </row>
    <row r="885">
      <c r="J885" s="168"/>
      <c r="V885" s="2"/>
    </row>
    <row r="886">
      <c r="J886" s="168"/>
      <c r="V886" s="2"/>
    </row>
    <row r="887">
      <c r="J887" s="168"/>
      <c r="V887" s="2"/>
    </row>
    <row r="888">
      <c r="J888" s="168"/>
      <c r="V888" s="2"/>
    </row>
    <row r="889">
      <c r="J889" s="168"/>
      <c r="V889" s="2"/>
    </row>
    <row r="890">
      <c r="J890" s="168"/>
      <c r="V890" s="2"/>
    </row>
    <row r="891">
      <c r="J891" s="168"/>
      <c r="V891" s="2"/>
    </row>
    <row r="892">
      <c r="J892" s="168"/>
      <c r="V892" s="2"/>
    </row>
    <row r="893">
      <c r="J893" s="168"/>
      <c r="V893" s="2"/>
    </row>
    <row r="894">
      <c r="J894" s="168"/>
      <c r="V894" s="2"/>
    </row>
    <row r="895">
      <c r="J895" s="168"/>
      <c r="V895" s="2"/>
    </row>
    <row r="896">
      <c r="J896" s="168"/>
      <c r="V896" s="2"/>
    </row>
    <row r="897">
      <c r="J897" s="168"/>
      <c r="V897" s="2"/>
    </row>
    <row r="898">
      <c r="J898" s="168"/>
      <c r="V898" s="2"/>
    </row>
    <row r="899">
      <c r="J899" s="168"/>
      <c r="V899" s="2"/>
    </row>
    <row r="900">
      <c r="J900" s="168"/>
      <c r="V900" s="2"/>
    </row>
    <row r="901">
      <c r="J901" s="168"/>
      <c r="V901" s="2"/>
    </row>
    <row r="902">
      <c r="J902" s="168"/>
      <c r="V902" s="2"/>
    </row>
    <row r="903">
      <c r="J903" s="168"/>
      <c r="V903" s="2"/>
    </row>
    <row r="904">
      <c r="J904" s="168"/>
      <c r="V904" s="2"/>
    </row>
    <row r="905">
      <c r="J905" s="168"/>
      <c r="V905" s="2"/>
    </row>
    <row r="906">
      <c r="J906" s="168"/>
      <c r="V906" s="2"/>
    </row>
    <row r="907">
      <c r="J907" s="168"/>
      <c r="V907" s="2"/>
    </row>
    <row r="908">
      <c r="J908" s="168"/>
      <c r="V908" s="2"/>
    </row>
    <row r="909">
      <c r="J909" s="168"/>
      <c r="V909" s="2"/>
    </row>
    <row r="910">
      <c r="J910" s="168"/>
      <c r="V910" s="2"/>
    </row>
    <row r="911">
      <c r="J911" s="168"/>
      <c r="V911" s="2"/>
    </row>
    <row r="912">
      <c r="J912" s="168"/>
      <c r="V912" s="2"/>
    </row>
    <row r="913">
      <c r="J913" s="168"/>
      <c r="V913" s="2"/>
    </row>
    <row r="914">
      <c r="J914" s="168"/>
      <c r="V914" s="2"/>
    </row>
    <row r="915">
      <c r="J915" s="168"/>
      <c r="V915" s="2"/>
    </row>
    <row r="916">
      <c r="J916" s="168"/>
      <c r="V916" s="2"/>
    </row>
    <row r="917">
      <c r="J917" s="168"/>
      <c r="V917" s="2"/>
    </row>
    <row r="918">
      <c r="J918" s="168"/>
      <c r="V918" s="2"/>
    </row>
    <row r="919">
      <c r="J919" s="168"/>
      <c r="V919" s="2"/>
    </row>
    <row r="920">
      <c r="J920" s="168"/>
      <c r="V920" s="2"/>
    </row>
    <row r="921">
      <c r="J921" s="168"/>
      <c r="V921" s="2"/>
    </row>
    <row r="922">
      <c r="J922" s="168"/>
      <c r="V922" s="2"/>
    </row>
    <row r="923">
      <c r="J923" s="168"/>
      <c r="V923" s="2"/>
    </row>
    <row r="924">
      <c r="J924" s="168"/>
      <c r="V924" s="2"/>
    </row>
    <row r="925">
      <c r="J925" s="168"/>
      <c r="V925" s="2"/>
    </row>
    <row r="926">
      <c r="J926" s="168"/>
      <c r="V926" s="2"/>
    </row>
    <row r="927">
      <c r="J927" s="168"/>
      <c r="V927" s="2"/>
    </row>
    <row r="928">
      <c r="J928" s="168"/>
      <c r="V928" s="2"/>
    </row>
    <row r="929">
      <c r="J929" s="168"/>
      <c r="V929" s="2"/>
    </row>
    <row r="930">
      <c r="J930" s="168"/>
      <c r="V930" s="2"/>
    </row>
    <row r="931">
      <c r="J931" s="168"/>
      <c r="V931" s="2"/>
    </row>
    <row r="932">
      <c r="J932" s="168"/>
      <c r="V932" s="2"/>
    </row>
    <row r="933">
      <c r="J933" s="168"/>
      <c r="V933" s="2"/>
    </row>
    <row r="934">
      <c r="J934" s="168"/>
      <c r="V934" s="2"/>
    </row>
    <row r="935">
      <c r="J935" s="168"/>
      <c r="V935" s="2"/>
    </row>
    <row r="936">
      <c r="J936" s="168"/>
      <c r="V936" s="2"/>
    </row>
    <row r="937">
      <c r="J937" s="168"/>
      <c r="V937" s="2"/>
    </row>
    <row r="938">
      <c r="J938" s="168"/>
      <c r="V938" s="2"/>
    </row>
    <row r="939">
      <c r="J939" s="168"/>
      <c r="V939" s="2"/>
    </row>
    <row r="940">
      <c r="J940" s="168"/>
      <c r="V940" s="2"/>
    </row>
    <row r="941">
      <c r="J941" s="168"/>
      <c r="V941" s="2"/>
    </row>
    <row r="942">
      <c r="J942" s="168"/>
      <c r="V942" s="2"/>
    </row>
    <row r="943">
      <c r="J943" s="168"/>
      <c r="V943" s="2"/>
    </row>
    <row r="944">
      <c r="J944" s="168"/>
      <c r="V944" s="2"/>
    </row>
    <row r="945">
      <c r="J945" s="168"/>
      <c r="V945" s="2"/>
    </row>
    <row r="946">
      <c r="J946" s="168"/>
      <c r="V946" s="2"/>
    </row>
    <row r="947">
      <c r="J947" s="168"/>
      <c r="V947" s="2"/>
    </row>
    <row r="948">
      <c r="J948" s="168"/>
      <c r="V948" s="2"/>
    </row>
    <row r="949">
      <c r="J949" s="168"/>
      <c r="V949" s="2"/>
    </row>
    <row r="950">
      <c r="J950" s="168"/>
      <c r="V950" s="2"/>
    </row>
    <row r="951">
      <c r="J951" s="168"/>
      <c r="V951" s="2"/>
    </row>
    <row r="952">
      <c r="J952" s="168"/>
      <c r="V952" s="2"/>
    </row>
    <row r="953">
      <c r="J953" s="168"/>
      <c r="V953" s="2"/>
    </row>
    <row r="954">
      <c r="J954" s="168"/>
      <c r="V954" s="2"/>
    </row>
    <row r="955">
      <c r="J955" s="168"/>
      <c r="V955" s="2"/>
    </row>
    <row r="956">
      <c r="J956" s="168"/>
      <c r="V956" s="2"/>
    </row>
    <row r="957">
      <c r="J957" s="168"/>
      <c r="V957" s="2"/>
    </row>
    <row r="958">
      <c r="J958" s="168"/>
      <c r="V958" s="2"/>
    </row>
    <row r="959">
      <c r="J959" s="168"/>
      <c r="V959" s="2"/>
    </row>
    <row r="960">
      <c r="J960" s="168"/>
      <c r="V960" s="2"/>
    </row>
    <row r="961">
      <c r="J961" s="168"/>
      <c r="V961" s="2"/>
    </row>
    <row r="962">
      <c r="J962" s="168"/>
      <c r="V962" s="2"/>
    </row>
    <row r="963">
      <c r="J963" s="168"/>
      <c r="V963" s="2"/>
    </row>
    <row r="964">
      <c r="J964" s="168"/>
      <c r="V964" s="2"/>
    </row>
    <row r="965">
      <c r="J965" s="168"/>
      <c r="V965" s="2"/>
    </row>
    <row r="966">
      <c r="J966" s="168"/>
      <c r="V966" s="2"/>
    </row>
    <row r="967">
      <c r="J967" s="168"/>
      <c r="V967" s="2"/>
    </row>
    <row r="968">
      <c r="J968" s="168"/>
      <c r="V968" s="2"/>
    </row>
    <row r="969">
      <c r="J969" s="168"/>
      <c r="V969" s="2"/>
    </row>
    <row r="970">
      <c r="J970" s="168"/>
      <c r="V970" s="2"/>
    </row>
    <row r="971">
      <c r="J971" s="168"/>
      <c r="V971" s="2"/>
    </row>
    <row r="972">
      <c r="J972" s="168"/>
      <c r="V972" s="2"/>
    </row>
    <row r="973">
      <c r="J973" s="168"/>
      <c r="V973" s="2"/>
    </row>
    <row r="974">
      <c r="J974" s="168"/>
      <c r="V974" s="2"/>
    </row>
    <row r="975">
      <c r="J975" s="168"/>
      <c r="V975" s="2"/>
    </row>
    <row r="976">
      <c r="J976" s="168"/>
      <c r="V976" s="2"/>
    </row>
    <row r="977">
      <c r="J977" s="168"/>
      <c r="V977" s="2"/>
    </row>
    <row r="978">
      <c r="J978" s="168"/>
      <c r="V978" s="2"/>
    </row>
    <row r="979">
      <c r="J979" s="168"/>
      <c r="V979" s="2"/>
    </row>
    <row r="980">
      <c r="J980" s="168"/>
      <c r="V980" s="2"/>
    </row>
    <row r="981">
      <c r="J981" s="168"/>
      <c r="V981" s="2"/>
    </row>
    <row r="982">
      <c r="J982" s="168"/>
      <c r="V982" s="2"/>
    </row>
    <row r="983">
      <c r="J983" s="168"/>
      <c r="V983" s="2"/>
    </row>
    <row r="984">
      <c r="J984" s="168"/>
      <c r="V984" s="2"/>
    </row>
    <row r="985">
      <c r="J985" s="168"/>
      <c r="V985" s="2"/>
    </row>
    <row r="986">
      <c r="J986" s="168"/>
      <c r="V986" s="2"/>
    </row>
    <row r="987">
      <c r="J987" s="168"/>
      <c r="V987" s="2"/>
    </row>
    <row r="988">
      <c r="J988" s="168"/>
      <c r="V988" s="2"/>
    </row>
    <row r="989">
      <c r="J989" s="168"/>
      <c r="V989" s="2"/>
    </row>
    <row r="990">
      <c r="J990" s="168"/>
      <c r="V990" s="2"/>
    </row>
    <row r="991">
      <c r="J991" s="168"/>
      <c r="V991" s="2"/>
    </row>
    <row r="992">
      <c r="J992" s="168"/>
      <c r="V992" s="2"/>
    </row>
    <row r="993">
      <c r="J993" s="168"/>
      <c r="V993" s="2"/>
    </row>
    <row r="994">
      <c r="J994" s="168"/>
      <c r="V994" s="2"/>
    </row>
    <row r="995">
      <c r="J995" s="168"/>
      <c r="V995" s="2"/>
    </row>
    <row r="996">
      <c r="J996" s="168"/>
      <c r="V996" s="2"/>
    </row>
    <row r="997">
      <c r="J997" s="168"/>
      <c r="V997" s="2"/>
    </row>
    <row r="998">
      <c r="J998" s="168"/>
      <c r="V998" s="2"/>
    </row>
    <row r="999">
      <c r="J999" s="168"/>
      <c r="V999" s="2"/>
    </row>
    <row r="1000">
      <c r="J1000" s="168"/>
      <c r="V1000" s="2"/>
    </row>
    <row r="1001">
      <c r="J1001" s="168"/>
      <c r="V1001" s="2"/>
    </row>
    <row r="1002">
      <c r="J1002" s="168"/>
      <c r="V1002" s="2"/>
    </row>
    <row r="1003">
      <c r="J1003" s="168"/>
      <c r="V1003" s="2"/>
    </row>
    <row r="1004">
      <c r="J1004" s="168"/>
      <c r="V1004" s="2"/>
    </row>
    <row r="1005">
      <c r="J1005" s="168"/>
      <c r="V1005" s="2"/>
    </row>
    <row r="1006">
      <c r="J1006" s="168"/>
      <c r="V1006" s="2"/>
    </row>
    <row r="1007">
      <c r="J1007" s="168"/>
      <c r="V1007" s="2"/>
    </row>
  </sheetData>
  <autoFilter ref="$A$1:$AB$143">
    <sortState ref="A1:AB143">
      <sortCondition descending="1" ref="A1:A143"/>
    </sortState>
  </autoFilter>
  <mergeCells count="1">
    <mergeCell ref="P1:Q1"/>
  </mergeCells>
  <dataValidations>
    <dataValidation type="list" allowBlank="1" showErrorMessage="1" sqref="A2:A155">
      <formula1>"Activa,Apagada,Por crear"</formula1>
    </dataValidation>
  </dataValidations>
  <printOptions/>
  <pageMargins bottom="0.75" footer="0.0" header="0.0" left="0.7" right="0.7" top="0.75"/>
  <pageSetup orientation="landscape"/>
  <drawing r:id="rId1"/>
</worksheet>
</file>